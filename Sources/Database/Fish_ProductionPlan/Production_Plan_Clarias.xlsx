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kte\SynologyDrive\Aquakultur\Aquakultur\Feed_DynOpt_Coupling\NutriOpt_Framework\Database\Fish_ProductionPlan\"/>
    </mc:Choice>
  </mc:AlternateContent>
  <xr:revisionPtr revIDLastSave="0" documentId="13_ncr:1_{057972E6-E28A-4979-884F-2681C180101C}" xr6:coauthVersionLast="36" xr6:coauthVersionMax="36" xr10:uidLastSave="{00000000-0000-0000-0000-000000000000}"/>
  <bookViews>
    <workbookView xWindow="0" yWindow="0" windowWidth="23040" windowHeight="9060" xr2:uid="{A25588D5-3398-498A-97BC-988889F7E63C}"/>
  </bookViews>
  <sheets>
    <sheet name="Clarias_Bioplan" sheetId="13" r:id="rId1"/>
    <sheet name="DATA SECTION" sheetId="1" r:id="rId2"/>
    <sheet name="AlltechCoppens_GC_26-28°C" sheetId="18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Y37" i="13" l="1"/>
  <c r="EX37" i="13"/>
  <c r="EW37" i="13"/>
  <c r="EV37" i="13"/>
  <c r="EU37" i="13"/>
  <c r="ET37" i="13"/>
  <c r="ES37" i="13"/>
  <c r="ER37" i="13"/>
  <c r="EQ37" i="13"/>
  <c r="EP37" i="13"/>
  <c r="EO37" i="13"/>
  <c r="EN37" i="13"/>
  <c r="EM37" i="13"/>
  <c r="EL37" i="13"/>
  <c r="EK37" i="13"/>
  <c r="EJ37" i="13"/>
  <c r="EI37" i="13"/>
  <c r="EH37" i="13"/>
  <c r="EG37" i="13"/>
  <c r="EF37" i="13"/>
  <c r="EE37" i="13"/>
  <c r="ED37" i="13"/>
  <c r="EC37" i="13"/>
  <c r="EB37" i="13"/>
  <c r="EA37" i="13"/>
  <c r="DZ37" i="13"/>
  <c r="DY37" i="13"/>
  <c r="DX37" i="13"/>
  <c r="DW37" i="13"/>
  <c r="DV37" i="13"/>
  <c r="DU37" i="13"/>
  <c r="DT37" i="13"/>
  <c r="DS37" i="13"/>
  <c r="DR37" i="13"/>
  <c r="DQ37" i="13"/>
  <c r="DP37" i="13"/>
  <c r="DO37" i="13"/>
  <c r="DN37" i="13"/>
  <c r="DM37" i="13"/>
  <c r="DL37" i="13"/>
  <c r="DK37" i="13"/>
  <c r="DJ37" i="13"/>
  <c r="DI37" i="13"/>
  <c r="DH37" i="13"/>
  <c r="DG37" i="13"/>
  <c r="DF37" i="13"/>
  <c r="DE37" i="13"/>
  <c r="DD37" i="13"/>
  <c r="DC37" i="13"/>
  <c r="DB37" i="13"/>
  <c r="DA37" i="13"/>
  <c r="CZ37" i="13"/>
  <c r="CY37" i="13"/>
  <c r="CX37" i="13"/>
  <c r="CW37" i="13"/>
  <c r="CV37" i="13"/>
  <c r="CU37" i="13"/>
  <c r="CT37" i="13"/>
  <c r="CS37" i="13"/>
  <c r="CR37" i="13"/>
  <c r="CQ37" i="13"/>
  <c r="CP37" i="13"/>
  <c r="CO37" i="13"/>
  <c r="CN37" i="13"/>
  <c r="CM37" i="13"/>
  <c r="CL37" i="13"/>
  <c r="CK37" i="13"/>
  <c r="CJ37" i="13"/>
  <c r="CI37" i="13"/>
  <c r="CH37" i="13"/>
  <c r="CG37" i="13"/>
  <c r="CF37" i="13"/>
  <c r="CE37" i="13"/>
  <c r="CD37" i="13"/>
  <c r="CC37" i="13"/>
  <c r="CB37" i="13"/>
  <c r="CA37" i="13"/>
  <c r="BZ37" i="13"/>
  <c r="BY37" i="13"/>
  <c r="BX37" i="13"/>
  <c r="BW37" i="13"/>
  <c r="BV37" i="13"/>
  <c r="BU37" i="13"/>
  <c r="BT37" i="13"/>
  <c r="BS37" i="13"/>
  <c r="BR37" i="13"/>
  <c r="BQ37" i="13"/>
  <c r="BP37" i="13"/>
  <c r="BO37" i="13"/>
  <c r="BN37" i="13"/>
  <c r="BM37" i="13"/>
  <c r="BL37" i="13"/>
  <c r="BK37" i="13"/>
  <c r="BJ37" i="13"/>
  <c r="BI37" i="13"/>
  <c r="BH37" i="13"/>
  <c r="BG37" i="13"/>
  <c r="BF37" i="13"/>
  <c r="BE37" i="13"/>
  <c r="BD37" i="13"/>
  <c r="BC37" i="13"/>
  <c r="BB37" i="13"/>
  <c r="BA37" i="13"/>
  <c r="AZ37" i="13"/>
  <c r="AY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K37" i="13"/>
  <c r="AJ37" i="13"/>
  <c r="AI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S37" i="13"/>
  <c r="R37" i="13"/>
  <c r="Q37" i="13"/>
  <c r="P37" i="13"/>
  <c r="O37" i="13"/>
  <c r="N37" i="13"/>
  <c r="M37" i="13"/>
  <c r="L37" i="13"/>
  <c r="K37" i="13"/>
  <c r="J37" i="13"/>
  <c r="I37" i="13"/>
  <c r="H37" i="13"/>
  <c r="G37" i="13"/>
  <c r="F37" i="13"/>
  <c r="E37" i="13"/>
  <c r="D37" i="13"/>
  <c r="C37" i="13"/>
  <c r="EY35" i="13"/>
  <c r="EX35" i="13"/>
  <c r="EW35" i="13"/>
  <c r="EV35" i="13"/>
  <c r="EU35" i="13"/>
  <c r="ET35" i="13"/>
  <c r="ES35" i="13"/>
  <c r="ER35" i="13"/>
  <c r="EQ35" i="13"/>
  <c r="EP35" i="13"/>
  <c r="EO35" i="13"/>
  <c r="EN35" i="13"/>
  <c r="EM35" i="13"/>
  <c r="EL35" i="13"/>
  <c r="EK35" i="13"/>
  <c r="EJ35" i="13"/>
  <c r="EI35" i="13"/>
  <c r="EH35" i="13"/>
  <c r="EG35" i="13"/>
  <c r="EF35" i="13"/>
  <c r="EE35" i="13"/>
  <c r="ED35" i="13"/>
  <c r="EC35" i="13"/>
  <c r="EB35" i="13"/>
  <c r="EA35" i="13"/>
  <c r="DZ35" i="13"/>
  <c r="DY35" i="13"/>
  <c r="DX35" i="13"/>
  <c r="DW35" i="13"/>
  <c r="DV35" i="13"/>
  <c r="DU35" i="13"/>
  <c r="DT35" i="13"/>
  <c r="DS35" i="13"/>
  <c r="DR35" i="13"/>
  <c r="DQ35" i="13"/>
  <c r="DP35" i="13"/>
  <c r="DO35" i="13"/>
  <c r="DN35" i="13"/>
  <c r="DM35" i="13"/>
  <c r="DL35" i="13"/>
  <c r="DK35" i="13"/>
  <c r="DJ35" i="13"/>
  <c r="DI35" i="13"/>
  <c r="DH35" i="13"/>
  <c r="DG35" i="13"/>
  <c r="DF35" i="13"/>
  <c r="DE35" i="13"/>
  <c r="DD35" i="13"/>
  <c r="DC35" i="13"/>
  <c r="DB35" i="13"/>
  <c r="DA35" i="13"/>
  <c r="CZ35" i="13"/>
  <c r="CY35" i="13"/>
  <c r="CX35" i="13"/>
  <c r="CW35" i="13"/>
  <c r="CV35" i="13"/>
  <c r="CU35" i="13"/>
  <c r="CT35" i="13"/>
  <c r="CS35" i="13"/>
  <c r="CR35" i="13"/>
  <c r="CQ35" i="13"/>
  <c r="CP35" i="13"/>
  <c r="CO35" i="13"/>
  <c r="CN35" i="13"/>
  <c r="CM35" i="13"/>
  <c r="CL35" i="13"/>
  <c r="CK35" i="13"/>
  <c r="CJ35" i="13"/>
  <c r="CI35" i="13"/>
  <c r="CH35" i="13"/>
  <c r="CG35" i="13"/>
  <c r="CF35" i="13"/>
  <c r="CE35" i="13"/>
  <c r="CD35" i="13"/>
  <c r="CC35" i="13"/>
  <c r="CB35" i="13"/>
  <c r="CA35" i="13"/>
  <c r="BZ35" i="13"/>
  <c r="BY35" i="13"/>
  <c r="BX35" i="13"/>
  <c r="BW35" i="13"/>
  <c r="BV35" i="13"/>
  <c r="BU35" i="13"/>
  <c r="BT35" i="13"/>
  <c r="BS35" i="13"/>
  <c r="BR35" i="13"/>
  <c r="BQ35" i="13"/>
  <c r="BP35" i="13"/>
  <c r="BO35" i="13"/>
  <c r="BN35" i="13"/>
  <c r="BM35" i="13"/>
  <c r="BL35" i="13"/>
  <c r="BK35" i="13"/>
  <c r="BJ35" i="13"/>
  <c r="BI35" i="13"/>
  <c r="BH35" i="13"/>
  <c r="BG35" i="13"/>
  <c r="BF35" i="13"/>
  <c r="BE35" i="13"/>
  <c r="BD35" i="13"/>
  <c r="BC35" i="13"/>
  <c r="BB35" i="13"/>
  <c r="BA35" i="13"/>
  <c r="AZ35" i="13"/>
  <c r="AY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K35" i="13"/>
  <c r="AJ35" i="13"/>
  <c r="AI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S35" i="13"/>
  <c r="R35" i="13"/>
  <c r="Q35" i="13"/>
  <c r="P35" i="13"/>
  <c r="O35" i="13"/>
  <c r="N35" i="13"/>
  <c r="M35" i="13"/>
  <c r="L35" i="13"/>
  <c r="K35" i="13"/>
  <c r="J35" i="13"/>
  <c r="I35" i="13"/>
  <c r="H35" i="13"/>
  <c r="G35" i="13"/>
  <c r="F35" i="13"/>
  <c r="E35" i="13"/>
  <c r="D35" i="13"/>
  <c r="C35" i="13"/>
  <c r="N16" i="13" l="1"/>
  <c r="ACN2" i="13" l="1"/>
  <c r="ACO2" i="13"/>
  <c r="ACP2" i="13"/>
  <c r="ACQ2" i="13"/>
  <c r="ACR2" i="13"/>
  <c r="ACS2" i="13"/>
  <c r="ACT2" i="13"/>
  <c r="ACU2" i="13"/>
  <c r="ACV2" i="13"/>
  <c r="ACW2" i="13"/>
  <c r="ACX2" i="13"/>
  <c r="ACY2" i="13"/>
  <c r="ACZ2" i="13"/>
  <c r="ADA2" i="13"/>
  <c r="ADB2" i="13"/>
  <c r="ADC2" i="13"/>
  <c r="ADD2" i="13"/>
  <c r="ADE2" i="13"/>
  <c r="ADF2" i="13"/>
  <c r="ADG2" i="13"/>
  <c r="ADH2" i="13"/>
  <c r="ADI2" i="13"/>
  <c r="ADJ2" i="13"/>
  <c r="ADK2" i="13"/>
  <c r="ADL2" i="13"/>
  <c r="ADM2" i="13"/>
  <c r="ADN2" i="13"/>
  <c r="ADO2" i="13"/>
  <c r="ADP2" i="13"/>
  <c r="ADQ2" i="13"/>
  <c r="ADR2" i="13"/>
  <c r="ADS2" i="13"/>
  <c r="ADT2" i="13"/>
  <c r="ADU2" i="13"/>
  <c r="ADV2" i="13"/>
  <c r="ADW2" i="13"/>
  <c r="ADX2" i="13"/>
  <c r="ADY2" i="13"/>
  <c r="ADZ2" i="13"/>
  <c r="AEA2" i="13"/>
  <c r="AEB2" i="13"/>
  <c r="AEC2" i="13"/>
  <c r="AED2" i="13"/>
  <c r="AEE2" i="13"/>
  <c r="AEF2" i="13"/>
  <c r="AEG2" i="13"/>
  <c r="AEH2" i="13"/>
  <c r="AEI2" i="13"/>
  <c r="AEJ2" i="13"/>
  <c r="AEK2" i="13"/>
  <c r="AEL2" i="13"/>
  <c r="AEM2" i="13"/>
  <c r="AEN2" i="13"/>
  <c r="AEO2" i="13"/>
  <c r="AEP2" i="13"/>
  <c r="AEQ2" i="13"/>
  <c r="AER2" i="13"/>
  <c r="AES2" i="13"/>
  <c r="AET2" i="13"/>
  <c r="AEU2" i="13"/>
  <c r="AEV2" i="13"/>
  <c r="AEW2" i="13"/>
  <c r="AEX2" i="13"/>
  <c r="AEY2" i="13"/>
  <c r="AEZ2" i="13"/>
  <c r="AFA2" i="13"/>
  <c r="AFB2" i="13"/>
  <c r="AFC2" i="13"/>
  <c r="AFD2" i="13"/>
  <c r="AFE2" i="13"/>
  <c r="AFF2" i="13"/>
  <c r="AFG2" i="13"/>
  <c r="AFH2" i="13"/>
  <c r="AFI2" i="13"/>
  <c r="AFJ2" i="13"/>
  <c r="AFK2" i="13"/>
  <c r="AFL2" i="13"/>
  <c r="AFM2" i="13"/>
  <c r="AFN2" i="13"/>
  <c r="AFO2" i="13"/>
  <c r="AFP2" i="13"/>
  <c r="AFQ2" i="13"/>
  <c r="AFR2" i="13"/>
  <c r="AFS2" i="13"/>
  <c r="AFT2" i="13"/>
  <c r="AFU2" i="13"/>
  <c r="AFV2" i="13"/>
  <c r="AFW2" i="13"/>
  <c r="AFX2" i="13"/>
  <c r="AFY2" i="13"/>
  <c r="AFZ2" i="13"/>
  <c r="AGA2" i="13"/>
  <c r="AGB2" i="13"/>
  <c r="AGC2" i="13"/>
  <c r="AGD2" i="13"/>
  <c r="AGE2" i="13"/>
  <c r="AGF2" i="13"/>
  <c r="AGG2" i="13"/>
  <c r="AGH2" i="13"/>
  <c r="AGI2" i="13"/>
  <c r="AGJ2" i="13"/>
  <c r="AGK2" i="13"/>
  <c r="AGL2" i="13"/>
  <c r="AGM2" i="13"/>
  <c r="AGN2" i="13"/>
  <c r="AGO2" i="13"/>
  <c r="AGP2" i="13"/>
  <c r="AGQ2" i="13"/>
  <c r="AGR2" i="13"/>
  <c r="AGS2" i="13"/>
  <c r="AGT2" i="13"/>
  <c r="AGU2" i="13"/>
  <c r="AGV2" i="13"/>
  <c r="AGW2" i="13"/>
  <c r="AGX2" i="13"/>
  <c r="AGY2" i="13"/>
  <c r="AGZ2" i="13"/>
  <c r="AHA2" i="13"/>
  <c r="AHB2" i="13"/>
  <c r="AHC2" i="13"/>
  <c r="AHD2" i="13"/>
  <c r="AHE2" i="13"/>
  <c r="AHF2" i="13"/>
  <c r="AHG2" i="13"/>
  <c r="AHH2" i="13"/>
  <c r="AHI2" i="13"/>
  <c r="AHJ2" i="13"/>
  <c r="AHK2" i="13"/>
  <c r="AHL2" i="13"/>
  <c r="AHM2" i="13"/>
  <c r="AHN2" i="13"/>
  <c r="AHO2" i="13"/>
  <c r="AHP2" i="13"/>
  <c r="AHQ2" i="13"/>
  <c r="AHR2" i="13"/>
  <c r="AHS2" i="13"/>
  <c r="AHT2" i="13"/>
  <c r="AHU2" i="13"/>
  <c r="AHV2" i="13"/>
  <c r="AHW2" i="13"/>
  <c r="AHX2" i="13"/>
  <c r="AHY2" i="13"/>
  <c r="AHZ2" i="13"/>
  <c r="AIA2" i="13"/>
  <c r="AIB2" i="13"/>
  <c r="AIC2" i="13"/>
  <c r="AID2" i="13"/>
  <c r="AIE2" i="13"/>
  <c r="AIF2" i="13"/>
  <c r="AIG2" i="13"/>
  <c r="AIH2" i="13"/>
  <c r="AII2" i="13"/>
  <c r="AIJ2" i="13"/>
  <c r="AIK2" i="13"/>
  <c r="AIL2" i="13"/>
  <c r="AIM2" i="13"/>
  <c r="AIN2" i="13"/>
  <c r="AIO2" i="13"/>
  <c r="AIP2" i="13"/>
  <c r="AIQ2" i="13"/>
  <c r="AIR2" i="13"/>
  <c r="AIS2" i="13"/>
  <c r="AIT2" i="13"/>
  <c r="AIU2" i="13"/>
  <c r="AIV2" i="13"/>
  <c r="AIW2" i="13"/>
  <c r="AIX2" i="13"/>
  <c r="AIY2" i="13"/>
  <c r="AIZ2" i="13"/>
  <c r="AJA2" i="13"/>
  <c r="ACN4" i="13"/>
  <c r="ACN5" i="13" s="1"/>
  <c r="ACO4" i="13"/>
  <c r="ACP4" i="13"/>
  <c r="ACQ4" i="13"/>
  <c r="ACR4" i="13"/>
  <c r="ACS4" i="13"/>
  <c r="ACT4" i="13"/>
  <c r="ACU4" i="13"/>
  <c r="ACV4" i="13"/>
  <c r="ACW4" i="13"/>
  <c r="ACX4" i="13"/>
  <c r="ACX11" i="13" s="1"/>
  <c r="ACX13" i="13" s="1"/>
  <c r="ACY4" i="13"/>
  <c r="ACZ4" i="13"/>
  <c r="ADA4" i="13"/>
  <c r="ADB4" i="13"/>
  <c r="ADC4" i="13"/>
  <c r="ADD4" i="13"/>
  <c r="ADE4" i="13"/>
  <c r="ADF4" i="13"/>
  <c r="ADF11" i="13" s="1"/>
  <c r="ADF13" i="13" s="1"/>
  <c r="ADG4" i="13"/>
  <c r="ADH4" i="13"/>
  <c r="ADI4" i="13"/>
  <c r="ADJ4" i="13"/>
  <c r="ADK4" i="13"/>
  <c r="ADL4" i="13"/>
  <c r="ADM4" i="13"/>
  <c r="ADN4" i="13"/>
  <c r="ADN11" i="13" s="1"/>
  <c r="ADN13" i="13" s="1"/>
  <c r="ADO4" i="13"/>
  <c r="ADP4" i="13"/>
  <c r="ADQ4" i="13"/>
  <c r="ADR4" i="13"/>
  <c r="ADS4" i="13"/>
  <c r="ADT4" i="13"/>
  <c r="ADU4" i="13"/>
  <c r="ADV4" i="13"/>
  <c r="ADV11" i="13" s="1"/>
  <c r="ADV13" i="13" s="1"/>
  <c r="ADW4" i="13"/>
  <c r="ADX4" i="13"/>
  <c r="ADY4" i="13"/>
  <c r="ADZ4" i="13"/>
  <c r="AEA4" i="13"/>
  <c r="AEB4" i="13"/>
  <c r="AEC4" i="13"/>
  <c r="AED4" i="13"/>
  <c r="AEE4" i="13"/>
  <c r="AEF4" i="13"/>
  <c r="AEG4" i="13"/>
  <c r="AEH4" i="13"/>
  <c r="AEI4" i="13"/>
  <c r="AEJ4" i="13"/>
  <c r="AEK4" i="13"/>
  <c r="AEL4" i="13"/>
  <c r="AEL11" i="13" s="1"/>
  <c r="AEL13" i="13" s="1"/>
  <c r="AEM4" i="13"/>
  <c r="AEN4" i="13"/>
  <c r="AEO4" i="13"/>
  <c r="AEP4" i="13"/>
  <c r="AEQ4" i="13"/>
  <c r="AER4" i="13"/>
  <c r="AES4" i="13"/>
  <c r="AET4" i="13"/>
  <c r="AET11" i="13" s="1"/>
  <c r="AET13" i="13" s="1"/>
  <c r="AEU4" i="13"/>
  <c r="AEV4" i="13"/>
  <c r="AEW4" i="13"/>
  <c r="AEX4" i="13"/>
  <c r="AEY4" i="13"/>
  <c r="AEZ4" i="13"/>
  <c r="AFA4" i="13"/>
  <c r="AFB4" i="13"/>
  <c r="AFB11" i="13" s="1"/>
  <c r="AFB13" i="13" s="1"/>
  <c r="AFC4" i="13"/>
  <c r="AFD4" i="13"/>
  <c r="AFE4" i="13"/>
  <c r="AFF4" i="13"/>
  <c r="AFG4" i="13"/>
  <c r="AFH4" i="13"/>
  <c r="AFI4" i="13"/>
  <c r="AFJ4" i="13"/>
  <c r="AFK4" i="13"/>
  <c r="AFL4" i="13"/>
  <c r="AFM4" i="13"/>
  <c r="AFN4" i="13"/>
  <c r="AFO4" i="13"/>
  <c r="AFP4" i="13"/>
  <c r="AFQ4" i="13"/>
  <c r="AFR4" i="13"/>
  <c r="AFR11" i="13" s="1"/>
  <c r="AFR13" i="13" s="1"/>
  <c r="AFS4" i="13"/>
  <c r="AFT4" i="13"/>
  <c r="AFU4" i="13"/>
  <c r="AFV4" i="13"/>
  <c r="AFW4" i="13"/>
  <c r="AFX4" i="13"/>
  <c r="AFY4" i="13"/>
  <c r="AFZ4" i="13"/>
  <c r="AFZ11" i="13" s="1"/>
  <c r="AFZ13" i="13" s="1"/>
  <c r="AGA4" i="13"/>
  <c r="AGB4" i="13"/>
  <c r="AGC4" i="13"/>
  <c r="AGD4" i="13"/>
  <c r="AGE4" i="13"/>
  <c r="AGF4" i="13"/>
  <c r="AGG4" i="13"/>
  <c r="AGH4" i="13"/>
  <c r="AGH11" i="13" s="1"/>
  <c r="AGH13" i="13" s="1"/>
  <c r="AGI4" i="13"/>
  <c r="AGJ4" i="13"/>
  <c r="AGK4" i="13"/>
  <c r="AGL4" i="13"/>
  <c r="AGM4" i="13"/>
  <c r="AGN4" i="13"/>
  <c r="AGN5" i="13" s="1"/>
  <c r="AGO4" i="13"/>
  <c r="AGP4" i="13"/>
  <c r="AGP11" i="13" s="1"/>
  <c r="AGP13" i="13" s="1"/>
  <c r="AGQ4" i="13"/>
  <c r="AGR4" i="13"/>
  <c r="AGS4" i="13"/>
  <c r="AGT4" i="13"/>
  <c r="AGU4" i="13"/>
  <c r="AGV4" i="13"/>
  <c r="AGW4" i="13"/>
  <c r="AGX4" i="13"/>
  <c r="AGX11" i="13" s="1"/>
  <c r="AGX13" i="13" s="1"/>
  <c r="AGY4" i="13"/>
  <c r="AGZ4" i="13"/>
  <c r="AHA4" i="13"/>
  <c r="AHB4" i="13"/>
  <c r="AHC4" i="13"/>
  <c r="AHD4" i="13"/>
  <c r="AHE4" i="13"/>
  <c r="AHF4" i="13"/>
  <c r="AHF11" i="13" s="1"/>
  <c r="AHF13" i="13" s="1"/>
  <c r="AHG4" i="13"/>
  <c r="AHH4" i="13"/>
  <c r="AHI4" i="13"/>
  <c r="AHJ4" i="13"/>
  <c r="AHK4" i="13"/>
  <c r="AHL4" i="13"/>
  <c r="AHL5" i="13" s="1"/>
  <c r="AHM4" i="13"/>
  <c r="AHN4" i="13"/>
  <c r="AHN11" i="13" s="1"/>
  <c r="AHN13" i="13" s="1"/>
  <c r="AHO4" i="13"/>
  <c r="AHP4" i="13"/>
  <c r="AHQ4" i="13"/>
  <c r="AHR4" i="13"/>
  <c r="AHS4" i="13"/>
  <c r="AHT4" i="13"/>
  <c r="AHU4" i="13"/>
  <c r="AHV4" i="13"/>
  <c r="AHW4" i="13"/>
  <c r="AHX4" i="13"/>
  <c r="AHY4" i="13"/>
  <c r="AHZ4" i="13"/>
  <c r="AIA4" i="13"/>
  <c r="AIB4" i="13"/>
  <c r="AIC4" i="13"/>
  <c r="AID4" i="13"/>
  <c r="AIE4" i="13"/>
  <c r="AIF4" i="13"/>
  <c r="AIG4" i="13"/>
  <c r="AIH4" i="13"/>
  <c r="AII4" i="13"/>
  <c r="AIJ4" i="13"/>
  <c r="AIK4" i="13"/>
  <c r="AIL4" i="13"/>
  <c r="AIL11" i="13" s="1"/>
  <c r="AIL13" i="13" s="1"/>
  <c r="AIM4" i="13"/>
  <c r="AIN4" i="13"/>
  <c r="AIO4" i="13"/>
  <c r="AIP4" i="13"/>
  <c r="AIQ4" i="13"/>
  <c r="AIR4" i="13"/>
  <c r="AIS4" i="13"/>
  <c r="AIT4" i="13"/>
  <c r="AIT11" i="13" s="1"/>
  <c r="AIT13" i="13" s="1"/>
  <c r="AIU4" i="13"/>
  <c r="AIV4" i="13"/>
  <c r="AIW4" i="13"/>
  <c r="AIX4" i="13"/>
  <c r="AIY4" i="13"/>
  <c r="AIZ4" i="13"/>
  <c r="AJA4" i="13"/>
  <c r="ACN6" i="13"/>
  <c r="ACO6" i="13"/>
  <c r="ACP6" i="13"/>
  <c r="ACQ6" i="13"/>
  <c r="ACR6" i="13"/>
  <c r="ACS6" i="13"/>
  <c r="ACT6" i="13"/>
  <c r="ACU6" i="13"/>
  <c r="ACV6" i="13"/>
  <c r="ACW6" i="13"/>
  <c r="ACX6" i="13"/>
  <c r="ACY6" i="13"/>
  <c r="ACZ6" i="13"/>
  <c r="ADA6" i="13"/>
  <c r="ADB6" i="13"/>
  <c r="ADC6" i="13"/>
  <c r="ADD6" i="13"/>
  <c r="ADE6" i="13"/>
  <c r="ADF6" i="13"/>
  <c r="ADG6" i="13"/>
  <c r="ADH6" i="13"/>
  <c r="ADI6" i="13"/>
  <c r="ADJ6" i="13"/>
  <c r="ADK6" i="13"/>
  <c r="ADL6" i="13"/>
  <c r="ADM6" i="13"/>
  <c r="ADN6" i="13"/>
  <c r="ADO6" i="13"/>
  <c r="ADP6" i="13"/>
  <c r="ADQ6" i="13"/>
  <c r="ADR6" i="13"/>
  <c r="ADS6" i="13"/>
  <c r="ADT6" i="13"/>
  <c r="ADU6" i="13"/>
  <c r="ADV6" i="13"/>
  <c r="ADW6" i="13"/>
  <c r="ADX6" i="13"/>
  <c r="ADY6" i="13"/>
  <c r="ADZ6" i="13"/>
  <c r="AEA6" i="13"/>
  <c r="AEB6" i="13"/>
  <c r="AEC6" i="13"/>
  <c r="AED6" i="13"/>
  <c r="AEE6" i="13"/>
  <c r="AEF6" i="13"/>
  <c r="AEG6" i="13"/>
  <c r="AEH6" i="13"/>
  <c r="AEI6" i="13"/>
  <c r="AEJ6" i="13"/>
  <c r="AEK6" i="13"/>
  <c r="AEL6" i="13"/>
  <c r="AEM6" i="13"/>
  <c r="AEN6" i="13"/>
  <c r="AEO6" i="13"/>
  <c r="AEP6" i="13"/>
  <c r="AEQ6" i="13"/>
  <c r="AER6" i="13"/>
  <c r="AES6" i="13"/>
  <c r="AET6" i="13"/>
  <c r="AEU6" i="13"/>
  <c r="AEV6" i="13"/>
  <c r="AEW6" i="13"/>
  <c r="AEX6" i="13"/>
  <c r="AEY6" i="13"/>
  <c r="AEZ6" i="13"/>
  <c r="AFA6" i="13"/>
  <c r="AFB6" i="13"/>
  <c r="AFC6" i="13"/>
  <c r="AFD6" i="13"/>
  <c r="AFE6" i="13"/>
  <c r="AFF6" i="13"/>
  <c r="AFG6" i="13"/>
  <c r="AFH6" i="13"/>
  <c r="AFI6" i="13"/>
  <c r="AFJ6" i="13"/>
  <c r="AFK6" i="13"/>
  <c r="AFL6" i="13"/>
  <c r="AFM6" i="13"/>
  <c r="AFN6" i="13"/>
  <c r="AFO6" i="13"/>
  <c r="AFP6" i="13"/>
  <c r="AFQ6" i="13"/>
  <c r="AFR6" i="13"/>
  <c r="AFS6" i="13"/>
  <c r="AFT6" i="13"/>
  <c r="AFU6" i="13"/>
  <c r="AFV6" i="13"/>
  <c r="AFW6" i="13"/>
  <c r="AFX6" i="13"/>
  <c r="AFY6" i="13"/>
  <c r="AFZ6" i="13"/>
  <c r="AGA6" i="13"/>
  <c r="AGB6" i="13"/>
  <c r="AGC6" i="13"/>
  <c r="AGD6" i="13"/>
  <c r="AGE6" i="13"/>
  <c r="AGF6" i="13"/>
  <c r="AGG6" i="13"/>
  <c r="AGH6" i="13"/>
  <c r="AGI6" i="13"/>
  <c r="AGJ6" i="13"/>
  <c r="AGK6" i="13"/>
  <c r="AGL6" i="13"/>
  <c r="AGM6" i="13"/>
  <c r="AGN6" i="13"/>
  <c r="AGO6" i="13"/>
  <c r="AGP6" i="13"/>
  <c r="AGQ6" i="13"/>
  <c r="AGR6" i="13"/>
  <c r="AGS6" i="13"/>
  <c r="AGT6" i="13"/>
  <c r="AGU6" i="13"/>
  <c r="AGV6" i="13"/>
  <c r="AGW6" i="13"/>
  <c r="AGX6" i="13"/>
  <c r="AGY6" i="13"/>
  <c r="AGZ6" i="13"/>
  <c r="AHA6" i="13"/>
  <c r="AHB6" i="13"/>
  <c r="AHC6" i="13"/>
  <c r="AHD6" i="13"/>
  <c r="AHE6" i="13"/>
  <c r="AHF6" i="13"/>
  <c r="AHG6" i="13"/>
  <c r="AHH6" i="13"/>
  <c r="AHI6" i="13"/>
  <c r="AHJ6" i="13"/>
  <c r="AHK6" i="13"/>
  <c r="AHL6" i="13"/>
  <c r="AHM6" i="13"/>
  <c r="AHN6" i="13"/>
  <c r="AHO6" i="13"/>
  <c r="AHP6" i="13"/>
  <c r="AHQ6" i="13"/>
  <c r="AHR6" i="13"/>
  <c r="AHS6" i="13"/>
  <c r="AHT6" i="13"/>
  <c r="AHU6" i="13"/>
  <c r="AHV6" i="13"/>
  <c r="AHW6" i="13"/>
  <c r="AHX6" i="13"/>
  <c r="AHY6" i="13"/>
  <c r="AHZ6" i="13"/>
  <c r="AIA6" i="13"/>
  <c r="AIB6" i="13"/>
  <c r="AIC6" i="13"/>
  <c r="AID6" i="13"/>
  <c r="AIE6" i="13"/>
  <c r="AIF6" i="13"/>
  <c r="AIG6" i="13"/>
  <c r="AIH6" i="13"/>
  <c r="AII6" i="13"/>
  <c r="AIJ6" i="13"/>
  <c r="AIK6" i="13"/>
  <c r="AIL6" i="13"/>
  <c r="AIM6" i="13"/>
  <c r="AIN6" i="13"/>
  <c r="AIO6" i="13"/>
  <c r="AIP6" i="13"/>
  <c r="AIQ6" i="13"/>
  <c r="AIR6" i="13"/>
  <c r="AIS6" i="13"/>
  <c r="AIT6" i="13"/>
  <c r="AIU6" i="13"/>
  <c r="AIV6" i="13"/>
  <c r="AIW6" i="13"/>
  <c r="AIX6" i="13"/>
  <c r="AIY6" i="13"/>
  <c r="AIZ6" i="13"/>
  <c r="AJA6" i="13"/>
  <c r="ACN7" i="13"/>
  <c r="ACS7" i="13"/>
  <c r="ACT7" i="13"/>
  <c r="ACV7" i="13"/>
  <c r="ADD7" i="13"/>
  <c r="AEB7" i="13"/>
  <c r="AER7" i="13"/>
  <c r="AEZ7" i="13"/>
  <c r="AFF7" i="13"/>
  <c r="AFP7" i="13"/>
  <c r="AGF7" i="13"/>
  <c r="AGN7" i="13"/>
  <c r="AHL7" i="13"/>
  <c r="AHR7" i="13"/>
  <c r="AIJ7" i="13"/>
  <c r="ACN8" i="13"/>
  <c r="ACN10" i="13" s="1"/>
  <c r="ADD8" i="13"/>
  <c r="ADD10" i="13" s="1"/>
  <c r="ADJ8" i="13"/>
  <c r="ADJ10" i="13" s="1"/>
  <c r="ADR8" i="13"/>
  <c r="ADR9" i="13" s="1"/>
  <c r="ADT8" i="13"/>
  <c r="ADT10" i="13" s="1"/>
  <c r="AEJ8" i="13"/>
  <c r="AEJ10" i="13" s="1"/>
  <c r="AER8" i="13"/>
  <c r="AER10" i="13" s="1"/>
  <c r="AFF8" i="13"/>
  <c r="AFF9" i="13" s="1"/>
  <c r="AFH8" i="13"/>
  <c r="AFH10" i="13" s="1"/>
  <c r="AFX8" i="13"/>
  <c r="AFX10" i="13" s="1"/>
  <c r="AGN8" i="13"/>
  <c r="AGN10" i="13" s="1"/>
  <c r="AHD8" i="13"/>
  <c r="AHD10" i="13" s="1"/>
  <c r="AHJ8" i="13"/>
  <c r="AHJ9" i="13" s="1"/>
  <c r="AHL8" i="13"/>
  <c r="AHL10" i="13" s="1"/>
  <c r="ACN11" i="13"/>
  <c r="ACN12" i="13" s="1"/>
  <c r="ACP11" i="13"/>
  <c r="ACP13" i="13" s="1"/>
  <c r="ACV11" i="13"/>
  <c r="ACV12" i="13" s="1"/>
  <c r="ADL11" i="13"/>
  <c r="ADL12" i="13" s="1"/>
  <c r="ADT11" i="13"/>
  <c r="ADT12" i="13" s="1"/>
  <c r="AEB11" i="13"/>
  <c r="AEB12" i="13" s="1"/>
  <c r="AED11" i="13"/>
  <c r="AED13" i="13" s="1"/>
  <c r="AEK11" i="13"/>
  <c r="AEK12" i="13" s="1"/>
  <c r="AEP11" i="13"/>
  <c r="AEP12" i="13" s="1"/>
  <c r="AEZ11" i="13"/>
  <c r="AEZ12" i="13" s="1"/>
  <c r="AFH11" i="13"/>
  <c r="AFH12" i="13" s="1"/>
  <c r="AFJ11" i="13"/>
  <c r="AFJ13" i="13" s="1"/>
  <c r="AFN11" i="13"/>
  <c r="AFN12" i="13" s="1"/>
  <c r="AFP11" i="13"/>
  <c r="AFP12" i="13" s="1"/>
  <c r="AGF11" i="13"/>
  <c r="AGF12" i="13" s="1"/>
  <c r="AGL11" i="13"/>
  <c r="AGL13" i="13" s="1"/>
  <c r="AGN11" i="13"/>
  <c r="AGN12" i="13" s="1"/>
  <c r="AHD11" i="13"/>
  <c r="AHD12" i="13" s="1"/>
  <c r="AHL11" i="13"/>
  <c r="AHL12" i="13" s="1"/>
  <c r="AID11" i="13"/>
  <c r="AID13" i="13" s="1"/>
  <c r="AIJ11" i="13"/>
  <c r="AIJ12" i="13" s="1"/>
  <c r="AIR11" i="13"/>
  <c r="AIR12" i="13" s="1"/>
  <c r="AIX11" i="13"/>
  <c r="AIX13" i="13" s="1"/>
  <c r="AIZ11" i="13"/>
  <c r="AIZ12" i="13" s="1"/>
  <c r="BA4" i="13"/>
  <c r="AIM7" i="13" l="1"/>
  <c r="AIM5" i="13"/>
  <c r="AGA7" i="13"/>
  <c r="AGA5" i="13"/>
  <c r="ADO7" i="13"/>
  <c r="ADO5" i="13"/>
  <c r="AIT8" i="13"/>
  <c r="AIT5" i="13"/>
  <c r="AIL8" i="13"/>
  <c r="AIL5" i="13"/>
  <c r="AID8" i="13"/>
  <c r="AID5" i="13"/>
  <c r="AHV8" i="13"/>
  <c r="AHV9" i="13" s="1"/>
  <c r="AHV5" i="13"/>
  <c r="AHN8" i="13"/>
  <c r="AHN5" i="13"/>
  <c r="AHF8" i="13"/>
  <c r="AHF5" i="13"/>
  <c r="AGX8" i="13"/>
  <c r="AGX5" i="13"/>
  <c r="AGP8" i="13"/>
  <c r="AGP9" i="13" s="1"/>
  <c r="AGP5" i="13"/>
  <c r="AGH8" i="13"/>
  <c r="AGH5" i="13"/>
  <c r="AFZ8" i="13"/>
  <c r="AFZ5" i="13"/>
  <c r="AFR8" i="13"/>
  <c r="AFR5" i="13"/>
  <c r="AFJ8" i="13"/>
  <c r="AFJ10" i="13" s="1"/>
  <c r="AFJ5" i="13"/>
  <c r="AFB8" i="13"/>
  <c r="AFB5" i="13"/>
  <c r="AET8" i="13"/>
  <c r="AET5" i="13"/>
  <c r="AEL8" i="13"/>
  <c r="AEL5" i="13"/>
  <c r="AED8" i="13"/>
  <c r="AED9" i="13" s="1"/>
  <c r="AED5" i="13"/>
  <c r="ADV8" i="13"/>
  <c r="ADV5" i="13"/>
  <c r="ADN8" i="13"/>
  <c r="ADN5" i="13"/>
  <c r="ADF8" i="13"/>
  <c r="ADF5" i="13"/>
  <c r="ACX8" i="13"/>
  <c r="ACX10" i="13" s="1"/>
  <c r="ACX5" i="13"/>
  <c r="ACP8" i="13"/>
  <c r="ACP5" i="13"/>
  <c r="AGY7" i="13"/>
  <c r="AGY5" i="13"/>
  <c r="AFS11" i="13"/>
  <c r="AFS5" i="13"/>
  <c r="ADW8" i="13"/>
  <c r="ADW10" i="13" s="1"/>
  <c r="ADW5" i="13"/>
  <c r="BA11" i="13"/>
  <c r="AJA7" i="13"/>
  <c r="AJA5" i="13"/>
  <c r="AIS8" i="13"/>
  <c r="AIS5" i="13"/>
  <c r="AIK7" i="13"/>
  <c r="AIK5" i="13"/>
  <c r="AIC11" i="13"/>
  <c r="AIC12" i="13" s="1"/>
  <c r="AIC5" i="13"/>
  <c r="AHU8" i="13"/>
  <c r="AHU9" i="13" s="1"/>
  <c r="AHU5" i="13"/>
  <c r="AHM7" i="13"/>
  <c r="AHM5" i="13"/>
  <c r="AHE7" i="13"/>
  <c r="AHE5" i="13"/>
  <c r="AGW8" i="13"/>
  <c r="AGW5" i="13"/>
  <c r="AGO7" i="13"/>
  <c r="AGO5" i="13"/>
  <c r="AGG8" i="13"/>
  <c r="AGG9" i="13" s="1"/>
  <c r="AGG5" i="13"/>
  <c r="AFY7" i="13"/>
  <c r="AFY5" i="13"/>
  <c r="AFQ11" i="13"/>
  <c r="AFQ12" i="13" s="1"/>
  <c r="AFQ5" i="13"/>
  <c r="AFI8" i="13"/>
  <c r="AFI9" i="13" s="1"/>
  <c r="AFI5" i="13"/>
  <c r="AFA7" i="13"/>
  <c r="AFA5" i="13"/>
  <c r="AES7" i="13"/>
  <c r="AES5" i="13"/>
  <c r="AEK8" i="13"/>
  <c r="AEK5" i="13"/>
  <c r="AEC7" i="13"/>
  <c r="AEC5" i="13"/>
  <c r="ADU8" i="13"/>
  <c r="ADU5" i="13"/>
  <c r="ADM7" i="13"/>
  <c r="ADM5" i="13"/>
  <c r="ADE11" i="13"/>
  <c r="ADE12" i="13" s="1"/>
  <c r="ADE5" i="13"/>
  <c r="ACW8" i="13"/>
  <c r="ACW9" i="13" s="1"/>
  <c r="ACW5" i="13"/>
  <c r="ACO7" i="13"/>
  <c r="ACO5" i="13"/>
  <c r="AHG8" i="13"/>
  <c r="AHG5" i="13"/>
  <c r="AFC11" i="13"/>
  <c r="AFC13" i="13" s="1"/>
  <c r="AFC5" i="13"/>
  <c r="ACY8" i="13"/>
  <c r="ACY10" i="13" s="1"/>
  <c r="ACY5" i="13"/>
  <c r="AIZ7" i="13"/>
  <c r="AIZ5" i="13"/>
  <c r="AIR7" i="13"/>
  <c r="AIR5" i="13"/>
  <c r="AIJ8" i="13"/>
  <c r="AIJ10" i="13" s="1"/>
  <c r="AIJ5" i="13"/>
  <c r="AIB8" i="13"/>
  <c r="AIB10" i="13" s="1"/>
  <c r="AIB5" i="13"/>
  <c r="AHT8" i="13"/>
  <c r="AHT10" i="13" s="1"/>
  <c r="AHT5" i="13"/>
  <c r="AHD7" i="13"/>
  <c r="AHD5" i="13"/>
  <c r="AGV7" i="13"/>
  <c r="AGV5" i="13"/>
  <c r="AGF8" i="13"/>
  <c r="AGF10" i="13" s="1"/>
  <c r="AGF5" i="13"/>
  <c r="AFX11" i="13"/>
  <c r="AFX12" i="13" s="1"/>
  <c r="AFX5" i="13"/>
  <c r="AFP8" i="13"/>
  <c r="AFP10" i="13" s="1"/>
  <c r="AFP5" i="13"/>
  <c r="AFH7" i="13"/>
  <c r="AFH5" i="13"/>
  <c r="AEZ8" i="13"/>
  <c r="AEZ10" i="13" s="1"/>
  <c r="AEZ5" i="13"/>
  <c r="AER11" i="13"/>
  <c r="AER12" i="13" s="1"/>
  <c r="AER5" i="13"/>
  <c r="AEJ11" i="13"/>
  <c r="AEJ12" i="13" s="1"/>
  <c r="AEJ5" i="13"/>
  <c r="AEB8" i="13"/>
  <c r="AEB10" i="13" s="1"/>
  <c r="AEB5" i="13"/>
  <c r="ADT7" i="13"/>
  <c r="ADT5" i="13"/>
  <c r="ADL7" i="13"/>
  <c r="ADL5" i="13"/>
  <c r="ADD11" i="13"/>
  <c r="ADD12" i="13" s="1"/>
  <c r="ADD5" i="13"/>
  <c r="ACV8" i="13"/>
  <c r="ACV10" i="13" s="1"/>
  <c r="ACV5" i="13"/>
  <c r="AHW8" i="13"/>
  <c r="AHW10" i="13" s="1"/>
  <c r="AHW5" i="13"/>
  <c r="AEU8" i="13"/>
  <c r="AEU5" i="13"/>
  <c r="ACQ7" i="13"/>
  <c r="ACQ5" i="13"/>
  <c r="AIY11" i="13"/>
  <c r="AIY13" i="13" s="1"/>
  <c r="AIY5" i="13"/>
  <c r="AIQ11" i="13"/>
  <c r="AIQ12" i="13" s="1"/>
  <c r="AIQ5" i="13"/>
  <c r="AII11" i="13"/>
  <c r="AII5" i="13"/>
  <c r="AIA11" i="13"/>
  <c r="AIA12" i="13" s="1"/>
  <c r="AIA5" i="13"/>
  <c r="AHS11" i="13"/>
  <c r="AHS12" i="13" s="1"/>
  <c r="AHS5" i="13"/>
  <c r="AHK11" i="13"/>
  <c r="AHK13" i="13" s="1"/>
  <c r="AHK5" i="13"/>
  <c r="AHC11" i="13"/>
  <c r="AHC12" i="13" s="1"/>
  <c r="AHC5" i="13"/>
  <c r="AGU11" i="13"/>
  <c r="AGU13" i="13" s="1"/>
  <c r="AGU5" i="13"/>
  <c r="AGM11" i="13"/>
  <c r="AGM12" i="13" s="1"/>
  <c r="AGM5" i="13"/>
  <c r="AGE11" i="13"/>
  <c r="AGE13" i="13" s="1"/>
  <c r="AGE5" i="13"/>
  <c r="AFW11" i="13"/>
  <c r="AFW5" i="13"/>
  <c r="AFO11" i="13"/>
  <c r="AFO12" i="13" s="1"/>
  <c r="AFO5" i="13"/>
  <c r="AFG11" i="13"/>
  <c r="AFG12" i="13" s="1"/>
  <c r="AFG5" i="13"/>
  <c r="AEY11" i="13"/>
  <c r="AEY13" i="13" s="1"/>
  <c r="AEY5" i="13"/>
  <c r="AEQ11" i="13"/>
  <c r="AEQ12" i="13" s="1"/>
  <c r="AEQ5" i="13"/>
  <c r="AEI11" i="13"/>
  <c r="AEI12" i="13" s="1"/>
  <c r="AEI5" i="13"/>
  <c r="AEA11" i="13"/>
  <c r="AEA13" i="13" s="1"/>
  <c r="AEA5" i="13"/>
  <c r="ADS11" i="13"/>
  <c r="ADS13" i="13" s="1"/>
  <c r="ADS5" i="13"/>
  <c r="ADK11" i="13"/>
  <c r="ADK13" i="13" s="1"/>
  <c r="ADK5" i="13"/>
  <c r="ADC11" i="13"/>
  <c r="ADC12" i="13" s="1"/>
  <c r="ADC5" i="13"/>
  <c r="ACU11" i="13"/>
  <c r="ACU12" i="13" s="1"/>
  <c r="ACU5" i="13"/>
  <c r="AIU8" i="13"/>
  <c r="AIU9" i="13" s="1"/>
  <c r="AIU5" i="13"/>
  <c r="AGI8" i="13"/>
  <c r="AGI5" i="13"/>
  <c r="AEE11" i="13"/>
  <c r="AEE5" i="13"/>
  <c r="AIX8" i="13"/>
  <c r="AIX10" i="13" s="1"/>
  <c r="AIX5" i="13"/>
  <c r="AIP11" i="13"/>
  <c r="AIP12" i="13" s="1"/>
  <c r="AIP5" i="13"/>
  <c r="AIH11" i="13"/>
  <c r="AIH13" i="13" s="1"/>
  <c r="AIH5" i="13"/>
  <c r="AHZ7" i="13"/>
  <c r="AHZ5" i="13"/>
  <c r="AHR8" i="13"/>
  <c r="AHR9" i="13" s="1"/>
  <c r="AHR5" i="13"/>
  <c r="AHJ7" i="13"/>
  <c r="AHJ5" i="13"/>
  <c r="AHB11" i="13"/>
  <c r="AHB12" i="13" s="1"/>
  <c r="AHB5" i="13"/>
  <c r="AGT7" i="13"/>
  <c r="AGT5" i="13"/>
  <c r="AGL7" i="13"/>
  <c r="AGL5" i="13"/>
  <c r="AGD7" i="13"/>
  <c r="AGD5" i="13"/>
  <c r="AFV8" i="13"/>
  <c r="AFV9" i="13" s="1"/>
  <c r="AFV5" i="13"/>
  <c r="AFN7" i="13"/>
  <c r="AFN5" i="13"/>
  <c r="AFF11" i="13"/>
  <c r="AFF12" i="13" s="1"/>
  <c r="AFF5" i="13"/>
  <c r="AEX7" i="13"/>
  <c r="AEX5" i="13"/>
  <c r="AEP8" i="13"/>
  <c r="AEP10" i="13" s="1"/>
  <c r="AEP5" i="13"/>
  <c r="AEH7" i="13"/>
  <c r="AEH5" i="13"/>
  <c r="ADZ11" i="13"/>
  <c r="ADZ12" i="13" s="1"/>
  <c r="ADZ5" i="13"/>
  <c r="ADR7" i="13"/>
  <c r="ADR5" i="13"/>
  <c r="ADJ7" i="13"/>
  <c r="ADJ5" i="13"/>
  <c r="ADB7" i="13"/>
  <c r="ADB5" i="13"/>
  <c r="ACT8" i="13"/>
  <c r="ACT9" i="13" s="1"/>
  <c r="ACT5" i="13"/>
  <c r="AIE11" i="13"/>
  <c r="AIE13" i="13" s="1"/>
  <c r="AIE5" i="13"/>
  <c r="AGQ11" i="13"/>
  <c r="AGQ5" i="13"/>
  <c r="AEM7" i="13"/>
  <c r="AEM5" i="13"/>
  <c r="AIW8" i="13"/>
  <c r="AIW9" i="13" s="1"/>
  <c r="AIW5" i="13"/>
  <c r="AIO11" i="13"/>
  <c r="AIO13" i="13" s="1"/>
  <c r="AIO5" i="13"/>
  <c r="AIG7" i="13"/>
  <c r="AIG5" i="13"/>
  <c r="AHY8" i="13"/>
  <c r="AHY5" i="13"/>
  <c r="AHQ11" i="13"/>
  <c r="AHQ12" i="13" s="1"/>
  <c r="AHQ5" i="13"/>
  <c r="AHI11" i="13"/>
  <c r="AHI12" i="13" s="1"/>
  <c r="AHI5" i="13"/>
  <c r="AHA8" i="13"/>
  <c r="AHA5" i="13"/>
  <c r="AGS11" i="13"/>
  <c r="AGS5" i="13"/>
  <c r="AGK7" i="13"/>
  <c r="AGK5" i="13"/>
  <c r="AGC7" i="13"/>
  <c r="AGC5" i="13"/>
  <c r="AFU11" i="13"/>
  <c r="AFU12" i="13" s="1"/>
  <c r="AFU5" i="13"/>
  <c r="AFM7" i="13"/>
  <c r="AFM5" i="13"/>
  <c r="AFE7" i="13"/>
  <c r="AFE5" i="13"/>
  <c r="AEW7" i="13"/>
  <c r="AEW5" i="13"/>
  <c r="AEO7" i="13"/>
  <c r="AEO5" i="13"/>
  <c r="AEG7" i="13"/>
  <c r="AEG5" i="13"/>
  <c r="ADY8" i="13"/>
  <c r="ADY5" i="13"/>
  <c r="ADQ11" i="13"/>
  <c r="ADQ12" i="13" s="1"/>
  <c r="ADQ5" i="13"/>
  <c r="ADI7" i="13"/>
  <c r="ADI5" i="13"/>
  <c r="ADA11" i="13"/>
  <c r="ADA13" i="13" s="1"/>
  <c r="ADA5" i="13"/>
  <c r="ACS11" i="13"/>
  <c r="ACS12" i="13" s="1"/>
  <c r="ACS5" i="13"/>
  <c r="AHO8" i="13"/>
  <c r="AHO10" i="13" s="1"/>
  <c r="AHO5" i="13"/>
  <c r="AFK8" i="13"/>
  <c r="AFK10" i="13" s="1"/>
  <c r="AFK5" i="13"/>
  <c r="ADG11" i="13"/>
  <c r="ADG5" i="13"/>
  <c r="AIV11" i="13"/>
  <c r="AIV13" i="13" s="1"/>
  <c r="AIV5" i="13"/>
  <c r="AIN11" i="13"/>
  <c r="AIN12" i="13" s="1"/>
  <c r="AIN5" i="13"/>
  <c r="AIF11" i="13"/>
  <c r="AIF5" i="13"/>
  <c r="AHX11" i="13"/>
  <c r="AHX5" i="13"/>
  <c r="AHP11" i="13"/>
  <c r="AHP13" i="13" s="1"/>
  <c r="AHP5" i="13"/>
  <c r="AHH11" i="13"/>
  <c r="AHH12" i="13" s="1"/>
  <c r="AHH5" i="13"/>
  <c r="AGZ11" i="13"/>
  <c r="AGZ5" i="13"/>
  <c r="AGR11" i="13"/>
  <c r="AGR5" i="13"/>
  <c r="AGJ11" i="13"/>
  <c r="AGJ13" i="13" s="1"/>
  <c r="AGJ5" i="13"/>
  <c r="AGB11" i="13"/>
  <c r="AGB12" i="13" s="1"/>
  <c r="AGB5" i="13"/>
  <c r="AFT11" i="13"/>
  <c r="AFT5" i="13"/>
  <c r="AFL11" i="13"/>
  <c r="AFL5" i="13"/>
  <c r="AFD11" i="13"/>
  <c r="AFD13" i="13" s="1"/>
  <c r="AFD5" i="13"/>
  <c r="AEV11" i="13"/>
  <c r="AEV12" i="13" s="1"/>
  <c r="AEV5" i="13"/>
  <c r="AEN11" i="13"/>
  <c r="AEN5" i="13"/>
  <c r="AEF11" i="13"/>
  <c r="AEF5" i="13"/>
  <c r="ADX11" i="13"/>
  <c r="ADX13" i="13" s="1"/>
  <c r="ADX5" i="13"/>
  <c r="ADP11" i="13"/>
  <c r="ADP12" i="13" s="1"/>
  <c r="ADP5" i="13"/>
  <c r="ADH11" i="13"/>
  <c r="ADH5" i="13"/>
  <c r="ACZ11" i="13"/>
  <c r="ACZ5" i="13"/>
  <c r="ACR11" i="13"/>
  <c r="ACR13" i="13" s="1"/>
  <c r="ACR5" i="13"/>
  <c r="AIZ8" i="13"/>
  <c r="AIZ9" i="13" s="1"/>
  <c r="AIB7" i="13"/>
  <c r="AHJ11" i="13"/>
  <c r="AHJ12" i="13" s="1"/>
  <c r="ADR11" i="13"/>
  <c r="ADR12" i="13" s="1"/>
  <c r="ACT11" i="13"/>
  <c r="AHB8" i="13"/>
  <c r="AHB10" i="13" s="1"/>
  <c r="AEX8" i="13"/>
  <c r="AEX9" i="13" s="1"/>
  <c r="ADB8" i="13"/>
  <c r="ADB9" i="13" s="1"/>
  <c r="AEP7" i="13"/>
  <c r="AGD11" i="13"/>
  <c r="AGD12" i="13" s="1"/>
  <c r="AEH11" i="13"/>
  <c r="AEH13" i="13" s="1"/>
  <c r="AGL8" i="13"/>
  <c r="AGL9" i="13" s="1"/>
  <c r="ADJ11" i="13"/>
  <c r="ADJ13" i="13" s="1"/>
  <c r="AGD8" i="13"/>
  <c r="AGD10" i="13" s="1"/>
  <c r="ADZ7" i="13"/>
  <c r="AHZ11" i="13"/>
  <c r="AHZ13" i="13" s="1"/>
  <c r="AGT11" i="13"/>
  <c r="AGT13" i="13" s="1"/>
  <c r="AFV11" i="13"/>
  <c r="AFV12" i="13" s="1"/>
  <c r="AIH8" i="13"/>
  <c r="AIH9" i="13" s="1"/>
  <c r="ADZ8" i="13"/>
  <c r="ADZ9" i="13" s="1"/>
  <c r="AFV7" i="13"/>
  <c r="AHR11" i="13"/>
  <c r="AHR13" i="13" s="1"/>
  <c r="AEX11" i="13"/>
  <c r="AEX12" i="13" s="1"/>
  <c r="ADB11" i="13"/>
  <c r="ADB12" i="13" s="1"/>
  <c r="AIH7" i="13"/>
  <c r="AIR8" i="13"/>
  <c r="AIR10" i="13" s="1"/>
  <c r="AHT7" i="13"/>
  <c r="AFX7" i="13"/>
  <c r="AEJ7" i="13"/>
  <c r="AIB11" i="13"/>
  <c r="AIB12" i="13" s="1"/>
  <c r="AGV8" i="13"/>
  <c r="AGV10" i="13" s="1"/>
  <c r="AGV11" i="13"/>
  <c r="AGV12" i="13" s="1"/>
  <c r="AHT11" i="13"/>
  <c r="AHT12" i="13" s="1"/>
  <c r="ADL8" i="13"/>
  <c r="ADL10" i="13" s="1"/>
  <c r="AGG11" i="13"/>
  <c r="AGG12" i="13" s="1"/>
  <c r="AEJ9" i="13"/>
  <c r="AIX7" i="13"/>
  <c r="AJA8" i="13"/>
  <c r="AJA9" i="13" s="1"/>
  <c r="AHB7" i="13"/>
  <c r="AIP8" i="13"/>
  <c r="AIP9" i="13" s="1"/>
  <c r="AHV11" i="13"/>
  <c r="AHV13" i="13" s="1"/>
  <c r="AIP7" i="13"/>
  <c r="AER9" i="13"/>
  <c r="AHZ8" i="13"/>
  <c r="AHZ10" i="13" s="1"/>
  <c r="AGT8" i="13"/>
  <c r="AGT9" i="13" s="1"/>
  <c r="AFN8" i="13"/>
  <c r="AFN9" i="13" s="1"/>
  <c r="AEH8" i="13"/>
  <c r="AEH10" i="13" s="1"/>
  <c r="ADD13" i="13"/>
  <c r="ADR10" i="13"/>
  <c r="AEM11" i="13"/>
  <c r="AEM13" i="13" s="1"/>
  <c r="AEC8" i="13"/>
  <c r="AEC10" i="13" s="1"/>
  <c r="AEK7" i="13"/>
  <c r="AHD13" i="13"/>
  <c r="AHL9" i="13"/>
  <c r="AIX12" i="13"/>
  <c r="AII12" i="13"/>
  <c r="AII13" i="13"/>
  <c r="AGU12" i="13"/>
  <c r="AEA12" i="13"/>
  <c r="AIY12" i="13"/>
  <c r="AFW12" i="13"/>
  <c r="AFW13" i="13"/>
  <c r="AHD9" i="13"/>
  <c r="ACV13" i="13"/>
  <c r="AFP13" i="13"/>
  <c r="AEW11" i="13"/>
  <c r="AEW13" i="13" s="1"/>
  <c r="AEW8" i="13"/>
  <c r="AEW10" i="13" s="1"/>
  <c r="AEZ13" i="13"/>
  <c r="AHA11" i="13"/>
  <c r="AHA13" i="13" s="1"/>
  <c r="AGL10" i="13"/>
  <c r="AGS7" i="13"/>
  <c r="AEP13" i="13"/>
  <c r="AHQ7" i="13"/>
  <c r="AHB13" i="13"/>
  <c r="AFN13" i="13"/>
  <c r="AGL12" i="13"/>
  <c r="AGK11" i="13"/>
  <c r="AGS8" i="13"/>
  <c r="AGS10" i="13" s="1"/>
  <c r="AIO7" i="13"/>
  <c r="AFK7" i="13"/>
  <c r="AIO8" i="13"/>
  <c r="AIO9" i="13" s="1"/>
  <c r="AHQ8" i="13"/>
  <c r="AHQ9" i="13" s="1"/>
  <c r="ACS8" i="13"/>
  <c r="ACS9" i="13" s="1"/>
  <c r="AGN13" i="13"/>
  <c r="AFM8" i="13"/>
  <c r="AFM10" i="13" s="1"/>
  <c r="AER13" i="13"/>
  <c r="AFV10" i="13"/>
  <c r="ACN9" i="13"/>
  <c r="AGK8" i="13"/>
  <c r="AGK10" i="13" s="1"/>
  <c r="AEO8" i="13"/>
  <c r="AEO9" i="13" s="1"/>
  <c r="AEQ13" i="13"/>
  <c r="AIE8" i="13"/>
  <c r="AIE9" i="13" s="1"/>
  <c r="ADG8" i="13"/>
  <c r="ADG9" i="13" s="1"/>
  <c r="AHA7" i="13"/>
  <c r="ADA7" i="13"/>
  <c r="ADY7" i="13"/>
  <c r="AIG11" i="13"/>
  <c r="AIG12" i="13" s="1"/>
  <c r="AIW7" i="13"/>
  <c r="AEH12" i="13"/>
  <c r="AFM11" i="13"/>
  <c r="AFM13" i="13" s="1"/>
  <c r="ADZ10" i="13"/>
  <c r="AHI13" i="13"/>
  <c r="AGS13" i="13"/>
  <c r="AGS12" i="13"/>
  <c r="AFH13" i="13"/>
  <c r="ADK12" i="13"/>
  <c r="AIW11" i="13"/>
  <c r="AHY11" i="13"/>
  <c r="AGY11" i="13"/>
  <c r="AGY13" i="13" s="1"/>
  <c r="AFE11" i="13"/>
  <c r="ADU11" i="13"/>
  <c r="ADU12" i="13" s="1"/>
  <c r="AHI8" i="13"/>
  <c r="AHI9" i="13" s="1"/>
  <c r="AGO8" i="13"/>
  <c r="AFE8" i="13"/>
  <c r="AFE10" i="13" s="1"/>
  <c r="ADA8" i="13"/>
  <c r="ADA10" i="13" s="1"/>
  <c r="AIS7" i="13"/>
  <c r="AHI7" i="13"/>
  <c r="ACY7" i="13"/>
  <c r="AEG11" i="13"/>
  <c r="ADI11" i="13"/>
  <c r="ADI12" i="13" s="1"/>
  <c r="AIH10" i="13"/>
  <c r="AHE8" i="13"/>
  <c r="AHE9" i="13" s="1"/>
  <c r="AFU8" i="13"/>
  <c r="AFU10" i="13" s="1"/>
  <c r="ADQ8" i="13"/>
  <c r="ADQ10" i="13" s="1"/>
  <c r="AHY7" i="13"/>
  <c r="AFU7" i="13"/>
  <c r="ADQ7" i="13"/>
  <c r="AHL13" i="13"/>
  <c r="AEI13" i="13"/>
  <c r="AGC11" i="13"/>
  <c r="AHJ13" i="13"/>
  <c r="AIS11" i="13"/>
  <c r="AIS12" i="13" s="1"/>
  <c r="AGW11" i="13"/>
  <c r="AGW12" i="13" s="1"/>
  <c r="AEO11" i="13"/>
  <c r="ADJ9" i="13"/>
  <c r="AFS8" i="13"/>
  <c r="AFS9" i="13" s="1"/>
  <c r="AEG8" i="13"/>
  <c r="AEG9" i="13" s="1"/>
  <c r="AHW7" i="13"/>
  <c r="AGG7" i="13"/>
  <c r="AHC13" i="13"/>
  <c r="ACN13" i="13"/>
  <c r="AES8" i="13"/>
  <c r="AES9" i="13" s="1"/>
  <c r="ADI8" i="13"/>
  <c r="ADI10" i="13" s="1"/>
  <c r="AGW7" i="13"/>
  <c r="ADY11" i="13"/>
  <c r="AIG8" i="13"/>
  <c r="AIG9" i="13" s="1"/>
  <c r="AGC8" i="13"/>
  <c r="AGC10" i="13" s="1"/>
  <c r="ADU7" i="13"/>
  <c r="AHG9" i="13"/>
  <c r="AHG10" i="13"/>
  <c r="AGQ13" i="13"/>
  <c r="AGQ12" i="13"/>
  <c r="AGI9" i="13"/>
  <c r="AGI10" i="13"/>
  <c r="AFS13" i="13"/>
  <c r="AFS12" i="13"/>
  <c r="AEU9" i="13"/>
  <c r="AEU10" i="13"/>
  <c r="AEE13" i="13"/>
  <c r="AEE12" i="13"/>
  <c r="ADG13" i="13"/>
  <c r="ADG12" i="13"/>
  <c r="BA12" i="13"/>
  <c r="BA13" i="13"/>
  <c r="AIS10" i="13"/>
  <c r="AIS9" i="13"/>
  <c r="AHU10" i="13"/>
  <c r="AEK9" i="13"/>
  <c r="AEK10" i="13"/>
  <c r="ADU10" i="13"/>
  <c r="ADU9" i="13"/>
  <c r="ACW10" i="13"/>
  <c r="AGW9" i="13"/>
  <c r="AGW10" i="13"/>
  <c r="BA8" i="13"/>
  <c r="AIA13" i="13"/>
  <c r="AFX13" i="13"/>
  <c r="ADC13" i="13"/>
  <c r="AJA11" i="13"/>
  <c r="AHG11" i="13"/>
  <c r="AHG13" i="13" s="1"/>
  <c r="AGO11" i="13"/>
  <c r="AEU11" i="13"/>
  <c r="AEU13" i="13" s="1"/>
  <c r="AEC11" i="13"/>
  <c r="AHJ10" i="13"/>
  <c r="AIC8" i="13"/>
  <c r="AGQ8" i="13"/>
  <c r="AFQ8" i="13"/>
  <c r="AEE8" i="13"/>
  <c r="ADE8" i="13"/>
  <c r="AIU7" i="13"/>
  <c r="AHU7" i="13"/>
  <c r="AGI7" i="13"/>
  <c r="AFI7" i="13"/>
  <c r="ADW7" i="13"/>
  <c r="ACW7" i="13"/>
  <c r="AHO11" i="13"/>
  <c r="AHO13" i="13" s="1"/>
  <c r="AFC8" i="13"/>
  <c r="AFC10" i="13" s="1"/>
  <c r="BA7" i="13"/>
  <c r="AHW11" i="13"/>
  <c r="AHE11" i="13"/>
  <c r="AHE12" i="13" s="1"/>
  <c r="AFK11" i="13"/>
  <c r="AFK13" i="13" s="1"/>
  <c r="AES11" i="13"/>
  <c r="AES12" i="13" s="1"/>
  <c r="ACY11" i="13"/>
  <c r="ACY13" i="13" s="1"/>
  <c r="AIM8" i="13"/>
  <c r="AHM8" i="13"/>
  <c r="AGA8" i="13"/>
  <c r="AFA8" i="13"/>
  <c r="ADO8" i="13"/>
  <c r="ADO10" i="13" s="1"/>
  <c r="ACO8" i="13"/>
  <c r="AIE7" i="13"/>
  <c r="AFS7" i="13"/>
  <c r="ADG7" i="13"/>
  <c r="ACQ11" i="13"/>
  <c r="ACQ13" i="13" s="1"/>
  <c r="AHM11" i="13"/>
  <c r="AFA11" i="13"/>
  <c r="ACO11" i="13"/>
  <c r="AEP9" i="13"/>
  <c r="AIK8" i="13"/>
  <c r="AGY8" i="13"/>
  <c r="AFY8" i="13"/>
  <c r="AEM8" i="13"/>
  <c r="ADM8" i="13"/>
  <c r="AIC7" i="13"/>
  <c r="AGQ7" i="13"/>
  <c r="AFQ7" i="13"/>
  <c r="AEE7" i="13"/>
  <c r="ADE7" i="13"/>
  <c r="ACQ8" i="13"/>
  <c r="ACQ10" i="13" s="1"/>
  <c r="AHG7" i="13"/>
  <c r="AEU7" i="13"/>
  <c r="AFO13" i="13"/>
  <c r="ADL13" i="13"/>
  <c r="AIM11" i="13"/>
  <c r="AHU11" i="13"/>
  <c r="AGA11" i="13"/>
  <c r="AGA13" i="13" s="1"/>
  <c r="AFI11" i="13"/>
  <c r="ADO11" i="13"/>
  <c r="ADO13" i="13" s="1"/>
  <c r="ACW11" i="13"/>
  <c r="AHO7" i="13"/>
  <c r="AFC7" i="13"/>
  <c r="AIJ13" i="13"/>
  <c r="AEB13" i="13"/>
  <c r="ADA12" i="13"/>
  <c r="AIU11" i="13"/>
  <c r="AGI11" i="13"/>
  <c r="AGI13" i="13" s="1"/>
  <c r="ADW11" i="13"/>
  <c r="AHT9" i="13"/>
  <c r="AFH9" i="13"/>
  <c r="AIZ13" i="13"/>
  <c r="AIH12" i="13"/>
  <c r="AIK11" i="13"/>
  <c r="AFY11" i="13"/>
  <c r="ADM11" i="13"/>
  <c r="AEK13" i="13"/>
  <c r="AIR13" i="13"/>
  <c r="AGF13" i="13"/>
  <c r="AFU13" i="13"/>
  <c r="ADT13" i="13"/>
  <c r="AGG10" i="13"/>
  <c r="AFF10" i="13"/>
  <c r="AEJ13" i="13"/>
  <c r="AIC13" i="13"/>
  <c r="AFQ13" i="13"/>
  <c r="ADE13" i="13"/>
  <c r="AFC12" i="13"/>
  <c r="AIP13" i="13"/>
  <c r="ADR13" i="13"/>
  <c r="AHR10" i="13"/>
  <c r="ADT9" i="13"/>
  <c r="AIV12" i="13"/>
  <c r="AIF12" i="13"/>
  <c r="AIF13" i="13"/>
  <c r="AHX12" i="13"/>
  <c r="AHX13" i="13"/>
  <c r="AHP12" i="13"/>
  <c r="AGZ12" i="13"/>
  <c r="AGZ13" i="13"/>
  <c r="AGR12" i="13"/>
  <c r="AGR13" i="13"/>
  <c r="AGJ12" i="13"/>
  <c r="AFT12" i="13"/>
  <c r="AFT13" i="13"/>
  <c r="AFL12" i="13"/>
  <c r="AFL13" i="13"/>
  <c r="AFD12" i="13"/>
  <c r="AEN12" i="13"/>
  <c r="AEN13" i="13"/>
  <c r="AEF12" i="13"/>
  <c r="AEF13" i="13"/>
  <c r="ADX12" i="13"/>
  <c r="ADH12" i="13"/>
  <c r="ADH13" i="13"/>
  <c r="ACZ12" i="13"/>
  <c r="ACZ13" i="13"/>
  <c r="ACR12" i="13"/>
  <c r="AIL10" i="13"/>
  <c r="AIL9" i="13"/>
  <c r="AGX10" i="13"/>
  <c r="AGX9" i="13"/>
  <c r="ADV10" i="13"/>
  <c r="ADV9" i="13"/>
  <c r="AIT12" i="13"/>
  <c r="AIL12" i="13"/>
  <c r="AID12" i="13"/>
  <c r="AHN12" i="13"/>
  <c r="AHF12" i="13"/>
  <c r="AGX12" i="13"/>
  <c r="AGP12" i="13"/>
  <c r="AGH12" i="13"/>
  <c r="AFZ12" i="13"/>
  <c r="AFR12" i="13"/>
  <c r="AFJ12" i="13"/>
  <c r="AFB12" i="13"/>
  <c r="AET12" i="13"/>
  <c r="AEL12" i="13"/>
  <c r="AED12" i="13"/>
  <c r="ADV12" i="13"/>
  <c r="ADN12" i="13"/>
  <c r="ADF12" i="13"/>
  <c r="ACX12" i="13"/>
  <c r="ACP12" i="13"/>
  <c r="AHV7" i="13"/>
  <c r="AGP7" i="13"/>
  <c r="AFJ7" i="13"/>
  <c r="AED7" i="13"/>
  <c r="ACX7" i="13"/>
  <c r="AGH10" i="13"/>
  <c r="AGH9" i="13"/>
  <c r="AET10" i="13"/>
  <c r="AET9" i="13"/>
  <c r="ADF10" i="13"/>
  <c r="ADF9" i="13"/>
  <c r="ADY10" i="13"/>
  <c r="ADY9" i="13"/>
  <c r="AIT10" i="13"/>
  <c r="AIT9" i="13"/>
  <c r="AHF10" i="13"/>
  <c r="AHF9" i="13"/>
  <c r="AFR10" i="13"/>
  <c r="AFR9" i="13"/>
  <c r="AFP9" i="13"/>
  <c r="ADD9" i="13"/>
  <c r="AID7" i="13"/>
  <c r="AGX7" i="13"/>
  <c r="AFR7" i="13"/>
  <c r="AEL7" i="13"/>
  <c r="ADF7" i="13"/>
  <c r="AIY8" i="13"/>
  <c r="AIY7" i="13"/>
  <c r="AIQ8" i="13"/>
  <c r="AIQ7" i="13"/>
  <c r="AII8" i="13"/>
  <c r="AII7" i="13"/>
  <c r="AIA8" i="13"/>
  <c r="AIA7" i="13"/>
  <c r="AHS8" i="13"/>
  <c r="AHS7" i="13"/>
  <c r="AHK8" i="13"/>
  <c r="AHK7" i="13"/>
  <c r="AHC8" i="13"/>
  <c r="AHC7" i="13"/>
  <c r="AGU8" i="13"/>
  <c r="AGU7" i="13"/>
  <c r="AGM8" i="13"/>
  <c r="AGM7" i="13"/>
  <c r="AGE8" i="13"/>
  <c r="AGE7" i="13"/>
  <c r="AFW8" i="13"/>
  <c r="AFW7" i="13"/>
  <c r="AFO8" i="13"/>
  <c r="AFO7" i="13"/>
  <c r="AFG8" i="13"/>
  <c r="AFG7" i="13"/>
  <c r="AEY8" i="13"/>
  <c r="AEY7" i="13"/>
  <c r="AEQ8" i="13"/>
  <c r="AEQ7" i="13"/>
  <c r="AEI8" i="13"/>
  <c r="AEI7" i="13"/>
  <c r="AEA8" i="13"/>
  <c r="AEA7" i="13"/>
  <c r="ADS8" i="13"/>
  <c r="ADS7" i="13"/>
  <c r="ADK8" i="13"/>
  <c r="ADK7" i="13"/>
  <c r="ADC8" i="13"/>
  <c r="ADC7" i="13"/>
  <c r="ACU8" i="13"/>
  <c r="ACU7" i="13"/>
  <c r="AID10" i="13"/>
  <c r="AID9" i="13"/>
  <c r="AFZ10" i="13"/>
  <c r="AFZ9" i="13"/>
  <c r="AEL10" i="13"/>
  <c r="AEL9" i="13"/>
  <c r="ACP10" i="13"/>
  <c r="ACP9" i="13"/>
  <c r="AHN10" i="13"/>
  <c r="AHN9" i="13"/>
  <c r="AFB10" i="13"/>
  <c r="AFB9" i="13"/>
  <c r="ADN10" i="13"/>
  <c r="ADN9" i="13"/>
  <c r="AFK9" i="13"/>
  <c r="AIL7" i="13"/>
  <c r="AHF7" i="13"/>
  <c r="AFZ7" i="13"/>
  <c r="AET7" i="13"/>
  <c r="ADN7" i="13"/>
  <c r="AHA10" i="13"/>
  <c r="AHA9" i="13"/>
  <c r="AIV8" i="13"/>
  <c r="AIV7" i="13"/>
  <c r="AIN8" i="13"/>
  <c r="AIN7" i="13"/>
  <c r="AIF8" i="13"/>
  <c r="AIF7" i="13"/>
  <c r="AHX8" i="13"/>
  <c r="AHX7" i="13"/>
  <c r="AHP8" i="13"/>
  <c r="AHP7" i="13"/>
  <c r="AHH8" i="13"/>
  <c r="AHH7" i="13"/>
  <c r="AGZ8" i="13"/>
  <c r="AGZ7" i="13"/>
  <c r="AGR8" i="13"/>
  <c r="AGR7" i="13"/>
  <c r="AGJ8" i="13"/>
  <c r="AGJ7" i="13"/>
  <c r="AGB8" i="13"/>
  <c r="AGB7" i="13"/>
  <c r="AFT8" i="13"/>
  <c r="AFT7" i="13"/>
  <c r="AFL8" i="13"/>
  <c r="AFL7" i="13"/>
  <c r="AFD8" i="13"/>
  <c r="AFD7" i="13"/>
  <c r="AEV8" i="13"/>
  <c r="AEV7" i="13"/>
  <c r="AEN8" i="13"/>
  <c r="AEN7" i="13"/>
  <c r="AEF8" i="13"/>
  <c r="AEF7" i="13"/>
  <c r="ADX8" i="13"/>
  <c r="ADX7" i="13"/>
  <c r="ADP8" i="13"/>
  <c r="ADP7" i="13"/>
  <c r="ADH8" i="13"/>
  <c r="ADH7" i="13"/>
  <c r="ACZ8" i="13"/>
  <c r="ACZ7" i="13"/>
  <c r="ACR8" i="13"/>
  <c r="ACR7" i="13"/>
  <c r="AIJ9" i="13"/>
  <c r="AGN9" i="13"/>
  <c r="AFX9" i="13"/>
  <c r="AEB9" i="13"/>
  <c r="AHY10" i="13"/>
  <c r="AHY9" i="13"/>
  <c r="AIT7" i="13"/>
  <c r="AHN7" i="13"/>
  <c r="AGH7" i="13"/>
  <c r="AFB7" i="13"/>
  <c r="ADV7" i="13"/>
  <c r="ACP7" i="13"/>
  <c r="C6" i="13"/>
  <c r="WR184" i="13"/>
  <c r="WS184" i="13"/>
  <c r="WT184" i="13"/>
  <c r="WU184" i="13"/>
  <c r="WV184" i="13"/>
  <c r="WW184" i="13"/>
  <c r="WX184" i="13"/>
  <c r="WY184" i="13"/>
  <c r="WZ184" i="13"/>
  <c r="XA184" i="13"/>
  <c r="XB184" i="13"/>
  <c r="XC184" i="13"/>
  <c r="XD184" i="13"/>
  <c r="XE184" i="13"/>
  <c r="XF184" i="13"/>
  <c r="XG184" i="13"/>
  <c r="XH184" i="13"/>
  <c r="XI184" i="13"/>
  <c r="XJ184" i="13"/>
  <c r="XK184" i="13"/>
  <c r="XL184" i="13"/>
  <c r="XM184" i="13"/>
  <c r="XN184" i="13"/>
  <c r="XO184" i="13"/>
  <c r="XP184" i="13"/>
  <c r="XQ184" i="13"/>
  <c r="XR184" i="13"/>
  <c r="XS184" i="13"/>
  <c r="XT184" i="13"/>
  <c r="XU184" i="13"/>
  <c r="XV184" i="13"/>
  <c r="XW184" i="13"/>
  <c r="XX184" i="13"/>
  <c r="XY184" i="13"/>
  <c r="XZ184" i="13"/>
  <c r="YA184" i="13"/>
  <c r="YB184" i="13"/>
  <c r="YC184" i="13"/>
  <c r="YD184" i="13"/>
  <c r="YE184" i="13"/>
  <c r="YF184" i="13"/>
  <c r="YG184" i="13"/>
  <c r="YH184" i="13"/>
  <c r="YI184" i="13"/>
  <c r="YJ184" i="13"/>
  <c r="YK184" i="13"/>
  <c r="YL184" i="13"/>
  <c r="YM184" i="13"/>
  <c r="YN184" i="13"/>
  <c r="YO184" i="13"/>
  <c r="YP184" i="13"/>
  <c r="YQ184" i="13"/>
  <c r="YR184" i="13"/>
  <c r="YS184" i="13"/>
  <c r="YT184" i="13"/>
  <c r="YU184" i="13"/>
  <c r="YV184" i="13"/>
  <c r="YW184" i="13"/>
  <c r="YX184" i="13"/>
  <c r="YY184" i="13"/>
  <c r="YZ184" i="13"/>
  <c r="ZA184" i="13"/>
  <c r="ZB184" i="13"/>
  <c r="ZC184" i="13"/>
  <c r="ZD184" i="13"/>
  <c r="ZE184" i="13"/>
  <c r="ZF184" i="13"/>
  <c r="ZG184" i="13"/>
  <c r="ZH184" i="13"/>
  <c r="ZI184" i="13"/>
  <c r="ZJ184" i="13"/>
  <c r="ZK184" i="13"/>
  <c r="ZL184" i="13"/>
  <c r="ZM184" i="13"/>
  <c r="ZN184" i="13"/>
  <c r="ZO184" i="13"/>
  <c r="ZP184" i="13"/>
  <c r="ZQ184" i="13"/>
  <c r="ZR184" i="13"/>
  <c r="ZS184" i="13"/>
  <c r="ZT184" i="13"/>
  <c r="ZU184" i="13"/>
  <c r="ZV184" i="13"/>
  <c r="ZW184" i="13"/>
  <c r="ZX184" i="13"/>
  <c r="ZY184" i="13"/>
  <c r="ZZ184" i="13"/>
  <c r="AAA184" i="13"/>
  <c r="AAB184" i="13"/>
  <c r="AAC184" i="13"/>
  <c r="AAD184" i="13"/>
  <c r="AAE184" i="13"/>
  <c r="AAF184" i="13"/>
  <c r="AAG184" i="13"/>
  <c r="AAH184" i="13"/>
  <c r="AAI184" i="13"/>
  <c r="AAJ184" i="13"/>
  <c r="AAK184" i="13"/>
  <c r="AAL184" i="13"/>
  <c r="AAM184" i="13"/>
  <c r="AAN184" i="13"/>
  <c r="AAO184" i="13"/>
  <c r="AAP184" i="13"/>
  <c r="AAQ184" i="13"/>
  <c r="AAR184" i="13"/>
  <c r="AAS184" i="13"/>
  <c r="AAT184" i="13"/>
  <c r="AAU184" i="13"/>
  <c r="AAV184" i="13"/>
  <c r="AAW184" i="13"/>
  <c r="AAX184" i="13"/>
  <c r="AAY184" i="13"/>
  <c r="AAZ184" i="13"/>
  <c r="ABA184" i="13"/>
  <c r="ABB184" i="13"/>
  <c r="ABC184" i="13"/>
  <c r="ABD184" i="13"/>
  <c r="ABE184" i="13"/>
  <c r="ABF184" i="13"/>
  <c r="ABG184" i="13"/>
  <c r="ABH184" i="13"/>
  <c r="ABI184" i="13"/>
  <c r="ABJ184" i="13"/>
  <c r="ABK184" i="13"/>
  <c r="ABL184" i="13"/>
  <c r="ABM184" i="13"/>
  <c r="ABN184" i="13"/>
  <c r="ABO184" i="13"/>
  <c r="ABP184" i="13"/>
  <c r="ABQ184" i="13"/>
  <c r="ABR184" i="13"/>
  <c r="ABS184" i="13"/>
  <c r="ABT184" i="13"/>
  <c r="ABU184" i="13"/>
  <c r="ABV184" i="13"/>
  <c r="ABW184" i="13"/>
  <c r="ABX184" i="13"/>
  <c r="ABY184" i="13"/>
  <c r="ABZ184" i="13"/>
  <c r="ACA184" i="13"/>
  <c r="ACB184" i="13"/>
  <c r="ACC184" i="13"/>
  <c r="ACD184" i="13"/>
  <c r="ACE184" i="13"/>
  <c r="ACF184" i="13"/>
  <c r="ACG184" i="13"/>
  <c r="ACH184" i="13"/>
  <c r="ACI184" i="13"/>
  <c r="ACJ184" i="13"/>
  <c r="ACK184" i="13"/>
  <c r="ACL184" i="13"/>
  <c r="ACM184" i="13"/>
  <c r="WR185" i="13"/>
  <c r="WS185" i="13"/>
  <c r="WT185" i="13"/>
  <c r="WU185" i="13"/>
  <c r="WV185" i="13"/>
  <c r="WW185" i="13"/>
  <c r="WX185" i="13"/>
  <c r="WY185" i="13"/>
  <c r="WZ185" i="13"/>
  <c r="XA185" i="13"/>
  <c r="XB185" i="13"/>
  <c r="XC185" i="13"/>
  <c r="XD185" i="13"/>
  <c r="XE185" i="13"/>
  <c r="XF185" i="13"/>
  <c r="XG185" i="13"/>
  <c r="XH185" i="13"/>
  <c r="XI185" i="13"/>
  <c r="XJ185" i="13"/>
  <c r="XK185" i="13"/>
  <c r="XL185" i="13"/>
  <c r="XM185" i="13"/>
  <c r="XN185" i="13"/>
  <c r="XO185" i="13"/>
  <c r="XP185" i="13"/>
  <c r="XQ185" i="13"/>
  <c r="XR185" i="13"/>
  <c r="XS185" i="13"/>
  <c r="XT185" i="13"/>
  <c r="XU185" i="13"/>
  <c r="XV185" i="13"/>
  <c r="XW185" i="13"/>
  <c r="XX185" i="13"/>
  <c r="XY185" i="13"/>
  <c r="XZ185" i="13"/>
  <c r="YA185" i="13"/>
  <c r="YB185" i="13"/>
  <c r="YC185" i="13"/>
  <c r="YD185" i="13"/>
  <c r="YE185" i="13"/>
  <c r="YF185" i="13"/>
  <c r="YG185" i="13"/>
  <c r="YH185" i="13"/>
  <c r="YI185" i="13"/>
  <c r="YJ185" i="13"/>
  <c r="YK185" i="13"/>
  <c r="YL185" i="13"/>
  <c r="YM185" i="13"/>
  <c r="YN185" i="13"/>
  <c r="YO185" i="13"/>
  <c r="YP185" i="13"/>
  <c r="YQ185" i="13"/>
  <c r="YR185" i="13"/>
  <c r="YS185" i="13"/>
  <c r="YT185" i="13"/>
  <c r="YU185" i="13"/>
  <c r="YV185" i="13"/>
  <c r="YW185" i="13"/>
  <c r="YX185" i="13"/>
  <c r="YY185" i="13"/>
  <c r="YZ185" i="13"/>
  <c r="ZA185" i="13"/>
  <c r="ZB185" i="13"/>
  <c r="ZC185" i="13"/>
  <c r="ZD185" i="13"/>
  <c r="ZE185" i="13"/>
  <c r="ZF185" i="13"/>
  <c r="ZG185" i="13"/>
  <c r="ZH185" i="13"/>
  <c r="ZI185" i="13"/>
  <c r="ZJ185" i="13"/>
  <c r="ZK185" i="13"/>
  <c r="ZL185" i="13"/>
  <c r="ZM185" i="13"/>
  <c r="ZN185" i="13"/>
  <c r="ZO185" i="13"/>
  <c r="ZP185" i="13"/>
  <c r="ZQ185" i="13"/>
  <c r="ZR185" i="13"/>
  <c r="ZS185" i="13"/>
  <c r="ZT185" i="13"/>
  <c r="ZU185" i="13"/>
  <c r="ZV185" i="13"/>
  <c r="ZW185" i="13"/>
  <c r="ZX185" i="13"/>
  <c r="ZY185" i="13"/>
  <c r="ZZ185" i="13"/>
  <c r="AAA185" i="13"/>
  <c r="AAB185" i="13"/>
  <c r="AAC185" i="13"/>
  <c r="AAD185" i="13"/>
  <c r="AAE185" i="13"/>
  <c r="AAF185" i="13"/>
  <c r="AAG185" i="13"/>
  <c r="AAH185" i="13"/>
  <c r="AAI185" i="13"/>
  <c r="AAJ185" i="13"/>
  <c r="AAK185" i="13"/>
  <c r="AAL185" i="13"/>
  <c r="AAM185" i="13"/>
  <c r="AAN185" i="13"/>
  <c r="AAO185" i="13"/>
  <c r="AAP185" i="13"/>
  <c r="AAQ185" i="13"/>
  <c r="AAR185" i="13"/>
  <c r="AAS185" i="13"/>
  <c r="AAT185" i="13"/>
  <c r="AAU185" i="13"/>
  <c r="AAV185" i="13"/>
  <c r="AAW185" i="13"/>
  <c r="AAX185" i="13"/>
  <c r="AAY185" i="13"/>
  <c r="AAZ185" i="13"/>
  <c r="ABA185" i="13"/>
  <c r="ABB185" i="13"/>
  <c r="ABC185" i="13"/>
  <c r="ABD185" i="13"/>
  <c r="ABE185" i="13"/>
  <c r="ABF185" i="13"/>
  <c r="ABG185" i="13"/>
  <c r="ABH185" i="13"/>
  <c r="ABI185" i="13"/>
  <c r="ABJ185" i="13"/>
  <c r="ABK185" i="13"/>
  <c r="ABL185" i="13"/>
  <c r="ABM185" i="13"/>
  <c r="ABN185" i="13"/>
  <c r="ABO185" i="13"/>
  <c r="ABP185" i="13"/>
  <c r="ABQ185" i="13"/>
  <c r="ABR185" i="13"/>
  <c r="ABS185" i="13"/>
  <c r="ABT185" i="13"/>
  <c r="ABU185" i="13"/>
  <c r="ABV185" i="13"/>
  <c r="ABW185" i="13"/>
  <c r="ABX185" i="13"/>
  <c r="ABY185" i="13"/>
  <c r="ABZ185" i="13"/>
  <c r="ACA185" i="13"/>
  <c r="ACB185" i="13"/>
  <c r="ACC185" i="13"/>
  <c r="ACD185" i="13"/>
  <c r="ACE185" i="13"/>
  <c r="ACF185" i="13"/>
  <c r="ACG185" i="13"/>
  <c r="ACH185" i="13"/>
  <c r="ACI185" i="13"/>
  <c r="ACJ185" i="13"/>
  <c r="ACK185" i="13"/>
  <c r="ACL185" i="13"/>
  <c r="ACM185" i="13"/>
  <c r="WR186" i="13"/>
  <c r="WS186" i="13"/>
  <c r="WT186" i="13"/>
  <c r="WU186" i="13"/>
  <c r="WV186" i="13"/>
  <c r="WW186" i="13"/>
  <c r="WX186" i="13"/>
  <c r="WY186" i="13"/>
  <c r="WZ186" i="13"/>
  <c r="XA186" i="13"/>
  <c r="XB186" i="13"/>
  <c r="XC186" i="13"/>
  <c r="XD186" i="13"/>
  <c r="XE186" i="13"/>
  <c r="XF186" i="13"/>
  <c r="XG186" i="13"/>
  <c r="XH186" i="13"/>
  <c r="XI186" i="13"/>
  <c r="XJ186" i="13"/>
  <c r="XK186" i="13"/>
  <c r="XL186" i="13"/>
  <c r="XM186" i="13"/>
  <c r="XN186" i="13"/>
  <c r="XO186" i="13"/>
  <c r="XP186" i="13"/>
  <c r="XQ186" i="13"/>
  <c r="XR186" i="13"/>
  <c r="XS186" i="13"/>
  <c r="XT186" i="13"/>
  <c r="XU186" i="13"/>
  <c r="XV186" i="13"/>
  <c r="XW186" i="13"/>
  <c r="XX186" i="13"/>
  <c r="XY186" i="13"/>
  <c r="XZ186" i="13"/>
  <c r="YA186" i="13"/>
  <c r="YB186" i="13"/>
  <c r="YC186" i="13"/>
  <c r="YD186" i="13"/>
  <c r="YE186" i="13"/>
  <c r="YF186" i="13"/>
  <c r="YG186" i="13"/>
  <c r="YH186" i="13"/>
  <c r="YI186" i="13"/>
  <c r="YJ186" i="13"/>
  <c r="YK186" i="13"/>
  <c r="YL186" i="13"/>
  <c r="YM186" i="13"/>
  <c r="YN186" i="13"/>
  <c r="YO186" i="13"/>
  <c r="YP186" i="13"/>
  <c r="YQ186" i="13"/>
  <c r="YR186" i="13"/>
  <c r="YS186" i="13"/>
  <c r="YT186" i="13"/>
  <c r="YU186" i="13"/>
  <c r="YV186" i="13"/>
  <c r="YW186" i="13"/>
  <c r="YX186" i="13"/>
  <c r="YY186" i="13"/>
  <c r="YZ186" i="13"/>
  <c r="ZA186" i="13"/>
  <c r="ZB186" i="13"/>
  <c r="ZC186" i="13"/>
  <c r="ZD186" i="13"/>
  <c r="ZE186" i="13"/>
  <c r="ZF186" i="13"/>
  <c r="ZG186" i="13"/>
  <c r="ZH186" i="13"/>
  <c r="ZI186" i="13"/>
  <c r="ZJ186" i="13"/>
  <c r="ZK186" i="13"/>
  <c r="ZL186" i="13"/>
  <c r="ZM186" i="13"/>
  <c r="ZN186" i="13"/>
  <c r="ZO186" i="13"/>
  <c r="ZP186" i="13"/>
  <c r="ZQ186" i="13"/>
  <c r="ZR186" i="13"/>
  <c r="ZS186" i="13"/>
  <c r="ZT186" i="13"/>
  <c r="ZU186" i="13"/>
  <c r="ZV186" i="13"/>
  <c r="ZW186" i="13"/>
  <c r="ZX186" i="13"/>
  <c r="ZY186" i="13"/>
  <c r="ZZ186" i="13"/>
  <c r="AAA186" i="13"/>
  <c r="AAB186" i="13"/>
  <c r="AAC186" i="13"/>
  <c r="AAD186" i="13"/>
  <c r="AAE186" i="13"/>
  <c r="AAF186" i="13"/>
  <c r="AAG186" i="13"/>
  <c r="AAH186" i="13"/>
  <c r="AAI186" i="13"/>
  <c r="AAJ186" i="13"/>
  <c r="AAK186" i="13"/>
  <c r="AAL186" i="13"/>
  <c r="AAM186" i="13"/>
  <c r="AAN186" i="13"/>
  <c r="AAO186" i="13"/>
  <c r="AAP186" i="13"/>
  <c r="AAQ186" i="13"/>
  <c r="AAR186" i="13"/>
  <c r="AAS186" i="13"/>
  <c r="AAT186" i="13"/>
  <c r="AAU186" i="13"/>
  <c r="AAV186" i="13"/>
  <c r="AAW186" i="13"/>
  <c r="AAX186" i="13"/>
  <c r="AAY186" i="13"/>
  <c r="AAZ186" i="13"/>
  <c r="ABA186" i="13"/>
  <c r="ABB186" i="13"/>
  <c r="ABC186" i="13"/>
  <c r="ABD186" i="13"/>
  <c r="ABE186" i="13"/>
  <c r="ABF186" i="13"/>
  <c r="ABG186" i="13"/>
  <c r="ABH186" i="13"/>
  <c r="ABI186" i="13"/>
  <c r="ABJ186" i="13"/>
  <c r="ABK186" i="13"/>
  <c r="ABL186" i="13"/>
  <c r="ABM186" i="13"/>
  <c r="ABN186" i="13"/>
  <c r="ABO186" i="13"/>
  <c r="ABQ186" i="13"/>
  <c r="ABS186" i="13"/>
  <c r="ABT186" i="13"/>
  <c r="ABU186" i="13"/>
  <c r="ABV186" i="13"/>
  <c r="ABX186" i="13"/>
  <c r="ABZ186" i="13"/>
  <c r="ACA186" i="13"/>
  <c r="ACB186" i="13"/>
  <c r="ACC186" i="13"/>
  <c r="ACE186" i="13"/>
  <c r="ACG186" i="13"/>
  <c r="ACH186" i="13"/>
  <c r="ACI186" i="13"/>
  <c r="ACJ186" i="13"/>
  <c r="ACL186" i="13"/>
  <c r="ACM191" i="13"/>
  <c r="YO192" i="13"/>
  <c r="AAN192" i="13"/>
  <c r="ACM193" i="13"/>
  <c r="WR194" i="13"/>
  <c r="WS194" i="13"/>
  <c r="WT194" i="13"/>
  <c r="WU194" i="13"/>
  <c r="WV194" i="13"/>
  <c r="WW194" i="13"/>
  <c r="WX194" i="13"/>
  <c r="WY194" i="13"/>
  <c r="WZ194" i="13"/>
  <c r="XA194" i="13"/>
  <c r="XB194" i="13"/>
  <c r="XC194" i="13"/>
  <c r="XD194" i="13"/>
  <c r="XE194" i="13"/>
  <c r="XF194" i="13"/>
  <c r="XG194" i="13"/>
  <c r="XH194" i="13"/>
  <c r="XI194" i="13"/>
  <c r="XJ194" i="13"/>
  <c r="XK194" i="13"/>
  <c r="XL194" i="13"/>
  <c r="XM194" i="13"/>
  <c r="XN194" i="13"/>
  <c r="XO194" i="13"/>
  <c r="XP194" i="13"/>
  <c r="XQ194" i="13"/>
  <c r="XR194" i="13"/>
  <c r="XS194" i="13"/>
  <c r="XT194" i="13"/>
  <c r="XU194" i="13"/>
  <c r="XV194" i="13"/>
  <c r="XW194" i="13"/>
  <c r="XX194" i="13"/>
  <c r="XY194" i="13"/>
  <c r="XZ194" i="13"/>
  <c r="YA194" i="13"/>
  <c r="YB194" i="13"/>
  <c r="YC194" i="13"/>
  <c r="YD194" i="13"/>
  <c r="YE194" i="13"/>
  <c r="YF194" i="13"/>
  <c r="YG194" i="13"/>
  <c r="YH194" i="13"/>
  <c r="YI194" i="13"/>
  <c r="YJ194" i="13"/>
  <c r="YK194" i="13"/>
  <c r="YL194" i="13"/>
  <c r="YM194" i="13"/>
  <c r="YN194" i="13"/>
  <c r="YO194" i="13"/>
  <c r="YP194" i="13"/>
  <c r="YQ194" i="13"/>
  <c r="YR194" i="13"/>
  <c r="YS194" i="13"/>
  <c r="YT194" i="13"/>
  <c r="YU194" i="13"/>
  <c r="YV194" i="13"/>
  <c r="YW194" i="13"/>
  <c r="YX194" i="13"/>
  <c r="YY194" i="13"/>
  <c r="YZ194" i="13"/>
  <c r="ZA194" i="13"/>
  <c r="ZB194" i="13"/>
  <c r="ZC194" i="13"/>
  <c r="ZD194" i="13"/>
  <c r="ZE194" i="13"/>
  <c r="ZF194" i="13"/>
  <c r="ZG194" i="13"/>
  <c r="ZH194" i="13"/>
  <c r="ZI194" i="13"/>
  <c r="ZJ194" i="13"/>
  <c r="ZK194" i="13"/>
  <c r="ZL194" i="13"/>
  <c r="ZM194" i="13"/>
  <c r="ZN194" i="13"/>
  <c r="ZO194" i="13"/>
  <c r="ZP194" i="13"/>
  <c r="ZQ194" i="13"/>
  <c r="ZR194" i="13"/>
  <c r="ZS194" i="13"/>
  <c r="ZT194" i="13"/>
  <c r="ZU194" i="13"/>
  <c r="ZV194" i="13"/>
  <c r="ZW194" i="13"/>
  <c r="ZX194" i="13"/>
  <c r="ZY194" i="13"/>
  <c r="ZZ194" i="13"/>
  <c r="AAA194" i="13"/>
  <c r="AAB194" i="13"/>
  <c r="AAC194" i="13"/>
  <c r="AAD194" i="13"/>
  <c r="AAE194" i="13"/>
  <c r="AAF194" i="13"/>
  <c r="AAG194" i="13"/>
  <c r="AAH194" i="13"/>
  <c r="AAI194" i="13"/>
  <c r="AAJ194" i="13"/>
  <c r="AAK194" i="13"/>
  <c r="AAL194" i="13"/>
  <c r="AAM194" i="13"/>
  <c r="AAN194" i="13"/>
  <c r="AAO194" i="13"/>
  <c r="AAP194" i="13"/>
  <c r="AAQ194" i="13"/>
  <c r="AAR194" i="13"/>
  <c r="AAS194" i="13"/>
  <c r="AAT194" i="13"/>
  <c r="AAU194" i="13"/>
  <c r="AAV194" i="13"/>
  <c r="AAW194" i="13"/>
  <c r="AAX194" i="13"/>
  <c r="AAY194" i="13"/>
  <c r="AAZ194" i="13"/>
  <c r="ABA194" i="13"/>
  <c r="ABB194" i="13"/>
  <c r="ABC194" i="13"/>
  <c r="ABD194" i="13"/>
  <c r="ABE194" i="13"/>
  <c r="ABF194" i="13"/>
  <c r="ABG194" i="13"/>
  <c r="ABH194" i="13"/>
  <c r="ABI194" i="13"/>
  <c r="ABJ194" i="13"/>
  <c r="ABK194" i="13"/>
  <c r="ABL194" i="13"/>
  <c r="ABM194" i="13"/>
  <c r="ABN194" i="13"/>
  <c r="ABO194" i="13"/>
  <c r="ABP194" i="13"/>
  <c r="ABQ194" i="13"/>
  <c r="ABR194" i="13"/>
  <c r="ABS194" i="13"/>
  <c r="ABT194" i="13"/>
  <c r="ABU194" i="13"/>
  <c r="ABV194" i="13"/>
  <c r="ABW194" i="13"/>
  <c r="ABX194" i="13"/>
  <c r="ABY194" i="13"/>
  <c r="ABZ194" i="13"/>
  <c r="ACA194" i="13"/>
  <c r="ACB194" i="13"/>
  <c r="ACC194" i="13"/>
  <c r="ACD194" i="13"/>
  <c r="ACE194" i="13"/>
  <c r="ACF194" i="13"/>
  <c r="ACG194" i="13"/>
  <c r="ACH194" i="13"/>
  <c r="ACI194" i="13"/>
  <c r="ACJ194" i="13"/>
  <c r="ACK194" i="13"/>
  <c r="ACL194" i="13"/>
  <c r="ACM194" i="13"/>
  <c r="WQ184" i="13"/>
  <c r="WQ185" i="13"/>
  <c r="WQ186" i="13"/>
  <c r="WQ187" i="13"/>
  <c r="WQ189" i="13"/>
  <c r="WQ191" i="13"/>
  <c r="WQ193" i="13"/>
  <c r="WQ194" i="13"/>
  <c r="WQ183" i="13"/>
  <c r="AAJ171" i="13"/>
  <c r="AAK171" i="13"/>
  <c r="AAL171" i="13"/>
  <c r="AAM171" i="13"/>
  <c r="AAN171" i="13"/>
  <c r="AAJ172" i="13"/>
  <c r="AAK172" i="13"/>
  <c r="AAL172" i="13"/>
  <c r="AAM172" i="13"/>
  <c r="AAN172" i="13"/>
  <c r="AAJ173" i="13"/>
  <c r="AAK173" i="13"/>
  <c r="AAM173" i="13"/>
  <c r="AAN178" i="13"/>
  <c r="AAN180" i="13"/>
  <c r="AAJ181" i="13"/>
  <c r="AAK181" i="13"/>
  <c r="AAL181" i="13"/>
  <c r="AAM181" i="13"/>
  <c r="AAN181" i="13"/>
  <c r="US171" i="13"/>
  <c r="UT171" i="13"/>
  <c r="UU171" i="13"/>
  <c r="UV171" i="13"/>
  <c r="UW171" i="13"/>
  <c r="UX171" i="13"/>
  <c r="UY171" i="13"/>
  <c r="UZ171" i="13"/>
  <c r="VA171" i="13"/>
  <c r="VB171" i="13"/>
  <c r="VC171" i="13"/>
  <c r="VD171" i="13"/>
  <c r="VE171" i="13"/>
  <c r="VF171" i="13"/>
  <c r="VG171" i="13"/>
  <c r="VH171" i="13"/>
  <c r="VI171" i="13"/>
  <c r="VJ171" i="13"/>
  <c r="VK171" i="13"/>
  <c r="VL171" i="13"/>
  <c r="VM171" i="13"/>
  <c r="VN171" i="13"/>
  <c r="VO171" i="13"/>
  <c r="VP171" i="13"/>
  <c r="VQ171" i="13"/>
  <c r="VR171" i="13"/>
  <c r="VS171" i="13"/>
  <c r="VT171" i="13"/>
  <c r="VU171" i="13"/>
  <c r="VV171" i="13"/>
  <c r="VW171" i="13"/>
  <c r="VX171" i="13"/>
  <c r="VY171" i="13"/>
  <c r="VZ171" i="13"/>
  <c r="WA171" i="13"/>
  <c r="WB171" i="13"/>
  <c r="WC171" i="13"/>
  <c r="WD171" i="13"/>
  <c r="WE171" i="13"/>
  <c r="WF171" i="13"/>
  <c r="WG171" i="13"/>
  <c r="WH171" i="13"/>
  <c r="WI171" i="13"/>
  <c r="WJ171" i="13"/>
  <c r="WK171" i="13"/>
  <c r="WL171" i="13"/>
  <c r="WM171" i="13"/>
  <c r="WN171" i="13"/>
  <c r="WO171" i="13"/>
  <c r="WP171" i="13"/>
  <c r="WQ171" i="13"/>
  <c r="WR171" i="13"/>
  <c r="WS171" i="13"/>
  <c r="WT171" i="13"/>
  <c r="WU171" i="13"/>
  <c r="WV171" i="13"/>
  <c r="WW171" i="13"/>
  <c r="WX171" i="13"/>
  <c r="WY171" i="13"/>
  <c r="WZ171" i="13"/>
  <c r="XA171" i="13"/>
  <c r="XB171" i="13"/>
  <c r="XC171" i="13"/>
  <c r="XD171" i="13"/>
  <c r="XE171" i="13"/>
  <c r="XF171" i="13"/>
  <c r="XG171" i="13"/>
  <c r="XH171" i="13"/>
  <c r="XI171" i="13"/>
  <c r="XJ171" i="13"/>
  <c r="XK171" i="13"/>
  <c r="XL171" i="13"/>
  <c r="XM171" i="13"/>
  <c r="XN171" i="13"/>
  <c r="XO171" i="13"/>
  <c r="XP171" i="13"/>
  <c r="XQ171" i="13"/>
  <c r="XR171" i="13"/>
  <c r="XS171" i="13"/>
  <c r="XT171" i="13"/>
  <c r="XU171" i="13"/>
  <c r="XV171" i="13"/>
  <c r="XW171" i="13"/>
  <c r="XX171" i="13"/>
  <c r="XY171" i="13"/>
  <c r="XZ171" i="13"/>
  <c r="YA171" i="13"/>
  <c r="YB171" i="13"/>
  <c r="YC171" i="13"/>
  <c r="YD171" i="13"/>
  <c r="YE171" i="13"/>
  <c r="YF171" i="13"/>
  <c r="YG171" i="13"/>
  <c r="YH171" i="13"/>
  <c r="YI171" i="13"/>
  <c r="YJ171" i="13"/>
  <c r="YK171" i="13"/>
  <c r="YL171" i="13"/>
  <c r="YM171" i="13"/>
  <c r="YN171" i="13"/>
  <c r="YO171" i="13"/>
  <c r="YP171" i="13"/>
  <c r="YQ171" i="13"/>
  <c r="YR171" i="13"/>
  <c r="YS171" i="13"/>
  <c r="YT171" i="13"/>
  <c r="YU171" i="13"/>
  <c r="YV171" i="13"/>
  <c r="YW171" i="13"/>
  <c r="YX171" i="13"/>
  <c r="YY171" i="13"/>
  <c r="YZ171" i="13"/>
  <c r="ZA171" i="13"/>
  <c r="ZB171" i="13"/>
  <c r="ZC171" i="13"/>
  <c r="ZD171" i="13"/>
  <c r="ZE171" i="13"/>
  <c r="ZF171" i="13"/>
  <c r="ZG171" i="13"/>
  <c r="ZH171" i="13"/>
  <c r="ZI171" i="13"/>
  <c r="ZJ171" i="13"/>
  <c r="ZK171" i="13"/>
  <c r="ZL171" i="13"/>
  <c r="ZM171" i="13"/>
  <c r="ZN171" i="13"/>
  <c r="ZO171" i="13"/>
  <c r="ZP171" i="13"/>
  <c r="ZQ171" i="13"/>
  <c r="ZR171" i="13"/>
  <c r="ZS171" i="13"/>
  <c r="ZT171" i="13"/>
  <c r="ZU171" i="13"/>
  <c r="ZV171" i="13"/>
  <c r="ZW171" i="13"/>
  <c r="ZX171" i="13"/>
  <c r="ZY171" i="13"/>
  <c r="ZZ171" i="13"/>
  <c r="AAA171" i="13"/>
  <c r="AAB171" i="13"/>
  <c r="AAC171" i="13"/>
  <c r="AAD171" i="13"/>
  <c r="AAE171" i="13"/>
  <c r="AAF171" i="13"/>
  <c r="AAG171" i="13"/>
  <c r="AAH171" i="13"/>
  <c r="AAI171" i="13"/>
  <c r="US172" i="13"/>
  <c r="UT172" i="13"/>
  <c r="UU172" i="13"/>
  <c r="UV172" i="13"/>
  <c r="UW172" i="13"/>
  <c r="UX172" i="13"/>
  <c r="UY172" i="13"/>
  <c r="UZ172" i="13"/>
  <c r="VA172" i="13"/>
  <c r="VB172" i="13"/>
  <c r="VC172" i="13"/>
  <c r="VD172" i="13"/>
  <c r="VE172" i="13"/>
  <c r="VF172" i="13"/>
  <c r="VG172" i="13"/>
  <c r="VH172" i="13"/>
  <c r="VI172" i="13"/>
  <c r="VJ172" i="13"/>
  <c r="VK172" i="13"/>
  <c r="VL172" i="13"/>
  <c r="VM172" i="13"/>
  <c r="VN172" i="13"/>
  <c r="VO172" i="13"/>
  <c r="VP172" i="13"/>
  <c r="VQ172" i="13"/>
  <c r="VR172" i="13"/>
  <c r="VS172" i="13"/>
  <c r="VT172" i="13"/>
  <c r="VU172" i="13"/>
  <c r="VV172" i="13"/>
  <c r="VW172" i="13"/>
  <c r="VX172" i="13"/>
  <c r="VY172" i="13"/>
  <c r="VZ172" i="13"/>
  <c r="WA172" i="13"/>
  <c r="WB172" i="13"/>
  <c r="WC172" i="13"/>
  <c r="WD172" i="13"/>
  <c r="WE172" i="13"/>
  <c r="WF172" i="13"/>
  <c r="WG172" i="13"/>
  <c r="WH172" i="13"/>
  <c r="WI172" i="13"/>
  <c r="WJ172" i="13"/>
  <c r="WK172" i="13"/>
  <c r="WL172" i="13"/>
  <c r="WM172" i="13"/>
  <c r="WN172" i="13"/>
  <c r="WO172" i="13"/>
  <c r="WP172" i="13"/>
  <c r="WQ172" i="13"/>
  <c r="WR172" i="13"/>
  <c r="WS172" i="13"/>
  <c r="WT172" i="13"/>
  <c r="WU172" i="13"/>
  <c r="WV172" i="13"/>
  <c r="WW172" i="13"/>
  <c r="WX172" i="13"/>
  <c r="WY172" i="13"/>
  <c r="WZ172" i="13"/>
  <c r="XA172" i="13"/>
  <c r="XB172" i="13"/>
  <c r="XC172" i="13"/>
  <c r="XD172" i="13"/>
  <c r="XE172" i="13"/>
  <c r="XF172" i="13"/>
  <c r="XG172" i="13"/>
  <c r="XH172" i="13"/>
  <c r="XI172" i="13"/>
  <c r="XJ172" i="13"/>
  <c r="XK172" i="13"/>
  <c r="XL172" i="13"/>
  <c r="XM172" i="13"/>
  <c r="XN172" i="13"/>
  <c r="XO172" i="13"/>
  <c r="XP172" i="13"/>
  <c r="XQ172" i="13"/>
  <c r="XR172" i="13"/>
  <c r="XS172" i="13"/>
  <c r="XT172" i="13"/>
  <c r="XU172" i="13"/>
  <c r="XV172" i="13"/>
  <c r="XW172" i="13"/>
  <c r="XX172" i="13"/>
  <c r="XY172" i="13"/>
  <c r="XZ172" i="13"/>
  <c r="YA172" i="13"/>
  <c r="YB172" i="13"/>
  <c r="YC172" i="13"/>
  <c r="YD172" i="13"/>
  <c r="YE172" i="13"/>
  <c r="YF172" i="13"/>
  <c r="YG172" i="13"/>
  <c r="YH172" i="13"/>
  <c r="YI172" i="13"/>
  <c r="YJ172" i="13"/>
  <c r="YK172" i="13"/>
  <c r="YL172" i="13"/>
  <c r="YM172" i="13"/>
  <c r="YN172" i="13"/>
  <c r="YO172" i="13"/>
  <c r="YP172" i="13"/>
  <c r="YQ172" i="13"/>
  <c r="YR172" i="13"/>
  <c r="YS172" i="13"/>
  <c r="YT172" i="13"/>
  <c r="YU172" i="13"/>
  <c r="YV172" i="13"/>
  <c r="YW172" i="13"/>
  <c r="YX172" i="13"/>
  <c r="YY172" i="13"/>
  <c r="YZ172" i="13"/>
  <c r="ZA172" i="13"/>
  <c r="ZB172" i="13"/>
  <c r="ZC172" i="13"/>
  <c r="ZD172" i="13"/>
  <c r="ZE172" i="13"/>
  <c r="ZF172" i="13"/>
  <c r="ZG172" i="13"/>
  <c r="ZH172" i="13"/>
  <c r="ZI172" i="13"/>
  <c r="ZJ172" i="13"/>
  <c r="ZK172" i="13"/>
  <c r="ZL172" i="13"/>
  <c r="ZM172" i="13"/>
  <c r="ZN172" i="13"/>
  <c r="ZO172" i="13"/>
  <c r="ZP172" i="13"/>
  <c r="ZQ172" i="13"/>
  <c r="ZR172" i="13"/>
  <c r="ZS172" i="13"/>
  <c r="ZT172" i="13"/>
  <c r="ZU172" i="13"/>
  <c r="ZV172" i="13"/>
  <c r="ZW172" i="13"/>
  <c r="ZX172" i="13"/>
  <c r="ZY172" i="13"/>
  <c r="ZZ172" i="13"/>
  <c r="AAA172" i="13"/>
  <c r="AAB172" i="13"/>
  <c r="AAC172" i="13"/>
  <c r="AAD172" i="13"/>
  <c r="AAE172" i="13"/>
  <c r="AAF172" i="13"/>
  <c r="AAG172" i="13"/>
  <c r="AAH172" i="13"/>
  <c r="AAI172" i="13"/>
  <c r="US173" i="13"/>
  <c r="UT173" i="13"/>
  <c r="UU173" i="13"/>
  <c r="UV173" i="13"/>
  <c r="UW173" i="13"/>
  <c r="UX173" i="13"/>
  <c r="UY173" i="13"/>
  <c r="UZ173" i="13"/>
  <c r="VA173" i="13"/>
  <c r="VB173" i="13"/>
  <c r="VC173" i="13"/>
  <c r="VD173" i="13"/>
  <c r="VE173" i="13"/>
  <c r="VF173" i="13"/>
  <c r="VG173" i="13"/>
  <c r="VH173" i="13"/>
  <c r="VI173" i="13"/>
  <c r="VJ173" i="13"/>
  <c r="VK173" i="13"/>
  <c r="VL173" i="13"/>
  <c r="VM173" i="13"/>
  <c r="VN173" i="13"/>
  <c r="VO173" i="13"/>
  <c r="VP173" i="13"/>
  <c r="VQ173" i="13"/>
  <c r="VR173" i="13"/>
  <c r="VS173" i="13"/>
  <c r="VT173" i="13"/>
  <c r="VU173" i="13"/>
  <c r="VV173" i="13"/>
  <c r="VW173" i="13"/>
  <c r="VX173" i="13"/>
  <c r="VY173" i="13"/>
  <c r="VZ173" i="13"/>
  <c r="WA173" i="13"/>
  <c r="WB173" i="13"/>
  <c r="WC173" i="13"/>
  <c r="WD173" i="13"/>
  <c r="WE173" i="13"/>
  <c r="WF173" i="13"/>
  <c r="WG173" i="13"/>
  <c r="WH173" i="13"/>
  <c r="WI173" i="13"/>
  <c r="WJ173" i="13"/>
  <c r="WK173" i="13"/>
  <c r="WL173" i="13"/>
  <c r="WM173" i="13"/>
  <c r="WN173" i="13"/>
  <c r="WO173" i="13"/>
  <c r="WP173" i="13"/>
  <c r="WQ173" i="13"/>
  <c r="WR173" i="13"/>
  <c r="WS173" i="13"/>
  <c r="WT173" i="13"/>
  <c r="WU173" i="13"/>
  <c r="WV173" i="13"/>
  <c r="WW173" i="13"/>
  <c r="WX173" i="13"/>
  <c r="WY173" i="13"/>
  <c r="WZ173" i="13"/>
  <c r="XA173" i="13"/>
  <c r="XB173" i="13"/>
  <c r="XC173" i="13"/>
  <c r="XD173" i="13"/>
  <c r="XE173" i="13"/>
  <c r="XF173" i="13"/>
  <c r="XG173" i="13"/>
  <c r="XH173" i="13"/>
  <c r="XI173" i="13"/>
  <c r="XJ173" i="13"/>
  <c r="XK173" i="13"/>
  <c r="XL173" i="13"/>
  <c r="XM173" i="13"/>
  <c r="XN173" i="13"/>
  <c r="XO173" i="13"/>
  <c r="XP173" i="13"/>
  <c r="XQ173" i="13"/>
  <c r="XR173" i="13"/>
  <c r="XS173" i="13"/>
  <c r="XT173" i="13"/>
  <c r="XU173" i="13"/>
  <c r="XV173" i="13"/>
  <c r="XW173" i="13"/>
  <c r="XX173" i="13"/>
  <c r="XY173" i="13"/>
  <c r="XZ173" i="13"/>
  <c r="YA173" i="13"/>
  <c r="YB173" i="13"/>
  <c r="YC173" i="13"/>
  <c r="YD173" i="13"/>
  <c r="YE173" i="13"/>
  <c r="YF173" i="13"/>
  <c r="YG173" i="13"/>
  <c r="YH173" i="13"/>
  <c r="YI173" i="13"/>
  <c r="YJ173" i="13"/>
  <c r="YK173" i="13"/>
  <c r="YL173" i="13"/>
  <c r="YM173" i="13"/>
  <c r="YN173" i="13"/>
  <c r="YO173" i="13"/>
  <c r="YP173" i="13"/>
  <c r="YQ173" i="13"/>
  <c r="YR173" i="13"/>
  <c r="YS173" i="13"/>
  <c r="YT173" i="13"/>
  <c r="YU173" i="13"/>
  <c r="YV173" i="13"/>
  <c r="YW173" i="13"/>
  <c r="YX173" i="13"/>
  <c r="YY173" i="13"/>
  <c r="YZ173" i="13"/>
  <c r="ZA173" i="13"/>
  <c r="ZB173" i="13"/>
  <c r="ZC173" i="13"/>
  <c r="ZD173" i="13"/>
  <c r="ZE173" i="13"/>
  <c r="ZF173" i="13"/>
  <c r="ZG173" i="13"/>
  <c r="ZH173" i="13"/>
  <c r="ZI173" i="13"/>
  <c r="ZJ173" i="13"/>
  <c r="ZK173" i="13"/>
  <c r="ZL173" i="13"/>
  <c r="ZM173" i="13"/>
  <c r="ZN173" i="13"/>
  <c r="ZO173" i="13"/>
  <c r="ZP173" i="13"/>
  <c r="ZR173" i="13"/>
  <c r="ZT173" i="13"/>
  <c r="ZU173" i="13"/>
  <c r="ZV173" i="13"/>
  <c r="ZW173" i="13"/>
  <c r="ZY173" i="13"/>
  <c r="AAA173" i="13"/>
  <c r="AAB173" i="13"/>
  <c r="AAC173" i="13"/>
  <c r="AAD173" i="13"/>
  <c r="AAF173" i="13"/>
  <c r="AAH173" i="13"/>
  <c r="AAI173" i="13"/>
  <c r="WP179" i="13"/>
  <c r="YO179" i="13"/>
  <c r="US181" i="13"/>
  <c r="UT181" i="13"/>
  <c r="UU181" i="13"/>
  <c r="UV181" i="13"/>
  <c r="UW181" i="13"/>
  <c r="UX181" i="13"/>
  <c r="UY181" i="13"/>
  <c r="UZ181" i="13"/>
  <c r="VA181" i="13"/>
  <c r="VB181" i="13"/>
  <c r="VC181" i="13"/>
  <c r="VD181" i="13"/>
  <c r="VE181" i="13"/>
  <c r="VF181" i="13"/>
  <c r="VG181" i="13"/>
  <c r="VH181" i="13"/>
  <c r="VI181" i="13"/>
  <c r="VJ181" i="13"/>
  <c r="VK181" i="13"/>
  <c r="VL181" i="13"/>
  <c r="VM181" i="13"/>
  <c r="VN181" i="13"/>
  <c r="VO181" i="13"/>
  <c r="VP181" i="13"/>
  <c r="VQ181" i="13"/>
  <c r="VR181" i="13"/>
  <c r="VS181" i="13"/>
  <c r="VT181" i="13"/>
  <c r="VU181" i="13"/>
  <c r="VV181" i="13"/>
  <c r="VW181" i="13"/>
  <c r="VX181" i="13"/>
  <c r="VY181" i="13"/>
  <c r="VZ181" i="13"/>
  <c r="WA181" i="13"/>
  <c r="WB181" i="13"/>
  <c r="WC181" i="13"/>
  <c r="WD181" i="13"/>
  <c r="WE181" i="13"/>
  <c r="WF181" i="13"/>
  <c r="WG181" i="13"/>
  <c r="WH181" i="13"/>
  <c r="WI181" i="13"/>
  <c r="WJ181" i="13"/>
  <c r="WK181" i="13"/>
  <c r="WL181" i="13"/>
  <c r="WM181" i="13"/>
  <c r="WN181" i="13"/>
  <c r="WO181" i="13"/>
  <c r="WP181" i="13"/>
  <c r="WQ181" i="13"/>
  <c r="WR181" i="13"/>
  <c r="WS181" i="13"/>
  <c r="WT181" i="13"/>
  <c r="WU181" i="13"/>
  <c r="WV181" i="13"/>
  <c r="WW181" i="13"/>
  <c r="WX181" i="13"/>
  <c r="WY181" i="13"/>
  <c r="WZ181" i="13"/>
  <c r="XA181" i="13"/>
  <c r="XB181" i="13"/>
  <c r="XC181" i="13"/>
  <c r="XD181" i="13"/>
  <c r="XE181" i="13"/>
  <c r="XF181" i="13"/>
  <c r="XG181" i="13"/>
  <c r="XH181" i="13"/>
  <c r="XI181" i="13"/>
  <c r="XJ181" i="13"/>
  <c r="XK181" i="13"/>
  <c r="XL181" i="13"/>
  <c r="XM181" i="13"/>
  <c r="XN181" i="13"/>
  <c r="XO181" i="13"/>
  <c r="XP181" i="13"/>
  <c r="XQ181" i="13"/>
  <c r="XR181" i="13"/>
  <c r="XS181" i="13"/>
  <c r="XT181" i="13"/>
  <c r="XU181" i="13"/>
  <c r="XV181" i="13"/>
  <c r="XW181" i="13"/>
  <c r="XX181" i="13"/>
  <c r="XY181" i="13"/>
  <c r="XZ181" i="13"/>
  <c r="YA181" i="13"/>
  <c r="YB181" i="13"/>
  <c r="YC181" i="13"/>
  <c r="YD181" i="13"/>
  <c r="YE181" i="13"/>
  <c r="YF181" i="13"/>
  <c r="YG181" i="13"/>
  <c r="YH181" i="13"/>
  <c r="YI181" i="13"/>
  <c r="YJ181" i="13"/>
  <c r="YK181" i="13"/>
  <c r="YL181" i="13"/>
  <c r="YM181" i="13"/>
  <c r="YN181" i="13"/>
  <c r="YO181" i="13"/>
  <c r="YP181" i="13"/>
  <c r="YQ181" i="13"/>
  <c r="YR181" i="13"/>
  <c r="YS181" i="13"/>
  <c r="YT181" i="13"/>
  <c r="YU181" i="13"/>
  <c r="YV181" i="13"/>
  <c r="YW181" i="13"/>
  <c r="YX181" i="13"/>
  <c r="YY181" i="13"/>
  <c r="YZ181" i="13"/>
  <c r="ZA181" i="13"/>
  <c r="ZB181" i="13"/>
  <c r="ZC181" i="13"/>
  <c r="ZD181" i="13"/>
  <c r="ZE181" i="13"/>
  <c r="ZF181" i="13"/>
  <c r="ZG181" i="13"/>
  <c r="ZH181" i="13"/>
  <c r="ZI181" i="13"/>
  <c r="ZJ181" i="13"/>
  <c r="ZK181" i="13"/>
  <c r="ZL181" i="13"/>
  <c r="ZM181" i="13"/>
  <c r="ZN181" i="13"/>
  <c r="ZO181" i="13"/>
  <c r="ZP181" i="13"/>
  <c r="ZQ181" i="13"/>
  <c r="ZR181" i="13"/>
  <c r="ZS181" i="13"/>
  <c r="ZT181" i="13"/>
  <c r="ZU181" i="13"/>
  <c r="ZV181" i="13"/>
  <c r="ZW181" i="13"/>
  <c r="ZX181" i="13"/>
  <c r="ZY181" i="13"/>
  <c r="ZZ181" i="13"/>
  <c r="AAA181" i="13"/>
  <c r="AAB181" i="13"/>
  <c r="AAC181" i="13"/>
  <c r="AAD181" i="13"/>
  <c r="AAE181" i="13"/>
  <c r="AAF181" i="13"/>
  <c r="AAG181" i="13"/>
  <c r="AAH181" i="13"/>
  <c r="AAI181" i="13"/>
  <c r="UR171" i="13"/>
  <c r="UR172" i="13"/>
  <c r="UR173" i="13"/>
  <c r="UR174" i="13"/>
  <c r="UR176" i="13"/>
  <c r="UR178" i="13"/>
  <c r="UR180" i="13"/>
  <c r="UR181" i="13"/>
  <c r="UR170" i="13"/>
  <c r="YM158" i="13"/>
  <c r="YN158" i="13"/>
  <c r="YO158" i="13"/>
  <c r="YM159" i="13"/>
  <c r="YN159" i="13"/>
  <c r="YO159" i="13"/>
  <c r="YN160" i="13"/>
  <c r="YO165" i="13"/>
  <c r="YO167" i="13"/>
  <c r="YM168" i="13"/>
  <c r="YN168" i="13"/>
  <c r="YO168" i="13"/>
  <c r="XZ158" i="13"/>
  <c r="YA158" i="13"/>
  <c r="YB158" i="13"/>
  <c r="YC158" i="13"/>
  <c r="YD158" i="13"/>
  <c r="YE158" i="13"/>
  <c r="YF158" i="13"/>
  <c r="YG158" i="13"/>
  <c r="YH158" i="13"/>
  <c r="YI158" i="13"/>
  <c r="YJ158" i="13"/>
  <c r="YK158" i="13"/>
  <c r="YL158" i="13"/>
  <c r="XZ159" i="13"/>
  <c r="YA159" i="13"/>
  <c r="YB159" i="13"/>
  <c r="YC159" i="13"/>
  <c r="YD159" i="13"/>
  <c r="YE159" i="13"/>
  <c r="YF159" i="13"/>
  <c r="YG159" i="13"/>
  <c r="YH159" i="13"/>
  <c r="YI159" i="13"/>
  <c r="YJ159" i="13"/>
  <c r="YK159" i="13"/>
  <c r="YL159" i="13"/>
  <c r="XZ160" i="13"/>
  <c r="YB160" i="13"/>
  <c r="YC160" i="13"/>
  <c r="YD160" i="13"/>
  <c r="YE160" i="13"/>
  <c r="YG160" i="13"/>
  <c r="YI160" i="13"/>
  <c r="YJ160" i="13"/>
  <c r="YK160" i="13"/>
  <c r="YL160" i="13"/>
  <c r="XZ168" i="13"/>
  <c r="YA168" i="13"/>
  <c r="YB168" i="13"/>
  <c r="YC168" i="13"/>
  <c r="YD168" i="13"/>
  <c r="YE168" i="13"/>
  <c r="YF168" i="13"/>
  <c r="YG168" i="13"/>
  <c r="YH168" i="13"/>
  <c r="YI168" i="13"/>
  <c r="YJ168" i="13"/>
  <c r="YK168" i="13"/>
  <c r="YL168" i="13"/>
  <c r="ST158" i="13"/>
  <c r="SU158" i="13"/>
  <c r="SV158" i="13"/>
  <c r="SW158" i="13"/>
  <c r="SX158" i="13"/>
  <c r="SY158" i="13"/>
  <c r="SZ158" i="13"/>
  <c r="TA158" i="13"/>
  <c r="TB158" i="13"/>
  <c r="TC158" i="13"/>
  <c r="TD158" i="13"/>
  <c r="TE158" i="13"/>
  <c r="TF158" i="13"/>
  <c r="TG158" i="13"/>
  <c r="TH158" i="13"/>
  <c r="TI158" i="13"/>
  <c r="TJ158" i="13"/>
  <c r="TK158" i="13"/>
  <c r="TL158" i="13"/>
  <c r="TM158" i="13"/>
  <c r="TN158" i="13"/>
  <c r="TO158" i="13"/>
  <c r="TP158" i="13"/>
  <c r="TQ158" i="13"/>
  <c r="TR158" i="13"/>
  <c r="TS158" i="13"/>
  <c r="TT158" i="13"/>
  <c r="TU158" i="13"/>
  <c r="TV158" i="13"/>
  <c r="TW158" i="13"/>
  <c r="TX158" i="13"/>
  <c r="TY158" i="13"/>
  <c r="TZ158" i="13"/>
  <c r="UA158" i="13"/>
  <c r="UB158" i="13"/>
  <c r="UC158" i="13"/>
  <c r="UD158" i="13"/>
  <c r="UE158" i="13"/>
  <c r="UF158" i="13"/>
  <c r="UG158" i="13"/>
  <c r="UH158" i="13"/>
  <c r="UI158" i="13"/>
  <c r="UJ158" i="13"/>
  <c r="UK158" i="13"/>
  <c r="UL158" i="13"/>
  <c r="UM158" i="13"/>
  <c r="UN158" i="13"/>
  <c r="UO158" i="13"/>
  <c r="UP158" i="13"/>
  <c r="UQ158" i="13"/>
  <c r="UR158" i="13"/>
  <c r="US158" i="13"/>
  <c r="UT158" i="13"/>
  <c r="UU158" i="13"/>
  <c r="UV158" i="13"/>
  <c r="UW158" i="13"/>
  <c r="UX158" i="13"/>
  <c r="UY158" i="13"/>
  <c r="UZ158" i="13"/>
  <c r="VA158" i="13"/>
  <c r="VB158" i="13"/>
  <c r="VC158" i="13"/>
  <c r="VD158" i="13"/>
  <c r="VE158" i="13"/>
  <c r="VF158" i="13"/>
  <c r="VG158" i="13"/>
  <c r="VH158" i="13"/>
  <c r="VI158" i="13"/>
  <c r="VJ158" i="13"/>
  <c r="VK158" i="13"/>
  <c r="VL158" i="13"/>
  <c r="VM158" i="13"/>
  <c r="VN158" i="13"/>
  <c r="VO158" i="13"/>
  <c r="VP158" i="13"/>
  <c r="VQ158" i="13"/>
  <c r="VR158" i="13"/>
  <c r="VS158" i="13"/>
  <c r="VT158" i="13"/>
  <c r="VU158" i="13"/>
  <c r="VV158" i="13"/>
  <c r="VW158" i="13"/>
  <c r="VX158" i="13"/>
  <c r="VY158" i="13"/>
  <c r="VZ158" i="13"/>
  <c r="WA158" i="13"/>
  <c r="WB158" i="13"/>
  <c r="WC158" i="13"/>
  <c r="WD158" i="13"/>
  <c r="WE158" i="13"/>
  <c r="WF158" i="13"/>
  <c r="WG158" i="13"/>
  <c r="WH158" i="13"/>
  <c r="WI158" i="13"/>
  <c r="WJ158" i="13"/>
  <c r="WK158" i="13"/>
  <c r="WL158" i="13"/>
  <c r="WM158" i="13"/>
  <c r="WN158" i="13"/>
  <c r="WO158" i="13"/>
  <c r="WP158" i="13"/>
  <c r="WQ158" i="13"/>
  <c r="WR158" i="13"/>
  <c r="WS158" i="13"/>
  <c r="WT158" i="13"/>
  <c r="WU158" i="13"/>
  <c r="WV158" i="13"/>
  <c r="WW158" i="13"/>
  <c r="WX158" i="13"/>
  <c r="WY158" i="13"/>
  <c r="WZ158" i="13"/>
  <c r="XA158" i="13"/>
  <c r="XB158" i="13"/>
  <c r="XC158" i="13"/>
  <c r="XD158" i="13"/>
  <c r="XE158" i="13"/>
  <c r="XF158" i="13"/>
  <c r="XG158" i="13"/>
  <c r="XH158" i="13"/>
  <c r="XI158" i="13"/>
  <c r="XJ158" i="13"/>
  <c r="XK158" i="13"/>
  <c r="XL158" i="13"/>
  <c r="XM158" i="13"/>
  <c r="XN158" i="13"/>
  <c r="XO158" i="13"/>
  <c r="XP158" i="13"/>
  <c r="XQ158" i="13"/>
  <c r="XR158" i="13"/>
  <c r="XS158" i="13"/>
  <c r="XT158" i="13"/>
  <c r="XU158" i="13"/>
  <c r="XV158" i="13"/>
  <c r="XW158" i="13"/>
  <c r="XX158" i="13"/>
  <c r="XY158" i="13"/>
  <c r="ST159" i="13"/>
  <c r="SU159" i="13"/>
  <c r="SV159" i="13"/>
  <c r="SW159" i="13"/>
  <c r="SX159" i="13"/>
  <c r="SY159" i="13"/>
  <c r="SZ159" i="13"/>
  <c r="TA159" i="13"/>
  <c r="TB159" i="13"/>
  <c r="TC159" i="13"/>
  <c r="TD159" i="13"/>
  <c r="TE159" i="13"/>
  <c r="TF159" i="13"/>
  <c r="TG159" i="13"/>
  <c r="TH159" i="13"/>
  <c r="TI159" i="13"/>
  <c r="TJ159" i="13"/>
  <c r="TK159" i="13"/>
  <c r="TL159" i="13"/>
  <c r="TM159" i="13"/>
  <c r="TN159" i="13"/>
  <c r="TO159" i="13"/>
  <c r="TP159" i="13"/>
  <c r="TQ159" i="13"/>
  <c r="TR159" i="13"/>
  <c r="TS159" i="13"/>
  <c r="TT159" i="13"/>
  <c r="TU159" i="13"/>
  <c r="TV159" i="13"/>
  <c r="TW159" i="13"/>
  <c r="TX159" i="13"/>
  <c r="TY159" i="13"/>
  <c r="TZ159" i="13"/>
  <c r="UA159" i="13"/>
  <c r="UB159" i="13"/>
  <c r="UC159" i="13"/>
  <c r="UD159" i="13"/>
  <c r="UE159" i="13"/>
  <c r="UF159" i="13"/>
  <c r="UG159" i="13"/>
  <c r="UH159" i="13"/>
  <c r="UI159" i="13"/>
  <c r="UJ159" i="13"/>
  <c r="UK159" i="13"/>
  <c r="UL159" i="13"/>
  <c r="UM159" i="13"/>
  <c r="UN159" i="13"/>
  <c r="UO159" i="13"/>
  <c r="UP159" i="13"/>
  <c r="UQ159" i="13"/>
  <c r="UR159" i="13"/>
  <c r="US159" i="13"/>
  <c r="UT159" i="13"/>
  <c r="UU159" i="13"/>
  <c r="UV159" i="13"/>
  <c r="UW159" i="13"/>
  <c r="UX159" i="13"/>
  <c r="UY159" i="13"/>
  <c r="UZ159" i="13"/>
  <c r="VA159" i="13"/>
  <c r="VB159" i="13"/>
  <c r="VC159" i="13"/>
  <c r="VD159" i="13"/>
  <c r="VE159" i="13"/>
  <c r="VF159" i="13"/>
  <c r="VG159" i="13"/>
  <c r="VH159" i="13"/>
  <c r="VI159" i="13"/>
  <c r="VJ159" i="13"/>
  <c r="VK159" i="13"/>
  <c r="VL159" i="13"/>
  <c r="VM159" i="13"/>
  <c r="VN159" i="13"/>
  <c r="VO159" i="13"/>
  <c r="VP159" i="13"/>
  <c r="VQ159" i="13"/>
  <c r="VR159" i="13"/>
  <c r="VS159" i="13"/>
  <c r="VT159" i="13"/>
  <c r="VU159" i="13"/>
  <c r="VV159" i="13"/>
  <c r="VW159" i="13"/>
  <c r="VX159" i="13"/>
  <c r="VY159" i="13"/>
  <c r="VZ159" i="13"/>
  <c r="WA159" i="13"/>
  <c r="WB159" i="13"/>
  <c r="WC159" i="13"/>
  <c r="WD159" i="13"/>
  <c r="WE159" i="13"/>
  <c r="WF159" i="13"/>
  <c r="WG159" i="13"/>
  <c r="WH159" i="13"/>
  <c r="WI159" i="13"/>
  <c r="WJ159" i="13"/>
  <c r="WK159" i="13"/>
  <c r="WL159" i="13"/>
  <c r="WM159" i="13"/>
  <c r="WN159" i="13"/>
  <c r="WO159" i="13"/>
  <c r="WP159" i="13"/>
  <c r="WQ159" i="13"/>
  <c r="WR159" i="13"/>
  <c r="WS159" i="13"/>
  <c r="WT159" i="13"/>
  <c r="WU159" i="13"/>
  <c r="WV159" i="13"/>
  <c r="WW159" i="13"/>
  <c r="WX159" i="13"/>
  <c r="WY159" i="13"/>
  <c r="WZ159" i="13"/>
  <c r="XA159" i="13"/>
  <c r="XB159" i="13"/>
  <c r="XC159" i="13"/>
  <c r="XD159" i="13"/>
  <c r="XE159" i="13"/>
  <c r="XF159" i="13"/>
  <c r="XG159" i="13"/>
  <c r="XH159" i="13"/>
  <c r="XI159" i="13"/>
  <c r="XJ159" i="13"/>
  <c r="XK159" i="13"/>
  <c r="XL159" i="13"/>
  <c r="XM159" i="13"/>
  <c r="XN159" i="13"/>
  <c r="XO159" i="13"/>
  <c r="XP159" i="13"/>
  <c r="XQ159" i="13"/>
  <c r="XR159" i="13"/>
  <c r="XS159" i="13"/>
  <c r="XT159" i="13"/>
  <c r="XU159" i="13"/>
  <c r="XV159" i="13"/>
  <c r="XW159" i="13"/>
  <c r="XX159" i="13"/>
  <c r="XY159" i="13"/>
  <c r="ST160" i="13"/>
  <c r="SU160" i="13"/>
  <c r="SV160" i="13"/>
  <c r="SW160" i="13"/>
  <c r="SX160" i="13"/>
  <c r="SY160" i="13"/>
  <c r="SZ160" i="13"/>
  <c r="TA160" i="13"/>
  <c r="TB160" i="13"/>
  <c r="TC160" i="13"/>
  <c r="TD160" i="13"/>
  <c r="TE160" i="13"/>
  <c r="TF160" i="13"/>
  <c r="TG160" i="13"/>
  <c r="TH160" i="13"/>
  <c r="TI160" i="13"/>
  <c r="TJ160" i="13"/>
  <c r="TK160" i="13"/>
  <c r="TL160" i="13"/>
  <c r="TM160" i="13"/>
  <c r="TN160" i="13"/>
  <c r="TO160" i="13"/>
  <c r="TP160" i="13"/>
  <c r="TQ160" i="13"/>
  <c r="TR160" i="13"/>
  <c r="TS160" i="13"/>
  <c r="TT160" i="13"/>
  <c r="TU160" i="13"/>
  <c r="TV160" i="13"/>
  <c r="TW160" i="13"/>
  <c r="TX160" i="13"/>
  <c r="TY160" i="13"/>
  <c r="TZ160" i="13"/>
  <c r="UA160" i="13"/>
  <c r="UB160" i="13"/>
  <c r="UC160" i="13"/>
  <c r="UD160" i="13"/>
  <c r="UE160" i="13"/>
  <c r="UF160" i="13"/>
  <c r="UG160" i="13"/>
  <c r="UH160" i="13"/>
  <c r="UI160" i="13"/>
  <c r="UJ160" i="13"/>
  <c r="UK160" i="13"/>
  <c r="UL160" i="13"/>
  <c r="UM160" i="13"/>
  <c r="UN160" i="13"/>
  <c r="UO160" i="13"/>
  <c r="UP160" i="13"/>
  <c r="UQ160" i="13"/>
  <c r="UR160" i="13"/>
  <c r="US160" i="13"/>
  <c r="UT160" i="13"/>
  <c r="UU160" i="13"/>
  <c r="UV160" i="13"/>
  <c r="UW160" i="13"/>
  <c r="UX160" i="13"/>
  <c r="UY160" i="13"/>
  <c r="UZ160" i="13"/>
  <c r="VA160" i="13"/>
  <c r="VB160" i="13"/>
  <c r="VC160" i="13"/>
  <c r="VD160" i="13"/>
  <c r="VE160" i="13"/>
  <c r="VF160" i="13"/>
  <c r="VG160" i="13"/>
  <c r="VH160" i="13"/>
  <c r="VI160" i="13"/>
  <c r="VJ160" i="13"/>
  <c r="VK160" i="13"/>
  <c r="VL160" i="13"/>
  <c r="VM160" i="13"/>
  <c r="VN160" i="13"/>
  <c r="VO160" i="13"/>
  <c r="VP160" i="13"/>
  <c r="VQ160" i="13"/>
  <c r="VR160" i="13"/>
  <c r="VS160" i="13"/>
  <c r="VT160" i="13"/>
  <c r="VU160" i="13"/>
  <c r="VV160" i="13"/>
  <c r="VW160" i="13"/>
  <c r="VX160" i="13"/>
  <c r="VY160" i="13"/>
  <c r="VZ160" i="13"/>
  <c r="WA160" i="13"/>
  <c r="WB160" i="13"/>
  <c r="WC160" i="13"/>
  <c r="WD160" i="13"/>
  <c r="WE160" i="13"/>
  <c r="WF160" i="13"/>
  <c r="WG160" i="13"/>
  <c r="WH160" i="13"/>
  <c r="WI160" i="13"/>
  <c r="WJ160" i="13"/>
  <c r="WK160" i="13"/>
  <c r="WL160" i="13"/>
  <c r="WM160" i="13"/>
  <c r="WN160" i="13"/>
  <c r="WO160" i="13"/>
  <c r="WP160" i="13"/>
  <c r="WQ160" i="13"/>
  <c r="WR160" i="13"/>
  <c r="WS160" i="13"/>
  <c r="WT160" i="13"/>
  <c r="WU160" i="13"/>
  <c r="WV160" i="13"/>
  <c r="WW160" i="13"/>
  <c r="WX160" i="13"/>
  <c r="WY160" i="13"/>
  <c r="WZ160" i="13"/>
  <c r="XA160" i="13"/>
  <c r="XB160" i="13"/>
  <c r="XC160" i="13"/>
  <c r="XD160" i="13"/>
  <c r="XE160" i="13"/>
  <c r="XF160" i="13"/>
  <c r="XG160" i="13"/>
  <c r="XH160" i="13"/>
  <c r="XI160" i="13"/>
  <c r="XJ160" i="13"/>
  <c r="XK160" i="13"/>
  <c r="XL160" i="13"/>
  <c r="XM160" i="13"/>
  <c r="XN160" i="13"/>
  <c r="XO160" i="13"/>
  <c r="XP160" i="13"/>
  <c r="XQ160" i="13"/>
  <c r="XS160" i="13"/>
  <c r="XU160" i="13"/>
  <c r="XV160" i="13"/>
  <c r="XW160" i="13"/>
  <c r="XX160" i="13"/>
  <c r="UQ166" i="13"/>
  <c r="WP166" i="13"/>
  <c r="ST168" i="13"/>
  <c r="SU168" i="13"/>
  <c r="SV168" i="13"/>
  <c r="SW168" i="13"/>
  <c r="SX168" i="13"/>
  <c r="SY168" i="13"/>
  <c r="SZ168" i="13"/>
  <c r="TA168" i="13"/>
  <c r="TB168" i="13"/>
  <c r="TC168" i="13"/>
  <c r="TD168" i="13"/>
  <c r="TE168" i="13"/>
  <c r="TF168" i="13"/>
  <c r="TG168" i="13"/>
  <c r="TH168" i="13"/>
  <c r="TI168" i="13"/>
  <c r="TJ168" i="13"/>
  <c r="TK168" i="13"/>
  <c r="TL168" i="13"/>
  <c r="TM168" i="13"/>
  <c r="TN168" i="13"/>
  <c r="TO168" i="13"/>
  <c r="TP168" i="13"/>
  <c r="TQ168" i="13"/>
  <c r="TR168" i="13"/>
  <c r="TS168" i="13"/>
  <c r="TT168" i="13"/>
  <c r="TU168" i="13"/>
  <c r="TV168" i="13"/>
  <c r="TW168" i="13"/>
  <c r="TX168" i="13"/>
  <c r="TY168" i="13"/>
  <c r="TZ168" i="13"/>
  <c r="UA168" i="13"/>
  <c r="UB168" i="13"/>
  <c r="UC168" i="13"/>
  <c r="UD168" i="13"/>
  <c r="UE168" i="13"/>
  <c r="UF168" i="13"/>
  <c r="UG168" i="13"/>
  <c r="UH168" i="13"/>
  <c r="UI168" i="13"/>
  <c r="UJ168" i="13"/>
  <c r="UK168" i="13"/>
  <c r="UL168" i="13"/>
  <c r="UM168" i="13"/>
  <c r="UN168" i="13"/>
  <c r="UO168" i="13"/>
  <c r="UP168" i="13"/>
  <c r="UQ168" i="13"/>
  <c r="UR168" i="13"/>
  <c r="US168" i="13"/>
  <c r="UT168" i="13"/>
  <c r="UU168" i="13"/>
  <c r="UV168" i="13"/>
  <c r="UW168" i="13"/>
  <c r="UX168" i="13"/>
  <c r="UY168" i="13"/>
  <c r="UZ168" i="13"/>
  <c r="VA168" i="13"/>
  <c r="VB168" i="13"/>
  <c r="VC168" i="13"/>
  <c r="VD168" i="13"/>
  <c r="VE168" i="13"/>
  <c r="VF168" i="13"/>
  <c r="VG168" i="13"/>
  <c r="VH168" i="13"/>
  <c r="VI168" i="13"/>
  <c r="VJ168" i="13"/>
  <c r="VK168" i="13"/>
  <c r="VL168" i="13"/>
  <c r="VM168" i="13"/>
  <c r="VN168" i="13"/>
  <c r="VO168" i="13"/>
  <c r="VP168" i="13"/>
  <c r="VQ168" i="13"/>
  <c r="VR168" i="13"/>
  <c r="VS168" i="13"/>
  <c r="VT168" i="13"/>
  <c r="VU168" i="13"/>
  <c r="VV168" i="13"/>
  <c r="VW168" i="13"/>
  <c r="VX168" i="13"/>
  <c r="VY168" i="13"/>
  <c r="VZ168" i="13"/>
  <c r="WA168" i="13"/>
  <c r="WB168" i="13"/>
  <c r="WC168" i="13"/>
  <c r="WD168" i="13"/>
  <c r="WE168" i="13"/>
  <c r="WF168" i="13"/>
  <c r="WG168" i="13"/>
  <c r="WH168" i="13"/>
  <c r="WI168" i="13"/>
  <c r="WJ168" i="13"/>
  <c r="WK168" i="13"/>
  <c r="WL168" i="13"/>
  <c r="WM168" i="13"/>
  <c r="WN168" i="13"/>
  <c r="WO168" i="13"/>
  <c r="WP168" i="13"/>
  <c r="WQ168" i="13"/>
  <c r="WR168" i="13"/>
  <c r="WS168" i="13"/>
  <c r="WT168" i="13"/>
  <c r="WU168" i="13"/>
  <c r="WV168" i="13"/>
  <c r="WW168" i="13"/>
  <c r="WX168" i="13"/>
  <c r="WY168" i="13"/>
  <c r="WZ168" i="13"/>
  <c r="XA168" i="13"/>
  <c r="XB168" i="13"/>
  <c r="XC168" i="13"/>
  <c r="XD168" i="13"/>
  <c r="XE168" i="13"/>
  <c r="XF168" i="13"/>
  <c r="XG168" i="13"/>
  <c r="XH168" i="13"/>
  <c r="XI168" i="13"/>
  <c r="XJ168" i="13"/>
  <c r="XK168" i="13"/>
  <c r="XL168" i="13"/>
  <c r="XM168" i="13"/>
  <c r="XN168" i="13"/>
  <c r="XO168" i="13"/>
  <c r="XP168" i="13"/>
  <c r="XQ168" i="13"/>
  <c r="XR168" i="13"/>
  <c r="XS168" i="13"/>
  <c r="XT168" i="13"/>
  <c r="XU168" i="13"/>
  <c r="XV168" i="13"/>
  <c r="XW168" i="13"/>
  <c r="XX168" i="13"/>
  <c r="XY168" i="13"/>
  <c r="SS145" i="13"/>
  <c r="ST145" i="13"/>
  <c r="SU145" i="13"/>
  <c r="SV145" i="13"/>
  <c r="SW145" i="13"/>
  <c r="SX145" i="13"/>
  <c r="SY145" i="13"/>
  <c r="SZ145" i="13"/>
  <c r="TA145" i="13"/>
  <c r="TB145" i="13"/>
  <c r="TC145" i="13"/>
  <c r="TD145" i="13"/>
  <c r="TE145" i="13"/>
  <c r="TF145" i="13"/>
  <c r="TG145" i="13"/>
  <c r="TH145" i="13"/>
  <c r="TI145" i="13"/>
  <c r="TJ145" i="13"/>
  <c r="TK145" i="13"/>
  <c r="TL145" i="13"/>
  <c r="TM145" i="13"/>
  <c r="TN145" i="13"/>
  <c r="TO145" i="13"/>
  <c r="TP145" i="13"/>
  <c r="TQ145" i="13"/>
  <c r="TR145" i="13"/>
  <c r="TS145" i="13"/>
  <c r="TT145" i="13"/>
  <c r="TU145" i="13"/>
  <c r="TV145" i="13"/>
  <c r="TW145" i="13"/>
  <c r="TX145" i="13"/>
  <c r="TY145" i="13"/>
  <c r="TZ145" i="13"/>
  <c r="UA145" i="13"/>
  <c r="UB145" i="13"/>
  <c r="UC145" i="13"/>
  <c r="UD145" i="13"/>
  <c r="UE145" i="13"/>
  <c r="UF145" i="13"/>
  <c r="UG145" i="13"/>
  <c r="UH145" i="13"/>
  <c r="UI145" i="13"/>
  <c r="UJ145" i="13"/>
  <c r="UK145" i="13"/>
  <c r="UL145" i="13"/>
  <c r="UM145" i="13"/>
  <c r="UN145" i="13"/>
  <c r="UO145" i="13"/>
  <c r="UP145" i="13"/>
  <c r="UQ145" i="13"/>
  <c r="UR145" i="13"/>
  <c r="US145" i="13"/>
  <c r="UT145" i="13"/>
  <c r="UU145" i="13"/>
  <c r="UV145" i="13"/>
  <c r="UW145" i="13"/>
  <c r="UX145" i="13"/>
  <c r="UY145" i="13"/>
  <c r="UZ145" i="13"/>
  <c r="VA145" i="13"/>
  <c r="VB145" i="13"/>
  <c r="VC145" i="13"/>
  <c r="VD145" i="13"/>
  <c r="VE145" i="13"/>
  <c r="VF145" i="13"/>
  <c r="VG145" i="13"/>
  <c r="VH145" i="13"/>
  <c r="VI145" i="13"/>
  <c r="VJ145" i="13"/>
  <c r="VK145" i="13"/>
  <c r="VL145" i="13"/>
  <c r="VM145" i="13"/>
  <c r="VN145" i="13"/>
  <c r="VO145" i="13"/>
  <c r="VP145" i="13"/>
  <c r="VQ145" i="13"/>
  <c r="VR145" i="13"/>
  <c r="VS145" i="13"/>
  <c r="VT145" i="13"/>
  <c r="VU145" i="13"/>
  <c r="VV145" i="13"/>
  <c r="VW145" i="13"/>
  <c r="VX145" i="13"/>
  <c r="VY145" i="13"/>
  <c r="VZ145" i="13"/>
  <c r="WA145" i="13"/>
  <c r="WB145" i="13"/>
  <c r="WC145" i="13"/>
  <c r="WD145" i="13"/>
  <c r="WE145" i="13"/>
  <c r="WF145" i="13"/>
  <c r="WG145" i="13"/>
  <c r="WH145" i="13"/>
  <c r="WI145" i="13"/>
  <c r="WJ145" i="13"/>
  <c r="WK145" i="13"/>
  <c r="WL145" i="13"/>
  <c r="WM145" i="13"/>
  <c r="WN145" i="13"/>
  <c r="WO145" i="13"/>
  <c r="WP145" i="13"/>
  <c r="SS146" i="13"/>
  <c r="ST146" i="13"/>
  <c r="SU146" i="13"/>
  <c r="SV146" i="13"/>
  <c r="SW146" i="13"/>
  <c r="SX146" i="13"/>
  <c r="SY146" i="13"/>
  <c r="SZ146" i="13"/>
  <c r="TA146" i="13"/>
  <c r="TB146" i="13"/>
  <c r="TC146" i="13"/>
  <c r="TD146" i="13"/>
  <c r="TE146" i="13"/>
  <c r="TF146" i="13"/>
  <c r="TG146" i="13"/>
  <c r="TH146" i="13"/>
  <c r="TI146" i="13"/>
  <c r="TJ146" i="13"/>
  <c r="TK146" i="13"/>
  <c r="TL146" i="13"/>
  <c r="TM146" i="13"/>
  <c r="TN146" i="13"/>
  <c r="TO146" i="13"/>
  <c r="TP146" i="13"/>
  <c r="TQ146" i="13"/>
  <c r="TR146" i="13"/>
  <c r="TS146" i="13"/>
  <c r="TT146" i="13"/>
  <c r="TU146" i="13"/>
  <c r="TV146" i="13"/>
  <c r="TW146" i="13"/>
  <c r="TX146" i="13"/>
  <c r="TY146" i="13"/>
  <c r="TZ146" i="13"/>
  <c r="UA146" i="13"/>
  <c r="UB146" i="13"/>
  <c r="UC146" i="13"/>
  <c r="UD146" i="13"/>
  <c r="UE146" i="13"/>
  <c r="UF146" i="13"/>
  <c r="UG146" i="13"/>
  <c r="UH146" i="13"/>
  <c r="UI146" i="13"/>
  <c r="UJ146" i="13"/>
  <c r="UK146" i="13"/>
  <c r="UL146" i="13"/>
  <c r="UM146" i="13"/>
  <c r="UN146" i="13"/>
  <c r="UO146" i="13"/>
  <c r="UP146" i="13"/>
  <c r="UQ146" i="13"/>
  <c r="UR146" i="13"/>
  <c r="US146" i="13"/>
  <c r="UT146" i="13"/>
  <c r="UU146" i="13"/>
  <c r="UV146" i="13"/>
  <c r="UW146" i="13"/>
  <c r="UX146" i="13"/>
  <c r="UY146" i="13"/>
  <c r="UZ146" i="13"/>
  <c r="VA146" i="13"/>
  <c r="VB146" i="13"/>
  <c r="VC146" i="13"/>
  <c r="VD146" i="13"/>
  <c r="VE146" i="13"/>
  <c r="VF146" i="13"/>
  <c r="VG146" i="13"/>
  <c r="VH146" i="13"/>
  <c r="VI146" i="13"/>
  <c r="VJ146" i="13"/>
  <c r="VK146" i="13"/>
  <c r="VL146" i="13"/>
  <c r="VM146" i="13"/>
  <c r="VN146" i="13"/>
  <c r="VO146" i="13"/>
  <c r="VP146" i="13"/>
  <c r="VQ146" i="13"/>
  <c r="VR146" i="13"/>
  <c r="VS146" i="13"/>
  <c r="VT146" i="13"/>
  <c r="VU146" i="13"/>
  <c r="VV146" i="13"/>
  <c r="VW146" i="13"/>
  <c r="VX146" i="13"/>
  <c r="VY146" i="13"/>
  <c r="VZ146" i="13"/>
  <c r="WA146" i="13"/>
  <c r="WB146" i="13"/>
  <c r="WC146" i="13"/>
  <c r="WD146" i="13"/>
  <c r="WE146" i="13"/>
  <c r="WF146" i="13"/>
  <c r="WG146" i="13"/>
  <c r="WH146" i="13"/>
  <c r="WI146" i="13"/>
  <c r="WJ146" i="13"/>
  <c r="WK146" i="13"/>
  <c r="WL146" i="13"/>
  <c r="WM146" i="13"/>
  <c r="WN146" i="13"/>
  <c r="WO146" i="13"/>
  <c r="WP146" i="13"/>
  <c r="SS147" i="13"/>
  <c r="ST147" i="13"/>
  <c r="SU147" i="13"/>
  <c r="SV147" i="13"/>
  <c r="SW147" i="13"/>
  <c r="SX147" i="13"/>
  <c r="SY147" i="13"/>
  <c r="SZ147" i="13"/>
  <c r="TA147" i="13"/>
  <c r="TB147" i="13"/>
  <c r="TC147" i="13"/>
  <c r="TD147" i="13"/>
  <c r="TE147" i="13"/>
  <c r="TF147" i="13"/>
  <c r="TG147" i="13"/>
  <c r="TH147" i="13"/>
  <c r="TI147" i="13"/>
  <c r="TJ147" i="13"/>
  <c r="TK147" i="13"/>
  <c r="TL147" i="13"/>
  <c r="TM147" i="13"/>
  <c r="TN147" i="13"/>
  <c r="TO147" i="13"/>
  <c r="TP147" i="13"/>
  <c r="TQ147" i="13"/>
  <c r="TR147" i="13"/>
  <c r="TS147" i="13"/>
  <c r="TT147" i="13"/>
  <c r="TU147" i="13"/>
  <c r="TV147" i="13"/>
  <c r="TW147" i="13"/>
  <c r="TX147" i="13"/>
  <c r="TY147" i="13"/>
  <c r="TZ147" i="13"/>
  <c r="UA147" i="13"/>
  <c r="UB147" i="13"/>
  <c r="UC147" i="13"/>
  <c r="UD147" i="13"/>
  <c r="UE147" i="13"/>
  <c r="UF147" i="13"/>
  <c r="UG147" i="13"/>
  <c r="UH147" i="13"/>
  <c r="UI147" i="13"/>
  <c r="UJ147" i="13"/>
  <c r="UK147" i="13"/>
  <c r="UL147" i="13"/>
  <c r="UM147" i="13"/>
  <c r="UN147" i="13"/>
  <c r="UO147" i="13"/>
  <c r="UP147" i="13"/>
  <c r="UQ147" i="13"/>
  <c r="UR147" i="13"/>
  <c r="US147" i="13"/>
  <c r="UT147" i="13"/>
  <c r="UU147" i="13"/>
  <c r="UV147" i="13"/>
  <c r="UW147" i="13"/>
  <c r="UX147" i="13"/>
  <c r="UY147" i="13"/>
  <c r="UZ147" i="13"/>
  <c r="VA147" i="13"/>
  <c r="VB147" i="13"/>
  <c r="VC147" i="13"/>
  <c r="VD147" i="13"/>
  <c r="VE147" i="13"/>
  <c r="VF147" i="13"/>
  <c r="VG147" i="13"/>
  <c r="VH147" i="13"/>
  <c r="VI147" i="13"/>
  <c r="VJ147" i="13"/>
  <c r="VK147" i="13"/>
  <c r="VL147" i="13"/>
  <c r="VM147" i="13"/>
  <c r="VN147" i="13"/>
  <c r="VO147" i="13"/>
  <c r="VP147" i="13"/>
  <c r="VQ147" i="13"/>
  <c r="VR147" i="13"/>
  <c r="VT147" i="13"/>
  <c r="VV147" i="13"/>
  <c r="VW147" i="13"/>
  <c r="VX147" i="13"/>
  <c r="VY147" i="13"/>
  <c r="WA147" i="13"/>
  <c r="WC147" i="13"/>
  <c r="WD147" i="13"/>
  <c r="WE147" i="13"/>
  <c r="WF147" i="13"/>
  <c r="WH147" i="13"/>
  <c r="WJ147" i="13"/>
  <c r="WK147" i="13"/>
  <c r="WL147" i="13"/>
  <c r="WM147" i="13"/>
  <c r="WO147" i="13"/>
  <c r="WP152" i="13"/>
  <c r="UQ153" i="13"/>
  <c r="WP154" i="13"/>
  <c r="SS155" i="13"/>
  <c r="ST155" i="13"/>
  <c r="SU155" i="13"/>
  <c r="SV155" i="13"/>
  <c r="SW155" i="13"/>
  <c r="SX155" i="13"/>
  <c r="SY155" i="13"/>
  <c r="SZ155" i="13"/>
  <c r="TA155" i="13"/>
  <c r="TB155" i="13"/>
  <c r="TC155" i="13"/>
  <c r="TD155" i="13"/>
  <c r="TE155" i="13"/>
  <c r="TF155" i="13"/>
  <c r="TG155" i="13"/>
  <c r="TH155" i="13"/>
  <c r="TI155" i="13"/>
  <c r="TJ155" i="13"/>
  <c r="TK155" i="13"/>
  <c r="TL155" i="13"/>
  <c r="TM155" i="13"/>
  <c r="TN155" i="13"/>
  <c r="TO155" i="13"/>
  <c r="TP155" i="13"/>
  <c r="TQ155" i="13"/>
  <c r="TR155" i="13"/>
  <c r="TS155" i="13"/>
  <c r="TT155" i="13"/>
  <c r="TU155" i="13"/>
  <c r="TV155" i="13"/>
  <c r="TW155" i="13"/>
  <c r="TX155" i="13"/>
  <c r="TY155" i="13"/>
  <c r="TZ155" i="13"/>
  <c r="UA155" i="13"/>
  <c r="UB155" i="13"/>
  <c r="UC155" i="13"/>
  <c r="UD155" i="13"/>
  <c r="UE155" i="13"/>
  <c r="UF155" i="13"/>
  <c r="UG155" i="13"/>
  <c r="UH155" i="13"/>
  <c r="UI155" i="13"/>
  <c r="UJ155" i="13"/>
  <c r="UK155" i="13"/>
  <c r="UL155" i="13"/>
  <c r="UM155" i="13"/>
  <c r="UN155" i="13"/>
  <c r="UO155" i="13"/>
  <c r="UP155" i="13"/>
  <c r="UQ155" i="13"/>
  <c r="UR155" i="13"/>
  <c r="US155" i="13"/>
  <c r="UT155" i="13"/>
  <c r="UU155" i="13"/>
  <c r="UV155" i="13"/>
  <c r="UW155" i="13"/>
  <c r="UX155" i="13"/>
  <c r="UY155" i="13"/>
  <c r="UZ155" i="13"/>
  <c r="VA155" i="13"/>
  <c r="VB155" i="13"/>
  <c r="VC155" i="13"/>
  <c r="VD155" i="13"/>
  <c r="VE155" i="13"/>
  <c r="VF155" i="13"/>
  <c r="VG155" i="13"/>
  <c r="VH155" i="13"/>
  <c r="VI155" i="13"/>
  <c r="VJ155" i="13"/>
  <c r="VK155" i="13"/>
  <c r="VL155" i="13"/>
  <c r="VM155" i="13"/>
  <c r="VN155" i="13"/>
  <c r="VO155" i="13"/>
  <c r="VP155" i="13"/>
  <c r="VQ155" i="13"/>
  <c r="VR155" i="13"/>
  <c r="VS155" i="13"/>
  <c r="VT155" i="13"/>
  <c r="VU155" i="13"/>
  <c r="VV155" i="13"/>
  <c r="VW155" i="13"/>
  <c r="VX155" i="13"/>
  <c r="VY155" i="13"/>
  <c r="VZ155" i="13"/>
  <c r="WA155" i="13"/>
  <c r="WB155" i="13"/>
  <c r="WC155" i="13"/>
  <c r="WD155" i="13"/>
  <c r="WE155" i="13"/>
  <c r="WF155" i="13"/>
  <c r="WG155" i="13"/>
  <c r="WH155" i="13"/>
  <c r="WI155" i="13"/>
  <c r="WJ155" i="13"/>
  <c r="WK155" i="13"/>
  <c r="WL155" i="13"/>
  <c r="WM155" i="13"/>
  <c r="WN155" i="13"/>
  <c r="WO155" i="13"/>
  <c r="WP155" i="13"/>
  <c r="SS163" i="13"/>
  <c r="SS165" i="13"/>
  <c r="SS167" i="13"/>
  <c r="SS168" i="13"/>
  <c r="SS158" i="13"/>
  <c r="SS159" i="13"/>
  <c r="SS160" i="13"/>
  <c r="SS161" i="13"/>
  <c r="SS157" i="13"/>
  <c r="QU145" i="13"/>
  <c r="QV145" i="13"/>
  <c r="QW145" i="13"/>
  <c r="QX145" i="13"/>
  <c r="QY145" i="13"/>
  <c r="QZ145" i="13"/>
  <c r="RA145" i="13"/>
  <c r="RB145" i="13"/>
  <c r="RC145" i="13"/>
  <c r="RD145" i="13"/>
  <c r="RE145" i="13"/>
  <c r="RF145" i="13"/>
  <c r="RG145" i="13"/>
  <c r="RH145" i="13"/>
  <c r="RI145" i="13"/>
  <c r="RJ145" i="13"/>
  <c r="RK145" i="13"/>
  <c r="RL145" i="13"/>
  <c r="RM145" i="13"/>
  <c r="RN145" i="13"/>
  <c r="RO145" i="13"/>
  <c r="RP145" i="13"/>
  <c r="RQ145" i="13"/>
  <c r="RR145" i="13"/>
  <c r="RS145" i="13"/>
  <c r="RT145" i="13"/>
  <c r="RU145" i="13"/>
  <c r="RV145" i="13"/>
  <c r="RW145" i="13"/>
  <c r="RX145" i="13"/>
  <c r="RY145" i="13"/>
  <c r="RZ145" i="13"/>
  <c r="SA145" i="13"/>
  <c r="SB145" i="13"/>
  <c r="SC145" i="13"/>
  <c r="SD145" i="13"/>
  <c r="SE145" i="13"/>
  <c r="SF145" i="13"/>
  <c r="SG145" i="13"/>
  <c r="SH145" i="13"/>
  <c r="SI145" i="13"/>
  <c r="SJ145" i="13"/>
  <c r="SK145" i="13"/>
  <c r="SL145" i="13"/>
  <c r="SM145" i="13"/>
  <c r="SN145" i="13"/>
  <c r="SO145" i="13"/>
  <c r="SP145" i="13"/>
  <c r="SQ145" i="13"/>
  <c r="SR145" i="13"/>
  <c r="QU146" i="13"/>
  <c r="QV146" i="13"/>
  <c r="QW146" i="13"/>
  <c r="QX146" i="13"/>
  <c r="QY146" i="13"/>
  <c r="QZ146" i="13"/>
  <c r="RA146" i="13"/>
  <c r="RB146" i="13"/>
  <c r="RC146" i="13"/>
  <c r="RD146" i="13"/>
  <c r="RE146" i="13"/>
  <c r="RF146" i="13"/>
  <c r="RG146" i="13"/>
  <c r="RH146" i="13"/>
  <c r="RI146" i="13"/>
  <c r="RJ146" i="13"/>
  <c r="RK146" i="13"/>
  <c r="RL146" i="13"/>
  <c r="RM146" i="13"/>
  <c r="RN146" i="13"/>
  <c r="RO146" i="13"/>
  <c r="RP146" i="13"/>
  <c r="RQ146" i="13"/>
  <c r="RR146" i="13"/>
  <c r="RS146" i="13"/>
  <c r="RT146" i="13"/>
  <c r="RU146" i="13"/>
  <c r="RV146" i="13"/>
  <c r="RW146" i="13"/>
  <c r="RX146" i="13"/>
  <c r="RY146" i="13"/>
  <c r="RZ146" i="13"/>
  <c r="SA146" i="13"/>
  <c r="SB146" i="13"/>
  <c r="SC146" i="13"/>
  <c r="SD146" i="13"/>
  <c r="SE146" i="13"/>
  <c r="SF146" i="13"/>
  <c r="SG146" i="13"/>
  <c r="SH146" i="13"/>
  <c r="SI146" i="13"/>
  <c r="SJ146" i="13"/>
  <c r="SK146" i="13"/>
  <c r="SL146" i="13"/>
  <c r="SM146" i="13"/>
  <c r="SN146" i="13"/>
  <c r="SO146" i="13"/>
  <c r="SP146" i="13"/>
  <c r="SQ146" i="13"/>
  <c r="SR146" i="13"/>
  <c r="QU147" i="13"/>
  <c r="QV147" i="13"/>
  <c r="QW147" i="13"/>
  <c r="QX147" i="13"/>
  <c r="QY147" i="13"/>
  <c r="QZ147" i="13"/>
  <c r="RA147" i="13"/>
  <c r="RB147" i="13"/>
  <c r="RC147" i="13"/>
  <c r="RD147" i="13"/>
  <c r="RE147" i="13"/>
  <c r="RF147" i="13"/>
  <c r="RG147" i="13"/>
  <c r="RH147" i="13"/>
  <c r="RI147" i="13"/>
  <c r="RJ147" i="13"/>
  <c r="RK147" i="13"/>
  <c r="RL147" i="13"/>
  <c r="RM147" i="13"/>
  <c r="RN147" i="13"/>
  <c r="RO147" i="13"/>
  <c r="RP147" i="13"/>
  <c r="RQ147" i="13"/>
  <c r="RR147" i="13"/>
  <c r="RS147" i="13"/>
  <c r="RT147" i="13"/>
  <c r="RU147" i="13"/>
  <c r="RV147" i="13"/>
  <c r="RW147" i="13"/>
  <c r="RX147" i="13"/>
  <c r="RY147" i="13"/>
  <c r="RZ147" i="13"/>
  <c r="SA147" i="13"/>
  <c r="SB147" i="13"/>
  <c r="SC147" i="13"/>
  <c r="SD147" i="13"/>
  <c r="SE147" i="13"/>
  <c r="SF147" i="13"/>
  <c r="SG147" i="13"/>
  <c r="SH147" i="13"/>
  <c r="SI147" i="13"/>
  <c r="SJ147" i="13"/>
  <c r="SK147" i="13"/>
  <c r="SL147" i="13"/>
  <c r="SM147" i="13"/>
  <c r="SN147" i="13"/>
  <c r="SO147" i="13"/>
  <c r="SP147" i="13"/>
  <c r="SQ147" i="13"/>
  <c r="SR147" i="13"/>
  <c r="SR153" i="13"/>
  <c r="QU155" i="13"/>
  <c r="QV155" i="13"/>
  <c r="QW155" i="13"/>
  <c r="QX155" i="13"/>
  <c r="QY155" i="13"/>
  <c r="QZ155" i="13"/>
  <c r="RA155" i="13"/>
  <c r="RB155" i="13"/>
  <c r="RC155" i="13"/>
  <c r="RD155" i="13"/>
  <c r="RE155" i="13"/>
  <c r="RF155" i="13"/>
  <c r="RG155" i="13"/>
  <c r="RH155" i="13"/>
  <c r="RI155" i="13"/>
  <c r="RJ155" i="13"/>
  <c r="RK155" i="13"/>
  <c r="RL155" i="13"/>
  <c r="RM155" i="13"/>
  <c r="RN155" i="13"/>
  <c r="RO155" i="13"/>
  <c r="RP155" i="13"/>
  <c r="RQ155" i="13"/>
  <c r="RR155" i="13"/>
  <c r="RS155" i="13"/>
  <c r="RT155" i="13"/>
  <c r="RU155" i="13"/>
  <c r="RV155" i="13"/>
  <c r="RW155" i="13"/>
  <c r="RX155" i="13"/>
  <c r="RY155" i="13"/>
  <c r="RZ155" i="13"/>
  <c r="SA155" i="13"/>
  <c r="SB155" i="13"/>
  <c r="SC155" i="13"/>
  <c r="SD155" i="13"/>
  <c r="SE155" i="13"/>
  <c r="SF155" i="13"/>
  <c r="SG155" i="13"/>
  <c r="SH155" i="13"/>
  <c r="SI155" i="13"/>
  <c r="SJ155" i="13"/>
  <c r="SK155" i="13"/>
  <c r="SL155" i="13"/>
  <c r="SM155" i="13"/>
  <c r="SN155" i="13"/>
  <c r="SO155" i="13"/>
  <c r="SP155" i="13"/>
  <c r="SQ155" i="13"/>
  <c r="SR155" i="13"/>
  <c r="QT145" i="13"/>
  <c r="QT146" i="13"/>
  <c r="QT147" i="13"/>
  <c r="QT148" i="13"/>
  <c r="QT150" i="13"/>
  <c r="QT152" i="13"/>
  <c r="QT154" i="13"/>
  <c r="QT155" i="13"/>
  <c r="QT144" i="13"/>
  <c r="OV132" i="13"/>
  <c r="OW132" i="13"/>
  <c r="OX132" i="13"/>
  <c r="OY132" i="13"/>
  <c r="OZ132" i="13"/>
  <c r="PA132" i="13"/>
  <c r="PB132" i="13"/>
  <c r="PC132" i="13"/>
  <c r="PD132" i="13"/>
  <c r="PE132" i="13"/>
  <c r="PF132" i="13"/>
  <c r="PG132" i="13"/>
  <c r="PH132" i="13"/>
  <c r="PI132" i="13"/>
  <c r="PJ132" i="13"/>
  <c r="PK132" i="13"/>
  <c r="PL132" i="13"/>
  <c r="PM132" i="13"/>
  <c r="PN132" i="13"/>
  <c r="PO132" i="13"/>
  <c r="PP132" i="13"/>
  <c r="PQ132" i="13"/>
  <c r="PR132" i="13"/>
  <c r="PS132" i="13"/>
  <c r="PT132" i="13"/>
  <c r="PU132" i="13"/>
  <c r="PV132" i="13"/>
  <c r="PW132" i="13"/>
  <c r="PX132" i="13"/>
  <c r="PY132" i="13"/>
  <c r="PZ132" i="13"/>
  <c r="QA132" i="13"/>
  <c r="QB132" i="13"/>
  <c r="QC132" i="13"/>
  <c r="QD132" i="13"/>
  <c r="QE132" i="13"/>
  <c r="QF132" i="13"/>
  <c r="QG132" i="13"/>
  <c r="QH132" i="13"/>
  <c r="QI132" i="13"/>
  <c r="QJ132" i="13"/>
  <c r="QK132" i="13"/>
  <c r="QL132" i="13"/>
  <c r="QM132" i="13"/>
  <c r="QN132" i="13"/>
  <c r="QO132" i="13"/>
  <c r="QP132" i="13"/>
  <c r="QQ132" i="13"/>
  <c r="QR132" i="13"/>
  <c r="QS132" i="13"/>
  <c r="QT132" i="13"/>
  <c r="QU132" i="13"/>
  <c r="QV132" i="13"/>
  <c r="QW132" i="13"/>
  <c r="QX132" i="13"/>
  <c r="QY132" i="13"/>
  <c r="QZ132" i="13"/>
  <c r="RA132" i="13"/>
  <c r="RB132" i="13"/>
  <c r="RC132" i="13"/>
  <c r="RD132" i="13"/>
  <c r="RE132" i="13"/>
  <c r="RF132" i="13"/>
  <c r="RG132" i="13"/>
  <c r="RH132" i="13"/>
  <c r="RI132" i="13"/>
  <c r="RJ132" i="13"/>
  <c r="RK132" i="13"/>
  <c r="RL132" i="13"/>
  <c r="RM132" i="13"/>
  <c r="RN132" i="13"/>
  <c r="RO132" i="13"/>
  <c r="RP132" i="13"/>
  <c r="RQ132" i="13"/>
  <c r="RR132" i="13"/>
  <c r="RS132" i="13"/>
  <c r="RT132" i="13"/>
  <c r="RU132" i="13"/>
  <c r="RV132" i="13"/>
  <c r="RW132" i="13"/>
  <c r="RX132" i="13"/>
  <c r="RY132" i="13"/>
  <c r="RZ132" i="13"/>
  <c r="SA132" i="13"/>
  <c r="SB132" i="13"/>
  <c r="SC132" i="13"/>
  <c r="SD132" i="13"/>
  <c r="SE132" i="13"/>
  <c r="SF132" i="13"/>
  <c r="SG132" i="13"/>
  <c r="SH132" i="13"/>
  <c r="SI132" i="13"/>
  <c r="SJ132" i="13"/>
  <c r="SK132" i="13"/>
  <c r="SL132" i="13"/>
  <c r="SM132" i="13"/>
  <c r="SN132" i="13"/>
  <c r="SO132" i="13"/>
  <c r="SP132" i="13"/>
  <c r="SQ132" i="13"/>
  <c r="SR132" i="13"/>
  <c r="SS132" i="13"/>
  <c r="ST132" i="13"/>
  <c r="SU132" i="13"/>
  <c r="SV132" i="13"/>
  <c r="SW132" i="13"/>
  <c r="SX132" i="13"/>
  <c r="SY132" i="13"/>
  <c r="SZ132" i="13"/>
  <c r="TA132" i="13"/>
  <c r="TB132" i="13"/>
  <c r="TC132" i="13"/>
  <c r="TD132" i="13"/>
  <c r="TE132" i="13"/>
  <c r="TF132" i="13"/>
  <c r="TG132" i="13"/>
  <c r="TH132" i="13"/>
  <c r="TI132" i="13"/>
  <c r="TJ132" i="13"/>
  <c r="TK132" i="13"/>
  <c r="TL132" i="13"/>
  <c r="TM132" i="13"/>
  <c r="TN132" i="13"/>
  <c r="TO132" i="13"/>
  <c r="TP132" i="13"/>
  <c r="TQ132" i="13"/>
  <c r="TR132" i="13"/>
  <c r="TS132" i="13"/>
  <c r="TT132" i="13"/>
  <c r="TU132" i="13"/>
  <c r="TV132" i="13"/>
  <c r="TW132" i="13"/>
  <c r="TX132" i="13"/>
  <c r="TY132" i="13"/>
  <c r="TZ132" i="13"/>
  <c r="UA132" i="13"/>
  <c r="UB132" i="13"/>
  <c r="UC132" i="13"/>
  <c r="UD132" i="13"/>
  <c r="UE132" i="13"/>
  <c r="UF132" i="13"/>
  <c r="UG132" i="13"/>
  <c r="UH132" i="13"/>
  <c r="UI132" i="13"/>
  <c r="UJ132" i="13"/>
  <c r="UK132" i="13"/>
  <c r="UL132" i="13"/>
  <c r="UM132" i="13"/>
  <c r="UN132" i="13"/>
  <c r="UO132" i="13"/>
  <c r="UP132" i="13"/>
  <c r="UQ132" i="13"/>
  <c r="OV133" i="13"/>
  <c r="OW133" i="13"/>
  <c r="OX133" i="13"/>
  <c r="OY133" i="13"/>
  <c r="OZ133" i="13"/>
  <c r="PA133" i="13"/>
  <c r="PB133" i="13"/>
  <c r="PC133" i="13"/>
  <c r="PD133" i="13"/>
  <c r="PE133" i="13"/>
  <c r="PF133" i="13"/>
  <c r="PG133" i="13"/>
  <c r="PH133" i="13"/>
  <c r="PI133" i="13"/>
  <c r="PJ133" i="13"/>
  <c r="PK133" i="13"/>
  <c r="PL133" i="13"/>
  <c r="PM133" i="13"/>
  <c r="PN133" i="13"/>
  <c r="PO133" i="13"/>
  <c r="PP133" i="13"/>
  <c r="PQ133" i="13"/>
  <c r="PR133" i="13"/>
  <c r="PS133" i="13"/>
  <c r="PT133" i="13"/>
  <c r="PU133" i="13"/>
  <c r="PV133" i="13"/>
  <c r="PW133" i="13"/>
  <c r="PX133" i="13"/>
  <c r="PY133" i="13"/>
  <c r="PZ133" i="13"/>
  <c r="QA133" i="13"/>
  <c r="QB133" i="13"/>
  <c r="QC133" i="13"/>
  <c r="QD133" i="13"/>
  <c r="QE133" i="13"/>
  <c r="QF133" i="13"/>
  <c r="QG133" i="13"/>
  <c r="QH133" i="13"/>
  <c r="QI133" i="13"/>
  <c r="QJ133" i="13"/>
  <c r="QK133" i="13"/>
  <c r="QL133" i="13"/>
  <c r="QM133" i="13"/>
  <c r="QN133" i="13"/>
  <c r="QO133" i="13"/>
  <c r="QP133" i="13"/>
  <c r="QQ133" i="13"/>
  <c r="QR133" i="13"/>
  <c r="QS133" i="13"/>
  <c r="QT133" i="13"/>
  <c r="QU133" i="13"/>
  <c r="QV133" i="13"/>
  <c r="QW133" i="13"/>
  <c r="QX133" i="13"/>
  <c r="QY133" i="13"/>
  <c r="QZ133" i="13"/>
  <c r="RA133" i="13"/>
  <c r="RB133" i="13"/>
  <c r="RC133" i="13"/>
  <c r="RD133" i="13"/>
  <c r="RE133" i="13"/>
  <c r="RF133" i="13"/>
  <c r="RG133" i="13"/>
  <c r="RH133" i="13"/>
  <c r="RI133" i="13"/>
  <c r="RJ133" i="13"/>
  <c r="RK133" i="13"/>
  <c r="RL133" i="13"/>
  <c r="RM133" i="13"/>
  <c r="RN133" i="13"/>
  <c r="RO133" i="13"/>
  <c r="RP133" i="13"/>
  <c r="RQ133" i="13"/>
  <c r="RR133" i="13"/>
  <c r="RS133" i="13"/>
  <c r="RT133" i="13"/>
  <c r="RU133" i="13"/>
  <c r="RV133" i="13"/>
  <c r="RW133" i="13"/>
  <c r="RX133" i="13"/>
  <c r="RY133" i="13"/>
  <c r="RZ133" i="13"/>
  <c r="SA133" i="13"/>
  <c r="SB133" i="13"/>
  <c r="SC133" i="13"/>
  <c r="SD133" i="13"/>
  <c r="SE133" i="13"/>
  <c r="SF133" i="13"/>
  <c r="SG133" i="13"/>
  <c r="SH133" i="13"/>
  <c r="SI133" i="13"/>
  <c r="SJ133" i="13"/>
  <c r="SK133" i="13"/>
  <c r="SL133" i="13"/>
  <c r="SM133" i="13"/>
  <c r="SN133" i="13"/>
  <c r="SO133" i="13"/>
  <c r="SP133" i="13"/>
  <c r="SQ133" i="13"/>
  <c r="SR133" i="13"/>
  <c r="SS133" i="13"/>
  <c r="ST133" i="13"/>
  <c r="SU133" i="13"/>
  <c r="SV133" i="13"/>
  <c r="SW133" i="13"/>
  <c r="SX133" i="13"/>
  <c r="SY133" i="13"/>
  <c r="SZ133" i="13"/>
  <c r="TA133" i="13"/>
  <c r="TB133" i="13"/>
  <c r="TC133" i="13"/>
  <c r="TD133" i="13"/>
  <c r="TE133" i="13"/>
  <c r="TF133" i="13"/>
  <c r="TG133" i="13"/>
  <c r="TH133" i="13"/>
  <c r="TI133" i="13"/>
  <c r="TJ133" i="13"/>
  <c r="TK133" i="13"/>
  <c r="TL133" i="13"/>
  <c r="TM133" i="13"/>
  <c r="TN133" i="13"/>
  <c r="TO133" i="13"/>
  <c r="TP133" i="13"/>
  <c r="TQ133" i="13"/>
  <c r="TR133" i="13"/>
  <c r="TS133" i="13"/>
  <c r="TT133" i="13"/>
  <c r="TU133" i="13"/>
  <c r="TV133" i="13"/>
  <c r="TW133" i="13"/>
  <c r="TX133" i="13"/>
  <c r="TY133" i="13"/>
  <c r="TZ133" i="13"/>
  <c r="UA133" i="13"/>
  <c r="UB133" i="13"/>
  <c r="UC133" i="13"/>
  <c r="UD133" i="13"/>
  <c r="UE133" i="13"/>
  <c r="UF133" i="13"/>
  <c r="UG133" i="13"/>
  <c r="UH133" i="13"/>
  <c r="UI133" i="13"/>
  <c r="UJ133" i="13"/>
  <c r="UK133" i="13"/>
  <c r="UL133" i="13"/>
  <c r="UM133" i="13"/>
  <c r="UN133" i="13"/>
  <c r="UO133" i="13"/>
  <c r="UP133" i="13"/>
  <c r="UQ133" i="13"/>
  <c r="OV134" i="13"/>
  <c r="OW134" i="13"/>
  <c r="OX134" i="13"/>
  <c r="OY134" i="13"/>
  <c r="OZ134" i="13"/>
  <c r="PA134" i="13"/>
  <c r="PB134" i="13"/>
  <c r="PC134" i="13"/>
  <c r="PD134" i="13"/>
  <c r="PE134" i="13"/>
  <c r="PF134" i="13"/>
  <c r="PG134" i="13"/>
  <c r="PH134" i="13"/>
  <c r="PI134" i="13"/>
  <c r="PJ134" i="13"/>
  <c r="PK134" i="13"/>
  <c r="PL134" i="13"/>
  <c r="PM134" i="13"/>
  <c r="PN134" i="13"/>
  <c r="PO134" i="13"/>
  <c r="PP134" i="13"/>
  <c r="PQ134" i="13"/>
  <c r="PR134" i="13"/>
  <c r="PS134" i="13"/>
  <c r="PT134" i="13"/>
  <c r="PU134" i="13"/>
  <c r="PV134" i="13"/>
  <c r="PW134" i="13"/>
  <c r="PX134" i="13"/>
  <c r="PY134" i="13"/>
  <c r="PZ134" i="13"/>
  <c r="QA134" i="13"/>
  <c r="QB134" i="13"/>
  <c r="QC134" i="13"/>
  <c r="QD134" i="13"/>
  <c r="QE134" i="13"/>
  <c r="QF134" i="13"/>
  <c r="QG134" i="13"/>
  <c r="QH134" i="13"/>
  <c r="QI134" i="13"/>
  <c r="QJ134" i="13"/>
  <c r="QK134" i="13"/>
  <c r="QL134" i="13"/>
  <c r="QM134" i="13"/>
  <c r="QN134" i="13"/>
  <c r="QO134" i="13"/>
  <c r="QP134" i="13"/>
  <c r="QQ134" i="13"/>
  <c r="QR134" i="13"/>
  <c r="QS134" i="13"/>
  <c r="QT134" i="13"/>
  <c r="QU134" i="13"/>
  <c r="QV134" i="13"/>
  <c r="QW134" i="13"/>
  <c r="QX134" i="13"/>
  <c r="QY134" i="13"/>
  <c r="QZ134" i="13"/>
  <c r="RA134" i="13"/>
  <c r="RB134" i="13"/>
  <c r="RC134" i="13"/>
  <c r="RD134" i="13"/>
  <c r="RE134" i="13"/>
  <c r="RF134" i="13"/>
  <c r="RG134" i="13"/>
  <c r="RH134" i="13"/>
  <c r="RI134" i="13"/>
  <c r="RJ134" i="13"/>
  <c r="RK134" i="13"/>
  <c r="RL134" i="13"/>
  <c r="RM134" i="13"/>
  <c r="RN134" i="13"/>
  <c r="RO134" i="13"/>
  <c r="RP134" i="13"/>
  <c r="RQ134" i="13"/>
  <c r="RR134" i="13"/>
  <c r="RS134" i="13"/>
  <c r="RT134" i="13"/>
  <c r="RU134" i="13"/>
  <c r="RV134" i="13"/>
  <c r="RW134" i="13"/>
  <c r="RX134" i="13"/>
  <c r="RY134" i="13"/>
  <c r="RZ134" i="13"/>
  <c r="SA134" i="13"/>
  <c r="SB134" i="13"/>
  <c r="SC134" i="13"/>
  <c r="SD134" i="13"/>
  <c r="SE134" i="13"/>
  <c r="SF134" i="13"/>
  <c r="SG134" i="13"/>
  <c r="SH134" i="13"/>
  <c r="SI134" i="13"/>
  <c r="SJ134" i="13"/>
  <c r="SK134" i="13"/>
  <c r="SL134" i="13"/>
  <c r="SM134" i="13"/>
  <c r="SN134" i="13"/>
  <c r="SO134" i="13"/>
  <c r="SP134" i="13"/>
  <c r="SQ134" i="13"/>
  <c r="SR134" i="13"/>
  <c r="SS134" i="13"/>
  <c r="ST134" i="13"/>
  <c r="SU134" i="13"/>
  <c r="SV134" i="13"/>
  <c r="SW134" i="13"/>
  <c r="SX134" i="13"/>
  <c r="SY134" i="13"/>
  <c r="SZ134" i="13"/>
  <c r="TA134" i="13"/>
  <c r="TB134" i="13"/>
  <c r="TC134" i="13"/>
  <c r="TD134" i="13"/>
  <c r="TE134" i="13"/>
  <c r="TF134" i="13"/>
  <c r="TG134" i="13"/>
  <c r="TH134" i="13"/>
  <c r="TI134" i="13"/>
  <c r="TJ134" i="13"/>
  <c r="TK134" i="13"/>
  <c r="TL134" i="13"/>
  <c r="TM134" i="13"/>
  <c r="TN134" i="13"/>
  <c r="TO134" i="13"/>
  <c r="TP134" i="13"/>
  <c r="TQ134" i="13"/>
  <c r="TR134" i="13"/>
  <c r="TS134" i="13"/>
  <c r="TU134" i="13"/>
  <c r="TW134" i="13"/>
  <c r="TX134" i="13"/>
  <c r="TY134" i="13"/>
  <c r="TZ134" i="13"/>
  <c r="UB134" i="13"/>
  <c r="UD134" i="13"/>
  <c r="UE134" i="13"/>
  <c r="UF134" i="13"/>
  <c r="UG134" i="13"/>
  <c r="UI134" i="13"/>
  <c r="UK134" i="13"/>
  <c r="UL134" i="13"/>
  <c r="UM134" i="13"/>
  <c r="UN134" i="13"/>
  <c r="UP134" i="13"/>
  <c r="UQ139" i="13"/>
  <c r="QS140" i="13"/>
  <c r="SR140" i="13"/>
  <c r="UQ141" i="13"/>
  <c r="OV142" i="13"/>
  <c r="OW142" i="13"/>
  <c r="OX142" i="13"/>
  <c r="OY142" i="13"/>
  <c r="OZ142" i="13"/>
  <c r="PA142" i="13"/>
  <c r="PB142" i="13"/>
  <c r="PC142" i="13"/>
  <c r="PD142" i="13"/>
  <c r="PE142" i="13"/>
  <c r="PF142" i="13"/>
  <c r="PG142" i="13"/>
  <c r="PH142" i="13"/>
  <c r="PI142" i="13"/>
  <c r="PJ142" i="13"/>
  <c r="PK142" i="13"/>
  <c r="PL142" i="13"/>
  <c r="PM142" i="13"/>
  <c r="PN142" i="13"/>
  <c r="PO142" i="13"/>
  <c r="PP142" i="13"/>
  <c r="PQ142" i="13"/>
  <c r="PR142" i="13"/>
  <c r="PS142" i="13"/>
  <c r="PT142" i="13"/>
  <c r="PU142" i="13"/>
  <c r="PV142" i="13"/>
  <c r="PW142" i="13"/>
  <c r="PX142" i="13"/>
  <c r="PY142" i="13"/>
  <c r="PZ142" i="13"/>
  <c r="QA142" i="13"/>
  <c r="QB142" i="13"/>
  <c r="QC142" i="13"/>
  <c r="QD142" i="13"/>
  <c r="QE142" i="13"/>
  <c r="QF142" i="13"/>
  <c r="QG142" i="13"/>
  <c r="QH142" i="13"/>
  <c r="QI142" i="13"/>
  <c r="QJ142" i="13"/>
  <c r="QK142" i="13"/>
  <c r="QL142" i="13"/>
  <c r="QM142" i="13"/>
  <c r="QN142" i="13"/>
  <c r="QO142" i="13"/>
  <c r="QP142" i="13"/>
  <c r="QQ142" i="13"/>
  <c r="QR142" i="13"/>
  <c r="QS142" i="13"/>
  <c r="QT142" i="13"/>
  <c r="QU142" i="13"/>
  <c r="QV142" i="13"/>
  <c r="QW142" i="13"/>
  <c r="QX142" i="13"/>
  <c r="QY142" i="13"/>
  <c r="QZ142" i="13"/>
  <c r="RA142" i="13"/>
  <c r="RB142" i="13"/>
  <c r="RC142" i="13"/>
  <c r="RD142" i="13"/>
  <c r="RE142" i="13"/>
  <c r="RF142" i="13"/>
  <c r="RG142" i="13"/>
  <c r="RH142" i="13"/>
  <c r="RI142" i="13"/>
  <c r="RJ142" i="13"/>
  <c r="RK142" i="13"/>
  <c r="RL142" i="13"/>
  <c r="RM142" i="13"/>
  <c r="RN142" i="13"/>
  <c r="RO142" i="13"/>
  <c r="RP142" i="13"/>
  <c r="RQ142" i="13"/>
  <c r="RR142" i="13"/>
  <c r="RS142" i="13"/>
  <c r="RT142" i="13"/>
  <c r="RU142" i="13"/>
  <c r="RV142" i="13"/>
  <c r="RW142" i="13"/>
  <c r="RX142" i="13"/>
  <c r="RY142" i="13"/>
  <c r="RZ142" i="13"/>
  <c r="SA142" i="13"/>
  <c r="SB142" i="13"/>
  <c r="SC142" i="13"/>
  <c r="SD142" i="13"/>
  <c r="SE142" i="13"/>
  <c r="SF142" i="13"/>
  <c r="SG142" i="13"/>
  <c r="SH142" i="13"/>
  <c r="SI142" i="13"/>
  <c r="SJ142" i="13"/>
  <c r="SK142" i="13"/>
  <c r="SL142" i="13"/>
  <c r="SM142" i="13"/>
  <c r="SN142" i="13"/>
  <c r="SO142" i="13"/>
  <c r="SP142" i="13"/>
  <c r="SQ142" i="13"/>
  <c r="SR142" i="13"/>
  <c r="SS142" i="13"/>
  <c r="ST142" i="13"/>
  <c r="SU142" i="13"/>
  <c r="SV142" i="13"/>
  <c r="SW142" i="13"/>
  <c r="SX142" i="13"/>
  <c r="SY142" i="13"/>
  <c r="SZ142" i="13"/>
  <c r="TA142" i="13"/>
  <c r="TB142" i="13"/>
  <c r="TC142" i="13"/>
  <c r="TD142" i="13"/>
  <c r="TE142" i="13"/>
  <c r="TF142" i="13"/>
  <c r="TG142" i="13"/>
  <c r="TH142" i="13"/>
  <c r="TI142" i="13"/>
  <c r="TJ142" i="13"/>
  <c r="TK142" i="13"/>
  <c r="TL142" i="13"/>
  <c r="TM142" i="13"/>
  <c r="TN142" i="13"/>
  <c r="TO142" i="13"/>
  <c r="TP142" i="13"/>
  <c r="TQ142" i="13"/>
  <c r="TR142" i="13"/>
  <c r="TS142" i="13"/>
  <c r="TT142" i="13"/>
  <c r="TU142" i="13"/>
  <c r="TV142" i="13"/>
  <c r="TW142" i="13"/>
  <c r="TX142" i="13"/>
  <c r="TY142" i="13"/>
  <c r="TZ142" i="13"/>
  <c r="UA142" i="13"/>
  <c r="UB142" i="13"/>
  <c r="UC142" i="13"/>
  <c r="UD142" i="13"/>
  <c r="UE142" i="13"/>
  <c r="UF142" i="13"/>
  <c r="UG142" i="13"/>
  <c r="UH142" i="13"/>
  <c r="UI142" i="13"/>
  <c r="UJ142" i="13"/>
  <c r="UK142" i="13"/>
  <c r="UL142" i="13"/>
  <c r="UM142" i="13"/>
  <c r="UN142" i="13"/>
  <c r="UO142" i="13"/>
  <c r="UP142" i="13"/>
  <c r="UQ142" i="13"/>
  <c r="OU132" i="13"/>
  <c r="OU133" i="13"/>
  <c r="OU134" i="13"/>
  <c r="OU135" i="13"/>
  <c r="OU137" i="13"/>
  <c r="OU139" i="13"/>
  <c r="OU141" i="13"/>
  <c r="OU142" i="13"/>
  <c r="OU131" i="13"/>
  <c r="MW119" i="13"/>
  <c r="MX119" i="13"/>
  <c r="MY119" i="13"/>
  <c r="MZ119" i="13"/>
  <c r="NA119" i="13"/>
  <c r="NB119" i="13"/>
  <c r="NC119" i="13"/>
  <c r="ND119" i="13"/>
  <c r="NE119" i="13"/>
  <c r="NF119" i="13"/>
  <c r="NG119" i="13"/>
  <c r="NH119" i="13"/>
  <c r="NI119" i="13"/>
  <c r="NJ119" i="13"/>
  <c r="NK119" i="13"/>
  <c r="NL119" i="13"/>
  <c r="NM119" i="13"/>
  <c r="NN119" i="13"/>
  <c r="NO119" i="13"/>
  <c r="NP119" i="13"/>
  <c r="NQ119" i="13"/>
  <c r="NR119" i="13"/>
  <c r="NS119" i="13"/>
  <c r="NT119" i="13"/>
  <c r="NU119" i="13"/>
  <c r="NV119" i="13"/>
  <c r="NW119" i="13"/>
  <c r="NX119" i="13"/>
  <c r="NY119" i="13"/>
  <c r="NZ119" i="13"/>
  <c r="OA119" i="13"/>
  <c r="OB119" i="13"/>
  <c r="OC119" i="13"/>
  <c r="OD119" i="13"/>
  <c r="OE119" i="13"/>
  <c r="OF119" i="13"/>
  <c r="OG119" i="13"/>
  <c r="OH119" i="13"/>
  <c r="OI119" i="13"/>
  <c r="OJ119" i="13"/>
  <c r="OK119" i="13"/>
  <c r="OL119" i="13"/>
  <c r="OM119" i="13"/>
  <c r="ON119" i="13"/>
  <c r="OO119" i="13"/>
  <c r="OP119" i="13"/>
  <c r="OQ119" i="13"/>
  <c r="OR119" i="13"/>
  <c r="OS119" i="13"/>
  <c r="OT119" i="13"/>
  <c r="OU119" i="13"/>
  <c r="OV119" i="13"/>
  <c r="OW119" i="13"/>
  <c r="OX119" i="13"/>
  <c r="OY119" i="13"/>
  <c r="OZ119" i="13"/>
  <c r="PA119" i="13"/>
  <c r="PB119" i="13"/>
  <c r="PC119" i="13"/>
  <c r="PD119" i="13"/>
  <c r="PE119" i="13"/>
  <c r="PF119" i="13"/>
  <c r="PG119" i="13"/>
  <c r="PH119" i="13"/>
  <c r="PI119" i="13"/>
  <c r="PJ119" i="13"/>
  <c r="PK119" i="13"/>
  <c r="PL119" i="13"/>
  <c r="PM119" i="13"/>
  <c r="PN119" i="13"/>
  <c r="PO119" i="13"/>
  <c r="PP119" i="13"/>
  <c r="PQ119" i="13"/>
  <c r="PR119" i="13"/>
  <c r="PS119" i="13"/>
  <c r="PT119" i="13"/>
  <c r="PU119" i="13"/>
  <c r="PV119" i="13"/>
  <c r="PW119" i="13"/>
  <c r="PX119" i="13"/>
  <c r="PY119" i="13"/>
  <c r="PZ119" i="13"/>
  <c r="QA119" i="13"/>
  <c r="QB119" i="13"/>
  <c r="QC119" i="13"/>
  <c r="QD119" i="13"/>
  <c r="QE119" i="13"/>
  <c r="QF119" i="13"/>
  <c r="QG119" i="13"/>
  <c r="QH119" i="13"/>
  <c r="QI119" i="13"/>
  <c r="QJ119" i="13"/>
  <c r="QK119" i="13"/>
  <c r="QL119" i="13"/>
  <c r="QM119" i="13"/>
  <c r="QN119" i="13"/>
  <c r="QO119" i="13"/>
  <c r="QP119" i="13"/>
  <c r="QQ119" i="13"/>
  <c r="QR119" i="13"/>
  <c r="QS119" i="13"/>
  <c r="QT119" i="13"/>
  <c r="QU119" i="13"/>
  <c r="QV119" i="13"/>
  <c r="QW119" i="13"/>
  <c r="QX119" i="13"/>
  <c r="QY119" i="13"/>
  <c r="QZ119" i="13"/>
  <c r="RA119" i="13"/>
  <c r="RB119" i="13"/>
  <c r="RC119" i="13"/>
  <c r="RD119" i="13"/>
  <c r="RE119" i="13"/>
  <c r="RF119" i="13"/>
  <c r="RG119" i="13"/>
  <c r="RH119" i="13"/>
  <c r="RI119" i="13"/>
  <c r="RJ119" i="13"/>
  <c r="RK119" i="13"/>
  <c r="RL119" i="13"/>
  <c r="RM119" i="13"/>
  <c r="RN119" i="13"/>
  <c r="RO119" i="13"/>
  <c r="RP119" i="13"/>
  <c r="RQ119" i="13"/>
  <c r="RR119" i="13"/>
  <c r="RS119" i="13"/>
  <c r="RT119" i="13"/>
  <c r="RU119" i="13"/>
  <c r="RV119" i="13"/>
  <c r="RW119" i="13"/>
  <c r="RX119" i="13"/>
  <c r="RY119" i="13"/>
  <c r="RZ119" i="13"/>
  <c r="SA119" i="13"/>
  <c r="SB119" i="13"/>
  <c r="SC119" i="13"/>
  <c r="SD119" i="13"/>
  <c r="SE119" i="13"/>
  <c r="SF119" i="13"/>
  <c r="SG119" i="13"/>
  <c r="SH119" i="13"/>
  <c r="SI119" i="13"/>
  <c r="SJ119" i="13"/>
  <c r="SK119" i="13"/>
  <c r="SL119" i="13"/>
  <c r="SM119" i="13"/>
  <c r="SN119" i="13"/>
  <c r="SO119" i="13"/>
  <c r="SP119" i="13"/>
  <c r="SQ119" i="13"/>
  <c r="SR119" i="13"/>
  <c r="MW120" i="13"/>
  <c r="MX120" i="13"/>
  <c r="MY120" i="13"/>
  <c r="MZ120" i="13"/>
  <c r="NA120" i="13"/>
  <c r="NB120" i="13"/>
  <c r="NC120" i="13"/>
  <c r="ND120" i="13"/>
  <c r="NE120" i="13"/>
  <c r="NF120" i="13"/>
  <c r="NG120" i="13"/>
  <c r="NH120" i="13"/>
  <c r="NI120" i="13"/>
  <c r="NJ120" i="13"/>
  <c r="NK120" i="13"/>
  <c r="NL120" i="13"/>
  <c r="NM120" i="13"/>
  <c r="NN120" i="13"/>
  <c r="NO120" i="13"/>
  <c r="NP120" i="13"/>
  <c r="NQ120" i="13"/>
  <c r="NR120" i="13"/>
  <c r="NS120" i="13"/>
  <c r="NT120" i="13"/>
  <c r="NU120" i="13"/>
  <c r="NV120" i="13"/>
  <c r="NW120" i="13"/>
  <c r="NX120" i="13"/>
  <c r="NY120" i="13"/>
  <c r="NZ120" i="13"/>
  <c r="OA120" i="13"/>
  <c r="OB120" i="13"/>
  <c r="OC120" i="13"/>
  <c r="OD120" i="13"/>
  <c r="OE120" i="13"/>
  <c r="OF120" i="13"/>
  <c r="OG120" i="13"/>
  <c r="OH120" i="13"/>
  <c r="OI120" i="13"/>
  <c r="OJ120" i="13"/>
  <c r="OK120" i="13"/>
  <c r="OL120" i="13"/>
  <c r="OM120" i="13"/>
  <c r="ON120" i="13"/>
  <c r="OO120" i="13"/>
  <c r="OP120" i="13"/>
  <c r="OQ120" i="13"/>
  <c r="OR120" i="13"/>
  <c r="OS120" i="13"/>
  <c r="OT120" i="13"/>
  <c r="OU120" i="13"/>
  <c r="OV120" i="13"/>
  <c r="OW120" i="13"/>
  <c r="OX120" i="13"/>
  <c r="OY120" i="13"/>
  <c r="OZ120" i="13"/>
  <c r="PA120" i="13"/>
  <c r="PB120" i="13"/>
  <c r="PC120" i="13"/>
  <c r="PD120" i="13"/>
  <c r="PE120" i="13"/>
  <c r="PF120" i="13"/>
  <c r="PG120" i="13"/>
  <c r="PH120" i="13"/>
  <c r="PI120" i="13"/>
  <c r="PJ120" i="13"/>
  <c r="PK120" i="13"/>
  <c r="PL120" i="13"/>
  <c r="PM120" i="13"/>
  <c r="PN120" i="13"/>
  <c r="PO120" i="13"/>
  <c r="PP120" i="13"/>
  <c r="PQ120" i="13"/>
  <c r="PR120" i="13"/>
  <c r="PS120" i="13"/>
  <c r="PT120" i="13"/>
  <c r="PU120" i="13"/>
  <c r="PV120" i="13"/>
  <c r="PW120" i="13"/>
  <c r="PX120" i="13"/>
  <c r="PY120" i="13"/>
  <c r="PZ120" i="13"/>
  <c r="QA120" i="13"/>
  <c r="QB120" i="13"/>
  <c r="QC120" i="13"/>
  <c r="QD120" i="13"/>
  <c r="QE120" i="13"/>
  <c r="QF120" i="13"/>
  <c r="QG120" i="13"/>
  <c r="QH120" i="13"/>
  <c r="QI120" i="13"/>
  <c r="QJ120" i="13"/>
  <c r="QK120" i="13"/>
  <c r="QL120" i="13"/>
  <c r="QM120" i="13"/>
  <c r="QN120" i="13"/>
  <c r="QO120" i="13"/>
  <c r="QP120" i="13"/>
  <c r="QQ120" i="13"/>
  <c r="QR120" i="13"/>
  <c r="QS120" i="13"/>
  <c r="QT120" i="13"/>
  <c r="QU120" i="13"/>
  <c r="QV120" i="13"/>
  <c r="QW120" i="13"/>
  <c r="QX120" i="13"/>
  <c r="QY120" i="13"/>
  <c r="QZ120" i="13"/>
  <c r="RA120" i="13"/>
  <c r="RB120" i="13"/>
  <c r="RC120" i="13"/>
  <c r="RD120" i="13"/>
  <c r="RE120" i="13"/>
  <c r="RF120" i="13"/>
  <c r="RG120" i="13"/>
  <c r="RH120" i="13"/>
  <c r="RI120" i="13"/>
  <c r="RJ120" i="13"/>
  <c r="RK120" i="13"/>
  <c r="RL120" i="13"/>
  <c r="RM120" i="13"/>
  <c r="RN120" i="13"/>
  <c r="RO120" i="13"/>
  <c r="RP120" i="13"/>
  <c r="RQ120" i="13"/>
  <c r="RR120" i="13"/>
  <c r="RS120" i="13"/>
  <c r="RT120" i="13"/>
  <c r="RU120" i="13"/>
  <c r="RV120" i="13"/>
  <c r="RW120" i="13"/>
  <c r="RX120" i="13"/>
  <c r="RY120" i="13"/>
  <c r="RZ120" i="13"/>
  <c r="SA120" i="13"/>
  <c r="SB120" i="13"/>
  <c r="SC120" i="13"/>
  <c r="SD120" i="13"/>
  <c r="SE120" i="13"/>
  <c r="SF120" i="13"/>
  <c r="SG120" i="13"/>
  <c r="SH120" i="13"/>
  <c r="SI120" i="13"/>
  <c r="SJ120" i="13"/>
  <c r="SK120" i="13"/>
  <c r="SL120" i="13"/>
  <c r="SM120" i="13"/>
  <c r="SN120" i="13"/>
  <c r="SO120" i="13"/>
  <c r="SP120" i="13"/>
  <c r="SQ120" i="13"/>
  <c r="SR120" i="13"/>
  <c r="MW121" i="13"/>
  <c r="MX121" i="13"/>
  <c r="MY121" i="13"/>
  <c r="MZ121" i="13"/>
  <c r="NA121" i="13"/>
  <c r="NB121" i="13"/>
  <c r="NC121" i="13"/>
  <c r="ND121" i="13"/>
  <c r="NE121" i="13"/>
  <c r="NF121" i="13"/>
  <c r="NG121" i="13"/>
  <c r="NH121" i="13"/>
  <c r="NI121" i="13"/>
  <c r="NJ121" i="13"/>
  <c r="NK121" i="13"/>
  <c r="NL121" i="13"/>
  <c r="NM121" i="13"/>
  <c r="NN121" i="13"/>
  <c r="NO121" i="13"/>
  <c r="NP121" i="13"/>
  <c r="NQ121" i="13"/>
  <c r="NR121" i="13"/>
  <c r="NS121" i="13"/>
  <c r="NT121" i="13"/>
  <c r="NU121" i="13"/>
  <c r="NV121" i="13"/>
  <c r="NW121" i="13"/>
  <c r="NX121" i="13"/>
  <c r="NY121" i="13"/>
  <c r="NZ121" i="13"/>
  <c r="OA121" i="13"/>
  <c r="OB121" i="13"/>
  <c r="OC121" i="13"/>
  <c r="OD121" i="13"/>
  <c r="OE121" i="13"/>
  <c r="OF121" i="13"/>
  <c r="OG121" i="13"/>
  <c r="OH121" i="13"/>
  <c r="OI121" i="13"/>
  <c r="OJ121" i="13"/>
  <c r="OK121" i="13"/>
  <c r="OL121" i="13"/>
  <c r="OM121" i="13"/>
  <c r="ON121" i="13"/>
  <c r="OO121" i="13"/>
  <c r="OP121" i="13"/>
  <c r="OQ121" i="13"/>
  <c r="OR121" i="13"/>
  <c r="OS121" i="13"/>
  <c r="OT121" i="13"/>
  <c r="OU121" i="13"/>
  <c r="OV121" i="13"/>
  <c r="OW121" i="13"/>
  <c r="OX121" i="13"/>
  <c r="OY121" i="13"/>
  <c r="OZ121" i="13"/>
  <c r="PA121" i="13"/>
  <c r="PB121" i="13"/>
  <c r="PC121" i="13"/>
  <c r="PD121" i="13"/>
  <c r="PE121" i="13"/>
  <c r="PF121" i="13"/>
  <c r="PG121" i="13"/>
  <c r="PH121" i="13"/>
  <c r="PI121" i="13"/>
  <c r="PJ121" i="13"/>
  <c r="PK121" i="13"/>
  <c r="PL121" i="13"/>
  <c r="PM121" i="13"/>
  <c r="PN121" i="13"/>
  <c r="PO121" i="13"/>
  <c r="PP121" i="13"/>
  <c r="PQ121" i="13"/>
  <c r="PR121" i="13"/>
  <c r="PS121" i="13"/>
  <c r="PT121" i="13"/>
  <c r="PU121" i="13"/>
  <c r="PV121" i="13"/>
  <c r="PW121" i="13"/>
  <c r="PX121" i="13"/>
  <c r="PY121" i="13"/>
  <c r="PZ121" i="13"/>
  <c r="QA121" i="13"/>
  <c r="QB121" i="13"/>
  <c r="QC121" i="13"/>
  <c r="QD121" i="13"/>
  <c r="QE121" i="13"/>
  <c r="QF121" i="13"/>
  <c r="QG121" i="13"/>
  <c r="QH121" i="13"/>
  <c r="QI121" i="13"/>
  <c r="QJ121" i="13"/>
  <c r="QK121" i="13"/>
  <c r="QL121" i="13"/>
  <c r="QM121" i="13"/>
  <c r="QN121" i="13"/>
  <c r="QO121" i="13"/>
  <c r="QP121" i="13"/>
  <c r="QQ121" i="13"/>
  <c r="QR121" i="13"/>
  <c r="QS121" i="13"/>
  <c r="QT121" i="13"/>
  <c r="QU121" i="13"/>
  <c r="QV121" i="13"/>
  <c r="QW121" i="13"/>
  <c r="QX121" i="13"/>
  <c r="QY121" i="13"/>
  <c r="QZ121" i="13"/>
  <c r="RA121" i="13"/>
  <c r="RB121" i="13"/>
  <c r="RC121" i="13"/>
  <c r="RD121" i="13"/>
  <c r="RE121" i="13"/>
  <c r="RF121" i="13"/>
  <c r="RG121" i="13"/>
  <c r="RH121" i="13"/>
  <c r="RI121" i="13"/>
  <c r="RJ121" i="13"/>
  <c r="RK121" i="13"/>
  <c r="RL121" i="13"/>
  <c r="RM121" i="13"/>
  <c r="RN121" i="13"/>
  <c r="RO121" i="13"/>
  <c r="RP121" i="13"/>
  <c r="RQ121" i="13"/>
  <c r="RR121" i="13"/>
  <c r="RS121" i="13"/>
  <c r="RT121" i="13"/>
  <c r="RV121" i="13"/>
  <c r="RX121" i="13"/>
  <c r="RY121" i="13"/>
  <c r="RZ121" i="13"/>
  <c r="SA121" i="13"/>
  <c r="SC121" i="13"/>
  <c r="SE121" i="13"/>
  <c r="SF121" i="13"/>
  <c r="SG121" i="13"/>
  <c r="SH121" i="13"/>
  <c r="SJ121" i="13"/>
  <c r="SL121" i="13"/>
  <c r="SM121" i="13"/>
  <c r="SN121" i="13"/>
  <c r="SO121" i="13"/>
  <c r="SQ121" i="13"/>
  <c r="SR126" i="13"/>
  <c r="OT127" i="13"/>
  <c r="QS127" i="13"/>
  <c r="SR128" i="13"/>
  <c r="MW129" i="13"/>
  <c r="MX129" i="13"/>
  <c r="MY129" i="13"/>
  <c r="MZ129" i="13"/>
  <c r="NA129" i="13"/>
  <c r="NB129" i="13"/>
  <c r="NC129" i="13"/>
  <c r="ND129" i="13"/>
  <c r="NE129" i="13"/>
  <c r="NF129" i="13"/>
  <c r="NG129" i="13"/>
  <c r="NH129" i="13"/>
  <c r="NI129" i="13"/>
  <c r="NJ129" i="13"/>
  <c r="NK129" i="13"/>
  <c r="NL129" i="13"/>
  <c r="NM129" i="13"/>
  <c r="NN129" i="13"/>
  <c r="NO129" i="13"/>
  <c r="NP129" i="13"/>
  <c r="NQ129" i="13"/>
  <c r="NR129" i="13"/>
  <c r="NS129" i="13"/>
  <c r="NT129" i="13"/>
  <c r="NU129" i="13"/>
  <c r="NV129" i="13"/>
  <c r="NW129" i="13"/>
  <c r="NX129" i="13"/>
  <c r="NY129" i="13"/>
  <c r="NZ129" i="13"/>
  <c r="OA129" i="13"/>
  <c r="OB129" i="13"/>
  <c r="OC129" i="13"/>
  <c r="OD129" i="13"/>
  <c r="OE129" i="13"/>
  <c r="OF129" i="13"/>
  <c r="OG129" i="13"/>
  <c r="OH129" i="13"/>
  <c r="OI129" i="13"/>
  <c r="OJ129" i="13"/>
  <c r="OK129" i="13"/>
  <c r="OL129" i="13"/>
  <c r="OM129" i="13"/>
  <c r="ON129" i="13"/>
  <c r="OO129" i="13"/>
  <c r="OP129" i="13"/>
  <c r="OQ129" i="13"/>
  <c r="OR129" i="13"/>
  <c r="OS129" i="13"/>
  <c r="OT129" i="13"/>
  <c r="OU129" i="13"/>
  <c r="OV129" i="13"/>
  <c r="OW129" i="13"/>
  <c r="OX129" i="13"/>
  <c r="OY129" i="13"/>
  <c r="OZ129" i="13"/>
  <c r="PA129" i="13"/>
  <c r="PB129" i="13"/>
  <c r="PC129" i="13"/>
  <c r="PD129" i="13"/>
  <c r="PE129" i="13"/>
  <c r="PF129" i="13"/>
  <c r="PG129" i="13"/>
  <c r="PH129" i="13"/>
  <c r="PI129" i="13"/>
  <c r="PJ129" i="13"/>
  <c r="PK129" i="13"/>
  <c r="PL129" i="13"/>
  <c r="PM129" i="13"/>
  <c r="PN129" i="13"/>
  <c r="PO129" i="13"/>
  <c r="PP129" i="13"/>
  <c r="PQ129" i="13"/>
  <c r="PR129" i="13"/>
  <c r="PS129" i="13"/>
  <c r="PT129" i="13"/>
  <c r="PU129" i="13"/>
  <c r="PV129" i="13"/>
  <c r="PW129" i="13"/>
  <c r="PX129" i="13"/>
  <c r="PY129" i="13"/>
  <c r="PZ129" i="13"/>
  <c r="QA129" i="13"/>
  <c r="QB129" i="13"/>
  <c r="QC129" i="13"/>
  <c r="QD129" i="13"/>
  <c r="QE129" i="13"/>
  <c r="QF129" i="13"/>
  <c r="QG129" i="13"/>
  <c r="QH129" i="13"/>
  <c r="QI129" i="13"/>
  <c r="QJ129" i="13"/>
  <c r="QK129" i="13"/>
  <c r="QL129" i="13"/>
  <c r="QM129" i="13"/>
  <c r="QN129" i="13"/>
  <c r="QO129" i="13"/>
  <c r="QP129" i="13"/>
  <c r="QQ129" i="13"/>
  <c r="QR129" i="13"/>
  <c r="QS129" i="13"/>
  <c r="QT129" i="13"/>
  <c r="QU129" i="13"/>
  <c r="QV129" i="13"/>
  <c r="QW129" i="13"/>
  <c r="QX129" i="13"/>
  <c r="QY129" i="13"/>
  <c r="QZ129" i="13"/>
  <c r="RA129" i="13"/>
  <c r="RB129" i="13"/>
  <c r="RC129" i="13"/>
  <c r="RD129" i="13"/>
  <c r="RE129" i="13"/>
  <c r="RF129" i="13"/>
  <c r="RG129" i="13"/>
  <c r="RH129" i="13"/>
  <c r="RI129" i="13"/>
  <c r="RJ129" i="13"/>
  <c r="RK129" i="13"/>
  <c r="RL129" i="13"/>
  <c r="RM129" i="13"/>
  <c r="RN129" i="13"/>
  <c r="RO129" i="13"/>
  <c r="RP129" i="13"/>
  <c r="RQ129" i="13"/>
  <c r="RR129" i="13"/>
  <c r="RS129" i="13"/>
  <c r="RT129" i="13"/>
  <c r="RU129" i="13"/>
  <c r="RV129" i="13"/>
  <c r="RW129" i="13"/>
  <c r="RX129" i="13"/>
  <c r="RY129" i="13"/>
  <c r="RZ129" i="13"/>
  <c r="SA129" i="13"/>
  <c r="SB129" i="13"/>
  <c r="SC129" i="13"/>
  <c r="SD129" i="13"/>
  <c r="SE129" i="13"/>
  <c r="SF129" i="13"/>
  <c r="SG129" i="13"/>
  <c r="SH129" i="13"/>
  <c r="SI129" i="13"/>
  <c r="SJ129" i="13"/>
  <c r="SK129" i="13"/>
  <c r="SL129" i="13"/>
  <c r="SM129" i="13"/>
  <c r="SN129" i="13"/>
  <c r="SO129" i="13"/>
  <c r="SP129" i="13"/>
  <c r="SQ129" i="13"/>
  <c r="SR129" i="13"/>
  <c r="MV119" i="13"/>
  <c r="MV120" i="13"/>
  <c r="MV121" i="13"/>
  <c r="MV122" i="13"/>
  <c r="MV124" i="13"/>
  <c r="MV126" i="13"/>
  <c r="MV128" i="13"/>
  <c r="MV129" i="13"/>
  <c r="MV118" i="13"/>
  <c r="QN106" i="13"/>
  <c r="QO106" i="13"/>
  <c r="QP106" i="13"/>
  <c r="QQ106" i="13"/>
  <c r="QR106" i="13"/>
  <c r="QS106" i="13"/>
  <c r="QN107" i="13"/>
  <c r="QO107" i="13"/>
  <c r="QP107" i="13"/>
  <c r="QQ107" i="13"/>
  <c r="QR107" i="13"/>
  <c r="QS107" i="13"/>
  <c r="QN108" i="13"/>
  <c r="QO108" i="13"/>
  <c r="QP108" i="13"/>
  <c r="QR108" i="13"/>
  <c r="QS113" i="13"/>
  <c r="QS115" i="13"/>
  <c r="QN116" i="13"/>
  <c r="QO116" i="13"/>
  <c r="QP116" i="13"/>
  <c r="QQ116" i="13"/>
  <c r="QR116" i="13"/>
  <c r="QS116" i="13"/>
  <c r="PY106" i="13"/>
  <c r="PZ106" i="13"/>
  <c r="QA106" i="13"/>
  <c r="QB106" i="13"/>
  <c r="QC106" i="13"/>
  <c r="QD106" i="13"/>
  <c r="QE106" i="13"/>
  <c r="QF106" i="13"/>
  <c r="QG106" i="13"/>
  <c r="QH106" i="13"/>
  <c r="QI106" i="13"/>
  <c r="QJ106" i="13"/>
  <c r="QK106" i="13"/>
  <c r="QL106" i="13"/>
  <c r="QM106" i="13"/>
  <c r="PY107" i="13"/>
  <c r="PZ107" i="13"/>
  <c r="QA107" i="13"/>
  <c r="QB107" i="13"/>
  <c r="QC107" i="13"/>
  <c r="QD107" i="13"/>
  <c r="QE107" i="13"/>
  <c r="QF107" i="13"/>
  <c r="QG107" i="13"/>
  <c r="QH107" i="13"/>
  <c r="QI107" i="13"/>
  <c r="QJ107" i="13"/>
  <c r="QK107" i="13"/>
  <c r="QL107" i="13"/>
  <c r="QM107" i="13"/>
  <c r="PY108" i="13"/>
  <c r="PZ108" i="13"/>
  <c r="QA108" i="13"/>
  <c r="QB108" i="13"/>
  <c r="QD108" i="13"/>
  <c r="QF108" i="13"/>
  <c r="QG108" i="13"/>
  <c r="QH108" i="13"/>
  <c r="QI108" i="13"/>
  <c r="QK108" i="13"/>
  <c r="QM108" i="13"/>
  <c r="PY116" i="13"/>
  <c r="PZ116" i="13"/>
  <c r="QA116" i="13"/>
  <c r="QB116" i="13"/>
  <c r="QC116" i="13"/>
  <c r="QD116" i="13"/>
  <c r="QE116" i="13"/>
  <c r="QF116" i="13"/>
  <c r="QG116" i="13"/>
  <c r="QH116" i="13"/>
  <c r="QI116" i="13"/>
  <c r="QJ116" i="13"/>
  <c r="QK116" i="13"/>
  <c r="QL116" i="13"/>
  <c r="QM116" i="13"/>
  <c r="KX106" i="13"/>
  <c r="KY106" i="13"/>
  <c r="KZ106" i="13"/>
  <c r="LA106" i="13"/>
  <c r="LB106" i="13"/>
  <c r="LC106" i="13"/>
  <c r="LD106" i="13"/>
  <c r="LE106" i="13"/>
  <c r="LF106" i="13"/>
  <c r="LG106" i="13"/>
  <c r="LH106" i="13"/>
  <c r="LI106" i="13"/>
  <c r="LJ106" i="13"/>
  <c r="LK106" i="13"/>
  <c r="LL106" i="13"/>
  <c r="LM106" i="13"/>
  <c r="LN106" i="13"/>
  <c r="LO106" i="13"/>
  <c r="LP106" i="13"/>
  <c r="LQ106" i="13"/>
  <c r="LR106" i="13"/>
  <c r="LS106" i="13"/>
  <c r="LT106" i="13"/>
  <c r="LU106" i="13"/>
  <c r="LV106" i="13"/>
  <c r="LW106" i="13"/>
  <c r="LX106" i="13"/>
  <c r="LY106" i="13"/>
  <c r="LZ106" i="13"/>
  <c r="MA106" i="13"/>
  <c r="MB106" i="13"/>
  <c r="MC106" i="13"/>
  <c r="MD106" i="13"/>
  <c r="ME106" i="13"/>
  <c r="MF106" i="13"/>
  <c r="MG106" i="13"/>
  <c r="MH106" i="13"/>
  <c r="MI106" i="13"/>
  <c r="MJ106" i="13"/>
  <c r="MK106" i="13"/>
  <c r="ML106" i="13"/>
  <c r="MM106" i="13"/>
  <c r="MN106" i="13"/>
  <c r="MO106" i="13"/>
  <c r="MP106" i="13"/>
  <c r="MQ106" i="13"/>
  <c r="MR106" i="13"/>
  <c r="MS106" i="13"/>
  <c r="MT106" i="13"/>
  <c r="MU106" i="13"/>
  <c r="MV106" i="13"/>
  <c r="MW106" i="13"/>
  <c r="MX106" i="13"/>
  <c r="MY106" i="13"/>
  <c r="MZ106" i="13"/>
  <c r="NA106" i="13"/>
  <c r="NB106" i="13"/>
  <c r="NC106" i="13"/>
  <c r="ND106" i="13"/>
  <c r="NE106" i="13"/>
  <c r="NF106" i="13"/>
  <c r="NG106" i="13"/>
  <c r="NH106" i="13"/>
  <c r="NI106" i="13"/>
  <c r="NJ106" i="13"/>
  <c r="NK106" i="13"/>
  <c r="NL106" i="13"/>
  <c r="NM106" i="13"/>
  <c r="NN106" i="13"/>
  <c r="NO106" i="13"/>
  <c r="NP106" i="13"/>
  <c r="NQ106" i="13"/>
  <c r="NR106" i="13"/>
  <c r="NS106" i="13"/>
  <c r="NT106" i="13"/>
  <c r="NU106" i="13"/>
  <c r="NV106" i="13"/>
  <c r="NW106" i="13"/>
  <c r="NX106" i="13"/>
  <c r="NY106" i="13"/>
  <c r="NZ106" i="13"/>
  <c r="OA106" i="13"/>
  <c r="OB106" i="13"/>
  <c r="OC106" i="13"/>
  <c r="OD106" i="13"/>
  <c r="OE106" i="13"/>
  <c r="OF106" i="13"/>
  <c r="OG106" i="13"/>
  <c r="OH106" i="13"/>
  <c r="OI106" i="13"/>
  <c r="OJ106" i="13"/>
  <c r="OK106" i="13"/>
  <c r="OL106" i="13"/>
  <c r="OM106" i="13"/>
  <c r="ON106" i="13"/>
  <c r="OO106" i="13"/>
  <c r="OP106" i="13"/>
  <c r="OQ106" i="13"/>
  <c r="OR106" i="13"/>
  <c r="OS106" i="13"/>
  <c r="OT106" i="13"/>
  <c r="OU106" i="13"/>
  <c r="OV106" i="13"/>
  <c r="OW106" i="13"/>
  <c r="OX106" i="13"/>
  <c r="OY106" i="13"/>
  <c r="OZ106" i="13"/>
  <c r="PA106" i="13"/>
  <c r="PB106" i="13"/>
  <c r="PC106" i="13"/>
  <c r="PD106" i="13"/>
  <c r="PE106" i="13"/>
  <c r="PF106" i="13"/>
  <c r="PG106" i="13"/>
  <c r="PH106" i="13"/>
  <c r="PI106" i="13"/>
  <c r="PJ106" i="13"/>
  <c r="PK106" i="13"/>
  <c r="PL106" i="13"/>
  <c r="PM106" i="13"/>
  <c r="PN106" i="13"/>
  <c r="PO106" i="13"/>
  <c r="PP106" i="13"/>
  <c r="PQ106" i="13"/>
  <c r="PR106" i="13"/>
  <c r="PS106" i="13"/>
  <c r="PT106" i="13"/>
  <c r="PU106" i="13"/>
  <c r="PV106" i="13"/>
  <c r="PW106" i="13"/>
  <c r="PX106" i="13"/>
  <c r="KX107" i="13"/>
  <c r="KY107" i="13"/>
  <c r="KZ107" i="13"/>
  <c r="LA107" i="13"/>
  <c r="LB107" i="13"/>
  <c r="LC107" i="13"/>
  <c r="LD107" i="13"/>
  <c r="LE107" i="13"/>
  <c r="LF107" i="13"/>
  <c r="LG107" i="13"/>
  <c r="LH107" i="13"/>
  <c r="LI107" i="13"/>
  <c r="LJ107" i="13"/>
  <c r="LK107" i="13"/>
  <c r="LL107" i="13"/>
  <c r="LM107" i="13"/>
  <c r="LN107" i="13"/>
  <c r="LO107" i="13"/>
  <c r="LP107" i="13"/>
  <c r="LQ107" i="13"/>
  <c r="LR107" i="13"/>
  <c r="LS107" i="13"/>
  <c r="LT107" i="13"/>
  <c r="LU107" i="13"/>
  <c r="LV107" i="13"/>
  <c r="LW107" i="13"/>
  <c r="LX107" i="13"/>
  <c r="LY107" i="13"/>
  <c r="LZ107" i="13"/>
  <c r="MA107" i="13"/>
  <c r="MB107" i="13"/>
  <c r="MC107" i="13"/>
  <c r="MD107" i="13"/>
  <c r="ME107" i="13"/>
  <c r="MF107" i="13"/>
  <c r="MG107" i="13"/>
  <c r="MH107" i="13"/>
  <c r="MI107" i="13"/>
  <c r="MJ107" i="13"/>
  <c r="MK107" i="13"/>
  <c r="ML107" i="13"/>
  <c r="MM107" i="13"/>
  <c r="MN107" i="13"/>
  <c r="MO107" i="13"/>
  <c r="MP107" i="13"/>
  <c r="MQ107" i="13"/>
  <c r="MR107" i="13"/>
  <c r="MS107" i="13"/>
  <c r="MT107" i="13"/>
  <c r="MU107" i="13"/>
  <c r="MV107" i="13"/>
  <c r="MW107" i="13"/>
  <c r="MX107" i="13"/>
  <c r="MY107" i="13"/>
  <c r="MZ107" i="13"/>
  <c r="NA107" i="13"/>
  <c r="NB107" i="13"/>
  <c r="NC107" i="13"/>
  <c r="ND107" i="13"/>
  <c r="NE107" i="13"/>
  <c r="NF107" i="13"/>
  <c r="NG107" i="13"/>
  <c r="NH107" i="13"/>
  <c r="NI107" i="13"/>
  <c r="NJ107" i="13"/>
  <c r="NK107" i="13"/>
  <c r="NL107" i="13"/>
  <c r="NM107" i="13"/>
  <c r="NN107" i="13"/>
  <c r="NO107" i="13"/>
  <c r="NP107" i="13"/>
  <c r="NQ107" i="13"/>
  <c r="NR107" i="13"/>
  <c r="NS107" i="13"/>
  <c r="NT107" i="13"/>
  <c r="NU107" i="13"/>
  <c r="NV107" i="13"/>
  <c r="NW107" i="13"/>
  <c r="NX107" i="13"/>
  <c r="NY107" i="13"/>
  <c r="NZ107" i="13"/>
  <c r="OA107" i="13"/>
  <c r="OB107" i="13"/>
  <c r="OC107" i="13"/>
  <c r="OD107" i="13"/>
  <c r="OE107" i="13"/>
  <c r="OF107" i="13"/>
  <c r="OG107" i="13"/>
  <c r="OH107" i="13"/>
  <c r="OI107" i="13"/>
  <c r="OJ107" i="13"/>
  <c r="OK107" i="13"/>
  <c r="OL107" i="13"/>
  <c r="OM107" i="13"/>
  <c r="ON107" i="13"/>
  <c r="OO107" i="13"/>
  <c r="OP107" i="13"/>
  <c r="OQ107" i="13"/>
  <c r="OR107" i="13"/>
  <c r="OS107" i="13"/>
  <c r="OT107" i="13"/>
  <c r="OU107" i="13"/>
  <c r="OV107" i="13"/>
  <c r="OW107" i="13"/>
  <c r="OX107" i="13"/>
  <c r="OY107" i="13"/>
  <c r="OZ107" i="13"/>
  <c r="PA107" i="13"/>
  <c r="PB107" i="13"/>
  <c r="PC107" i="13"/>
  <c r="PD107" i="13"/>
  <c r="PE107" i="13"/>
  <c r="PF107" i="13"/>
  <c r="PG107" i="13"/>
  <c r="PH107" i="13"/>
  <c r="PI107" i="13"/>
  <c r="PJ107" i="13"/>
  <c r="PK107" i="13"/>
  <c r="PL107" i="13"/>
  <c r="PM107" i="13"/>
  <c r="PN107" i="13"/>
  <c r="PO107" i="13"/>
  <c r="PP107" i="13"/>
  <c r="PQ107" i="13"/>
  <c r="PR107" i="13"/>
  <c r="PS107" i="13"/>
  <c r="PT107" i="13"/>
  <c r="PU107" i="13"/>
  <c r="PV107" i="13"/>
  <c r="PW107" i="13"/>
  <c r="PX107" i="13"/>
  <c r="KX108" i="13"/>
  <c r="KY108" i="13"/>
  <c r="KZ108" i="13"/>
  <c r="LA108" i="13"/>
  <c r="LB108" i="13"/>
  <c r="LC108" i="13"/>
  <c r="LD108" i="13"/>
  <c r="LE108" i="13"/>
  <c r="LF108" i="13"/>
  <c r="LG108" i="13"/>
  <c r="LH108" i="13"/>
  <c r="LI108" i="13"/>
  <c r="LJ108" i="13"/>
  <c r="LK108" i="13"/>
  <c r="LL108" i="13"/>
  <c r="LM108" i="13"/>
  <c r="LN108" i="13"/>
  <c r="LO108" i="13"/>
  <c r="LP108" i="13"/>
  <c r="LQ108" i="13"/>
  <c r="LR108" i="13"/>
  <c r="LS108" i="13"/>
  <c r="LT108" i="13"/>
  <c r="LU108" i="13"/>
  <c r="LV108" i="13"/>
  <c r="LW108" i="13"/>
  <c r="LX108" i="13"/>
  <c r="LY108" i="13"/>
  <c r="LZ108" i="13"/>
  <c r="MA108" i="13"/>
  <c r="MB108" i="13"/>
  <c r="MC108" i="13"/>
  <c r="MD108" i="13"/>
  <c r="ME108" i="13"/>
  <c r="MF108" i="13"/>
  <c r="MG108" i="13"/>
  <c r="MH108" i="13"/>
  <c r="MI108" i="13"/>
  <c r="MJ108" i="13"/>
  <c r="MK108" i="13"/>
  <c r="ML108" i="13"/>
  <c r="MM108" i="13"/>
  <c r="MN108" i="13"/>
  <c r="MO108" i="13"/>
  <c r="MP108" i="13"/>
  <c r="MQ108" i="13"/>
  <c r="MR108" i="13"/>
  <c r="MS108" i="13"/>
  <c r="MT108" i="13"/>
  <c r="MU108" i="13"/>
  <c r="MV108" i="13"/>
  <c r="MW108" i="13"/>
  <c r="MX108" i="13"/>
  <c r="MY108" i="13"/>
  <c r="MZ108" i="13"/>
  <c r="NA108" i="13"/>
  <c r="NB108" i="13"/>
  <c r="NC108" i="13"/>
  <c r="ND108" i="13"/>
  <c r="NE108" i="13"/>
  <c r="NF108" i="13"/>
  <c r="NG108" i="13"/>
  <c r="NH108" i="13"/>
  <c r="NI108" i="13"/>
  <c r="NJ108" i="13"/>
  <c r="NK108" i="13"/>
  <c r="NL108" i="13"/>
  <c r="NM108" i="13"/>
  <c r="NN108" i="13"/>
  <c r="NO108" i="13"/>
  <c r="NP108" i="13"/>
  <c r="NQ108" i="13"/>
  <c r="NR108" i="13"/>
  <c r="NS108" i="13"/>
  <c r="NT108" i="13"/>
  <c r="NU108" i="13"/>
  <c r="NV108" i="13"/>
  <c r="NW108" i="13"/>
  <c r="NX108" i="13"/>
  <c r="NY108" i="13"/>
  <c r="NZ108" i="13"/>
  <c r="OA108" i="13"/>
  <c r="OB108" i="13"/>
  <c r="OC108" i="13"/>
  <c r="OD108" i="13"/>
  <c r="OE108" i="13"/>
  <c r="OF108" i="13"/>
  <c r="OG108" i="13"/>
  <c r="OH108" i="13"/>
  <c r="OI108" i="13"/>
  <c r="OJ108" i="13"/>
  <c r="OK108" i="13"/>
  <c r="OL108" i="13"/>
  <c r="OM108" i="13"/>
  <c r="ON108" i="13"/>
  <c r="OO108" i="13"/>
  <c r="OP108" i="13"/>
  <c r="OQ108" i="13"/>
  <c r="OR108" i="13"/>
  <c r="OS108" i="13"/>
  <c r="OT108" i="13"/>
  <c r="OU108" i="13"/>
  <c r="OV108" i="13"/>
  <c r="OW108" i="13"/>
  <c r="OX108" i="13"/>
  <c r="OY108" i="13"/>
  <c r="OZ108" i="13"/>
  <c r="PA108" i="13"/>
  <c r="PB108" i="13"/>
  <c r="PC108" i="13"/>
  <c r="PD108" i="13"/>
  <c r="PE108" i="13"/>
  <c r="PF108" i="13"/>
  <c r="PG108" i="13"/>
  <c r="PH108" i="13"/>
  <c r="PI108" i="13"/>
  <c r="PJ108" i="13"/>
  <c r="PK108" i="13"/>
  <c r="PL108" i="13"/>
  <c r="PM108" i="13"/>
  <c r="PN108" i="13"/>
  <c r="PO108" i="13"/>
  <c r="PP108" i="13"/>
  <c r="PQ108" i="13"/>
  <c r="PR108" i="13"/>
  <c r="PS108" i="13"/>
  <c r="PT108" i="13"/>
  <c r="PU108" i="13"/>
  <c r="PW108" i="13"/>
  <c r="MU114" i="13"/>
  <c r="OT114" i="13"/>
  <c r="KX116" i="13"/>
  <c r="KY116" i="13"/>
  <c r="KZ116" i="13"/>
  <c r="LA116" i="13"/>
  <c r="LB116" i="13"/>
  <c r="LC116" i="13"/>
  <c r="LD116" i="13"/>
  <c r="LE116" i="13"/>
  <c r="LF116" i="13"/>
  <c r="LG116" i="13"/>
  <c r="LH116" i="13"/>
  <c r="LI116" i="13"/>
  <c r="LJ116" i="13"/>
  <c r="LK116" i="13"/>
  <c r="LL116" i="13"/>
  <c r="LM116" i="13"/>
  <c r="LN116" i="13"/>
  <c r="LO116" i="13"/>
  <c r="LP116" i="13"/>
  <c r="LQ116" i="13"/>
  <c r="LR116" i="13"/>
  <c r="LS116" i="13"/>
  <c r="LT116" i="13"/>
  <c r="LU116" i="13"/>
  <c r="LV116" i="13"/>
  <c r="LW116" i="13"/>
  <c r="LX116" i="13"/>
  <c r="LY116" i="13"/>
  <c r="LZ116" i="13"/>
  <c r="MA116" i="13"/>
  <c r="MB116" i="13"/>
  <c r="MC116" i="13"/>
  <c r="MD116" i="13"/>
  <c r="ME116" i="13"/>
  <c r="MF116" i="13"/>
  <c r="MG116" i="13"/>
  <c r="MH116" i="13"/>
  <c r="MI116" i="13"/>
  <c r="MJ116" i="13"/>
  <c r="MK116" i="13"/>
  <c r="ML116" i="13"/>
  <c r="MM116" i="13"/>
  <c r="MN116" i="13"/>
  <c r="MO116" i="13"/>
  <c r="MP116" i="13"/>
  <c r="MQ116" i="13"/>
  <c r="MR116" i="13"/>
  <c r="MS116" i="13"/>
  <c r="MT116" i="13"/>
  <c r="MU116" i="13"/>
  <c r="MV116" i="13"/>
  <c r="MW116" i="13"/>
  <c r="MX116" i="13"/>
  <c r="MY116" i="13"/>
  <c r="MZ116" i="13"/>
  <c r="NA116" i="13"/>
  <c r="NB116" i="13"/>
  <c r="NC116" i="13"/>
  <c r="ND116" i="13"/>
  <c r="NE116" i="13"/>
  <c r="NF116" i="13"/>
  <c r="NG116" i="13"/>
  <c r="NH116" i="13"/>
  <c r="NI116" i="13"/>
  <c r="NJ116" i="13"/>
  <c r="NK116" i="13"/>
  <c r="NL116" i="13"/>
  <c r="NM116" i="13"/>
  <c r="NN116" i="13"/>
  <c r="NO116" i="13"/>
  <c r="NP116" i="13"/>
  <c r="NQ116" i="13"/>
  <c r="NR116" i="13"/>
  <c r="NS116" i="13"/>
  <c r="NT116" i="13"/>
  <c r="NU116" i="13"/>
  <c r="NV116" i="13"/>
  <c r="NW116" i="13"/>
  <c r="NX116" i="13"/>
  <c r="NY116" i="13"/>
  <c r="NZ116" i="13"/>
  <c r="OA116" i="13"/>
  <c r="OB116" i="13"/>
  <c r="OC116" i="13"/>
  <c r="OD116" i="13"/>
  <c r="OE116" i="13"/>
  <c r="OF116" i="13"/>
  <c r="OG116" i="13"/>
  <c r="OH116" i="13"/>
  <c r="OI116" i="13"/>
  <c r="OJ116" i="13"/>
  <c r="OK116" i="13"/>
  <c r="OL116" i="13"/>
  <c r="OM116" i="13"/>
  <c r="ON116" i="13"/>
  <c r="OO116" i="13"/>
  <c r="OP116" i="13"/>
  <c r="OQ116" i="13"/>
  <c r="OR116" i="13"/>
  <c r="OS116" i="13"/>
  <c r="OT116" i="13"/>
  <c r="OU116" i="13"/>
  <c r="OV116" i="13"/>
  <c r="OW116" i="13"/>
  <c r="OX116" i="13"/>
  <c r="OY116" i="13"/>
  <c r="OZ116" i="13"/>
  <c r="PA116" i="13"/>
  <c r="PB116" i="13"/>
  <c r="PC116" i="13"/>
  <c r="PD116" i="13"/>
  <c r="PE116" i="13"/>
  <c r="PF116" i="13"/>
  <c r="PG116" i="13"/>
  <c r="PH116" i="13"/>
  <c r="PI116" i="13"/>
  <c r="PJ116" i="13"/>
  <c r="PK116" i="13"/>
  <c r="PL116" i="13"/>
  <c r="PM116" i="13"/>
  <c r="PN116" i="13"/>
  <c r="PO116" i="13"/>
  <c r="PP116" i="13"/>
  <c r="PQ116" i="13"/>
  <c r="PR116" i="13"/>
  <c r="PS116" i="13"/>
  <c r="PT116" i="13"/>
  <c r="PU116" i="13"/>
  <c r="PV116" i="13"/>
  <c r="PW116" i="13"/>
  <c r="PX116" i="13"/>
  <c r="KW106" i="13"/>
  <c r="KW107" i="13"/>
  <c r="KW108" i="13"/>
  <c r="KW109" i="13"/>
  <c r="KW111" i="13"/>
  <c r="KW113" i="13"/>
  <c r="KW115" i="13"/>
  <c r="KW116" i="13"/>
  <c r="KW105" i="13"/>
  <c r="AHW9" i="13" l="1"/>
  <c r="AIB9" i="13"/>
  <c r="AIN13" i="13"/>
  <c r="ADS12" i="13"/>
  <c r="AIO12" i="13"/>
  <c r="AHH13" i="13"/>
  <c r="AFI10" i="13"/>
  <c r="AGE12" i="13"/>
  <c r="AEY12" i="13"/>
  <c r="AGB13" i="13"/>
  <c r="AEV13" i="13"/>
  <c r="AIE12" i="13"/>
  <c r="AHK12" i="13"/>
  <c r="AHO9" i="13"/>
  <c r="ADP13" i="13"/>
  <c r="AGF9" i="13"/>
  <c r="AIQ13" i="13"/>
  <c r="AIU10" i="13"/>
  <c r="ACY9" i="13"/>
  <c r="AEZ9" i="13"/>
  <c r="ACU13" i="13"/>
  <c r="AEX10" i="13"/>
  <c r="AFF13" i="13"/>
  <c r="AIX9" i="13"/>
  <c r="AFG13" i="13"/>
  <c r="AGM13" i="13"/>
  <c r="AHE10" i="13"/>
  <c r="AHQ13" i="13"/>
  <c r="AEH9" i="13"/>
  <c r="ADQ13" i="13"/>
  <c r="AIW10" i="13"/>
  <c r="ACV9" i="13"/>
  <c r="AHS13" i="13"/>
  <c r="ACT10" i="13"/>
  <c r="ADZ13" i="13"/>
  <c r="ACS13" i="13"/>
  <c r="AIB13" i="13"/>
  <c r="AGP10" i="13"/>
  <c r="AED10" i="13"/>
  <c r="AHV10" i="13"/>
  <c r="AHR12" i="13"/>
  <c r="ADW9" i="13"/>
  <c r="AHB9" i="13"/>
  <c r="AGD9" i="13"/>
  <c r="ACX9" i="13"/>
  <c r="AFJ9" i="13"/>
  <c r="AGV9" i="13"/>
  <c r="ADJ12" i="13"/>
  <c r="AIZ10" i="13"/>
  <c r="AGT10" i="13"/>
  <c r="AEX13" i="13"/>
  <c r="AHZ12" i="13"/>
  <c r="AGD13" i="13"/>
  <c r="AGT12" i="13"/>
  <c r="AIR9" i="13"/>
  <c r="ADB10" i="13"/>
  <c r="ACT13" i="13"/>
  <c r="ACT12" i="13"/>
  <c r="ADL9" i="13"/>
  <c r="ADI9" i="13"/>
  <c r="AFV13" i="13"/>
  <c r="ADB13" i="13"/>
  <c r="AHV12" i="13"/>
  <c r="AFS10" i="13"/>
  <c r="AGV13" i="13"/>
  <c r="AHT13" i="13"/>
  <c r="AHZ9" i="13"/>
  <c r="AEM12" i="13"/>
  <c r="AGG13" i="13"/>
  <c r="AJA10" i="13"/>
  <c r="ADO9" i="13"/>
  <c r="ACQ9" i="13"/>
  <c r="AIG13" i="13"/>
  <c r="AEW12" i="13"/>
  <c r="AFN10" i="13"/>
  <c r="AIP10" i="13"/>
  <c r="AIO10" i="13"/>
  <c r="AHQ10" i="13"/>
  <c r="AEC9" i="13"/>
  <c r="AEW9" i="13"/>
  <c r="AHE13" i="13"/>
  <c r="AGW13" i="13"/>
  <c r="AHI10" i="13"/>
  <c r="AEO10" i="13"/>
  <c r="AGI12" i="13"/>
  <c r="ADQ9" i="13"/>
  <c r="AGY12" i="13"/>
  <c r="ACS10" i="13"/>
  <c r="AIE10" i="13"/>
  <c r="AFM12" i="13"/>
  <c r="AEU12" i="13"/>
  <c r="ADA9" i="13"/>
  <c r="AGK9" i="13"/>
  <c r="AIG10" i="13"/>
  <c r="AFK12" i="13"/>
  <c r="ADG10" i="13"/>
  <c r="AHA12" i="13"/>
  <c r="AEG10" i="13"/>
  <c r="ADU13" i="13"/>
  <c r="AGS9" i="13"/>
  <c r="AHO12" i="13"/>
  <c r="AGK12" i="13"/>
  <c r="AGK13" i="13"/>
  <c r="AFE9" i="13"/>
  <c r="AFM9" i="13"/>
  <c r="AES13" i="13"/>
  <c r="AIS13" i="13"/>
  <c r="AFU9" i="13"/>
  <c r="AGA12" i="13"/>
  <c r="AIW12" i="13"/>
  <c r="AIW13" i="13"/>
  <c r="AHY13" i="13"/>
  <c r="AHY12" i="13"/>
  <c r="AHG12" i="13"/>
  <c r="ADY12" i="13"/>
  <c r="ADY13" i="13"/>
  <c r="AGC13" i="13"/>
  <c r="AGC12" i="13"/>
  <c r="AGC9" i="13"/>
  <c r="ADI13" i="13"/>
  <c r="AES10" i="13"/>
  <c r="AEO12" i="13"/>
  <c r="AEO13" i="13"/>
  <c r="AGO10" i="13"/>
  <c r="AGO9" i="13"/>
  <c r="AEG13" i="13"/>
  <c r="AEG12" i="13"/>
  <c r="ACQ12" i="13"/>
  <c r="AFE12" i="13"/>
  <c r="AFE13" i="13"/>
  <c r="AIU13" i="13"/>
  <c r="AIU12" i="13"/>
  <c r="ACW12" i="13"/>
  <c r="ACW13" i="13"/>
  <c r="AIK12" i="13"/>
  <c r="AIK13" i="13"/>
  <c r="ADW13" i="13"/>
  <c r="ADW12" i="13"/>
  <c r="AGY9" i="13"/>
  <c r="AGY10" i="13"/>
  <c r="AGA10" i="13"/>
  <c r="AGA9" i="13"/>
  <c r="AIC10" i="13"/>
  <c r="AIC9" i="13"/>
  <c r="AIM10" i="13"/>
  <c r="AIM9" i="13"/>
  <c r="AEC12" i="13"/>
  <c r="AEC13" i="13"/>
  <c r="AFC9" i="13"/>
  <c r="AIK10" i="13"/>
  <c r="AIK9" i="13"/>
  <c r="AHM9" i="13"/>
  <c r="AHM10" i="13"/>
  <c r="BA9" i="13"/>
  <c r="BA10" i="13"/>
  <c r="AFI12" i="13"/>
  <c r="AFI13" i="13"/>
  <c r="ADE9" i="13"/>
  <c r="ADE10" i="13"/>
  <c r="AGO12" i="13"/>
  <c r="AGO13" i="13"/>
  <c r="ADM10" i="13"/>
  <c r="ADM9" i="13"/>
  <c r="ACO12" i="13"/>
  <c r="ACO13" i="13"/>
  <c r="ACO10" i="13"/>
  <c r="ACO9" i="13"/>
  <c r="AEE9" i="13"/>
  <c r="AEE10" i="13"/>
  <c r="ACY12" i="13"/>
  <c r="ADM12" i="13"/>
  <c r="ADM13" i="13"/>
  <c r="AHU12" i="13"/>
  <c r="AHU13" i="13"/>
  <c r="AEM9" i="13"/>
  <c r="AEM10" i="13"/>
  <c r="AFA12" i="13"/>
  <c r="AFA13" i="13"/>
  <c r="AFQ9" i="13"/>
  <c r="AFQ10" i="13"/>
  <c r="AJA12" i="13"/>
  <c r="AJA13" i="13"/>
  <c r="ADO12" i="13"/>
  <c r="AFY12" i="13"/>
  <c r="AFY13" i="13"/>
  <c r="AIM13" i="13"/>
  <c r="AIM12" i="13"/>
  <c r="AFY9" i="13"/>
  <c r="AFY10" i="13"/>
  <c r="AHM12" i="13"/>
  <c r="AHM13" i="13"/>
  <c r="AFA10" i="13"/>
  <c r="AFA9" i="13"/>
  <c r="AHW13" i="13"/>
  <c r="AHW12" i="13"/>
  <c r="AGQ9" i="13"/>
  <c r="AGQ10" i="13"/>
  <c r="AEV9" i="13"/>
  <c r="AEV10" i="13"/>
  <c r="AIN9" i="13"/>
  <c r="AIN10" i="13"/>
  <c r="AEQ9" i="13"/>
  <c r="AEQ10" i="13"/>
  <c r="AHH9" i="13"/>
  <c r="AHH10" i="13"/>
  <c r="AFW9" i="13"/>
  <c r="AFW10" i="13"/>
  <c r="ACR9" i="13"/>
  <c r="ACR10" i="13"/>
  <c r="ADX9" i="13"/>
  <c r="ADX10" i="13"/>
  <c r="AFD9" i="13"/>
  <c r="AFD10" i="13"/>
  <c r="AGJ9" i="13"/>
  <c r="AGJ10" i="13"/>
  <c r="AHP9" i="13"/>
  <c r="AHP10" i="13"/>
  <c r="AIV9" i="13"/>
  <c r="AIV10" i="13"/>
  <c r="ADS9" i="13"/>
  <c r="ADS10" i="13"/>
  <c r="AEY9" i="13"/>
  <c r="AEY10" i="13"/>
  <c r="AGE9" i="13"/>
  <c r="AGE10" i="13"/>
  <c r="AHK9" i="13"/>
  <c r="AHK10" i="13"/>
  <c r="AIQ9" i="13"/>
  <c r="AIQ10" i="13"/>
  <c r="AGB9" i="13"/>
  <c r="AGB10" i="13"/>
  <c r="AHC9" i="13"/>
  <c r="AHC10" i="13"/>
  <c r="ADK9" i="13"/>
  <c r="ADK10" i="13"/>
  <c r="ACZ9" i="13"/>
  <c r="ACZ10" i="13"/>
  <c r="AEF9" i="13"/>
  <c r="AEF10" i="13"/>
  <c r="AFL9" i="13"/>
  <c r="AFL10" i="13"/>
  <c r="AGR9" i="13"/>
  <c r="AGR10" i="13"/>
  <c r="AHX9" i="13"/>
  <c r="AHX10" i="13"/>
  <c r="ACU9" i="13"/>
  <c r="ACU10" i="13"/>
  <c r="AEA9" i="13"/>
  <c r="AEA10" i="13"/>
  <c r="AFG9" i="13"/>
  <c r="AFG10" i="13"/>
  <c r="AGM9" i="13"/>
  <c r="AGM10" i="13"/>
  <c r="AHS9" i="13"/>
  <c r="AHS10" i="13"/>
  <c r="AIY9" i="13"/>
  <c r="AIY10" i="13"/>
  <c r="ADP9" i="13"/>
  <c r="ADP10" i="13"/>
  <c r="AII9" i="13"/>
  <c r="AII10" i="13"/>
  <c r="ADC9" i="13"/>
  <c r="ADC10" i="13"/>
  <c r="AEI9" i="13"/>
  <c r="AEI10" i="13"/>
  <c r="AFO9" i="13"/>
  <c r="AFO10" i="13"/>
  <c r="AGU9" i="13"/>
  <c r="AGU10" i="13"/>
  <c r="AIA9" i="13"/>
  <c r="AIA10" i="13"/>
  <c r="ADH9" i="13"/>
  <c r="ADH10" i="13"/>
  <c r="AEN9" i="13"/>
  <c r="AEN10" i="13"/>
  <c r="AFT9" i="13"/>
  <c r="AFT10" i="13"/>
  <c r="AGZ9" i="13"/>
  <c r="AGZ10" i="13"/>
  <c r="AIF9" i="13"/>
  <c r="AIF10" i="13"/>
  <c r="E17" i="13"/>
  <c r="A20" i="13"/>
  <c r="A18" i="13"/>
  <c r="IY93" i="13"/>
  <c r="IZ93" i="13"/>
  <c r="JA93" i="13"/>
  <c r="JB93" i="13"/>
  <c r="JC93" i="13"/>
  <c r="JD93" i="13"/>
  <c r="JE93" i="13"/>
  <c r="JF93" i="13"/>
  <c r="JG93" i="13"/>
  <c r="JH93" i="13"/>
  <c r="JI93" i="13"/>
  <c r="JJ93" i="13"/>
  <c r="JK93" i="13"/>
  <c r="JL93" i="13"/>
  <c r="JM93" i="13"/>
  <c r="JN93" i="13"/>
  <c r="JO93" i="13"/>
  <c r="JP93" i="13"/>
  <c r="JQ93" i="13"/>
  <c r="JR93" i="13"/>
  <c r="JS93" i="13"/>
  <c r="JT93" i="13"/>
  <c r="JU93" i="13"/>
  <c r="JV93" i="13"/>
  <c r="JW93" i="13"/>
  <c r="JX93" i="13"/>
  <c r="JY93" i="13"/>
  <c r="JZ93" i="13"/>
  <c r="KA93" i="13"/>
  <c r="KB93" i="13"/>
  <c r="KC93" i="13"/>
  <c r="KD93" i="13"/>
  <c r="KE93" i="13"/>
  <c r="KF93" i="13"/>
  <c r="KG93" i="13"/>
  <c r="KH93" i="13"/>
  <c r="KI93" i="13"/>
  <c r="KJ93" i="13"/>
  <c r="KK93" i="13"/>
  <c r="KL93" i="13"/>
  <c r="KM93" i="13"/>
  <c r="KN93" i="13"/>
  <c r="KO93" i="13"/>
  <c r="KP93" i="13"/>
  <c r="KQ93" i="13"/>
  <c r="KR93" i="13"/>
  <c r="KS93" i="13"/>
  <c r="KT93" i="13"/>
  <c r="KU93" i="13"/>
  <c r="KV93" i="13"/>
  <c r="KW93" i="13"/>
  <c r="KX93" i="13"/>
  <c r="KY93" i="13"/>
  <c r="KZ93" i="13"/>
  <c r="LA93" i="13"/>
  <c r="LB93" i="13"/>
  <c r="LC93" i="13"/>
  <c r="LD93" i="13"/>
  <c r="LE93" i="13"/>
  <c r="LF93" i="13"/>
  <c r="LG93" i="13"/>
  <c r="LH93" i="13"/>
  <c r="LI93" i="13"/>
  <c r="LJ93" i="13"/>
  <c r="LK93" i="13"/>
  <c r="LL93" i="13"/>
  <c r="LM93" i="13"/>
  <c r="LN93" i="13"/>
  <c r="LO93" i="13"/>
  <c r="LP93" i="13"/>
  <c r="LQ93" i="13"/>
  <c r="LR93" i="13"/>
  <c r="LS93" i="13"/>
  <c r="LT93" i="13"/>
  <c r="LU93" i="13"/>
  <c r="LV93" i="13"/>
  <c r="LW93" i="13"/>
  <c r="LX93" i="13"/>
  <c r="LY93" i="13"/>
  <c r="LZ93" i="13"/>
  <c r="MA93" i="13"/>
  <c r="MB93" i="13"/>
  <c r="MC93" i="13"/>
  <c r="MD93" i="13"/>
  <c r="ME93" i="13"/>
  <c r="MF93" i="13"/>
  <c r="MG93" i="13"/>
  <c r="MH93" i="13"/>
  <c r="MI93" i="13"/>
  <c r="MJ93" i="13"/>
  <c r="MK93" i="13"/>
  <c r="ML93" i="13"/>
  <c r="MM93" i="13"/>
  <c r="MN93" i="13"/>
  <c r="MO93" i="13"/>
  <c r="MP93" i="13"/>
  <c r="MQ93" i="13"/>
  <c r="MR93" i="13"/>
  <c r="MS93" i="13"/>
  <c r="MT93" i="13"/>
  <c r="MU93" i="13"/>
  <c r="MV93" i="13"/>
  <c r="MW93" i="13"/>
  <c r="MX93" i="13"/>
  <c r="MY93" i="13"/>
  <c r="MZ93" i="13"/>
  <c r="NA93" i="13"/>
  <c r="NB93" i="13"/>
  <c r="NC93" i="13"/>
  <c r="ND93" i="13"/>
  <c r="NE93" i="13"/>
  <c r="NF93" i="13"/>
  <c r="NG93" i="13"/>
  <c r="NH93" i="13"/>
  <c r="NI93" i="13"/>
  <c r="NJ93" i="13"/>
  <c r="NK93" i="13"/>
  <c r="NL93" i="13"/>
  <c r="NM93" i="13"/>
  <c r="NN93" i="13"/>
  <c r="NO93" i="13"/>
  <c r="NP93" i="13"/>
  <c r="NQ93" i="13"/>
  <c r="NR93" i="13"/>
  <c r="NS93" i="13"/>
  <c r="NT93" i="13"/>
  <c r="NU93" i="13"/>
  <c r="NV93" i="13"/>
  <c r="NW93" i="13"/>
  <c r="NX93" i="13"/>
  <c r="NY93" i="13"/>
  <c r="NZ93" i="13"/>
  <c r="OA93" i="13"/>
  <c r="OB93" i="13"/>
  <c r="OC93" i="13"/>
  <c r="OD93" i="13"/>
  <c r="OE93" i="13"/>
  <c r="OF93" i="13"/>
  <c r="OG93" i="13"/>
  <c r="OH93" i="13"/>
  <c r="OI93" i="13"/>
  <c r="OJ93" i="13"/>
  <c r="OK93" i="13"/>
  <c r="OL93" i="13"/>
  <c r="OM93" i="13"/>
  <c r="ON93" i="13"/>
  <c r="OO93" i="13"/>
  <c r="OP93" i="13"/>
  <c r="OQ93" i="13"/>
  <c r="OR93" i="13"/>
  <c r="OS93" i="13"/>
  <c r="OT93" i="13"/>
  <c r="IY94" i="13"/>
  <c r="IZ94" i="13"/>
  <c r="JA94" i="13"/>
  <c r="JB94" i="13"/>
  <c r="JC94" i="13"/>
  <c r="JD94" i="13"/>
  <c r="JE94" i="13"/>
  <c r="JF94" i="13"/>
  <c r="JG94" i="13"/>
  <c r="JH94" i="13"/>
  <c r="JI94" i="13"/>
  <c r="JJ94" i="13"/>
  <c r="JK94" i="13"/>
  <c r="JL94" i="13"/>
  <c r="JM94" i="13"/>
  <c r="JN94" i="13"/>
  <c r="JO94" i="13"/>
  <c r="JP94" i="13"/>
  <c r="JQ94" i="13"/>
  <c r="JR94" i="13"/>
  <c r="JS94" i="13"/>
  <c r="JT94" i="13"/>
  <c r="JU94" i="13"/>
  <c r="JV94" i="13"/>
  <c r="JW94" i="13"/>
  <c r="JX94" i="13"/>
  <c r="JY94" i="13"/>
  <c r="JZ94" i="13"/>
  <c r="KA94" i="13"/>
  <c r="KB94" i="13"/>
  <c r="KC94" i="13"/>
  <c r="KD94" i="13"/>
  <c r="KE94" i="13"/>
  <c r="KF94" i="13"/>
  <c r="KG94" i="13"/>
  <c r="KH94" i="13"/>
  <c r="KI94" i="13"/>
  <c r="KJ94" i="13"/>
  <c r="KK94" i="13"/>
  <c r="KL94" i="13"/>
  <c r="KM94" i="13"/>
  <c r="KN94" i="13"/>
  <c r="KO94" i="13"/>
  <c r="KP94" i="13"/>
  <c r="KQ94" i="13"/>
  <c r="KR94" i="13"/>
  <c r="KS94" i="13"/>
  <c r="KT94" i="13"/>
  <c r="KU94" i="13"/>
  <c r="KV94" i="13"/>
  <c r="KW94" i="13"/>
  <c r="KX94" i="13"/>
  <c r="KY94" i="13"/>
  <c r="KZ94" i="13"/>
  <c r="LA94" i="13"/>
  <c r="LB94" i="13"/>
  <c r="LC94" i="13"/>
  <c r="LD94" i="13"/>
  <c r="LE94" i="13"/>
  <c r="LF94" i="13"/>
  <c r="LG94" i="13"/>
  <c r="LH94" i="13"/>
  <c r="LI94" i="13"/>
  <c r="LJ94" i="13"/>
  <c r="LK94" i="13"/>
  <c r="LL94" i="13"/>
  <c r="LM94" i="13"/>
  <c r="LN94" i="13"/>
  <c r="LO94" i="13"/>
  <c r="LP94" i="13"/>
  <c r="LQ94" i="13"/>
  <c r="LR94" i="13"/>
  <c r="LS94" i="13"/>
  <c r="LT94" i="13"/>
  <c r="LU94" i="13"/>
  <c r="LV94" i="13"/>
  <c r="LW94" i="13"/>
  <c r="LX94" i="13"/>
  <c r="LY94" i="13"/>
  <c r="LZ94" i="13"/>
  <c r="MA94" i="13"/>
  <c r="MB94" i="13"/>
  <c r="MC94" i="13"/>
  <c r="MD94" i="13"/>
  <c r="ME94" i="13"/>
  <c r="MF94" i="13"/>
  <c r="MG94" i="13"/>
  <c r="MH94" i="13"/>
  <c r="MI94" i="13"/>
  <c r="MJ94" i="13"/>
  <c r="MK94" i="13"/>
  <c r="ML94" i="13"/>
  <c r="MM94" i="13"/>
  <c r="MN94" i="13"/>
  <c r="MO94" i="13"/>
  <c r="MP94" i="13"/>
  <c r="MQ94" i="13"/>
  <c r="MR94" i="13"/>
  <c r="MS94" i="13"/>
  <c r="MT94" i="13"/>
  <c r="MU94" i="13"/>
  <c r="MV94" i="13"/>
  <c r="MW94" i="13"/>
  <c r="MX94" i="13"/>
  <c r="MY94" i="13"/>
  <c r="MZ94" i="13"/>
  <c r="NA94" i="13"/>
  <c r="NB94" i="13"/>
  <c r="NC94" i="13"/>
  <c r="ND94" i="13"/>
  <c r="NE94" i="13"/>
  <c r="NF94" i="13"/>
  <c r="NG94" i="13"/>
  <c r="NH94" i="13"/>
  <c r="NI94" i="13"/>
  <c r="NJ94" i="13"/>
  <c r="NK94" i="13"/>
  <c r="NL94" i="13"/>
  <c r="NM94" i="13"/>
  <c r="NN94" i="13"/>
  <c r="NO94" i="13"/>
  <c r="NP94" i="13"/>
  <c r="NQ94" i="13"/>
  <c r="NR94" i="13"/>
  <c r="NS94" i="13"/>
  <c r="NT94" i="13"/>
  <c r="NU94" i="13"/>
  <c r="NV94" i="13"/>
  <c r="NW94" i="13"/>
  <c r="NX94" i="13"/>
  <c r="NY94" i="13"/>
  <c r="NZ94" i="13"/>
  <c r="OA94" i="13"/>
  <c r="OB94" i="13"/>
  <c r="OC94" i="13"/>
  <c r="OD94" i="13"/>
  <c r="OE94" i="13"/>
  <c r="OF94" i="13"/>
  <c r="OG94" i="13"/>
  <c r="OH94" i="13"/>
  <c r="OI94" i="13"/>
  <c r="OJ94" i="13"/>
  <c r="OK94" i="13"/>
  <c r="OL94" i="13"/>
  <c r="OM94" i="13"/>
  <c r="ON94" i="13"/>
  <c r="OO94" i="13"/>
  <c r="OP94" i="13"/>
  <c r="OQ94" i="13"/>
  <c r="OR94" i="13"/>
  <c r="OS94" i="13"/>
  <c r="OT94" i="13"/>
  <c r="IY95" i="13"/>
  <c r="IZ95" i="13"/>
  <c r="JA95" i="13"/>
  <c r="JB95" i="13"/>
  <c r="JC95" i="13"/>
  <c r="JD95" i="13"/>
  <c r="JE95" i="13"/>
  <c r="JF95" i="13"/>
  <c r="JG95" i="13"/>
  <c r="JH95" i="13"/>
  <c r="JI95" i="13"/>
  <c r="JJ95" i="13"/>
  <c r="JK95" i="13"/>
  <c r="JL95" i="13"/>
  <c r="JM95" i="13"/>
  <c r="JN95" i="13"/>
  <c r="JO95" i="13"/>
  <c r="JP95" i="13"/>
  <c r="JQ95" i="13"/>
  <c r="JR95" i="13"/>
  <c r="JS95" i="13"/>
  <c r="JT95" i="13"/>
  <c r="JU95" i="13"/>
  <c r="JV95" i="13"/>
  <c r="JW95" i="13"/>
  <c r="JX95" i="13"/>
  <c r="JY95" i="13"/>
  <c r="JZ95" i="13"/>
  <c r="KA95" i="13"/>
  <c r="KB95" i="13"/>
  <c r="KC95" i="13"/>
  <c r="KD95" i="13"/>
  <c r="KE95" i="13"/>
  <c r="KF95" i="13"/>
  <c r="KG95" i="13"/>
  <c r="KH95" i="13"/>
  <c r="KI95" i="13"/>
  <c r="KJ95" i="13"/>
  <c r="KK95" i="13"/>
  <c r="KL95" i="13"/>
  <c r="KM95" i="13"/>
  <c r="KN95" i="13"/>
  <c r="KO95" i="13"/>
  <c r="KP95" i="13"/>
  <c r="KQ95" i="13"/>
  <c r="KR95" i="13"/>
  <c r="KS95" i="13"/>
  <c r="KT95" i="13"/>
  <c r="KU95" i="13"/>
  <c r="KV95" i="13"/>
  <c r="KW95" i="13"/>
  <c r="KX95" i="13"/>
  <c r="KY95" i="13"/>
  <c r="KZ95" i="13"/>
  <c r="LA95" i="13"/>
  <c r="LB95" i="13"/>
  <c r="LC95" i="13"/>
  <c r="LD95" i="13"/>
  <c r="LE95" i="13"/>
  <c r="LF95" i="13"/>
  <c r="LG95" i="13"/>
  <c r="LH95" i="13"/>
  <c r="LI95" i="13"/>
  <c r="LJ95" i="13"/>
  <c r="LK95" i="13"/>
  <c r="LL95" i="13"/>
  <c r="LM95" i="13"/>
  <c r="LN95" i="13"/>
  <c r="LO95" i="13"/>
  <c r="LP95" i="13"/>
  <c r="LQ95" i="13"/>
  <c r="LR95" i="13"/>
  <c r="LS95" i="13"/>
  <c r="LT95" i="13"/>
  <c r="LU95" i="13"/>
  <c r="LV95" i="13"/>
  <c r="LW95" i="13"/>
  <c r="LX95" i="13"/>
  <c r="LY95" i="13"/>
  <c r="LZ95" i="13"/>
  <c r="MA95" i="13"/>
  <c r="MB95" i="13"/>
  <c r="MC95" i="13"/>
  <c r="MD95" i="13"/>
  <c r="ME95" i="13"/>
  <c r="MF95" i="13"/>
  <c r="MG95" i="13"/>
  <c r="MH95" i="13"/>
  <c r="MI95" i="13"/>
  <c r="MJ95" i="13"/>
  <c r="MK95" i="13"/>
  <c r="ML95" i="13"/>
  <c r="MM95" i="13"/>
  <c r="MN95" i="13"/>
  <c r="MO95" i="13"/>
  <c r="MP95" i="13"/>
  <c r="MQ95" i="13"/>
  <c r="MR95" i="13"/>
  <c r="MS95" i="13"/>
  <c r="MT95" i="13"/>
  <c r="MU95" i="13"/>
  <c r="MV95" i="13"/>
  <c r="MW95" i="13"/>
  <c r="MX95" i="13"/>
  <c r="MY95" i="13"/>
  <c r="MZ95" i="13"/>
  <c r="NA95" i="13"/>
  <c r="NB95" i="13"/>
  <c r="NC95" i="13"/>
  <c r="ND95" i="13"/>
  <c r="NE95" i="13"/>
  <c r="NF95" i="13"/>
  <c r="NG95" i="13"/>
  <c r="NH95" i="13"/>
  <c r="NI95" i="13"/>
  <c r="NJ95" i="13"/>
  <c r="NK95" i="13"/>
  <c r="NL95" i="13"/>
  <c r="NM95" i="13"/>
  <c r="NN95" i="13"/>
  <c r="NO95" i="13"/>
  <c r="NP95" i="13"/>
  <c r="NQ95" i="13"/>
  <c r="NR95" i="13"/>
  <c r="NS95" i="13"/>
  <c r="NT95" i="13"/>
  <c r="NU95" i="13"/>
  <c r="NV95" i="13"/>
  <c r="NX95" i="13"/>
  <c r="NZ95" i="13"/>
  <c r="OA95" i="13"/>
  <c r="OB95" i="13"/>
  <c r="OC95" i="13"/>
  <c r="OE95" i="13"/>
  <c r="OG95" i="13"/>
  <c r="OH95" i="13"/>
  <c r="OI95" i="13"/>
  <c r="OJ95" i="13"/>
  <c r="OL95" i="13"/>
  <c r="ON95" i="13"/>
  <c r="OO95" i="13"/>
  <c r="OP95" i="13"/>
  <c r="OQ95" i="13"/>
  <c r="OS95" i="13"/>
  <c r="OT100" i="13"/>
  <c r="KV101" i="13"/>
  <c r="MU101" i="13"/>
  <c r="OT102" i="13"/>
  <c r="IY103" i="13"/>
  <c r="IZ103" i="13"/>
  <c r="JA103" i="13"/>
  <c r="JB103" i="13"/>
  <c r="JC103" i="13"/>
  <c r="JD103" i="13"/>
  <c r="JE103" i="13"/>
  <c r="JF103" i="13"/>
  <c r="JG103" i="13"/>
  <c r="JH103" i="13"/>
  <c r="JI103" i="13"/>
  <c r="JJ103" i="13"/>
  <c r="JK103" i="13"/>
  <c r="JL103" i="13"/>
  <c r="JM103" i="13"/>
  <c r="JN103" i="13"/>
  <c r="JO103" i="13"/>
  <c r="JP103" i="13"/>
  <c r="JQ103" i="13"/>
  <c r="JR103" i="13"/>
  <c r="JS103" i="13"/>
  <c r="JT103" i="13"/>
  <c r="JU103" i="13"/>
  <c r="JV103" i="13"/>
  <c r="JW103" i="13"/>
  <c r="JX103" i="13"/>
  <c r="JY103" i="13"/>
  <c r="JZ103" i="13"/>
  <c r="KA103" i="13"/>
  <c r="KB103" i="13"/>
  <c r="KC103" i="13"/>
  <c r="KD103" i="13"/>
  <c r="KE103" i="13"/>
  <c r="KF103" i="13"/>
  <c r="KG103" i="13"/>
  <c r="KH103" i="13"/>
  <c r="KI103" i="13"/>
  <c r="KJ103" i="13"/>
  <c r="KK103" i="13"/>
  <c r="KL103" i="13"/>
  <c r="KM103" i="13"/>
  <c r="KN103" i="13"/>
  <c r="KO103" i="13"/>
  <c r="KP103" i="13"/>
  <c r="KQ103" i="13"/>
  <c r="KR103" i="13"/>
  <c r="KS103" i="13"/>
  <c r="KT103" i="13"/>
  <c r="KU103" i="13"/>
  <c r="KV103" i="13"/>
  <c r="KW103" i="13"/>
  <c r="KX103" i="13"/>
  <c r="KY103" i="13"/>
  <c r="KZ103" i="13"/>
  <c r="LA103" i="13"/>
  <c r="LB103" i="13"/>
  <c r="LC103" i="13"/>
  <c r="LD103" i="13"/>
  <c r="LE103" i="13"/>
  <c r="LF103" i="13"/>
  <c r="LG103" i="13"/>
  <c r="LH103" i="13"/>
  <c r="LI103" i="13"/>
  <c r="LJ103" i="13"/>
  <c r="LK103" i="13"/>
  <c r="LL103" i="13"/>
  <c r="LM103" i="13"/>
  <c r="LN103" i="13"/>
  <c r="LO103" i="13"/>
  <c r="LP103" i="13"/>
  <c r="LQ103" i="13"/>
  <c r="LR103" i="13"/>
  <c r="LS103" i="13"/>
  <c r="LT103" i="13"/>
  <c r="LU103" i="13"/>
  <c r="LV103" i="13"/>
  <c r="LW103" i="13"/>
  <c r="LX103" i="13"/>
  <c r="LY103" i="13"/>
  <c r="LZ103" i="13"/>
  <c r="MA103" i="13"/>
  <c r="MB103" i="13"/>
  <c r="MC103" i="13"/>
  <c r="MD103" i="13"/>
  <c r="ME103" i="13"/>
  <c r="MF103" i="13"/>
  <c r="MG103" i="13"/>
  <c r="MH103" i="13"/>
  <c r="MI103" i="13"/>
  <c r="MJ103" i="13"/>
  <c r="MK103" i="13"/>
  <c r="ML103" i="13"/>
  <c r="MM103" i="13"/>
  <c r="MN103" i="13"/>
  <c r="MO103" i="13"/>
  <c r="MP103" i="13"/>
  <c r="MQ103" i="13"/>
  <c r="MR103" i="13"/>
  <c r="MS103" i="13"/>
  <c r="MT103" i="13"/>
  <c r="MU103" i="13"/>
  <c r="MV103" i="13"/>
  <c r="MW103" i="13"/>
  <c r="MX103" i="13"/>
  <c r="MY103" i="13"/>
  <c r="MZ103" i="13"/>
  <c r="NA103" i="13"/>
  <c r="NB103" i="13"/>
  <c r="NC103" i="13"/>
  <c r="ND103" i="13"/>
  <c r="NE103" i="13"/>
  <c r="NF103" i="13"/>
  <c r="NG103" i="13"/>
  <c r="NH103" i="13"/>
  <c r="NI103" i="13"/>
  <c r="NJ103" i="13"/>
  <c r="NK103" i="13"/>
  <c r="NL103" i="13"/>
  <c r="NM103" i="13"/>
  <c r="NN103" i="13"/>
  <c r="NO103" i="13"/>
  <c r="NP103" i="13"/>
  <c r="NQ103" i="13"/>
  <c r="NR103" i="13"/>
  <c r="NS103" i="13"/>
  <c r="NT103" i="13"/>
  <c r="NU103" i="13"/>
  <c r="NV103" i="13"/>
  <c r="NW103" i="13"/>
  <c r="NX103" i="13"/>
  <c r="NY103" i="13"/>
  <c r="NZ103" i="13"/>
  <c r="OA103" i="13"/>
  <c r="OB103" i="13"/>
  <c r="OC103" i="13"/>
  <c r="OD103" i="13"/>
  <c r="OE103" i="13"/>
  <c r="OF103" i="13"/>
  <c r="OG103" i="13"/>
  <c r="OH103" i="13"/>
  <c r="OI103" i="13"/>
  <c r="OJ103" i="13"/>
  <c r="OK103" i="13"/>
  <c r="OL103" i="13"/>
  <c r="OM103" i="13"/>
  <c r="ON103" i="13"/>
  <c r="OO103" i="13"/>
  <c r="OP103" i="13"/>
  <c r="OQ103" i="13"/>
  <c r="OR103" i="13"/>
  <c r="OS103" i="13"/>
  <c r="OT103" i="13"/>
  <c r="IX93" i="13"/>
  <c r="IX94" i="13"/>
  <c r="IX95" i="13"/>
  <c r="IX96" i="13"/>
  <c r="IX98" i="13"/>
  <c r="IX100" i="13"/>
  <c r="IX102" i="13"/>
  <c r="IX103" i="13"/>
  <c r="IX92" i="13"/>
  <c r="GZ80" i="13"/>
  <c r="HA80" i="13"/>
  <c r="HB80" i="13"/>
  <c r="HC80" i="13"/>
  <c r="HD80" i="13"/>
  <c r="HE80" i="13"/>
  <c r="HF80" i="13"/>
  <c r="HG80" i="13"/>
  <c r="HH80" i="13"/>
  <c r="HI80" i="13"/>
  <c r="HJ80" i="13"/>
  <c r="HK80" i="13"/>
  <c r="HL80" i="13"/>
  <c r="HM80" i="13"/>
  <c r="HN80" i="13"/>
  <c r="HO80" i="13"/>
  <c r="HP80" i="13"/>
  <c r="HQ80" i="13"/>
  <c r="HR80" i="13"/>
  <c r="HS80" i="13"/>
  <c r="HT80" i="13"/>
  <c r="HU80" i="13"/>
  <c r="HV80" i="13"/>
  <c r="HW80" i="13"/>
  <c r="HX80" i="13"/>
  <c r="HY80" i="13"/>
  <c r="HZ80" i="13"/>
  <c r="IA80" i="13"/>
  <c r="IB80" i="13"/>
  <c r="IC80" i="13"/>
  <c r="ID80" i="13"/>
  <c r="IE80" i="13"/>
  <c r="IF80" i="13"/>
  <c r="IG80" i="13"/>
  <c r="IH80" i="13"/>
  <c r="II80" i="13"/>
  <c r="IJ80" i="13"/>
  <c r="IK80" i="13"/>
  <c r="IL80" i="13"/>
  <c r="IM80" i="13"/>
  <c r="IN80" i="13"/>
  <c r="IO80" i="13"/>
  <c r="IP80" i="13"/>
  <c r="IQ80" i="13"/>
  <c r="IR80" i="13"/>
  <c r="IS80" i="13"/>
  <c r="IT80" i="13"/>
  <c r="IU80" i="13"/>
  <c r="IV80" i="13"/>
  <c r="IW80" i="13"/>
  <c r="IX80" i="13"/>
  <c r="IY80" i="13"/>
  <c r="IZ80" i="13"/>
  <c r="JA80" i="13"/>
  <c r="JB80" i="13"/>
  <c r="JC80" i="13"/>
  <c r="JD80" i="13"/>
  <c r="JE80" i="13"/>
  <c r="JF80" i="13"/>
  <c r="JG80" i="13"/>
  <c r="JH80" i="13"/>
  <c r="JI80" i="13"/>
  <c r="JJ80" i="13"/>
  <c r="JK80" i="13"/>
  <c r="JL80" i="13"/>
  <c r="JM80" i="13"/>
  <c r="JN80" i="13"/>
  <c r="JO80" i="13"/>
  <c r="JP80" i="13"/>
  <c r="JQ80" i="13"/>
  <c r="JR80" i="13"/>
  <c r="JS80" i="13"/>
  <c r="JT80" i="13"/>
  <c r="JU80" i="13"/>
  <c r="JV80" i="13"/>
  <c r="JW80" i="13"/>
  <c r="JX80" i="13"/>
  <c r="JY80" i="13"/>
  <c r="JZ80" i="13"/>
  <c r="KA80" i="13"/>
  <c r="KB80" i="13"/>
  <c r="KC80" i="13"/>
  <c r="KD80" i="13"/>
  <c r="KE80" i="13"/>
  <c r="KF80" i="13"/>
  <c r="KG80" i="13"/>
  <c r="KH80" i="13"/>
  <c r="KI80" i="13"/>
  <c r="KJ80" i="13"/>
  <c r="KK80" i="13"/>
  <c r="KL80" i="13"/>
  <c r="KM80" i="13"/>
  <c r="KN80" i="13"/>
  <c r="KO80" i="13"/>
  <c r="KP80" i="13"/>
  <c r="KQ80" i="13"/>
  <c r="KR80" i="13"/>
  <c r="KS80" i="13"/>
  <c r="KT80" i="13"/>
  <c r="KU80" i="13"/>
  <c r="KV80" i="13"/>
  <c r="KW80" i="13"/>
  <c r="KX80" i="13"/>
  <c r="KY80" i="13"/>
  <c r="KZ80" i="13"/>
  <c r="LA80" i="13"/>
  <c r="LB80" i="13"/>
  <c r="LC80" i="13"/>
  <c r="LD80" i="13"/>
  <c r="LE80" i="13"/>
  <c r="LF80" i="13"/>
  <c r="LG80" i="13"/>
  <c r="LH80" i="13"/>
  <c r="LI80" i="13"/>
  <c r="LJ80" i="13"/>
  <c r="LK80" i="13"/>
  <c r="LL80" i="13"/>
  <c r="LM80" i="13"/>
  <c r="LN80" i="13"/>
  <c r="LO80" i="13"/>
  <c r="LP80" i="13"/>
  <c r="LQ80" i="13"/>
  <c r="LR80" i="13"/>
  <c r="LS80" i="13"/>
  <c r="LT80" i="13"/>
  <c r="LU80" i="13"/>
  <c r="LV80" i="13"/>
  <c r="LW80" i="13"/>
  <c r="LX80" i="13"/>
  <c r="LY80" i="13"/>
  <c r="LZ80" i="13"/>
  <c r="MA80" i="13"/>
  <c r="MB80" i="13"/>
  <c r="MC80" i="13"/>
  <c r="MD80" i="13"/>
  <c r="ME80" i="13"/>
  <c r="MF80" i="13"/>
  <c r="MG80" i="13"/>
  <c r="MH80" i="13"/>
  <c r="MI80" i="13"/>
  <c r="MJ80" i="13"/>
  <c r="MK80" i="13"/>
  <c r="ML80" i="13"/>
  <c r="MM80" i="13"/>
  <c r="MN80" i="13"/>
  <c r="MO80" i="13"/>
  <c r="MP80" i="13"/>
  <c r="MQ80" i="13"/>
  <c r="MR80" i="13"/>
  <c r="MS80" i="13"/>
  <c r="MT80" i="13"/>
  <c r="MU80" i="13"/>
  <c r="GZ81" i="13"/>
  <c r="HA81" i="13"/>
  <c r="HB81" i="13"/>
  <c r="HC81" i="13"/>
  <c r="HD81" i="13"/>
  <c r="HE81" i="13"/>
  <c r="HF81" i="13"/>
  <c r="HG81" i="13"/>
  <c r="HH81" i="13"/>
  <c r="HI81" i="13"/>
  <c r="HJ81" i="13"/>
  <c r="HK81" i="13"/>
  <c r="HL81" i="13"/>
  <c r="HM81" i="13"/>
  <c r="HN81" i="13"/>
  <c r="HO81" i="13"/>
  <c r="HP81" i="13"/>
  <c r="HQ81" i="13"/>
  <c r="HR81" i="13"/>
  <c r="HS81" i="13"/>
  <c r="HT81" i="13"/>
  <c r="HU81" i="13"/>
  <c r="HV81" i="13"/>
  <c r="HW81" i="13"/>
  <c r="HX81" i="13"/>
  <c r="HY81" i="13"/>
  <c r="HZ81" i="13"/>
  <c r="IA81" i="13"/>
  <c r="IB81" i="13"/>
  <c r="IC81" i="13"/>
  <c r="ID81" i="13"/>
  <c r="IE81" i="13"/>
  <c r="IF81" i="13"/>
  <c r="IG81" i="13"/>
  <c r="IH81" i="13"/>
  <c r="II81" i="13"/>
  <c r="IJ81" i="13"/>
  <c r="IK81" i="13"/>
  <c r="IL81" i="13"/>
  <c r="IM81" i="13"/>
  <c r="IN81" i="13"/>
  <c r="IO81" i="13"/>
  <c r="IP81" i="13"/>
  <c r="IQ81" i="13"/>
  <c r="IR81" i="13"/>
  <c r="IS81" i="13"/>
  <c r="IT81" i="13"/>
  <c r="IU81" i="13"/>
  <c r="IV81" i="13"/>
  <c r="IW81" i="13"/>
  <c r="IX81" i="13"/>
  <c r="IY81" i="13"/>
  <c r="IZ81" i="13"/>
  <c r="JA81" i="13"/>
  <c r="JB81" i="13"/>
  <c r="JC81" i="13"/>
  <c r="JD81" i="13"/>
  <c r="JE81" i="13"/>
  <c r="JF81" i="13"/>
  <c r="JG81" i="13"/>
  <c r="JH81" i="13"/>
  <c r="JI81" i="13"/>
  <c r="JJ81" i="13"/>
  <c r="JK81" i="13"/>
  <c r="JL81" i="13"/>
  <c r="JM81" i="13"/>
  <c r="JN81" i="13"/>
  <c r="JO81" i="13"/>
  <c r="JP81" i="13"/>
  <c r="JQ81" i="13"/>
  <c r="JR81" i="13"/>
  <c r="JS81" i="13"/>
  <c r="JT81" i="13"/>
  <c r="JU81" i="13"/>
  <c r="JV81" i="13"/>
  <c r="JW81" i="13"/>
  <c r="JX81" i="13"/>
  <c r="JY81" i="13"/>
  <c r="JZ81" i="13"/>
  <c r="KA81" i="13"/>
  <c r="KB81" i="13"/>
  <c r="KC81" i="13"/>
  <c r="KD81" i="13"/>
  <c r="KE81" i="13"/>
  <c r="KF81" i="13"/>
  <c r="KG81" i="13"/>
  <c r="KH81" i="13"/>
  <c r="KI81" i="13"/>
  <c r="KJ81" i="13"/>
  <c r="KK81" i="13"/>
  <c r="KL81" i="13"/>
  <c r="KM81" i="13"/>
  <c r="KN81" i="13"/>
  <c r="KO81" i="13"/>
  <c r="KP81" i="13"/>
  <c r="KQ81" i="13"/>
  <c r="KR81" i="13"/>
  <c r="KS81" i="13"/>
  <c r="KT81" i="13"/>
  <c r="KU81" i="13"/>
  <c r="KV81" i="13"/>
  <c r="KW81" i="13"/>
  <c r="KX81" i="13"/>
  <c r="KY81" i="13"/>
  <c r="KZ81" i="13"/>
  <c r="LA81" i="13"/>
  <c r="LB81" i="13"/>
  <c r="LC81" i="13"/>
  <c r="LD81" i="13"/>
  <c r="LE81" i="13"/>
  <c r="LF81" i="13"/>
  <c r="LG81" i="13"/>
  <c r="LH81" i="13"/>
  <c r="LI81" i="13"/>
  <c r="LJ81" i="13"/>
  <c r="LK81" i="13"/>
  <c r="LL81" i="13"/>
  <c r="LM81" i="13"/>
  <c r="LN81" i="13"/>
  <c r="LO81" i="13"/>
  <c r="LP81" i="13"/>
  <c r="LQ81" i="13"/>
  <c r="LR81" i="13"/>
  <c r="LS81" i="13"/>
  <c r="LT81" i="13"/>
  <c r="LU81" i="13"/>
  <c r="LV81" i="13"/>
  <c r="LW81" i="13"/>
  <c r="LX81" i="13"/>
  <c r="LY81" i="13"/>
  <c r="LZ81" i="13"/>
  <c r="MA81" i="13"/>
  <c r="MB81" i="13"/>
  <c r="MC81" i="13"/>
  <c r="MD81" i="13"/>
  <c r="ME81" i="13"/>
  <c r="MF81" i="13"/>
  <c r="MG81" i="13"/>
  <c r="MH81" i="13"/>
  <c r="MI81" i="13"/>
  <c r="MJ81" i="13"/>
  <c r="MK81" i="13"/>
  <c r="ML81" i="13"/>
  <c r="MM81" i="13"/>
  <c r="MN81" i="13"/>
  <c r="MO81" i="13"/>
  <c r="MP81" i="13"/>
  <c r="MQ81" i="13"/>
  <c r="MR81" i="13"/>
  <c r="MS81" i="13"/>
  <c r="MT81" i="13"/>
  <c r="MU81" i="13"/>
  <c r="GZ82" i="13"/>
  <c r="HA82" i="13"/>
  <c r="HB82" i="13"/>
  <c r="HC82" i="13"/>
  <c r="HD82" i="13"/>
  <c r="HE82" i="13"/>
  <c r="HF82" i="13"/>
  <c r="HG82" i="13"/>
  <c r="HH82" i="13"/>
  <c r="HI82" i="13"/>
  <c r="HJ82" i="13"/>
  <c r="HK82" i="13"/>
  <c r="HL82" i="13"/>
  <c r="HM82" i="13"/>
  <c r="HN82" i="13"/>
  <c r="HO82" i="13"/>
  <c r="HP82" i="13"/>
  <c r="HQ82" i="13"/>
  <c r="HR82" i="13"/>
  <c r="HS82" i="13"/>
  <c r="HT82" i="13"/>
  <c r="HU82" i="13"/>
  <c r="HV82" i="13"/>
  <c r="HW82" i="13"/>
  <c r="HX82" i="13"/>
  <c r="HY82" i="13"/>
  <c r="HZ82" i="13"/>
  <c r="IA82" i="13"/>
  <c r="IB82" i="13"/>
  <c r="IC82" i="13"/>
  <c r="ID82" i="13"/>
  <c r="IE82" i="13"/>
  <c r="IF82" i="13"/>
  <c r="IG82" i="13"/>
  <c r="IH82" i="13"/>
  <c r="II82" i="13"/>
  <c r="IJ82" i="13"/>
  <c r="IK82" i="13"/>
  <c r="IL82" i="13"/>
  <c r="IM82" i="13"/>
  <c r="IN82" i="13"/>
  <c r="IO82" i="13"/>
  <c r="IP82" i="13"/>
  <c r="IQ82" i="13"/>
  <c r="IR82" i="13"/>
  <c r="IS82" i="13"/>
  <c r="IT82" i="13"/>
  <c r="IU82" i="13"/>
  <c r="IV82" i="13"/>
  <c r="IW82" i="13"/>
  <c r="IX82" i="13"/>
  <c r="IY82" i="13"/>
  <c r="IZ82" i="13"/>
  <c r="JA82" i="13"/>
  <c r="JB82" i="13"/>
  <c r="JC82" i="13"/>
  <c r="JD82" i="13"/>
  <c r="JE82" i="13"/>
  <c r="JF82" i="13"/>
  <c r="JG82" i="13"/>
  <c r="JH82" i="13"/>
  <c r="JI82" i="13"/>
  <c r="JJ82" i="13"/>
  <c r="JK82" i="13"/>
  <c r="JL82" i="13"/>
  <c r="JM82" i="13"/>
  <c r="JN82" i="13"/>
  <c r="JO82" i="13"/>
  <c r="JP82" i="13"/>
  <c r="JQ82" i="13"/>
  <c r="JR82" i="13"/>
  <c r="JS82" i="13"/>
  <c r="JT82" i="13"/>
  <c r="JU82" i="13"/>
  <c r="JV82" i="13"/>
  <c r="JW82" i="13"/>
  <c r="JX82" i="13"/>
  <c r="JY82" i="13"/>
  <c r="JZ82" i="13"/>
  <c r="KA82" i="13"/>
  <c r="KB82" i="13"/>
  <c r="KC82" i="13"/>
  <c r="KD82" i="13"/>
  <c r="KE82" i="13"/>
  <c r="KF82" i="13"/>
  <c r="KG82" i="13"/>
  <c r="KH82" i="13"/>
  <c r="KI82" i="13"/>
  <c r="KJ82" i="13"/>
  <c r="KK82" i="13"/>
  <c r="KL82" i="13"/>
  <c r="KM82" i="13"/>
  <c r="KN82" i="13"/>
  <c r="KO82" i="13"/>
  <c r="KP82" i="13"/>
  <c r="KQ82" i="13"/>
  <c r="KR82" i="13"/>
  <c r="KS82" i="13"/>
  <c r="KT82" i="13"/>
  <c r="KU82" i="13"/>
  <c r="KV82" i="13"/>
  <c r="KW82" i="13"/>
  <c r="KX82" i="13"/>
  <c r="KY82" i="13"/>
  <c r="KZ82" i="13"/>
  <c r="LA82" i="13"/>
  <c r="LB82" i="13"/>
  <c r="LC82" i="13"/>
  <c r="LD82" i="13"/>
  <c r="LE82" i="13"/>
  <c r="LF82" i="13"/>
  <c r="LG82" i="13"/>
  <c r="LH82" i="13"/>
  <c r="LI82" i="13"/>
  <c r="LJ82" i="13"/>
  <c r="LK82" i="13"/>
  <c r="LL82" i="13"/>
  <c r="LM82" i="13"/>
  <c r="LN82" i="13"/>
  <c r="LO82" i="13"/>
  <c r="LP82" i="13"/>
  <c r="LQ82" i="13"/>
  <c r="LR82" i="13"/>
  <c r="LS82" i="13"/>
  <c r="LT82" i="13"/>
  <c r="LU82" i="13"/>
  <c r="LV82" i="13"/>
  <c r="LW82" i="13"/>
  <c r="LY82" i="13"/>
  <c r="MA82" i="13"/>
  <c r="MB82" i="13"/>
  <c r="MC82" i="13"/>
  <c r="MD82" i="13"/>
  <c r="MF82" i="13"/>
  <c r="MH82" i="13"/>
  <c r="MI82" i="13"/>
  <c r="MJ82" i="13"/>
  <c r="MK82" i="13"/>
  <c r="MM82" i="13"/>
  <c r="MO82" i="13"/>
  <c r="MP82" i="13"/>
  <c r="MQ82" i="13"/>
  <c r="MR82" i="13"/>
  <c r="MT82" i="13"/>
  <c r="MU87" i="13"/>
  <c r="IW88" i="13"/>
  <c r="KV88" i="13"/>
  <c r="MU89" i="13"/>
  <c r="GZ90" i="13"/>
  <c r="HA90" i="13"/>
  <c r="HB90" i="13"/>
  <c r="HC90" i="13"/>
  <c r="HD90" i="13"/>
  <c r="HE90" i="13"/>
  <c r="HF90" i="13"/>
  <c r="HG90" i="13"/>
  <c r="HH90" i="13"/>
  <c r="HI90" i="13"/>
  <c r="HJ90" i="13"/>
  <c r="HK90" i="13"/>
  <c r="HL90" i="13"/>
  <c r="HM90" i="13"/>
  <c r="HN90" i="13"/>
  <c r="HO90" i="13"/>
  <c r="HP90" i="13"/>
  <c r="HQ90" i="13"/>
  <c r="HR90" i="13"/>
  <c r="HS90" i="13"/>
  <c r="HT90" i="13"/>
  <c r="HU90" i="13"/>
  <c r="HV90" i="13"/>
  <c r="HW90" i="13"/>
  <c r="HX90" i="13"/>
  <c r="HY90" i="13"/>
  <c r="HZ90" i="13"/>
  <c r="IA90" i="13"/>
  <c r="IB90" i="13"/>
  <c r="IC90" i="13"/>
  <c r="ID90" i="13"/>
  <c r="IE90" i="13"/>
  <c r="IF90" i="13"/>
  <c r="IG90" i="13"/>
  <c r="IH90" i="13"/>
  <c r="II90" i="13"/>
  <c r="IJ90" i="13"/>
  <c r="IK90" i="13"/>
  <c r="IL90" i="13"/>
  <c r="IM90" i="13"/>
  <c r="IN90" i="13"/>
  <c r="IO90" i="13"/>
  <c r="IP90" i="13"/>
  <c r="IQ90" i="13"/>
  <c r="IR90" i="13"/>
  <c r="IS90" i="13"/>
  <c r="IT90" i="13"/>
  <c r="IU90" i="13"/>
  <c r="IV90" i="13"/>
  <c r="IW90" i="13"/>
  <c r="IX90" i="13"/>
  <c r="IY90" i="13"/>
  <c r="IZ90" i="13"/>
  <c r="JA90" i="13"/>
  <c r="JB90" i="13"/>
  <c r="JC90" i="13"/>
  <c r="JD90" i="13"/>
  <c r="JE90" i="13"/>
  <c r="JF90" i="13"/>
  <c r="JG90" i="13"/>
  <c r="JH90" i="13"/>
  <c r="JI90" i="13"/>
  <c r="JJ90" i="13"/>
  <c r="JK90" i="13"/>
  <c r="JL90" i="13"/>
  <c r="JM90" i="13"/>
  <c r="JN90" i="13"/>
  <c r="JO90" i="13"/>
  <c r="JP90" i="13"/>
  <c r="JQ90" i="13"/>
  <c r="JR90" i="13"/>
  <c r="JS90" i="13"/>
  <c r="JT90" i="13"/>
  <c r="JU90" i="13"/>
  <c r="JV90" i="13"/>
  <c r="JW90" i="13"/>
  <c r="JX90" i="13"/>
  <c r="JY90" i="13"/>
  <c r="JZ90" i="13"/>
  <c r="KA90" i="13"/>
  <c r="KB90" i="13"/>
  <c r="KC90" i="13"/>
  <c r="KD90" i="13"/>
  <c r="KE90" i="13"/>
  <c r="KF90" i="13"/>
  <c r="KG90" i="13"/>
  <c r="KH90" i="13"/>
  <c r="KI90" i="13"/>
  <c r="KJ90" i="13"/>
  <c r="KK90" i="13"/>
  <c r="KL90" i="13"/>
  <c r="KM90" i="13"/>
  <c r="KN90" i="13"/>
  <c r="KO90" i="13"/>
  <c r="KP90" i="13"/>
  <c r="KQ90" i="13"/>
  <c r="KR90" i="13"/>
  <c r="KS90" i="13"/>
  <c r="KT90" i="13"/>
  <c r="KU90" i="13"/>
  <c r="KV90" i="13"/>
  <c r="KW90" i="13"/>
  <c r="KX90" i="13"/>
  <c r="KY90" i="13"/>
  <c r="KZ90" i="13"/>
  <c r="LA90" i="13"/>
  <c r="LB90" i="13"/>
  <c r="LC90" i="13"/>
  <c r="LD90" i="13"/>
  <c r="LE90" i="13"/>
  <c r="LF90" i="13"/>
  <c r="LG90" i="13"/>
  <c r="LH90" i="13"/>
  <c r="LI90" i="13"/>
  <c r="LJ90" i="13"/>
  <c r="LK90" i="13"/>
  <c r="LL90" i="13"/>
  <c r="LM90" i="13"/>
  <c r="LN90" i="13"/>
  <c r="LO90" i="13"/>
  <c r="LP90" i="13"/>
  <c r="LQ90" i="13"/>
  <c r="LR90" i="13"/>
  <c r="LS90" i="13"/>
  <c r="LT90" i="13"/>
  <c r="LU90" i="13"/>
  <c r="LV90" i="13"/>
  <c r="LW90" i="13"/>
  <c r="LX90" i="13"/>
  <c r="LY90" i="13"/>
  <c r="LZ90" i="13"/>
  <c r="MA90" i="13"/>
  <c r="MB90" i="13"/>
  <c r="MC90" i="13"/>
  <c r="MD90" i="13"/>
  <c r="ME90" i="13"/>
  <c r="MF90" i="13"/>
  <c r="MG90" i="13"/>
  <c r="MH90" i="13"/>
  <c r="MI90" i="13"/>
  <c r="MJ90" i="13"/>
  <c r="MK90" i="13"/>
  <c r="ML90" i="13"/>
  <c r="MM90" i="13"/>
  <c r="MN90" i="13"/>
  <c r="MO90" i="13"/>
  <c r="MP90" i="13"/>
  <c r="MQ90" i="13"/>
  <c r="MR90" i="13"/>
  <c r="MS90" i="13"/>
  <c r="MT90" i="13"/>
  <c r="MU90" i="13"/>
  <c r="GY80" i="13"/>
  <c r="GY81" i="13"/>
  <c r="GY82" i="13"/>
  <c r="GY83" i="13"/>
  <c r="GY85" i="13"/>
  <c r="GY87" i="13"/>
  <c r="GY89" i="13"/>
  <c r="GY90" i="13"/>
  <c r="GY79" i="13"/>
  <c r="KT67" i="13"/>
  <c r="KU67" i="13"/>
  <c r="KV67" i="13"/>
  <c r="KT68" i="13"/>
  <c r="KU68" i="13"/>
  <c r="KV68" i="13"/>
  <c r="KU69" i="13"/>
  <c r="KV74" i="13"/>
  <c r="KV76" i="13"/>
  <c r="KT77" i="13"/>
  <c r="KU77" i="13"/>
  <c r="KV77" i="13"/>
  <c r="FA67" i="13"/>
  <c r="FB67" i="13"/>
  <c r="FC67" i="13"/>
  <c r="FD67" i="13"/>
  <c r="FE67" i="13"/>
  <c r="FF67" i="13"/>
  <c r="FG67" i="13"/>
  <c r="FH67" i="13"/>
  <c r="FI67" i="13"/>
  <c r="FJ67" i="13"/>
  <c r="FK67" i="13"/>
  <c r="FL67" i="13"/>
  <c r="FM67" i="13"/>
  <c r="FN67" i="13"/>
  <c r="FO67" i="13"/>
  <c r="FP67" i="13"/>
  <c r="FQ67" i="13"/>
  <c r="FR67" i="13"/>
  <c r="FS67" i="13"/>
  <c r="FT67" i="13"/>
  <c r="FU67" i="13"/>
  <c r="FV67" i="13"/>
  <c r="FW67" i="13"/>
  <c r="FX67" i="13"/>
  <c r="FY67" i="13"/>
  <c r="FZ67" i="13"/>
  <c r="GA67" i="13"/>
  <c r="GB67" i="13"/>
  <c r="GC67" i="13"/>
  <c r="GD67" i="13"/>
  <c r="GE67" i="13"/>
  <c r="GF67" i="13"/>
  <c r="GG67" i="13"/>
  <c r="GH67" i="13"/>
  <c r="GI67" i="13"/>
  <c r="GJ67" i="13"/>
  <c r="GK67" i="13"/>
  <c r="GL67" i="13"/>
  <c r="GM67" i="13"/>
  <c r="GN67" i="13"/>
  <c r="GO67" i="13"/>
  <c r="GP67" i="13"/>
  <c r="GQ67" i="13"/>
  <c r="GR67" i="13"/>
  <c r="GS67" i="13"/>
  <c r="GT67" i="13"/>
  <c r="GU67" i="13"/>
  <c r="GV67" i="13"/>
  <c r="GW67" i="13"/>
  <c r="GX67" i="13"/>
  <c r="GY67" i="13"/>
  <c r="GZ67" i="13"/>
  <c r="HA67" i="13"/>
  <c r="HB67" i="13"/>
  <c r="HC67" i="13"/>
  <c r="HD67" i="13"/>
  <c r="HE67" i="13"/>
  <c r="HF67" i="13"/>
  <c r="HG67" i="13"/>
  <c r="HH67" i="13"/>
  <c r="HI67" i="13"/>
  <c r="HJ67" i="13"/>
  <c r="HK67" i="13"/>
  <c r="HL67" i="13"/>
  <c r="HM67" i="13"/>
  <c r="HN67" i="13"/>
  <c r="HO67" i="13"/>
  <c r="HP67" i="13"/>
  <c r="HQ67" i="13"/>
  <c r="HR67" i="13"/>
  <c r="HS67" i="13"/>
  <c r="HT67" i="13"/>
  <c r="HU67" i="13"/>
  <c r="HV67" i="13"/>
  <c r="HW67" i="13"/>
  <c r="HX67" i="13"/>
  <c r="HY67" i="13"/>
  <c r="HZ67" i="13"/>
  <c r="IA67" i="13"/>
  <c r="IB67" i="13"/>
  <c r="IC67" i="13"/>
  <c r="ID67" i="13"/>
  <c r="IE67" i="13"/>
  <c r="IF67" i="13"/>
  <c r="IG67" i="13"/>
  <c r="IH67" i="13"/>
  <c r="II67" i="13"/>
  <c r="IJ67" i="13"/>
  <c r="IK67" i="13"/>
  <c r="IL67" i="13"/>
  <c r="IM67" i="13"/>
  <c r="IN67" i="13"/>
  <c r="IO67" i="13"/>
  <c r="IP67" i="13"/>
  <c r="IQ67" i="13"/>
  <c r="IR67" i="13"/>
  <c r="IS67" i="13"/>
  <c r="IT67" i="13"/>
  <c r="IU67" i="13"/>
  <c r="IV67" i="13"/>
  <c r="IW67" i="13"/>
  <c r="IX67" i="13"/>
  <c r="IY67" i="13"/>
  <c r="IZ67" i="13"/>
  <c r="JA67" i="13"/>
  <c r="JB67" i="13"/>
  <c r="JC67" i="13"/>
  <c r="JD67" i="13"/>
  <c r="JE67" i="13"/>
  <c r="JF67" i="13"/>
  <c r="JG67" i="13"/>
  <c r="JH67" i="13"/>
  <c r="JI67" i="13"/>
  <c r="JJ67" i="13"/>
  <c r="JK67" i="13"/>
  <c r="JL67" i="13"/>
  <c r="JM67" i="13"/>
  <c r="JN67" i="13"/>
  <c r="JO67" i="13"/>
  <c r="JP67" i="13"/>
  <c r="JQ67" i="13"/>
  <c r="JR67" i="13"/>
  <c r="JS67" i="13"/>
  <c r="JT67" i="13"/>
  <c r="JU67" i="13"/>
  <c r="JV67" i="13"/>
  <c r="JW67" i="13"/>
  <c r="JX67" i="13"/>
  <c r="JY67" i="13"/>
  <c r="JZ67" i="13"/>
  <c r="KA67" i="13"/>
  <c r="KB67" i="13"/>
  <c r="KC67" i="13"/>
  <c r="KD67" i="13"/>
  <c r="KE67" i="13"/>
  <c r="KF67" i="13"/>
  <c r="KG67" i="13"/>
  <c r="KH67" i="13"/>
  <c r="KI67" i="13"/>
  <c r="KJ67" i="13"/>
  <c r="KK67" i="13"/>
  <c r="KL67" i="13"/>
  <c r="KM67" i="13"/>
  <c r="KN67" i="13"/>
  <c r="KO67" i="13"/>
  <c r="KP67" i="13"/>
  <c r="KQ67" i="13"/>
  <c r="KR67" i="13"/>
  <c r="KS67" i="13"/>
  <c r="FA68" i="13"/>
  <c r="FB68" i="13"/>
  <c r="FC68" i="13"/>
  <c r="FD68" i="13"/>
  <c r="FE68" i="13"/>
  <c r="FF68" i="13"/>
  <c r="FG68" i="13"/>
  <c r="FH68" i="13"/>
  <c r="FI68" i="13"/>
  <c r="FJ68" i="13"/>
  <c r="FK68" i="13"/>
  <c r="FL68" i="13"/>
  <c r="FM68" i="13"/>
  <c r="FN68" i="13"/>
  <c r="FO68" i="13"/>
  <c r="FP68" i="13"/>
  <c r="FQ68" i="13"/>
  <c r="FR68" i="13"/>
  <c r="FS68" i="13"/>
  <c r="FT68" i="13"/>
  <c r="FU68" i="13"/>
  <c r="FV68" i="13"/>
  <c r="FW68" i="13"/>
  <c r="FX68" i="13"/>
  <c r="FY68" i="13"/>
  <c r="FZ68" i="13"/>
  <c r="GA68" i="13"/>
  <c r="GB68" i="13"/>
  <c r="GC68" i="13"/>
  <c r="GD68" i="13"/>
  <c r="GE68" i="13"/>
  <c r="GF68" i="13"/>
  <c r="GG68" i="13"/>
  <c r="GH68" i="13"/>
  <c r="GI68" i="13"/>
  <c r="GJ68" i="13"/>
  <c r="GK68" i="13"/>
  <c r="GL68" i="13"/>
  <c r="GM68" i="13"/>
  <c r="GN68" i="13"/>
  <c r="GO68" i="13"/>
  <c r="GP68" i="13"/>
  <c r="GQ68" i="13"/>
  <c r="GR68" i="13"/>
  <c r="GS68" i="13"/>
  <c r="GT68" i="13"/>
  <c r="GU68" i="13"/>
  <c r="GV68" i="13"/>
  <c r="GW68" i="13"/>
  <c r="GX68" i="13"/>
  <c r="GY68" i="13"/>
  <c r="GZ68" i="13"/>
  <c r="HA68" i="13"/>
  <c r="HB68" i="13"/>
  <c r="HC68" i="13"/>
  <c r="HD68" i="13"/>
  <c r="HE68" i="13"/>
  <c r="HF68" i="13"/>
  <c r="HG68" i="13"/>
  <c r="HH68" i="13"/>
  <c r="HI68" i="13"/>
  <c r="HJ68" i="13"/>
  <c r="HK68" i="13"/>
  <c r="HL68" i="13"/>
  <c r="HM68" i="13"/>
  <c r="HN68" i="13"/>
  <c r="HO68" i="13"/>
  <c r="HP68" i="13"/>
  <c r="HQ68" i="13"/>
  <c r="HR68" i="13"/>
  <c r="HS68" i="13"/>
  <c r="HT68" i="13"/>
  <c r="HU68" i="13"/>
  <c r="HV68" i="13"/>
  <c r="HW68" i="13"/>
  <c r="HX68" i="13"/>
  <c r="HY68" i="13"/>
  <c r="HZ68" i="13"/>
  <c r="IA68" i="13"/>
  <c r="IB68" i="13"/>
  <c r="IC68" i="13"/>
  <c r="ID68" i="13"/>
  <c r="IE68" i="13"/>
  <c r="IF68" i="13"/>
  <c r="IG68" i="13"/>
  <c r="IH68" i="13"/>
  <c r="II68" i="13"/>
  <c r="IJ68" i="13"/>
  <c r="IK68" i="13"/>
  <c r="IL68" i="13"/>
  <c r="IM68" i="13"/>
  <c r="IN68" i="13"/>
  <c r="IO68" i="13"/>
  <c r="IP68" i="13"/>
  <c r="IQ68" i="13"/>
  <c r="IR68" i="13"/>
  <c r="IS68" i="13"/>
  <c r="IT68" i="13"/>
  <c r="IU68" i="13"/>
  <c r="IV68" i="13"/>
  <c r="IW68" i="13"/>
  <c r="IX68" i="13"/>
  <c r="IY68" i="13"/>
  <c r="IZ68" i="13"/>
  <c r="JA68" i="13"/>
  <c r="JB68" i="13"/>
  <c r="JC68" i="13"/>
  <c r="JD68" i="13"/>
  <c r="JE68" i="13"/>
  <c r="JF68" i="13"/>
  <c r="JG68" i="13"/>
  <c r="JH68" i="13"/>
  <c r="JI68" i="13"/>
  <c r="JJ68" i="13"/>
  <c r="JK68" i="13"/>
  <c r="JL68" i="13"/>
  <c r="JM68" i="13"/>
  <c r="JN68" i="13"/>
  <c r="JO68" i="13"/>
  <c r="JP68" i="13"/>
  <c r="JQ68" i="13"/>
  <c r="JR68" i="13"/>
  <c r="JS68" i="13"/>
  <c r="JT68" i="13"/>
  <c r="JU68" i="13"/>
  <c r="JV68" i="13"/>
  <c r="JW68" i="13"/>
  <c r="JX68" i="13"/>
  <c r="JY68" i="13"/>
  <c r="JZ68" i="13"/>
  <c r="KA68" i="13"/>
  <c r="KB68" i="13"/>
  <c r="KC68" i="13"/>
  <c r="KD68" i="13"/>
  <c r="KE68" i="13"/>
  <c r="KF68" i="13"/>
  <c r="KG68" i="13"/>
  <c r="KH68" i="13"/>
  <c r="KI68" i="13"/>
  <c r="KJ68" i="13"/>
  <c r="KK68" i="13"/>
  <c r="KL68" i="13"/>
  <c r="KM68" i="13"/>
  <c r="KN68" i="13"/>
  <c r="KO68" i="13"/>
  <c r="KP68" i="13"/>
  <c r="KQ68" i="13"/>
  <c r="KR68" i="13"/>
  <c r="KS68" i="13"/>
  <c r="FA69" i="13"/>
  <c r="FB69" i="13"/>
  <c r="FC69" i="13"/>
  <c r="FD69" i="13"/>
  <c r="FE69" i="13"/>
  <c r="FF69" i="13"/>
  <c r="FG69" i="13"/>
  <c r="FH69" i="13"/>
  <c r="FI69" i="13"/>
  <c r="FJ69" i="13"/>
  <c r="FK69" i="13"/>
  <c r="FL69" i="13"/>
  <c r="FM69" i="13"/>
  <c r="FN69" i="13"/>
  <c r="FO69" i="13"/>
  <c r="FP69" i="13"/>
  <c r="FQ69" i="13"/>
  <c r="FR69" i="13"/>
  <c r="FS69" i="13"/>
  <c r="FT69" i="13"/>
  <c r="FU69" i="13"/>
  <c r="FV69" i="13"/>
  <c r="FW69" i="13"/>
  <c r="FX69" i="13"/>
  <c r="FY69" i="13"/>
  <c r="FZ69" i="13"/>
  <c r="GA69" i="13"/>
  <c r="GB69" i="13"/>
  <c r="GC69" i="13"/>
  <c r="GD69" i="13"/>
  <c r="GE69" i="13"/>
  <c r="GF69" i="13"/>
  <c r="GG69" i="13"/>
  <c r="GH69" i="13"/>
  <c r="GI69" i="13"/>
  <c r="GJ69" i="13"/>
  <c r="GK69" i="13"/>
  <c r="GL69" i="13"/>
  <c r="GM69" i="13"/>
  <c r="GN69" i="13"/>
  <c r="GO69" i="13"/>
  <c r="GP69" i="13"/>
  <c r="GQ69" i="13"/>
  <c r="GR69" i="13"/>
  <c r="GS69" i="13"/>
  <c r="GT69" i="13"/>
  <c r="GU69" i="13"/>
  <c r="GV69" i="13"/>
  <c r="GW69" i="13"/>
  <c r="GX69" i="13"/>
  <c r="GY69" i="13"/>
  <c r="GZ69" i="13"/>
  <c r="HA69" i="13"/>
  <c r="HB69" i="13"/>
  <c r="HC69" i="13"/>
  <c r="HD69" i="13"/>
  <c r="HE69" i="13"/>
  <c r="HF69" i="13"/>
  <c r="HG69" i="13"/>
  <c r="HH69" i="13"/>
  <c r="HI69" i="13"/>
  <c r="HJ69" i="13"/>
  <c r="HK69" i="13"/>
  <c r="HL69" i="13"/>
  <c r="HM69" i="13"/>
  <c r="HN69" i="13"/>
  <c r="HO69" i="13"/>
  <c r="HP69" i="13"/>
  <c r="HQ69" i="13"/>
  <c r="HR69" i="13"/>
  <c r="HS69" i="13"/>
  <c r="HT69" i="13"/>
  <c r="HU69" i="13"/>
  <c r="HV69" i="13"/>
  <c r="HW69" i="13"/>
  <c r="HX69" i="13"/>
  <c r="HY69" i="13"/>
  <c r="HZ69" i="13"/>
  <c r="IA69" i="13"/>
  <c r="IB69" i="13"/>
  <c r="IC69" i="13"/>
  <c r="ID69" i="13"/>
  <c r="IE69" i="13"/>
  <c r="IF69" i="13"/>
  <c r="IG69" i="13"/>
  <c r="IH69" i="13"/>
  <c r="II69" i="13"/>
  <c r="IJ69" i="13"/>
  <c r="IK69" i="13"/>
  <c r="IL69" i="13"/>
  <c r="IM69" i="13"/>
  <c r="IN69" i="13"/>
  <c r="IO69" i="13"/>
  <c r="IP69" i="13"/>
  <c r="IQ69" i="13"/>
  <c r="IR69" i="13"/>
  <c r="IS69" i="13"/>
  <c r="IT69" i="13"/>
  <c r="IU69" i="13"/>
  <c r="IV69" i="13"/>
  <c r="IW69" i="13"/>
  <c r="IX69" i="13"/>
  <c r="IY69" i="13"/>
  <c r="IZ69" i="13"/>
  <c r="JA69" i="13"/>
  <c r="JB69" i="13"/>
  <c r="JC69" i="13"/>
  <c r="JD69" i="13"/>
  <c r="JE69" i="13"/>
  <c r="JF69" i="13"/>
  <c r="JG69" i="13"/>
  <c r="JH69" i="13"/>
  <c r="JI69" i="13"/>
  <c r="JJ69" i="13"/>
  <c r="JK69" i="13"/>
  <c r="JL69" i="13"/>
  <c r="JM69" i="13"/>
  <c r="JN69" i="13"/>
  <c r="JO69" i="13"/>
  <c r="JP69" i="13"/>
  <c r="JQ69" i="13"/>
  <c r="JR69" i="13"/>
  <c r="JS69" i="13"/>
  <c r="JT69" i="13"/>
  <c r="JU69" i="13"/>
  <c r="JV69" i="13"/>
  <c r="JW69" i="13"/>
  <c r="JX69" i="13"/>
  <c r="JZ69" i="13"/>
  <c r="KB69" i="13"/>
  <c r="KC69" i="13"/>
  <c r="KD69" i="13"/>
  <c r="KE69" i="13"/>
  <c r="KG69" i="13"/>
  <c r="KI69" i="13"/>
  <c r="KJ69" i="13"/>
  <c r="KK69" i="13"/>
  <c r="KL69" i="13"/>
  <c r="KN69" i="13"/>
  <c r="KP69" i="13"/>
  <c r="KQ69" i="13"/>
  <c r="KR69" i="13"/>
  <c r="KS69" i="13"/>
  <c r="GX75" i="13"/>
  <c r="IW75" i="13"/>
  <c r="FA77" i="13"/>
  <c r="FB77" i="13"/>
  <c r="FC77" i="13"/>
  <c r="FD77" i="13"/>
  <c r="FE77" i="13"/>
  <c r="FF77" i="13"/>
  <c r="FG77" i="13"/>
  <c r="FH77" i="13"/>
  <c r="FI77" i="13"/>
  <c r="FJ77" i="13"/>
  <c r="FK77" i="13"/>
  <c r="FL77" i="13"/>
  <c r="FM77" i="13"/>
  <c r="FN77" i="13"/>
  <c r="FO77" i="13"/>
  <c r="FP77" i="13"/>
  <c r="FQ77" i="13"/>
  <c r="FR77" i="13"/>
  <c r="FS77" i="13"/>
  <c r="FT77" i="13"/>
  <c r="FU77" i="13"/>
  <c r="FV77" i="13"/>
  <c r="FW77" i="13"/>
  <c r="FX77" i="13"/>
  <c r="FY77" i="13"/>
  <c r="FZ77" i="13"/>
  <c r="GA77" i="13"/>
  <c r="GB77" i="13"/>
  <c r="GC77" i="13"/>
  <c r="GD77" i="13"/>
  <c r="GE77" i="13"/>
  <c r="GF77" i="13"/>
  <c r="GG77" i="13"/>
  <c r="GH77" i="13"/>
  <c r="GI77" i="13"/>
  <c r="GJ77" i="13"/>
  <c r="GK77" i="13"/>
  <c r="GL77" i="13"/>
  <c r="GM77" i="13"/>
  <c r="GN77" i="13"/>
  <c r="GO77" i="13"/>
  <c r="GP77" i="13"/>
  <c r="GQ77" i="13"/>
  <c r="GR77" i="13"/>
  <c r="GS77" i="13"/>
  <c r="GT77" i="13"/>
  <c r="GU77" i="13"/>
  <c r="GV77" i="13"/>
  <c r="GW77" i="13"/>
  <c r="GX77" i="13"/>
  <c r="GY77" i="13"/>
  <c r="GZ77" i="13"/>
  <c r="HA77" i="13"/>
  <c r="HB77" i="13"/>
  <c r="HC77" i="13"/>
  <c r="HD77" i="13"/>
  <c r="HE77" i="13"/>
  <c r="HF77" i="13"/>
  <c r="HG77" i="13"/>
  <c r="HH77" i="13"/>
  <c r="HI77" i="13"/>
  <c r="HJ77" i="13"/>
  <c r="HK77" i="13"/>
  <c r="HL77" i="13"/>
  <c r="HM77" i="13"/>
  <c r="HN77" i="13"/>
  <c r="HO77" i="13"/>
  <c r="HP77" i="13"/>
  <c r="HQ77" i="13"/>
  <c r="HR77" i="13"/>
  <c r="HS77" i="13"/>
  <c r="HT77" i="13"/>
  <c r="HU77" i="13"/>
  <c r="HV77" i="13"/>
  <c r="HW77" i="13"/>
  <c r="HX77" i="13"/>
  <c r="HY77" i="13"/>
  <c r="HZ77" i="13"/>
  <c r="IA77" i="13"/>
  <c r="IB77" i="13"/>
  <c r="IC77" i="13"/>
  <c r="ID77" i="13"/>
  <c r="IE77" i="13"/>
  <c r="IF77" i="13"/>
  <c r="IG77" i="13"/>
  <c r="IH77" i="13"/>
  <c r="II77" i="13"/>
  <c r="IJ77" i="13"/>
  <c r="IK77" i="13"/>
  <c r="IL77" i="13"/>
  <c r="IM77" i="13"/>
  <c r="IN77" i="13"/>
  <c r="IO77" i="13"/>
  <c r="IP77" i="13"/>
  <c r="IQ77" i="13"/>
  <c r="IR77" i="13"/>
  <c r="IS77" i="13"/>
  <c r="IT77" i="13"/>
  <c r="IU77" i="13"/>
  <c r="IV77" i="13"/>
  <c r="IW77" i="13"/>
  <c r="IX77" i="13"/>
  <c r="IY77" i="13"/>
  <c r="IZ77" i="13"/>
  <c r="JA77" i="13"/>
  <c r="JB77" i="13"/>
  <c r="JC77" i="13"/>
  <c r="JD77" i="13"/>
  <c r="JE77" i="13"/>
  <c r="JF77" i="13"/>
  <c r="JG77" i="13"/>
  <c r="JH77" i="13"/>
  <c r="JI77" i="13"/>
  <c r="JJ77" i="13"/>
  <c r="JK77" i="13"/>
  <c r="JL77" i="13"/>
  <c r="JM77" i="13"/>
  <c r="JN77" i="13"/>
  <c r="JO77" i="13"/>
  <c r="JP77" i="13"/>
  <c r="JQ77" i="13"/>
  <c r="JR77" i="13"/>
  <c r="JS77" i="13"/>
  <c r="JT77" i="13"/>
  <c r="JU77" i="13"/>
  <c r="JV77" i="13"/>
  <c r="JW77" i="13"/>
  <c r="JX77" i="13"/>
  <c r="JY77" i="13"/>
  <c r="JZ77" i="13"/>
  <c r="KA77" i="13"/>
  <c r="KB77" i="13"/>
  <c r="KC77" i="13"/>
  <c r="KD77" i="13"/>
  <c r="KE77" i="13"/>
  <c r="KF77" i="13"/>
  <c r="KG77" i="13"/>
  <c r="KH77" i="13"/>
  <c r="KI77" i="13"/>
  <c r="KJ77" i="13"/>
  <c r="KK77" i="13"/>
  <c r="KL77" i="13"/>
  <c r="KM77" i="13"/>
  <c r="KN77" i="13"/>
  <c r="KO77" i="13"/>
  <c r="KP77" i="13"/>
  <c r="KQ77" i="13"/>
  <c r="KR77" i="13"/>
  <c r="KS77" i="13"/>
  <c r="EZ67" i="13"/>
  <c r="EZ68" i="13"/>
  <c r="EZ69" i="13"/>
  <c r="EZ70" i="13"/>
  <c r="EZ72" i="13"/>
  <c r="EZ74" i="13"/>
  <c r="EZ76" i="13"/>
  <c r="EZ77" i="13"/>
  <c r="EZ66" i="13"/>
  <c r="DB54" i="13"/>
  <c r="DC54" i="13"/>
  <c r="DD54" i="13"/>
  <c r="DE54" i="13"/>
  <c r="DF54" i="13"/>
  <c r="DG54" i="13"/>
  <c r="DH54" i="13"/>
  <c r="DI54" i="13"/>
  <c r="DJ54" i="13"/>
  <c r="DK54" i="13"/>
  <c r="DL54" i="13"/>
  <c r="DM54" i="13"/>
  <c r="DN54" i="13"/>
  <c r="DO54" i="13"/>
  <c r="DP54" i="13"/>
  <c r="DQ54" i="13"/>
  <c r="DR54" i="13"/>
  <c r="DS54" i="13"/>
  <c r="DT54" i="13"/>
  <c r="DU54" i="13"/>
  <c r="DV54" i="13"/>
  <c r="DW54" i="13"/>
  <c r="DX54" i="13"/>
  <c r="DY54" i="13"/>
  <c r="DZ54" i="13"/>
  <c r="EA54" i="13"/>
  <c r="EB54" i="13"/>
  <c r="EC54" i="13"/>
  <c r="ED54" i="13"/>
  <c r="EE54" i="13"/>
  <c r="EF54" i="13"/>
  <c r="EG54" i="13"/>
  <c r="EH54" i="13"/>
  <c r="EI54" i="13"/>
  <c r="EJ54" i="13"/>
  <c r="EK54" i="13"/>
  <c r="EL54" i="13"/>
  <c r="EM54" i="13"/>
  <c r="EN54" i="13"/>
  <c r="EO54" i="13"/>
  <c r="EP54" i="13"/>
  <c r="EQ54" i="13"/>
  <c r="ER54" i="13"/>
  <c r="ES54" i="13"/>
  <c r="ET54" i="13"/>
  <c r="EU54" i="13"/>
  <c r="EV54" i="13"/>
  <c r="EW54" i="13"/>
  <c r="EX54" i="13"/>
  <c r="EY54" i="13"/>
  <c r="EZ54" i="13"/>
  <c r="FA54" i="13"/>
  <c r="FB54" i="13"/>
  <c r="FC54" i="13"/>
  <c r="FD54" i="13"/>
  <c r="FE54" i="13"/>
  <c r="FF54" i="13"/>
  <c r="FG54" i="13"/>
  <c r="FH54" i="13"/>
  <c r="FI54" i="13"/>
  <c r="FJ54" i="13"/>
  <c r="FK54" i="13"/>
  <c r="FL54" i="13"/>
  <c r="FM54" i="13"/>
  <c r="FN54" i="13"/>
  <c r="FO54" i="13"/>
  <c r="FP54" i="13"/>
  <c r="FQ54" i="13"/>
  <c r="FR54" i="13"/>
  <c r="FS54" i="13"/>
  <c r="FT54" i="13"/>
  <c r="FU54" i="13"/>
  <c r="FV54" i="13"/>
  <c r="FW54" i="13"/>
  <c r="FX54" i="13"/>
  <c r="FY54" i="13"/>
  <c r="FZ54" i="13"/>
  <c r="GA54" i="13"/>
  <c r="GB54" i="13"/>
  <c r="GC54" i="13"/>
  <c r="GD54" i="13"/>
  <c r="GE54" i="13"/>
  <c r="GF54" i="13"/>
  <c r="GG54" i="13"/>
  <c r="GH54" i="13"/>
  <c r="GI54" i="13"/>
  <c r="GJ54" i="13"/>
  <c r="GK54" i="13"/>
  <c r="GL54" i="13"/>
  <c r="GM54" i="13"/>
  <c r="GN54" i="13"/>
  <c r="GO54" i="13"/>
  <c r="GP54" i="13"/>
  <c r="GQ54" i="13"/>
  <c r="GR54" i="13"/>
  <c r="GS54" i="13"/>
  <c r="GT54" i="13"/>
  <c r="GU54" i="13"/>
  <c r="GV54" i="13"/>
  <c r="GW54" i="13"/>
  <c r="GX54" i="13"/>
  <c r="GY54" i="13"/>
  <c r="GZ54" i="13"/>
  <c r="HA54" i="13"/>
  <c r="HB54" i="13"/>
  <c r="HC54" i="13"/>
  <c r="HD54" i="13"/>
  <c r="HE54" i="13"/>
  <c r="HF54" i="13"/>
  <c r="HG54" i="13"/>
  <c r="HH54" i="13"/>
  <c r="HI54" i="13"/>
  <c r="HJ54" i="13"/>
  <c r="HK54" i="13"/>
  <c r="HL54" i="13"/>
  <c r="HM54" i="13"/>
  <c r="HN54" i="13"/>
  <c r="HO54" i="13"/>
  <c r="HP54" i="13"/>
  <c r="HQ54" i="13"/>
  <c r="HR54" i="13"/>
  <c r="HS54" i="13"/>
  <c r="HT54" i="13"/>
  <c r="HU54" i="13"/>
  <c r="HV54" i="13"/>
  <c r="HW54" i="13"/>
  <c r="HX54" i="13"/>
  <c r="HY54" i="13"/>
  <c r="HZ54" i="13"/>
  <c r="IA54" i="13"/>
  <c r="IB54" i="13"/>
  <c r="IC54" i="13"/>
  <c r="ID54" i="13"/>
  <c r="IE54" i="13"/>
  <c r="IF54" i="13"/>
  <c r="IG54" i="13"/>
  <c r="IH54" i="13"/>
  <c r="II54" i="13"/>
  <c r="IJ54" i="13"/>
  <c r="IK54" i="13"/>
  <c r="IL54" i="13"/>
  <c r="IM54" i="13"/>
  <c r="IN54" i="13"/>
  <c r="IO54" i="13"/>
  <c r="IP54" i="13"/>
  <c r="IQ54" i="13"/>
  <c r="IR54" i="13"/>
  <c r="IS54" i="13"/>
  <c r="IT54" i="13"/>
  <c r="IU54" i="13"/>
  <c r="IV54" i="13"/>
  <c r="IW54" i="13"/>
  <c r="DB55" i="13"/>
  <c r="DC55" i="13"/>
  <c r="DD55" i="13"/>
  <c r="DE55" i="13"/>
  <c r="DF55" i="13"/>
  <c r="DG55" i="13"/>
  <c r="DH55" i="13"/>
  <c r="DI55" i="13"/>
  <c r="DJ55" i="13"/>
  <c r="DK55" i="13"/>
  <c r="DL55" i="13"/>
  <c r="DM55" i="13"/>
  <c r="DN55" i="13"/>
  <c r="DO55" i="13"/>
  <c r="DP55" i="13"/>
  <c r="DQ55" i="13"/>
  <c r="DR55" i="13"/>
  <c r="DS55" i="13"/>
  <c r="DT55" i="13"/>
  <c r="DU55" i="13"/>
  <c r="DV55" i="13"/>
  <c r="DW55" i="13"/>
  <c r="DX55" i="13"/>
  <c r="DY55" i="13"/>
  <c r="DZ55" i="13"/>
  <c r="EA55" i="13"/>
  <c r="EB55" i="13"/>
  <c r="EC55" i="13"/>
  <c r="ED55" i="13"/>
  <c r="EE55" i="13"/>
  <c r="EF55" i="13"/>
  <c r="EG55" i="13"/>
  <c r="EH55" i="13"/>
  <c r="EI55" i="13"/>
  <c r="EJ55" i="13"/>
  <c r="EK55" i="13"/>
  <c r="EL55" i="13"/>
  <c r="EM55" i="13"/>
  <c r="EN55" i="13"/>
  <c r="EO55" i="13"/>
  <c r="EP55" i="13"/>
  <c r="EQ55" i="13"/>
  <c r="ER55" i="13"/>
  <c r="ES55" i="13"/>
  <c r="ET55" i="13"/>
  <c r="EU55" i="13"/>
  <c r="EV55" i="13"/>
  <c r="EW55" i="13"/>
  <c r="EX55" i="13"/>
  <c r="EY55" i="13"/>
  <c r="EZ55" i="13"/>
  <c r="FA55" i="13"/>
  <c r="FB55" i="13"/>
  <c r="FC55" i="13"/>
  <c r="FD55" i="13"/>
  <c r="FE55" i="13"/>
  <c r="FF55" i="13"/>
  <c r="FG55" i="13"/>
  <c r="FH55" i="13"/>
  <c r="FI55" i="13"/>
  <c r="FJ55" i="13"/>
  <c r="FK55" i="13"/>
  <c r="FL55" i="13"/>
  <c r="FM55" i="13"/>
  <c r="FN55" i="13"/>
  <c r="FO55" i="13"/>
  <c r="FP55" i="13"/>
  <c r="FQ55" i="13"/>
  <c r="FR55" i="13"/>
  <c r="FS55" i="13"/>
  <c r="FT55" i="13"/>
  <c r="FU55" i="13"/>
  <c r="FV55" i="13"/>
  <c r="FW55" i="13"/>
  <c r="FX55" i="13"/>
  <c r="FY55" i="13"/>
  <c r="FZ55" i="13"/>
  <c r="GA55" i="13"/>
  <c r="GB55" i="13"/>
  <c r="GC55" i="13"/>
  <c r="GD55" i="13"/>
  <c r="GE55" i="13"/>
  <c r="GF55" i="13"/>
  <c r="GG55" i="13"/>
  <c r="GH55" i="13"/>
  <c r="GI55" i="13"/>
  <c r="GJ55" i="13"/>
  <c r="GK55" i="13"/>
  <c r="GL55" i="13"/>
  <c r="GM55" i="13"/>
  <c r="GN55" i="13"/>
  <c r="GO55" i="13"/>
  <c r="GP55" i="13"/>
  <c r="GQ55" i="13"/>
  <c r="GR55" i="13"/>
  <c r="GS55" i="13"/>
  <c r="GT55" i="13"/>
  <c r="GU55" i="13"/>
  <c r="GV55" i="13"/>
  <c r="GW55" i="13"/>
  <c r="GX55" i="13"/>
  <c r="GY55" i="13"/>
  <c r="GZ55" i="13"/>
  <c r="HA55" i="13"/>
  <c r="HB55" i="13"/>
  <c r="HC55" i="13"/>
  <c r="HD55" i="13"/>
  <c r="HE55" i="13"/>
  <c r="HF55" i="13"/>
  <c r="HG55" i="13"/>
  <c r="HH55" i="13"/>
  <c r="HI55" i="13"/>
  <c r="HJ55" i="13"/>
  <c r="HK55" i="13"/>
  <c r="HL55" i="13"/>
  <c r="HM55" i="13"/>
  <c r="HN55" i="13"/>
  <c r="HO55" i="13"/>
  <c r="HP55" i="13"/>
  <c r="HQ55" i="13"/>
  <c r="HR55" i="13"/>
  <c r="HS55" i="13"/>
  <c r="HT55" i="13"/>
  <c r="HU55" i="13"/>
  <c r="HV55" i="13"/>
  <c r="HW55" i="13"/>
  <c r="HX55" i="13"/>
  <c r="HY55" i="13"/>
  <c r="HZ55" i="13"/>
  <c r="IA55" i="13"/>
  <c r="IB55" i="13"/>
  <c r="IC55" i="13"/>
  <c r="ID55" i="13"/>
  <c r="IE55" i="13"/>
  <c r="IF55" i="13"/>
  <c r="IG55" i="13"/>
  <c r="IH55" i="13"/>
  <c r="II55" i="13"/>
  <c r="IJ55" i="13"/>
  <c r="IK55" i="13"/>
  <c r="IL55" i="13"/>
  <c r="IM55" i="13"/>
  <c r="IN55" i="13"/>
  <c r="IO55" i="13"/>
  <c r="IP55" i="13"/>
  <c r="IQ55" i="13"/>
  <c r="IR55" i="13"/>
  <c r="IS55" i="13"/>
  <c r="IT55" i="13"/>
  <c r="IU55" i="13"/>
  <c r="IV55" i="13"/>
  <c r="IW55" i="13"/>
  <c r="DB56" i="13"/>
  <c r="DC56" i="13"/>
  <c r="DD56" i="13"/>
  <c r="DE56" i="13"/>
  <c r="DF56" i="13"/>
  <c r="DG56" i="13"/>
  <c r="DH56" i="13"/>
  <c r="DI56" i="13"/>
  <c r="DJ56" i="13"/>
  <c r="DK56" i="13"/>
  <c r="DL56" i="13"/>
  <c r="DM56" i="13"/>
  <c r="DN56" i="13"/>
  <c r="DO56" i="13"/>
  <c r="DP56" i="13"/>
  <c r="DQ56" i="13"/>
  <c r="DR56" i="13"/>
  <c r="DS56" i="13"/>
  <c r="DT56" i="13"/>
  <c r="DU56" i="13"/>
  <c r="DV56" i="13"/>
  <c r="DW56" i="13"/>
  <c r="DX56" i="13"/>
  <c r="DY56" i="13"/>
  <c r="DZ56" i="13"/>
  <c r="EA56" i="13"/>
  <c r="EB56" i="13"/>
  <c r="EC56" i="13"/>
  <c r="ED56" i="13"/>
  <c r="EE56" i="13"/>
  <c r="EF56" i="13"/>
  <c r="EG56" i="13"/>
  <c r="EH56" i="13"/>
  <c r="EI56" i="13"/>
  <c r="EJ56" i="13"/>
  <c r="EK56" i="13"/>
  <c r="EL56" i="13"/>
  <c r="EM56" i="13"/>
  <c r="EN56" i="13"/>
  <c r="EO56" i="13"/>
  <c r="EP56" i="13"/>
  <c r="EQ56" i="13"/>
  <c r="ER56" i="13"/>
  <c r="ES56" i="13"/>
  <c r="ET56" i="13"/>
  <c r="EU56" i="13"/>
  <c r="EV56" i="13"/>
  <c r="EW56" i="13"/>
  <c r="EX56" i="13"/>
  <c r="EY56" i="13"/>
  <c r="EZ56" i="13"/>
  <c r="FA56" i="13"/>
  <c r="FB56" i="13"/>
  <c r="FC56" i="13"/>
  <c r="FD56" i="13"/>
  <c r="FE56" i="13"/>
  <c r="FF56" i="13"/>
  <c r="FG56" i="13"/>
  <c r="FH56" i="13"/>
  <c r="FI56" i="13"/>
  <c r="FJ56" i="13"/>
  <c r="FK56" i="13"/>
  <c r="FL56" i="13"/>
  <c r="FM56" i="13"/>
  <c r="FN56" i="13"/>
  <c r="FO56" i="13"/>
  <c r="FP56" i="13"/>
  <c r="FQ56" i="13"/>
  <c r="FR56" i="13"/>
  <c r="FS56" i="13"/>
  <c r="FT56" i="13"/>
  <c r="FU56" i="13"/>
  <c r="FV56" i="13"/>
  <c r="FW56" i="13"/>
  <c r="FX56" i="13"/>
  <c r="FY56" i="13"/>
  <c r="FZ56" i="13"/>
  <c r="GA56" i="13"/>
  <c r="GB56" i="13"/>
  <c r="GC56" i="13"/>
  <c r="GD56" i="13"/>
  <c r="GE56" i="13"/>
  <c r="GF56" i="13"/>
  <c r="GG56" i="13"/>
  <c r="GH56" i="13"/>
  <c r="GI56" i="13"/>
  <c r="GJ56" i="13"/>
  <c r="GK56" i="13"/>
  <c r="GL56" i="13"/>
  <c r="GM56" i="13"/>
  <c r="GN56" i="13"/>
  <c r="GO56" i="13"/>
  <c r="GP56" i="13"/>
  <c r="GQ56" i="13"/>
  <c r="GR56" i="13"/>
  <c r="GS56" i="13"/>
  <c r="GT56" i="13"/>
  <c r="GU56" i="13"/>
  <c r="GV56" i="13"/>
  <c r="GW56" i="13"/>
  <c r="GX56" i="13"/>
  <c r="GY56" i="13"/>
  <c r="GZ56" i="13"/>
  <c r="HA56" i="13"/>
  <c r="HB56" i="13"/>
  <c r="HC56" i="13"/>
  <c r="HD56" i="13"/>
  <c r="HE56" i="13"/>
  <c r="HF56" i="13"/>
  <c r="HG56" i="13"/>
  <c r="HH56" i="13"/>
  <c r="HI56" i="13"/>
  <c r="HJ56" i="13"/>
  <c r="HK56" i="13"/>
  <c r="HL56" i="13"/>
  <c r="HM56" i="13"/>
  <c r="HN56" i="13"/>
  <c r="HO56" i="13"/>
  <c r="HP56" i="13"/>
  <c r="HQ56" i="13"/>
  <c r="HR56" i="13"/>
  <c r="HS56" i="13"/>
  <c r="HT56" i="13"/>
  <c r="HU56" i="13"/>
  <c r="HV56" i="13"/>
  <c r="HW56" i="13"/>
  <c r="HX56" i="13"/>
  <c r="HY56" i="13"/>
  <c r="IA56" i="13"/>
  <c r="IC56" i="13"/>
  <c r="ID56" i="13"/>
  <c r="IE56" i="13"/>
  <c r="IF56" i="13"/>
  <c r="IH56" i="13"/>
  <c r="IJ56" i="13"/>
  <c r="IK56" i="13"/>
  <c r="IL56" i="13"/>
  <c r="IM56" i="13"/>
  <c r="IO56" i="13"/>
  <c r="IQ56" i="13"/>
  <c r="IR56" i="13"/>
  <c r="IS56" i="13"/>
  <c r="IT56" i="13"/>
  <c r="IV56" i="13"/>
  <c r="IW61" i="13"/>
  <c r="EY62" i="13"/>
  <c r="GX62" i="13"/>
  <c r="IW63" i="13"/>
  <c r="DB64" i="13"/>
  <c r="DC64" i="13"/>
  <c r="DD64" i="13"/>
  <c r="DE64" i="13"/>
  <c r="DF64" i="13"/>
  <c r="DG64" i="13"/>
  <c r="DH64" i="13"/>
  <c r="DI64" i="13"/>
  <c r="DJ64" i="13"/>
  <c r="DK64" i="13"/>
  <c r="DL64" i="13"/>
  <c r="DM64" i="13"/>
  <c r="DN64" i="13"/>
  <c r="DO64" i="13"/>
  <c r="DP64" i="13"/>
  <c r="DQ64" i="13"/>
  <c r="DR64" i="13"/>
  <c r="DS64" i="13"/>
  <c r="DT64" i="13"/>
  <c r="DU64" i="13"/>
  <c r="DV64" i="13"/>
  <c r="DW64" i="13"/>
  <c r="DX64" i="13"/>
  <c r="DY64" i="13"/>
  <c r="DZ64" i="13"/>
  <c r="EA64" i="13"/>
  <c r="EB64" i="13"/>
  <c r="EC64" i="13"/>
  <c r="ED64" i="13"/>
  <c r="EE64" i="13"/>
  <c r="EF64" i="13"/>
  <c r="EG64" i="13"/>
  <c r="EH64" i="13"/>
  <c r="EI64" i="13"/>
  <c r="EJ64" i="13"/>
  <c r="EK64" i="13"/>
  <c r="EL64" i="13"/>
  <c r="EM64" i="13"/>
  <c r="EN64" i="13"/>
  <c r="EO64" i="13"/>
  <c r="EP64" i="13"/>
  <c r="EQ64" i="13"/>
  <c r="ER64" i="13"/>
  <c r="ES64" i="13"/>
  <c r="ET64" i="13"/>
  <c r="EU64" i="13"/>
  <c r="EV64" i="13"/>
  <c r="EW64" i="13"/>
  <c r="EX64" i="13"/>
  <c r="EY64" i="13"/>
  <c r="EZ64" i="13"/>
  <c r="FA64" i="13"/>
  <c r="FB64" i="13"/>
  <c r="FC64" i="13"/>
  <c r="FD64" i="13"/>
  <c r="FE64" i="13"/>
  <c r="FF64" i="13"/>
  <c r="FG64" i="13"/>
  <c r="FH64" i="13"/>
  <c r="FI64" i="13"/>
  <c r="FJ64" i="13"/>
  <c r="FK64" i="13"/>
  <c r="FL64" i="13"/>
  <c r="FM64" i="13"/>
  <c r="FN64" i="13"/>
  <c r="FO64" i="13"/>
  <c r="FP64" i="13"/>
  <c r="FQ64" i="13"/>
  <c r="FR64" i="13"/>
  <c r="FS64" i="13"/>
  <c r="FT64" i="13"/>
  <c r="FU64" i="13"/>
  <c r="FV64" i="13"/>
  <c r="FW64" i="13"/>
  <c r="FX64" i="13"/>
  <c r="FY64" i="13"/>
  <c r="FZ64" i="13"/>
  <c r="GA64" i="13"/>
  <c r="GB64" i="13"/>
  <c r="GC64" i="13"/>
  <c r="GD64" i="13"/>
  <c r="GE64" i="13"/>
  <c r="GF64" i="13"/>
  <c r="GG64" i="13"/>
  <c r="GH64" i="13"/>
  <c r="GI64" i="13"/>
  <c r="GJ64" i="13"/>
  <c r="GK64" i="13"/>
  <c r="GL64" i="13"/>
  <c r="GM64" i="13"/>
  <c r="GN64" i="13"/>
  <c r="GO64" i="13"/>
  <c r="GP64" i="13"/>
  <c r="GQ64" i="13"/>
  <c r="GR64" i="13"/>
  <c r="GS64" i="13"/>
  <c r="GT64" i="13"/>
  <c r="GU64" i="13"/>
  <c r="GV64" i="13"/>
  <c r="GW64" i="13"/>
  <c r="GX64" i="13"/>
  <c r="GY64" i="13"/>
  <c r="GZ64" i="13"/>
  <c r="HA64" i="13"/>
  <c r="HB64" i="13"/>
  <c r="HC64" i="13"/>
  <c r="HD64" i="13"/>
  <c r="HE64" i="13"/>
  <c r="HF64" i="13"/>
  <c r="HG64" i="13"/>
  <c r="HH64" i="13"/>
  <c r="HI64" i="13"/>
  <c r="HJ64" i="13"/>
  <c r="HK64" i="13"/>
  <c r="HL64" i="13"/>
  <c r="HM64" i="13"/>
  <c r="HN64" i="13"/>
  <c r="HO64" i="13"/>
  <c r="HP64" i="13"/>
  <c r="HQ64" i="13"/>
  <c r="HR64" i="13"/>
  <c r="HS64" i="13"/>
  <c r="HT64" i="13"/>
  <c r="HU64" i="13"/>
  <c r="HV64" i="13"/>
  <c r="HW64" i="13"/>
  <c r="HX64" i="13"/>
  <c r="HY64" i="13"/>
  <c r="HZ64" i="13"/>
  <c r="IA64" i="13"/>
  <c r="IB64" i="13"/>
  <c r="IC64" i="13"/>
  <c r="ID64" i="13"/>
  <c r="IE64" i="13"/>
  <c r="IF64" i="13"/>
  <c r="IG64" i="13"/>
  <c r="IH64" i="13"/>
  <c r="II64" i="13"/>
  <c r="IJ64" i="13"/>
  <c r="IK64" i="13"/>
  <c r="IL64" i="13"/>
  <c r="IM64" i="13"/>
  <c r="IN64" i="13"/>
  <c r="IO64" i="13"/>
  <c r="IP64" i="13"/>
  <c r="IQ64" i="13"/>
  <c r="IR64" i="13"/>
  <c r="IS64" i="13"/>
  <c r="IT64" i="13"/>
  <c r="IU64" i="13"/>
  <c r="IV64" i="13"/>
  <c r="IW64" i="13"/>
  <c r="DA54" i="13"/>
  <c r="DA55" i="13"/>
  <c r="DA56" i="13"/>
  <c r="DA57" i="13"/>
  <c r="DA59" i="13"/>
  <c r="DA61" i="13"/>
  <c r="DA63" i="13"/>
  <c r="DA64" i="13"/>
  <c r="DA53" i="13"/>
  <c r="N17" i="13" l="1"/>
  <c r="A22" i="13"/>
  <c r="N18" i="13"/>
  <c r="BC41" i="13"/>
  <c r="BD41" i="13"/>
  <c r="BE41" i="13"/>
  <c r="BF41" i="13"/>
  <c r="BG41" i="13"/>
  <c r="BH41" i="13"/>
  <c r="BI41" i="13"/>
  <c r="BJ41" i="13"/>
  <c r="BK41" i="13"/>
  <c r="BL41" i="13"/>
  <c r="BM41" i="13"/>
  <c r="BN41" i="13"/>
  <c r="BO41" i="13"/>
  <c r="BP41" i="13"/>
  <c r="BQ41" i="13"/>
  <c r="BR41" i="13"/>
  <c r="BS41" i="13"/>
  <c r="BT41" i="13"/>
  <c r="BU41" i="13"/>
  <c r="BV41" i="13"/>
  <c r="BW41" i="13"/>
  <c r="BX41" i="13"/>
  <c r="BY41" i="13"/>
  <c r="BZ41" i="13"/>
  <c r="CA41" i="13"/>
  <c r="CB41" i="13"/>
  <c r="CC41" i="13"/>
  <c r="CD41" i="13"/>
  <c r="CE41" i="13"/>
  <c r="CF41" i="13"/>
  <c r="CG41" i="13"/>
  <c r="CH41" i="13"/>
  <c r="CI41" i="13"/>
  <c r="CJ41" i="13"/>
  <c r="CK41" i="13"/>
  <c r="CL41" i="13"/>
  <c r="CM41" i="13"/>
  <c r="CN41" i="13"/>
  <c r="CO41" i="13"/>
  <c r="CP41" i="13"/>
  <c r="CQ41" i="13"/>
  <c r="CR41" i="13"/>
  <c r="CS41" i="13"/>
  <c r="CT41" i="13"/>
  <c r="CU41" i="13"/>
  <c r="CV41" i="13"/>
  <c r="CW41" i="13"/>
  <c r="CX41" i="13"/>
  <c r="CY41" i="13"/>
  <c r="CZ41" i="13"/>
  <c r="DA41" i="13"/>
  <c r="DB41" i="13"/>
  <c r="DC41" i="13"/>
  <c r="DD41" i="13"/>
  <c r="DE41" i="13"/>
  <c r="DF41" i="13"/>
  <c r="DG41" i="13"/>
  <c r="DH41" i="13"/>
  <c r="DI41" i="13"/>
  <c r="DJ41" i="13"/>
  <c r="DK41" i="13"/>
  <c r="DL41" i="13"/>
  <c r="DM41" i="13"/>
  <c r="DN41" i="13"/>
  <c r="DO41" i="13"/>
  <c r="DP41" i="13"/>
  <c r="DQ41" i="13"/>
  <c r="DR41" i="13"/>
  <c r="DS41" i="13"/>
  <c r="DT41" i="13"/>
  <c r="DU41" i="13"/>
  <c r="DV41" i="13"/>
  <c r="DW41" i="13"/>
  <c r="DX41" i="13"/>
  <c r="DY41" i="13"/>
  <c r="DZ41" i="13"/>
  <c r="EA41" i="13"/>
  <c r="EB41" i="13"/>
  <c r="EC41" i="13"/>
  <c r="ED41" i="13"/>
  <c r="EE41" i="13"/>
  <c r="EF41" i="13"/>
  <c r="EG41" i="13"/>
  <c r="EH41" i="13"/>
  <c r="EI41" i="13"/>
  <c r="EJ41" i="13"/>
  <c r="EK41" i="13"/>
  <c r="EL41" i="13"/>
  <c r="EM41" i="13"/>
  <c r="EN41" i="13"/>
  <c r="EO41" i="13"/>
  <c r="EP41" i="13"/>
  <c r="EQ41" i="13"/>
  <c r="ER41" i="13"/>
  <c r="ES41" i="13"/>
  <c r="ET41" i="13"/>
  <c r="EU41" i="13"/>
  <c r="EV41" i="13"/>
  <c r="EW41" i="13"/>
  <c r="EX41" i="13"/>
  <c r="EY41" i="13"/>
  <c r="EZ41" i="13"/>
  <c r="FA41" i="13"/>
  <c r="FB41" i="13"/>
  <c r="FC41" i="13"/>
  <c r="FD41" i="13"/>
  <c r="FE41" i="13"/>
  <c r="FF41" i="13"/>
  <c r="FG41" i="13"/>
  <c r="FH41" i="13"/>
  <c r="FI41" i="13"/>
  <c r="FJ41" i="13"/>
  <c r="FK41" i="13"/>
  <c r="FL41" i="13"/>
  <c r="FM41" i="13"/>
  <c r="FN41" i="13"/>
  <c r="FO41" i="13"/>
  <c r="FP41" i="13"/>
  <c r="FQ41" i="13"/>
  <c r="FR41" i="13"/>
  <c r="FS41" i="13"/>
  <c r="FT41" i="13"/>
  <c r="FU41" i="13"/>
  <c r="FV41" i="13"/>
  <c r="FW41" i="13"/>
  <c r="FX41" i="13"/>
  <c r="FY41" i="13"/>
  <c r="FZ41" i="13"/>
  <c r="GA41" i="13"/>
  <c r="GB41" i="13"/>
  <c r="GC41" i="13"/>
  <c r="GD41" i="13"/>
  <c r="GE41" i="13"/>
  <c r="GF41" i="13"/>
  <c r="GG41" i="13"/>
  <c r="GH41" i="13"/>
  <c r="GI41" i="13"/>
  <c r="GJ41" i="13"/>
  <c r="GK41" i="13"/>
  <c r="GL41" i="13"/>
  <c r="GM41" i="13"/>
  <c r="GN41" i="13"/>
  <c r="GO41" i="13"/>
  <c r="GP41" i="13"/>
  <c r="GQ41" i="13"/>
  <c r="GR41" i="13"/>
  <c r="GS41" i="13"/>
  <c r="GT41" i="13"/>
  <c r="GU41" i="13"/>
  <c r="GV41" i="13"/>
  <c r="GW41" i="13"/>
  <c r="GX41" i="13"/>
  <c r="BC42" i="13"/>
  <c r="BD42" i="13"/>
  <c r="BE42" i="13"/>
  <c r="BF42" i="13"/>
  <c r="BG42" i="13"/>
  <c r="BH42" i="13"/>
  <c r="BI42" i="13"/>
  <c r="BJ42" i="13"/>
  <c r="BK42" i="13"/>
  <c r="BL42" i="13"/>
  <c r="BM42" i="13"/>
  <c r="BN42" i="13"/>
  <c r="BO42" i="13"/>
  <c r="BP42" i="13"/>
  <c r="BQ42" i="13"/>
  <c r="BR42" i="13"/>
  <c r="BS42" i="13"/>
  <c r="BT42" i="13"/>
  <c r="BU42" i="13"/>
  <c r="BV42" i="13"/>
  <c r="BW42" i="13"/>
  <c r="BX42" i="13"/>
  <c r="BY42" i="13"/>
  <c r="BZ42" i="13"/>
  <c r="CA42" i="13"/>
  <c r="CB42" i="13"/>
  <c r="CC42" i="13"/>
  <c r="CD42" i="13"/>
  <c r="CE42" i="13"/>
  <c r="CF42" i="13"/>
  <c r="CG42" i="13"/>
  <c r="CH42" i="13"/>
  <c r="CI42" i="13"/>
  <c r="CJ42" i="13"/>
  <c r="CK42" i="13"/>
  <c r="CL42" i="13"/>
  <c r="CM42" i="13"/>
  <c r="CN42" i="13"/>
  <c r="CO42" i="13"/>
  <c r="CP42" i="13"/>
  <c r="CQ42" i="13"/>
  <c r="CR42" i="13"/>
  <c r="CS42" i="13"/>
  <c r="CT42" i="13"/>
  <c r="CU42" i="13"/>
  <c r="CV42" i="13"/>
  <c r="CW42" i="13"/>
  <c r="CX42" i="13"/>
  <c r="CY42" i="13"/>
  <c r="CZ42" i="13"/>
  <c r="DA42" i="13"/>
  <c r="DB42" i="13"/>
  <c r="DC42" i="13"/>
  <c r="DD42" i="13"/>
  <c r="DE42" i="13"/>
  <c r="DF42" i="13"/>
  <c r="DG42" i="13"/>
  <c r="DH42" i="13"/>
  <c r="DI42" i="13"/>
  <c r="DJ42" i="13"/>
  <c r="DK42" i="13"/>
  <c r="DL42" i="13"/>
  <c r="DM42" i="13"/>
  <c r="DN42" i="13"/>
  <c r="DO42" i="13"/>
  <c r="DP42" i="13"/>
  <c r="DQ42" i="13"/>
  <c r="DR42" i="13"/>
  <c r="DS42" i="13"/>
  <c r="DT42" i="13"/>
  <c r="DU42" i="13"/>
  <c r="DV42" i="13"/>
  <c r="DW42" i="13"/>
  <c r="DX42" i="13"/>
  <c r="DY42" i="13"/>
  <c r="DZ42" i="13"/>
  <c r="EA42" i="13"/>
  <c r="EB42" i="13"/>
  <c r="EC42" i="13"/>
  <c r="ED42" i="13"/>
  <c r="EE42" i="13"/>
  <c r="EF42" i="13"/>
  <c r="EG42" i="13"/>
  <c r="EH42" i="13"/>
  <c r="EI42" i="13"/>
  <c r="EJ42" i="13"/>
  <c r="EK42" i="13"/>
  <c r="EL42" i="13"/>
  <c r="EM42" i="13"/>
  <c r="EN42" i="13"/>
  <c r="EO42" i="13"/>
  <c r="EP42" i="13"/>
  <c r="EQ42" i="13"/>
  <c r="ER42" i="13"/>
  <c r="ES42" i="13"/>
  <c r="ET42" i="13"/>
  <c r="EU42" i="13"/>
  <c r="EV42" i="13"/>
  <c r="EW42" i="13"/>
  <c r="EX42" i="13"/>
  <c r="EY42" i="13"/>
  <c r="EZ42" i="13"/>
  <c r="FA42" i="13"/>
  <c r="FB42" i="13"/>
  <c r="FC42" i="13"/>
  <c r="FD42" i="13"/>
  <c r="FE42" i="13"/>
  <c r="FF42" i="13"/>
  <c r="FG42" i="13"/>
  <c r="FH42" i="13"/>
  <c r="FI42" i="13"/>
  <c r="FJ42" i="13"/>
  <c r="FK42" i="13"/>
  <c r="FL42" i="13"/>
  <c r="FM42" i="13"/>
  <c r="FN42" i="13"/>
  <c r="FO42" i="13"/>
  <c r="FP42" i="13"/>
  <c r="FQ42" i="13"/>
  <c r="FR42" i="13"/>
  <c r="FS42" i="13"/>
  <c r="FT42" i="13"/>
  <c r="FU42" i="13"/>
  <c r="FV42" i="13"/>
  <c r="FW42" i="13"/>
  <c r="FX42" i="13"/>
  <c r="FY42" i="13"/>
  <c r="FZ42" i="13"/>
  <c r="GA42" i="13"/>
  <c r="GB42" i="13"/>
  <c r="GC42" i="13"/>
  <c r="GD42" i="13"/>
  <c r="GE42" i="13"/>
  <c r="GF42" i="13"/>
  <c r="GG42" i="13"/>
  <c r="GH42" i="13"/>
  <c r="GI42" i="13"/>
  <c r="GJ42" i="13"/>
  <c r="GK42" i="13"/>
  <c r="GL42" i="13"/>
  <c r="GM42" i="13"/>
  <c r="GN42" i="13"/>
  <c r="GO42" i="13"/>
  <c r="GP42" i="13"/>
  <c r="GQ42" i="13"/>
  <c r="GR42" i="13"/>
  <c r="GS42" i="13"/>
  <c r="GT42" i="13"/>
  <c r="GU42" i="13"/>
  <c r="GV42" i="13"/>
  <c r="GW42" i="13"/>
  <c r="GX42" i="13"/>
  <c r="BC43" i="13"/>
  <c r="BD43" i="13"/>
  <c r="BE43" i="13"/>
  <c r="BF43" i="13"/>
  <c r="BG43" i="13"/>
  <c r="BH43" i="13"/>
  <c r="BI43" i="13"/>
  <c r="BJ43" i="13"/>
  <c r="BK43" i="13"/>
  <c r="BL43" i="13"/>
  <c r="BM43" i="13"/>
  <c r="BN43" i="13"/>
  <c r="BO43" i="13"/>
  <c r="BP43" i="13"/>
  <c r="BQ43" i="13"/>
  <c r="BR43" i="13"/>
  <c r="BS43" i="13"/>
  <c r="BT43" i="13"/>
  <c r="BU43" i="13"/>
  <c r="BV43" i="13"/>
  <c r="BW43" i="13"/>
  <c r="BX43" i="13"/>
  <c r="BY43" i="13"/>
  <c r="BZ43" i="13"/>
  <c r="CA43" i="13"/>
  <c r="CB43" i="13"/>
  <c r="CC43" i="13"/>
  <c r="CD43" i="13"/>
  <c r="CE43" i="13"/>
  <c r="CF43" i="13"/>
  <c r="CG43" i="13"/>
  <c r="CH43" i="13"/>
  <c r="CI43" i="13"/>
  <c r="CJ43" i="13"/>
  <c r="CK43" i="13"/>
  <c r="CL43" i="13"/>
  <c r="CM43" i="13"/>
  <c r="CN43" i="13"/>
  <c r="CO43" i="13"/>
  <c r="CP43" i="13"/>
  <c r="CQ43" i="13"/>
  <c r="CR43" i="13"/>
  <c r="CS43" i="13"/>
  <c r="CT43" i="13"/>
  <c r="CU43" i="13"/>
  <c r="CV43" i="13"/>
  <c r="CW43" i="13"/>
  <c r="CX43" i="13"/>
  <c r="CY43" i="13"/>
  <c r="CZ43" i="13"/>
  <c r="DA43" i="13"/>
  <c r="DB43" i="13"/>
  <c r="DC43" i="13"/>
  <c r="DD43" i="13"/>
  <c r="DE43" i="13"/>
  <c r="DF43" i="13"/>
  <c r="DG43" i="13"/>
  <c r="DH43" i="13"/>
  <c r="DI43" i="13"/>
  <c r="DJ43" i="13"/>
  <c r="DK43" i="13"/>
  <c r="DL43" i="13"/>
  <c r="DM43" i="13"/>
  <c r="DN43" i="13"/>
  <c r="DO43" i="13"/>
  <c r="DP43" i="13"/>
  <c r="DQ43" i="13"/>
  <c r="DR43" i="13"/>
  <c r="DS43" i="13"/>
  <c r="DT43" i="13"/>
  <c r="DU43" i="13"/>
  <c r="DV43" i="13"/>
  <c r="DW43" i="13"/>
  <c r="DX43" i="13"/>
  <c r="DY43" i="13"/>
  <c r="DZ43" i="13"/>
  <c r="EA43" i="13"/>
  <c r="EB43" i="13"/>
  <c r="EC43" i="13"/>
  <c r="ED43" i="13"/>
  <c r="EE43" i="13"/>
  <c r="EF43" i="13"/>
  <c r="EG43" i="13"/>
  <c r="EH43" i="13"/>
  <c r="EI43" i="13"/>
  <c r="EJ43" i="13"/>
  <c r="EK43" i="13"/>
  <c r="EL43" i="13"/>
  <c r="EM43" i="13"/>
  <c r="EN43" i="13"/>
  <c r="EO43" i="13"/>
  <c r="EP43" i="13"/>
  <c r="EQ43" i="13"/>
  <c r="ER43" i="13"/>
  <c r="ES43" i="13"/>
  <c r="ET43" i="13"/>
  <c r="EU43" i="13"/>
  <c r="EV43" i="13"/>
  <c r="EW43" i="13"/>
  <c r="EX43" i="13"/>
  <c r="EY43" i="13"/>
  <c r="EZ43" i="13"/>
  <c r="FA43" i="13"/>
  <c r="FB43" i="13"/>
  <c r="FC43" i="13"/>
  <c r="FD43" i="13"/>
  <c r="FE43" i="13"/>
  <c r="FF43" i="13"/>
  <c r="FG43" i="13"/>
  <c r="FH43" i="13"/>
  <c r="FI43" i="13"/>
  <c r="FJ43" i="13"/>
  <c r="FK43" i="13"/>
  <c r="FL43" i="13"/>
  <c r="FM43" i="13"/>
  <c r="FN43" i="13"/>
  <c r="FO43" i="13"/>
  <c r="FP43" i="13"/>
  <c r="FQ43" i="13"/>
  <c r="FR43" i="13"/>
  <c r="FS43" i="13"/>
  <c r="FT43" i="13"/>
  <c r="FU43" i="13"/>
  <c r="FV43" i="13"/>
  <c r="FW43" i="13"/>
  <c r="FX43" i="13"/>
  <c r="FY43" i="13"/>
  <c r="FZ43" i="13"/>
  <c r="GB43" i="13"/>
  <c r="GD43" i="13"/>
  <c r="GE43" i="13"/>
  <c r="GF43" i="13"/>
  <c r="GG43" i="13"/>
  <c r="GI43" i="13"/>
  <c r="GK43" i="13"/>
  <c r="GL43" i="13"/>
  <c r="GM43" i="13"/>
  <c r="GN43" i="13"/>
  <c r="GP43" i="13"/>
  <c r="GR43" i="13"/>
  <c r="GS43" i="13"/>
  <c r="GT43" i="13"/>
  <c r="GU43" i="13"/>
  <c r="GW43" i="13"/>
  <c r="GX48" i="13"/>
  <c r="CZ49" i="13"/>
  <c r="CZ4" i="13" s="1"/>
  <c r="GX50" i="13"/>
  <c r="BC51" i="13"/>
  <c r="BD51" i="13"/>
  <c r="BE51" i="13"/>
  <c r="BF51" i="13"/>
  <c r="BG51" i="13"/>
  <c r="BH51" i="13"/>
  <c r="BI51" i="13"/>
  <c r="BJ51" i="13"/>
  <c r="BK51" i="13"/>
  <c r="BL51" i="13"/>
  <c r="BM51" i="13"/>
  <c r="BN51" i="13"/>
  <c r="BO51" i="13"/>
  <c r="BP51" i="13"/>
  <c r="BQ51" i="13"/>
  <c r="BR51" i="13"/>
  <c r="BS51" i="13"/>
  <c r="BT51" i="13"/>
  <c r="BU51" i="13"/>
  <c r="BV51" i="13"/>
  <c r="BW51" i="13"/>
  <c r="BX51" i="13"/>
  <c r="BY51" i="13"/>
  <c r="BZ51" i="13"/>
  <c r="CA51" i="13"/>
  <c r="CB51" i="13"/>
  <c r="CC51" i="13"/>
  <c r="CD51" i="13"/>
  <c r="CE51" i="13"/>
  <c r="CF51" i="13"/>
  <c r="CG51" i="13"/>
  <c r="CH51" i="13"/>
  <c r="CI51" i="13"/>
  <c r="CJ51" i="13"/>
  <c r="CK51" i="13"/>
  <c r="CL51" i="13"/>
  <c r="CM51" i="13"/>
  <c r="CN51" i="13"/>
  <c r="CO51" i="13"/>
  <c r="CP51" i="13"/>
  <c r="CQ51" i="13"/>
  <c r="CR51" i="13"/>
  <c r="CS51" i="13"/>
  <c r="CT51" i="13"/>
  <c r="CU51" i="13"/>
  <c r="CV51" i="13"/>
  <c r="CW51" i="13"/>
  <c r="CX51" i="13"/>
  <c r="CY51" i="13"/>
  <c r="CZ51" i="13"/>
  <c r="DA51" i="13"/>
  <c r="DB51" i="13"/>
  <c r="DC51" i="13"/>
  <c r="DD51" i="13"/>
  <c r="DE51" i="13"/>
  <c r="DF51" i="13"/>
  <c r="DG51" i="13"/>
  <c r="DH51" i="13"/>
  <c r="DI51" i="13"/>
  <c r="DJ51" i="13"/>
  <c r="DK51" i="13"/>
  <c r="DL51" i="13"/>
  <c r="DM51" i="13"/>
  <c r="DN51" i="13"/>
  <c r="DO51" i="13"/>
  <c r="DP51" i="13"/>
  <c r="DQ51" i="13"/>
  <c r="DR51" i="13"/>
  <c r="DS51" i="13"/>
  <c r="DT51" i="13"/>
  <c r="DU51" i="13"/>
  <c r="DV51" i="13"/>
  <c r="DW51" i="13"/>
  <c r="DX51" i="13"/>
  <c r="DY51" i="13"/>
  <c r="DZ51" i="13"/>
  <c r="EA51" i="13"/>
  <c r="EB51" i="13"/>
  <c r="EC51" i="13"/>
  <c r="ED51" i="13"/>
  <c r="EE51" i="13"/>
  <c r="EF51" i="13"/>
  <c r="EG51" i="13"/>
  <c r="EH51" i="13"/>
  <c r="EI51" i="13"/>
  <c r="EJ51" i="13"/>
  <c r="EK51" i="13"/>
  <c r="EL51" i="13"/>
  <c r="EM51" i="13"/>
  <c r="EN51" i="13"/>
  <c r="EO51" i="13"/>
  <c r="EP51" i="13"/>
  <c r="EQ51" i="13"/>
  <c r="ER51" i="13"/>
  <c r="ES51" i="13"/>
  <c r="ET51" i="13"/>
  <c r="EU51" i="13"/>
  <c r="EV51" i="13"/>
  <c r="EW51" i="13"/>
  <c r="EX51" i="13"/>
  <c r="EY51" i="13"/>
  <c r="EZ51" i="13"/>
  <c r="FA51" i="13"/>
  <c r="FB51" i="13"/>
  <c r="FC51" i="13"/>
  <c r="FD51" i="13"/>
  <c r="FE51" i="13"/>
  <c r="FF51" i="13"/>
  <c r="FG51" i="13"/>
  <c r="FH51" i="13"/>
  <c r="FI51" i="13"/>
  <c r="FJ51" i="13"/>
  <c r="FK51" i="13"/>
  <c r="FL51" i="13"/>
  <c r="FM51" i="13"/>
  <c r="FN51" i="13"/>
  <c r="FO51" i="13"/>
  <c r="FP51" i="13"/>
  <c r="FQ51" i="13"/>
  <c r="FR51" i="13"/>
  <c r="FS51" i="13"/>
  <c r="FT51" i="13"/>
  <c r="FU51" i="13"/>
  <c r="FV51" i="13"/>
  <c r="FW51" i="13"/>
  <c r="FX51" i="13"/>
  <c r="FY51" i="13"/>
  <c r="FZ51" i="13"/>
  <c r="GA51" i="13"/>
  <c r="GB51" i="13"/>
  <c r="GC51" i="13"/>
  <c r="GD51" i="13"/>
  <c r="GE51" i="13"/>
  <c r="GF51" i="13"/>
  <c r="GG51" i="13"/>
  <c r="GH51" i="13"/>
  <c r="GI51" i="13"/>
  <c r="GJ51" i="13"/>
  <c r="GK51" i="13"/>
  <c r="GL51" i="13"/>
  <c r="GM51" i="13"/>
  <c r="GN51" i="13"/>
  <c r="GO51" i="13"/>
  <c r="GP51" i="13"/>
  <c r="GQ51" i="13"/>
  <c r="GR51" i="13"/>
  <c r="GS51" i="13"/>
  <c r="GT51" i="13"/>
  <c r="GU51" i="13"/>
  <c r="GV51" i="13"/>
  <c r="GW51" i="13"/>
  <c r="GX51" i="13"/>
  <c r="BB51" i="13"/>
  <c r="BB50" i="13"/>
  <c r="BB41" i="13"/>
  <c r="BB42" i="13"/>
  <c r="BB43" i="13"/>
  <c r="BB44" i="13"/>
  <c r="BB46" i="13"/>
  <c r="BB48" i="13"/>
  <c r="BB40" i="13"/>
  <c r="C34" i="13"/>
  <c r="C32" i="13"/>
  <c r="D31" i="13"/>
  <c r="C5" i="1"/>
  <c r="C4" i="1"/>
  <c r="ACT3" i="13" l="1"/>
  <c r="ADB3" i="13"/>
  <c r="ADJ3" i="13"/>
  <c r="ADR3" i="13"/>
  <c r="ADZ3" i="13"/>
  <c r="AEH3" i="13"/>
  <c r="AEP3" i="13"/>
  <c r="AEX3" i="13"/>
  <c r="AFF3" i="13"/>
  <c r="AFN3" i="13"/>
  <c r="AFV3" i="13"/>
  <c r="AGD3" i="13"/>
  <c r="AGL3" i="13"/>
  <c r="AGT3" i="13"/>
  <c r="AHB3" i="13"/>
  <c r="AHJ3" i="13"/>
  <c r="AHR3" i="13"/>
  <c r="AHZ3" i="13"/>
  <c r="AIH3" i="13"/>
  <c r="AIX3" i="13"/>
  <c r="ACU3" i="13"/>
  <c r="ADC3" i="13"/>
  <c r="ADK3" i="13"/>
  <c r="ADS3" i="13"/>
  <c r="AEA3" i="13"/>
  <c r="AEI3" i="13"/>
  <c r="AEQ3" i="13"/>
  <c r="AEY3" i="13"/>
  <c r="AFG3" i="13"/>
  <c r="AFO3" i="13"/>
  <c r="AFW3" i="13"/>
  <c r="AGE3" i="13"/>
  <c r="AGM3" i="13"/>
  <c r="AGU3" i="13"/>
  <c r="AHC3" i="13"/>
  <c r="AHK3" i="13"/>
  <c r="AHS3" i="13"/>
  <c r="AIA3" i="13"/>
  <c r="AII3" i="13"/>
  <c r="AIQ3" i="13"/>
  <c r="AIY3" i="13"/>
  <c r="ACN3" i="13"/>
  <c r="ACV3" i="13"/>
  <c r="ADD3" i="13"/>
  <c r="ADL3" i="13"/>
  <c r="ADT3" i="13"/>
  <c r="AEB3" i="13"/>
  <c r="AEJ3" i="13"/>
  <c r="AER3" i="13"/>
  <c r="AEZ3" i="13"/>
  <c r="AFH3" i="13"/>
  <c r="AFP3" i="13"/>
  <c r="AFX3" i="13"/>
  <c r="AGF3" i="13"/>
  <c r="AGN3" i="13"/>
  <c r="AGV3" i="13"/>
  <c r="AHD3" i="13"/>
  <c r="AHL3" i="13"/>
  <c r="AHT3" i="13"/>
  <c r="AIB3" i="13"/>
  <c r="AIJ3" i="13"/>
  <c r="AIR3" i="13"/>
  <c r="AIZ3" i="13"/>
  <c r="ACW3" i="13"/>
  <c r="ADU3" i="13"/>
  <c r="AEK3" i="13"/>
  <c r="AFA3" i="13"/>
  <c r="AFQ3" i="13"/>
  <c r="AGG3" i="13"/>
  <c r="AGO3" i="13"/>
  <c r="AGW3" i="13"/>
  <c r="AHM3" i="13"/>
  <c r="AIC3" i="13"/>
  <c r="AIS3" i="13"/>
  <c r="ACO3" i="13"/>
  <c r="ADE3" i="13"/>
  <c r="ADM3" i="13"/>
  <c r="AEC3" i="13"/>
  <c r="AES3" i="13"/>
  <c r="AFI3" i="13"/>
  <c r="AFY3" i="13"/>
  <c r="AHE3" i="13"/>
  <c r="AHU3" i="13"/>
  <c r="AIK3" i="13"/>
  <c r="AJA3" i="13"/>
  <c r="ACP3" i="13"/>
  <c r="ACX3" i="13"/>
  <c r="ADF3" i="13"/>
  <c r="ADN3" i="13"/>
  <c r="ADV3" i="13"/>
  <c r="AED3" i="13"/>
  <c r="AEL3" i="13"/>
  <c r="AET3" i="13"/>
  <c r="AFB3" i="13"/>
  <c r="AFJ3" i="13"/>
  <c r="AFR3" i="13"/>
  <c r="AFZ3" i="13"/>
  <c r="AGH3" i="13"/>
  <c r="AGP3" i="13"/>
  <c r="AGX3" i="13"/>
  <c r="AHF3" i="13"/>
  <c r="AHN3" i="13"/>
  <c r="AHV3" i="13"/>
  <c r="AID3" i="13"/>
  <c r="AIL3" i="13"/>
  <c r="AIT3" i="13"/>
  <c r="ACQ3" i="13"/>
  <c r="ACY3" i="13"/>
  <c r="ADG3" i="13"/>
  <c r="ADO3" i="13"/>
  <c r="ADW3" i="13"/>
  <c r="AEE3" i="13"/>
  <c r="AEM3" i="13"/>
  <c r="AEU3" i="13"/>
  <c r="AFC3" i="13"/>
  <c r="AFK3" i="13"/>
  <c r="AFS3" i="13"/>
  <c r="AGA3" i="13"/>
  <c r="AGI3" i="13"/>
  <c r="AGQ3" i="13"/>
  <c r="AGY3" i="13"/>
  <c r="AHG3" i="13"/>
  <c r="AHO3" i="13"/>
  <c r="AHW3" i="13"/>
  <c r="AIE3" i="13"/>
  <c r="AIM3" i="13"/>
  <c r="AIU3" i="13"/>
  <c r="ADA3" i="13"/>
  <c r="ADI3" i="13"/>
  <c r="ADY3" i="13"/>
  <c r="AEO3" i="13"/>
  <c r="AFE3" i="13"/>
  <c r="AFU3" i="13"/>
  <c r="AGK3" i="13"/>
  <c r="AHA3" i="13"/>
  <c r="AHQ3" i="13"/>
  <c r="AIO3" i="13"/>
  <c r="ACR3" i="13"/>
  <c r="ACZ3" i="13"/>
  <c r="ADH3" i="13"/>
  <c r="ADP3" i="13"/>
  <c r="ADX3" i="13"/>
  <c r="AEF3" i="13"/>
  <c r="AEN3" i="13"/>
  <c r="AEV3" i="13"/>
  <c r="AFD3" i="13"/>
  <c r="AFL3" i="13"/>
  <c r="AFT3" i="13"/>
  <c r="AGB3" i="13"/>
  <c r="AGJ3" i="13"/>
  <c r="AGR3" i="13"/>
  <c r="AGZ3" i="13"/>
  <c r="AHH3" i="13"/>
  <c r="AHP3" i="13"/>
  <c r="AHX3" i="13"/>
  <c r="AIF3" i="13"/>
  <c r="AIN3" i="13"/>
  <c r="AIV3" i="13"/>
  <c r="ACS3" i="13"/>
  <c r="ADQ3" i="13"/>
  <c r="AEG3" i="13"/>
  <c r="AEW3" i="13"/>
  <c r="AFM3" i="13"/>
  <c r="AGC3" i="13"/>
  <c r="AGS3" i="13"/>
  <c r="AHI3" i="13"/>
  <c r="AHY3" i="13"/>
  <c r="AIG3" i="13"/>
  <c r="AIW3" i="13"/>
  <c r="AIP3" i="13"/>
  <c r="C2" i="13"/>
  <c r="C3" i="13"/>
  <c r="WQ190" i="13"/>
  <c r="UR177" i="13"/>
  <c r="QT151" i="13"/>
  <c r="SS164" i="13"/>
  <c r="WR187" i="13"/>
  <c r="US174" i="13"/>
  <c r="ST161" i="13"/>
  <c r="QU148" i="13"/>
  <c r="WQ188" i="13"/>
  <c r="UR175" i="13"/>
  <c r="SS162" i="13"/>
  <c r="QT149" i="13"/>
  <c r="WR191" i="13"/>
  <c r="US178" i="13"/>
  <c r="ST165" i="13"/>
  <c r="QU152" i="13"/>
  <c r="CZ7" i="13"/>
  <c r="CZ8" i="13"/>
  <c r="CZ11" i="13"/>
  <c r="WR193" i="13"/>
  <c r="ST167" i="13"/>
  <c r="QU154" i="13"/>
  <c r="US180" i="13"/>
  <c r="OV135" i="13"/>
  <c r="MW122" i="13"/>
  <c r="KX109" i="13"/>
  <c r="OU136" i="13"/>
  <c r="MV123" i="13"/>
  <c r="KW110" i="13"/>
  <c r="OU138" i="13"/>
  <c r="MV125" i="13"/>
  <c r="KW112" i="13"/>
  <c r="OV141" i="13"/>
  <c r="MW128" i="13"/>
  <c r="KX115" i="13"/>
  <c r="OV139" i="13"/>
  <c r="MW126" i="13"/>
  <c r="KX113" i="13"/>
  <c r="C39" i="13"/>
  <c r="BB45" i="13"/>
  <c r="IX97" i="13"/>
  <c r="GY84" i="13"/>
  <c r="EZ71" i="13"/>
  <c r="IY96" i="13"/>
  <c r="GZ83" i="13"/>
  <c r="FA70" i="13"/>
  <c r="IY102" i="13"/>
  <c r="GZ89" i="13"/>
  <c r="FA76" i="13"/>
  <c r="IY100" i="13"/>
  <c r="GZ87" i="13"/>
  <c r="FA74" i="13"/>
  <c r="E18" i="13"/>
  <c r="IX99" i="13"/>
  <c r="GY86" i="13"/>
  <c r="EZ73" i="13"/>
  <c r="DB61" i="13"/>
  <c r="BC48" i="13"/>
  <c r="DB57" i="13"/>
  <c r="BC44" i="13"/>
  <c r="DA60" i="13"/>
  <c r="BB47" i="13"/>
  <c r="DB63" i="13"/>
  <c r="BC50" i="13"/>
  <c r="D27" i="13"/>
  <c r="DA58" i="13"/>
  <c r="C36" i="13"/>
  <c r="E31" i="13"/>
  <c r="WS187" i="13" l="1"/>
  <c r="UT174" i="13"/>
  <c r="SU161" i="13"/>
  <c r="QV148" i="13"/>
  <c r="C4" i="13"/>
  <c r="C5" i="13" s="1"/>
  <c r="UR179" i="13"/>
  <c r="WQ192" i="13"/>
  <c r="QT153" i="13"/>
  <c r="SS166" i="13"/>
  <c r="CZ12" i="13"/>
  <c r="CZ13" i="13"/>
  <c r="CZ9" i="13"/>
  <c r="CZ10" i="13"/>
  <c r="WR183" i="13"/>
  <c r="US170" i="13"/>
  <c r="ST157" i="13"/>
  <c r="QU144" i="13"/>
  <c r="WS191" i="13"/>
  <c r="UT178" i="13"/>
  <c r="SU165" i="13"/>
  <c r="QV152" i="13"/>
  <c r="WQ195" i="13"/>
  <c r="UR182" i="13"/>
  <c r="SS169" i="13"/>
  <c r="QT156" i="13"/>
  <c r="WS193" i="13"/>
  <c r="SU167" i="13"/>
  <c r="QV154" i="13"/>
  <c r="UT180" i="13"/>
  <c r="OV131" i="13"/>
  <c r="MW118" i="13"/>
  <c r="KX105" i="13"/>
  <c r="OW141" i="13"/>
  <c r="MX128" i="13"/>
  <c r="KY115" i="13"/>
  <c r="OW135" i="13"/>
  <c r="MX122" i="13"/>
  <c r="KY109" i="13"/>
  <c r="OW139" i="13"/>
  <c r="KY113" i="13"/>
  <c r="MX126" i="13"/>
  <c r="OU140" i="13"/>
  <c r="MV127" i="13"/>
  <c r="KW114" i="13"/>
  <c r="OU143" i="13"/>
  <c r="KW117" i="13"/>
  <c r="MV130" i="13"/>
  <c r="D32" i="13"/>
  <c r="IY92" i="13"/>
  <c r="GZ79" i="13"/>
  <c r="FA66" i="13"/>
  <c r="IZ102" i="13"/>
  <c r="HA89" i="13"/>
  <c r="FB76" i="13"/>
  <c r="BD48" i="13"/>
  <c r="IZ100" i="13"/>
  <c r="HA87" i="13"/>
  <c r="FB74" i="13"/>
  <c r="IZ96" i="13"/>
  <c r="HA83" i="13"/>
  <c r="FB70" i="13"/>
  <c r="IX104" i="13"/>
  <c r="GY91" i="13"/>
  <c r="EZ78" i="13"/>
  <c r="GY88" i="13"/>
  <c r="IX101" i="13"/>
  <c r="EZ75" i="13"/>
  <c r="DC61" i="13"/>
  <c r="D33" i="13"/>
  <c r="DA62" i="13"/>
  <c r="BB49" i="13"/>
  <c r="DA65" i="13"/>
  <c r="BB52" i="13"/>
  <c r="DC57" i="13"/>
  <c r="BD44" i="13"/>
  <c r="DB53" i="13"/>
  <c r="BC40" i="13"/>
  <c r="DC63" i="13"/>
  <c r="BD50" i="13"/>
  <c r="F31" i="13"/>
  <c r="E16" i="13"/>
  <c r="A16" i="13"/>
  <c r="C7" i="13" l="1"/>
  <c r="C8" i="13"/>
  <c r="C9" i="13" s="1"/>
  <c r="E27" i="13"/>
  <c r="OW131" i="13" s="1"/>
  <c r="WR188" i="13"/>
  <c r="US175" i="13"/>
  <c r="ST162" i="13"/>
  <c r="QU149" i="13"/>
  <c r="WT191" i="13"/>
  <c r="UU178" i="13"/>
  <c r="SV165" i="13"/>
  <c r="QW152" i="13"/>
  <c r="WT187" i="13"/>
  <c r="UU174" i="13"/>
  <c r="SV161" i="13"/>
  <c r="QW148" i="13"/>
  <c r="UU180" i="13"/>
  <c r="WT193" i="13"/>
  <c r="SV167" i="13"/>
  <c r="QW154" i="13"/>
  <c r="D6" i="13"/>
  <c r="WR189" i="13"/>
  <c r="US176" i="13"/>
  <c r="ST163" i="13"/>
  <c r="QU150" i="13"/>
  <c r="OX139" i="13"/>
  <c r="MY126" i="13"/>
  <c r="KZ113" i="13"/>
  <c r="OV137" i="13"/>
  <c r="MW124" i="13"/>
  <c r="KX111" i="13"/>
  <c r="OX135" i="13"/>
  <c r="MY122" i="13"/>
  <c r="KZ109" i="13"/>
  <c r="DB58" i="13"/>
  <c r="OV136" i="13"/>
  <c r="MW123" i="13"/>
  <c r="KX110" i="13"/>
  <c r="OX141" i="13"/>
  <c r="MY128" i="13"/>
  <c r="KZ115" i="13"/>
  <c r="C11" i="13"/>
  <c r="C12" i="13" s="1"/>
  <c r="BC45" i="13"/>
  <c r="JA100" i="13"/>
  <c r="HB87" i="13"/>
  <c r="FC74" i="13"/>
  <c r="IY98" i="13"/>
  <c r="GZ85" i="13"/>
  <c r="FA72" i="13"/>
  <c r="JA96" i="13"/>
  <c r="HB83" i="13"/>
  <c r="FC70" i="13"/>
  <c r="JA102" i="13"/>
  <c r="HB89" i="13"/>
  <c r="FC76" i="13"/>
  <c r="IY97" i="13"/>
  <c r="GZ84" i="13"/>
  <c r="FA71" i="13"/>
  <c r="DD63" i="13"/>
  <c r="BE50" i="13"/>
  <c r="DD57" i="13"/>
  <c r="BE44" i="13"/>
  <c r="D34" i="13"/>
  <c r="DB59" i="13"/>
  <c r="BC46" i="13"/>
  <c r="DD61" i="13"/>
  <c r="BE48" i="13"/>
  <c r="G31" i="13"/>
  <c r="DC53" i="13" l="1"/>
  <c r="FB66" i="13"/>
  <c r="MX118" i="13"/>
  <c r="WU191" i="13"/>
  <c r="UV178" i="13"/>
  <c r="SW165" i="13"/>
  <c r="QX152" i="13"/>
  <c r="HA79" i="13"/>
  <c r="UT170" i="13"/>
  <c r="WS183" i="13"/>
  <c r="SU157" i="13"/>
  <c r="QV144" i="13"/>
  <c r="IZ92" i="13"/>
  <c r="E32" i="13"/>
  <c r="OW136" i="13" s="1"/>
  <c r="KY105" i="13"/>
  <c r="WU187" i="13"/>
  <c r="UV174" i="13"/>
  <c r="SW161" i="13"/>
  <c r="QX148" i="13"/>
  <c r="BD40" i="13"/>
  <c r="D2" i="13"/>
  <c r="D3" i="13"/>
  <c r="WR190" i="13"/>
  <c r="US177" i="13"/>
  <c r="QU151" i="13"/>
  <c r="ST164" i="13"/>
  <c r="UV180" i="13"/>
  <c r="WU193" i="13"/>
  <c r="QX154" i="13"/>
  <c r="SW167" i="13"/>
  <c r="OY139" i="13"/>
  <c r="LA113" i="13"/>
  <c r="MZ126" i="13"/>
  <c r="OY141" i="13"/>
  <c r="MZ128" i="13"/>
  <c r="LA115" i="13"/>
  <c r="OY135" i="13"/>
  <c r="MZ122" i="13"/>
  <c r="LA109" i="13"/>
  <c r="OV138" i="13"/>
  <c r="MW125" i="13"/>
  <c r="KX112" i="13"/>
  <c r="C13" i="13"/>
  <c r="JB100" i="13"/>
  <c r="HC87" i="13"/>
  <c r="FD74" i="13"/>
  <c r="JB102" i="13"/>
  <c r="HC89" i="13"/>
  <c r="FD76" i="13"/>
  <c r="JB96" i="13"/>
  <c r="HC83" i="13"/>
  <c r="FD70" i="13"/>
  <c r="IY99" i="13"/>
  <c r="GZ86" i="13"/>
  <c r="FA73" i="13"/>
  <c r="DB60" i="13"/>
  <c r="BC47" i="13"/>
  <c r="D39" i="13"/>
  <c r="D36" i="13"/>
  <c r="DE57" i="13"/>
  <c r="BF44" i="13"/>
  <c r="DE61" i="13"/>
  <c r="BF48" i="13"/>
  <c r="DE63" i="13"/>
  <c r="BF50" i="13"/>
  <c r="H31" i="13"/>
  <c r="C10" i="13"/>
  <c r="F27" i="13" l="1"/>
  <c r="FC66" i="13" s="1"/>
  <c r="IZ97" i="13"/>
  <c r="FB71" i="13"/>
  <c r="HA84" i="13"/>
  <c r="BD45" i="13"/>
  <c r="KY110" i="13"/>
  <c r="WV187" i="13"/>
  <c r="UW174" i="13"/>
  <c r="SX161" i="13"/>
  <c r="QY148" i="13"/>
  <c r="DC58" i="13"/>
  <c r="WS188" i="13"/>
  <c r="UT175" i="13"/>
  <c r="SU162" i="13"/>
  <c r="QV149" i="13"/>
  <c r="WV191" i="13"/>
  <c r="UW178" i="13"/>
  <c r="SX165" i="13"/>
  <c r="QY152" i="13"/>
  <c r="MX123" i="13"/>
  <c r="UW180" i="13"/>
  <c r="WV193" i="13"/>
  <c r="QY154" i="13"/>
  <c r="SX167" i="13"/>
  <c r="D4" i="13"/>
  <c r="D5" i="13" s="1"/>
  <c r="WR192" i="13"/>
  <c r="US179" i="13"/>
  <c r="ST166" i="13"/>
  <c r="QU153" i="13"/>
  <c r="WR195" i="13"/>
  <c r="US182" i="13"/>
  <c r="QU156" i="13"/>
  <c r="ST169" i="13"/>
  <c r="OZ135" i="13"/>
  <c r="NA122" i="13"/>
  <c r="LB109" i="13"/>
  <c r="OZ139" i="13"/>
  <c r="LB113" i="13"/>
  <c r="NA126" i="13"/>
  <c r="OZ141" i="13"/>
  <c r="NA128" i="13"/>
  <c r="LB115" i="13"/>
  <c r="OV140" i="13"/>
  <c r="MW127" i="13"/>
  <c r="KX114" i="13"/>
  <c r="MW130" i="13"/>
  <c r="KX117" i="13"/>
  <c r="OV143" i="13"/>
  <c r="JC100" i="13"/>
  <c r="HD87" i="13"/>
  <c r="FE74" i="13"/>
  <c r="GZ88" i="13"/>
  <c r="IY101" i="13"/>
  <c r="FA75" i="13"/>
  <c r="JC96" i="13"/>
  <c r="HD83" i="13"/>
  <c r="FE70" i="13"/>
  <c r="IY104" i="13"/>
  <c r="GZ91" i="13"/>
  <c r="FA78" i="13"/>
  <c r="JC102" i="13"/>
  <c r="HD89" i="13"/>
  <c r="FE76" i="13"/>
  <c r="DF57" i="13"/>
  <c r="BG44" i="13"/>
  <c r="DF63" i="13"/>
  <c r="BG50" i="13"/>
  <c r="DF61" i="13"/>
  <c r="BG48" i="13"/>
  <c r="DB62" i="13"/>
  <c r="E33" i="13"/>
  <c r="BC49" i="13"/>
  <c r="DB65" i="13"/>
  <c r="BC52" i="13"/>
  <c r="I31" i="13"/>
  <c r="KZ105" i="13" l="1"/>
  <c r="MY118" i="13"/>
  <c r="JA92" i="13"/>
  <c r="SV157" i="13"/>
  <c r="QW144" i="13"/>
  <c r="OX131" i="13"/>
  <c r="UU170" i="13"/>
  <c r="WT183" i="13"/>
  <c r="F32" i="13"/>
  <c r="MY123" i="13" s="1"/>
  <c r="DD53" i="13"/>
  <c r="HB79" i="13"/>
  <c r="BE40" i="13"/>
  <c r="WW187" i="13"/>
  <c r="UX174" i="13"/>
  <c r="QZ148" i="13"/>
  <c r="SY161" i="13"/>
  <c r="WW191" i="13"/>
  <c r="UX178" i="13"/>
  <c r="SY165" i="13"/>
  <c r="QZ152" i="13"/>
  <c r="D8" i="13"/>
  <c r="D7" i="13"/>
  <c r="D11" i="13"/>
  <c r="UX180" i="13"/>
  <c r="WW193" i="13"/>
  <c r="QZ154" i="13"/>
  <c r="SY167" i="13"/>
  <c r="E6" i="13"/>
  <c r="WS189" i="13"/>
  <c r="UT176" i="13"/>
  <c r="SU163" i="13"/>
  <c r="QV150" i="13"/>
  <c r="NB126" i="13"/>
  <c r="PA139" i="13"/>
  <c r="LC113" i="13"/>
  <c r="PA141" i="13"/>
  <c r="NB128" i="13"/>
  <c r="LC115" i="13"/>
  <c r="PA135" i="13"/>
  <c r="NB122" i="13"/>
  <c r="LC109" i="13"/>
  <c r="OW137" i="13"/>
  <c r="MX124" i="13"/>
  <c r="KY111" i="13"/>
  <c r="IZ98" i="13"/>
  <c r="HA85" i="13"/>
  <c r="FB72" i="13"/>
  <c r="JD102" i="13"/>
  <c r="HE89" i="13"/>
  <c r="FF76" i="13"/>
  <c r="JD96" i="13"/>
  <c r="HE83" i="13"/>
  <c r="FF70" i="13"/>
  <c r="JD100" i="13"/>
  <c r="HE87" i="13"/>
  <c r="FF74" i="13"/>
  <c r="DG61" i="13"/>
  <c r="BH48" i="13"/>
  <c r="BD46" i="13"/>
  <c r="DC59" i="13"/>
  <c r="E34" i="13"/>
  <c r="DG57" i="13"/>
  <c r="BH44" i="13"/>
  <c r="DG63" i="13"/>
  <c r="BH50" i="13"/>
  <c r="J31" i="13"/>
  <c r="SV162" i="13" l="1"/>
  <c r="OX136" i="13"/>
  <c r="WT188" i="13"/>
  <c r="HB84" i="13"/>
  <c r="FC71" i="13"/>
  <c r="BE45" i="13"/>
  <c r="JA97" i="13"/>
  <c r="KZ110" i="13"/>
  <c r="DD58" i="13"/>
  <c r="G27" i="13"/>
  <c r="UU175" i="13"/>
  <c r="QW149" i="13"/>
  <c r="WX191" i="13"/>
  <c r="UY178" i="13"/>
  <c r="SZ165" i="13"/>
  <c r="RA152" i="13"/>
  <c r="WX187" i="13"/>
  <c r="UY174" i="13"/>
  <c r="SZ161" i="13"/>
  <c r="RA148" i="13"/>
  <c r="E2" i="13"/>
  <c r="E3" i="13"/>
  <c r="WS190" i="13"/>
  <c r="SU164" i="13"/>
  <c r="UT177" i="13"/>
  <c r="QV151" i="13"/>
  <c r="D13" i="13"/>
  <c r="D12" i="13"/>
  <c r="WX193" i="13"/>
  <c r="SZ167" i="13"/>
  <c r="UY180" i="13"/>
  <c r="RA154" i="13"/>
  <c r="D10" i="13"/>
  <c r="D9" i="13"/>
  <c r="PB135" i="13"/>
  <c r="NC122" i="13"/>
  <c r="LD109" i="13"/>
  <c r="OW138" i="13"/>
  <c r="MX125" i="13"/>
  <c r="KY112" i="13"/>
  <c r="PB139" i="13"/>
  <c r="NC126" i="13"/>
  <c r="LD113" i="13"/>
  <c r="PB141" i="13"/>
  <c r="LD115" i="13"/>
  <c r="NC128" i="13"/>
  <c r="IZ99" i="13"/>
  <c r="HA86" i="13"/>
  <c r="FB73" i="13"/>
  <c r="JE100" i="13"/>
  <c r="HF87" i="13"/>
  <c r="FG74" i="13"/>
  <c r="JE96" i="13"/>
  <c r="HF83" i="13"/>
  <c r="FG70" i="13"/>
  <c r="JE102" i="13"/>
  <c r="HF89" i="13"/>
  <c r="FG76" i="13"/>
  <c r="DC60" i="13"/>
  <c r="E39" i="13"/>
  <c r="E36" i="13"/>
  <c r="BD47" i="13"/>
  <c r="DH61" i="13"/>
  <c r="BI48" i="13"/>
  <c r="DH57" i="13"/>
  <c r="BI44" i="13"/>
  <c r="DH63" i="13"/>
  <c r="BI50" i="13"/>
  <c r="K31" i="13"/>
  <c r="MZ118" i="13" l="1"/>
  <c r="FD66" i="13"/>
  <c r="OY131" i="13"/>
  <c r="LA105" i="13"/>
  <c r="JB92" i="13"/>
  <c r="HC79" i="13"/>
  <c r="G32" i="13"/>
  <c r="UV170" i="13"/>
  <c r="WU183" i="13"/>
  <c r="DE53" i="13"/>
  <c r="BF40" i="13"/>
  <c r="SW157" i="13"/>
  <c r="QX144" i="13"/>
  <c r="WY187" i="13"/>
  <c r="UZ174" i="13"/>
  <c r="TA161" i="13"/>
  <c r="RB148" i="13"/>
  <c r="WY191" i="13"/>
  <c r="UZ178" i="13"/>
  <c r="TA165" i="13"/>
  <c r="RB152" i="13"/>
  <c r="WY193" i="13"/>
  <c r="UZ180" i="13"/>
  <c r="RB154" i="13"/>
  <c r="TA167" i="13"/>
  <c r="E4" i="13"/>
  <c r="E5" i="13" s="1"/>
  <c r="WS192" i="13"/>
  <c r="UT179" i="13"/>
  <c r="SU166" i="13"/>
  <c r="QV153" i="13"/>
  <c r="WS195" i="13"/>
  <c r="UT182" i="13"/>
  <c r="SU169" i="13"/>
  <c r="QV156" i="13"/>
  <c r="OW140" i="13"/>
  <c r="KY114" i="13"/>
  <c r="MX127" i="13"/>
  <c r="PC141" i="13"/>
  <c r="ND128" i="13"/>
  <c r="LE115" i="13"/>
  <c r="PC135" i="13"/>
  <c r="ND122" i="13"/>
  <c r="LE109" i="13"/>
  <c r="PC139" i="13"/>
  <c r="ND126" i="13"/>
  <c r="LE113" i="13"/>
  <c r="MX130" i="13"/>
  <c r="KY117" i="13"/>
  <c r="OW143" i="13"/>
  <c r="IZ101" i="13"/>
  <c r="HA88" i="13"/>
  <c r="FB75" i="13"/>
  <c r="JF96" i="13"/>
  <c r="HG83" i="13"/>
  <c r="FH70" i="13"/>
  <c r="HA91" i="13"/>
  <c r="IZ104" i="13"/>
  <c r="FB78" i="13"/>
  <c r="JF102" i="13"/>
  <c r="HG89" i="13"/>
  <c r="FH76" i="13"/>
  <c r="JF100" i="13"/>
  <c r="HG87" i="13"/>
  <c r="FH74" i="13"/>
  <c r="DI61" i="13"/>
  <c r="BJ48" i="13"/>
  <c r="DI57" i="13"/>
  <c r="BJ44" i="13"/>
  <c r="DC62" i="13"/>
  <c r="BD49" i="13"/>
  <c r="F33" i="13"/>
  <c r="DI63" i="13"/>
  <c r="BJ50" i="13"/>
  <c r="BD52" i="13"/>
  <c r="DC65" i="13"/>
  <c r="L31" i="13"/>
  <c r="QX149" i="13" l="1"/>
  <c r="FD71" i="13"/>
  <c r="DE58" i="13"/>
  <c r="MZ123" i="13"/>
  <c r="BF45" i="13"/>
  <c r="OY136" i="13"/>
  <c r="JB97" i="13"/>
  <c r="SW162" i="13"/>
  <c r="LA110" i="13"/>
  <c r="UV175" i="13"/>
  <c r="HC84" i="13"/>
  <c r="WU188" i="13"/>
  <c r="H27" i="13"/>
  <c r="WZ191" i="13"/>
  <c r="VA178" i="13"/>
  <c r="TB165" i="13"/>
  <c r="RC152" i="13"/>
  <c r="WZ187" i="13"/>
  <c r="VA174" i="13"/>
  <c r="TB161" i="13"/>
  <c r="RC148" i="13"/>
  <c r="WZ193" i="13"/>
  <c r="VA180" i="13"/>
  <c r="TB167" i="13"/>
  <c r="RC154" i="13"/>
  <c r="F6" i="13"/>
  <c r="WT189" i="13"/>
  <c r="UU176" i="13"/>
  <c r="SV163" i="13"/>
  <c r="QW150" i="13"/>
  <c r="E8" i="13"/>
  <c r="E7" i="13"/>
  <c r="E11" i="13"/>
  <c r="PD135" i="13"/>
  <c r="NE122" i="13"/>
  <c r="LF109" i="13"/>
  <c r="PD139" i="13"/>
  <c r="NE126" i="13"/>
  <c r="LF113" i="13"/>
  <c r="PD141" i="13"/>
  <c r="NE128" i="13"/>
  <c r="LF115" i="13"/>
  <c r="OX137" i="13"/>
  <c r="MY124" i="13"/>
  <c r="KZ111" i="13"/>
  <c r="JA98" i="13"/>
  <c r="HB85" i="13"/>
  <c r="FC72" i="13"/>
  <c r="JG96" i="13"/>
  <c r="HH83" i="13"/>
  <c r="FI70" i="13"/>
  <c r="JG100" i="13"/>
  <c r="HH87" i="13"/>
  <c r="FI74" i="13"/>
  <c r="JG102" i="13"/>
  <c r="HH89" i="13"/>
  <c r="FI76" i="13"/>
  <c r="DD59" i="13"/>
  <c r="BE46" i="13"/>
  <c r="F34" i="13"/>
  <c r="DJ57" i="13"/>
  <c r="BK44" i="13"/>
  <c r="DJ63" i="13"/>
  <c r="BK50" i="13"/>
  <c r="DJ61" i="13"/>
  <c r="BK48" i="13"/>
  <c r="M31" i="13"/>
  <c r="LB105" i="13" l="1"/>
  <c r="H32" i="13"/>
  <c r="I27" i="13" s="1"/>
  <c r="FE66" i="13"/>
  <c r="DF53" i="13"/>
  <c r="BG40" i="13"/>
  <c r="HD79" i="13"/>
  <c r="WV183" i="13"/>
  <c r="NA118" i="13"/>
  <c r="UW170" i="13"/>
  <c r="JC92" i="13"/>
  <c r="SX157" i="13"/>
  <c r="OZ131" i="13"/>
  <c r="QY144" i="13"/>
  <c r="VB174" i="13"/>
  <c r="XA187" i="13"/>
  <c r="TC161" i="13"/>
  <c r="RD148" i="13"/>
  <c r="XA191" i="13"/>
  <c r="VB178" i="13"/>
  <c r="TC165" i="13"/>
  <c r="RD152" i="13"/>
  <c r="E12" i="13"/>
  <c r="E13" i="13"/>
  <c r="F2" i="13"/>
  <c r="F3" i="13"/>
  <c r="WT190" i="13"/>
  <c r="SV164" i="13"/>
  <c r="QW151" i="13"/>
  <c r="UU177" i="13"/>
  <c r="E9" i="13"/>
  <c r="E10" i="13"/>
  <c r="XA193" i="13"/>
  <c r="TC167" i="13"/>
  <c r="VB180" i="13"/>
  <c r="RD154" i="13"/>
  <c r="PE141" i="13"/>
  <c r="NF128" i="13"/>
  <c r="LG115" i="13"/>
  <c r="PE139" i="13"/>
  <c r="NF126" i="13"/>
  <c r="LG113" i="13"/>
  <c r="OX138" i="13"/>
  <c r="MY125" i="13"/>
  <c r="KZ112" i="13"/>
  <c r="PE135" i="13"/>
  <c r="NF122" i="13"/>
  <c r="LG109" i="13"/>
  <c r="JH102" i="13"/>
  <c r="HI89" i="13"/>
  <c r="FJ76" i="13"/>
  <c r="JH100" i="13"/>
  <c r="HI87" i="13"/>
  <c r="FJ74" i="13"/>
  <c r="JH96" i="13"/>
  <c r="HI83" i="13"/>
  <c r="FJ70" i="13"/>
  <c r="JA99" i="13"/>
  <c r="HB86" i="13"/>
  <c r="FC73" i="13"/>
  <c r="DK63" i="13"/>
  <c r="BL50" i="13"/>
  <c r="DK57" i="13"/>
  <c r="BL44" i="13"/>
  <c r="DK61" i="13"/>
  <c r="BL48" i="13"/>
  <c r="DD60" i="13"/>
  <c r="F36" i="13"/>
  <c r="BE47" i="13"/>
  <c r="F39" i="13"/>
  <c r="N31" i="13"/>
  <c r="QZ144" i="13" l="1"/>
  <c r="LC105" i="13"/>
  <c r="BH40" i="13"/>
  <c r="I32" i="13"/>
  <c r="HE79" i="13"/>
  <c r="DG53" i="13"/>
  <c r="SY157" i="13"/>
  <c r="UX170" i="13"/>
  <c r="NB118" i="13"/>
  <c r="FF66" i="13"/>
  <c r="WW183" i="13"/>
  <c r="JD92" i="13"/>
  <c r="PA131" i="13"/>
  <c r="NA123" i="13"/>
  <c r="HD84" i="13"/>
  <c r="FE71" i="13"/>
  <c r="OZ136" i="13"/>
  <c r="JC97" i="13"/>
  <c r="LB110" i="13"/>
  <c r="DF58" i="13"/>
  <c r="WV188" i="13"/>
  <c r="UW175" i="13"/>
  <c r="SX162" i="13"/>
  <c r="BG45" i="13"/>
  <c r="QY149" i="13"/>
  <c r="XB187" i="13"/>
  <c r="VC174" i="13"/>
  <c r="TD161" i="13"/>
  <c r="RE148" i="13"/>
  <c r="XB191" i="13"/>
  <c r="VC178" i="13"/>
  <c r="TD165" i="13"/>
  <c r="RE152" i="13"/>
  <c r="VC180" i="13"/>
  <c r="XB193" i="13"/>
  <c r="TD167" i="13"/>
  <c r="RE154" i="13"/>
  <c r="WT195" i="13"/>
  <c r="UU182" i="13"/>
  <c r="SV169" i="13"/>
  <c r="QW156" i="13"/>
  <c r="F4" i="13"/>
  <c r="F5" i="13" s="1"/>
  <c r="WT192" i="13"/>
  <c r="UU179" i="13"/>
  <c r="SV166" i="13"/>
  <c r="QW153" i="13"/>
  <c r="PF141" i="13"/>
  <c r="NG128" i="13"/>
  <c r="LH115" i="13"/>
  <c r="PF135" i="13"/>
  <c r="NG122" i="13"/>
  <c r="LH109" i="13"/>
  <c r="PF139" i="13"/>
  <c r="NG126" i="13"/>
  <c r="LH113" i="13"/>
  <c r="OX140" i="13"/>
  <c r="MY127" i="13"/>
  <c r="KZ114" i="13"/>
  <c r="OX143" i="13"/>
  <c r="MY130" i="13"/>
  <c r="KZ117" i="13"/>
  <c r="HJ89" i="13"/>
  <c r="JI102" i="13"/>
  <c r="FK76" i="13"/>
  <c r="JI96" i="13"/>
  <c r="HJ83" i="13"/>
  <c r="FK70" i="13"/>
  <c r="JA104" i="13"/>
  <c r="HB91" i="13"/>
  <c r="FC78" i="13"/>
  <c r="HJ87" i="13"/>
  <c r="JI100" i="13"/>
  <c r="FK74" i="13"/>
  <c r="JA101" i="13"/>
  <c r="HB88" i="13"/>
  <c r="FC75" i="13"/>
  <c r="DL61" i="13"/>
  <c r="BM48" i="13"/>
  <c r="DD62" i="13"/>
  <c r="BE49" i="13"/>
  <c r="G33" i="13"/>
  <c r="BE52" i="13"/>
  <c r="DD65" i="13"/>
  <c r="DL57" i="13"/>
  <c r="BM44" i="13"/>
  <c r="DL63" i="13"/>
  <c r="BM50" i="13"/>
  <c r="O31" i="13"/>
  <c r="WW188" i="13" l="1"/>
  <c r="FF71" i="13"/>
  <c r="UX175" i="13"/>
  <c r="DG58" i="13"/>
  <c r="HE84" i="13"/>
  <c r="NB123" i="13"/>
  <c r="LC110" i="13"/>
  <c r="SY162" i="13"/>
  <c r="JD97" i="13"/>
  <c r="BH45" i="13"/>
  <c r="QZ149" i="13"/>
  <c r="PA136" i="13"/>
  <c r="J27" i="13"/>
  <c r="XC187" i="13"/>
  <c r="VD174" i="13"/>
  <c r="TE161" i="13"/>
  <c r="RF148" i="13"/>
  <c r="XC191" i="13"/>
  <c r="VD178" i="13"/>
  <c r="TE165" i="13"/>
  <c r="RF152" i="13"/>
  <c r="G6" i="13"/>
  <c r="WU189" i="13"/>
  <c r="UV176" i="13"/>
  <c r="QX150" i="13"/>
  <c r="SW163" i="13"/>
  <c r="VD180" i="13"/>
  <c r="XC193" i="13"/>
  <c r="TE167" i="13"/>
  <c r="RF154" i="13"/>
  <c r="F7" i="13"/>
  <c r="F11" i="13"/>
  <c r="F8" i="13"/>
  <c r="PG135" i="13"/>
  <c r="NH122" i="13"/>
  <c r="LI109" i="13"/>
  <c r="PG139" i="13"/>
  <c r="LI113" i="13"/>
  <c r="NH126" i="13"/>
  <c r="OY137" i="13"/>
  <c r="MZ124" i="13"/>
  <c r="LA111" i="13"/>
  <c r="PG141" i="13"/>
  <c r="NH128" i="13"/>
  <c r="LI115" i="13"/>
  <c r="JJ100" i="13"/>
  <c r="HK87" i="13"/>
  <c r="FL74" i="13"/>
  <c r="JJ102" i="13"/>
  <c r="HK89" i="13"/>
  <c r="FL76" i="13"/>
  <c r="JB98" i="13"/>
  <c r="HC85" i="13"/>
  <c r="FD72" i="13"/>
  <c r="JJ96" i="13"/>
  <c r="HK83" i="13"/>
  <c r="FL70" i="13"/>
  <c r="DE59" i="13"/>
  <c r="G34" i="13"/>
  <c r="BF46" i="13"/>
  <c r="DM63" i="13"/>
  <c r="BN50" i="13"/>
  <c r="DM57" i="13"/>
  <c r="BN44" i="13"/>
  <c r="DM61" i="13"/>
  <c r="BN48" i="13"/>
  <c r="P31" i="13"/>
  <c r="FG66" i="13" l="1"/>
  <c r="DH53" i="13"/>
  <c r="J32" i="13"/>
  <c r="NC118" i="13"/>
  <c r="LD105" i="13"/>
  <c r="BI40" i="13"/>
  <c r="WX183" i="13"/>
  <c r="UY170" i="13"/>
  <c r="PB131" i="13"/>
  <c r="JE92" i="13"/>
  <c r="HF79" i="13"/>
  <c r="SZ157" i="13"/>
  <c r="RA144" i="13"/>
  <c r="XD187" i="13"/>
  <c r="VE174" i="13"/>
  <c r="TF161" i="13"/>
  <c r="RG148" i="13"/>
  <c r="XD191" i="13"/>
  <c r="VE178" i="13"/>
  <c r="TF165" i="13"/>
  <c r="RG152" i="13"/>
  <c r="G2" i="13"/>
  <c r="G3" i="13"/>
  <c r="UV177" i="13"/>
  <c r="WU190" i="13"/>
  <c r="SW164" i="13"/>
  <c r="QX151" i="13"/>
  <c r="F10" i="13"/>
  <c r="F9" i="13"/>
  <c r="F12" i="13"/>
  <c r="F13" i="13"/>
  <c r="VE180" i="13"/>
  <c r="TF167" i="13"/>
  <c r="XD193" i="13"/>
  <c r="RG154" i="13"/>
  <c r="PH141" i="13"/>
  <c r="NI128" i="13"/>
  <c r="LJ115" i="13"/>
  <c r="PH139" i="13"/>
  <c r="LJ113" i="13"/>
  <c r="NI126" i="13"/>
  <c r="PH135" i="13"/>
  <c r="NI122" i="13"/>
  <c r="LJ109" i="13"/>
  <c r="OY138" i="13"/>
  <c r="LA112" i="13"/>
  <c r="MZ125" i="13"/>
  <c r="JK102" i="13"/>
  <c r="HL89" i="13"/>
  <c r="FM76" i="13"/>
  <c r="HL87" i="13"/>
  <c r="JK100" i="13"/>
  <c r="FM74" i="13"/>
  <c r="JB99" i="13"/>
  <c r="HC86" i="13"/>
  <c r="FD73" i="13"/>
  <c r="JK96" i="13"/>
  <c r="HL83" i="13"/>
  <c r="FM70" i="13"/>
  <c r="DN63" i="13"/>
  <c r="BO50" i="13"/>
  <c r="DN61" i="13"/>
  <c r="BO48" i="13"/>
  <c r="DN57" i="13"/>
  <c r="BO44" i="13"/>
  <c r="DE60" i="13"/>
  <c r="G36" i="13"/>
  <c r="G39" i="13"/>
  <c r="BF47" i="13"/>
  <c r="Q31" i="13"/>
  <c r="SZ162" i="13" l="1"/>
  <c r="FG71" i="13"/>
  <c r="DH58" i="13"/>
  <c r="LD110" i="13"/>
  <c r="RA149" i="13"/>
  <c r="BI45" i="13"/>
  <c r="PB136" i="13"/>
  <c r="HF84" i="13"/>
  <c r="NC123" i="13"/>
  <c r="WX188" i="13"/>
  <c r="JE97" i="13"/>
  <c r="UY175" i="13"/>
  <c r="K27" i="13"/>
  <c r="XE187" i="13"/>
  <c r="VF174" i="13"/>
  <c r="TG161" i="13"/>
  <c r="RH148" i="13"/>
  <c r="XE191" i="13"/>
  <c r="VF178" i="13"/>
  <c r="TG165" i="13"/>
  <c r="RH152" i="13"/>
  <c r="VF180" i="13"/>
  <c r="XE193" i="13"/>
  <c r="TG167" i="13"/>
  <c r="RH154" i="13"/>
  <c r="WU195" i="13"/>
  <c r="UV182" i="13"/>
  <c r="SW169" i="13"/>
  <c r="QX156" i="13"/>
  <c r="G4" i="13"/>
  <c r="G5" i="13" s="1"/>
  <c r="WU192" i="13"/>
  <c r="UV179" i="13"/>
  <c r="SW166" i="13"/>
  <c r="QX153" i="13"/>
  <c r="PI139" i="13"/>
  <c r="NJ126" i="13"/>
  <c r="LK113" i="13"/>
  <c r="PI141" i="13"/>
  <c r="NJ128" i="13"/>
  <c r="LK115" i="13"/>
  <c r="PI135" i="13"/>
  <c r="NJ122" i="13"/>
  <c r="LK109" i="13"/>
  <c r="OY140" i="13"/>
  <c r="LA114" i="13"/>
  <c r="MZ127" i="13"/>
  <c r="OY143" i="13"/>
  <c r="LA117" i="13"/>
  <c r="MZ130" i="13"/>
  <c r="JL102" i="13"/>
  <c r="HM89" i="13"/>
  <c r="FN76" i="13"/>
  <c r="JL100" i="13"/>
  <c r="HM87" i="13"/>
  <c r="FN74" i="13"/>
  <c r="JB104" i="13"/>
  <c r="HC91" i="13"/>
  <c r="FD78" i="13"/>
  <c r="JL96" i="13"/>
  <c r="HM83" i="13"/>
  <c r="FN70" i="13"/>
  <c r="JB101" i="13"/>
  <c r="HC88" i="13"/>
  <c r="FD75" i="13"/>
  <c r="BF52" i="13"/>
  <c r="DE65" i="13"/>
  <c r="DO57" i="13"/>
  <c r="BP44" i="13"/>
  <c r="DO61" i="13"/>
  <c r="BP48" i="13"/>
  <c r="DE62" i="13"/>
  <c r="BF49" i="13"/>
  <c r="H33" i="13"/>
  <c r="DO63" i="13"/>
  <c r="BP50" i="13"/>
  <c r="R31" i="13"/>
  <c r="DI53" i="13" l="1"/>
  <c r="JF92" i="13"/>
  <c r="BJ40" i="13"/>
  <c r="ND118" i="13"/>
  <c r="LE105" i="13"/>
  <c r="WY183" i="13"/>
  <c r="HG79" i="13"/>
  <c r="K32" i="13"/>
  <c r="FH66" i="13"/>
  <c r="PC131" i="13"/>
  <c r="UZ170" i="13"/>
  <c r="TA157" i="13"/>
  <c r="RB144" i="13"/>
  <c r="XF191" i="13"/>
  <c r="VG178" i="13"/>
  <c r="TH165" i="13"/>
  <c r="RI152" i="13"/>
  <c r="XF187" i="13"/>
  <c r="VG174" i="13"/>
  <c r="TH161" i="13"/>
  <c r="RI148" i="13"/>
  <c r="XF193" i="13"/>
  <c r="TH167" i="13"/>
  <c r="VG180" i="13"/>
  <c r="RI154" i="13"/>
  <c r="H6" i="13"/>
  <c r="WV189" i="13"/>
  <c r="QY150" i="13"/>
  <c r="UW176" i="13"/>
  <c r="SX163" i="13"/>
  <c r="G7" i="13"/>
  <c r="G8" i="13"/>
  <c r="G11" i="13"/>
  <c r="OZ137" i="13"/>
  <c r="NA124" i="13"/>
  <c r="LB111" i="13"/>
  <c r="PJ135" i="13"/>
  <c r="NK122" i="13"/>
  <c r="LL109" i="13"/>
  <c r="PJ139" i="13"/>
  <c r="NK126" i="13"/>
  <c r="LL113" i="13"/>
  <c r="PJ141" i="13"/>
  <c r="LL115" i="13"/>
  <c r="NK128" i="13"/>
  <c r="JC98" i="13"/>
  <c r="HD85" i="13"/>
  <c r="FE72" i="13"/>
  <c r="JM102" i="13"/>
  <c r="HN89" i="13"/>
  <c r="FO76" i="13"/>
  <c r="JM96" i="13"/>
  <c r="HN83" i="13"/>
  <c r="FO70" i="13"/>
  <c r="JM100" i="13"/>
  <c r="HN87" i="13"/>
  <c r="FO74" i="13"/>
  <c r="DP61" i="13"/>
  <c r="BQ48" i="13"/>
  <c r="DP63" i="13"/>
  <c r="BQ50" i="13"/>
  <c r="DF59" i="13"/>
  <c r="H34" i="13"/>
  <c r="BG46" i="13"/>
  <c r="DP57" i="13"/>
  <c r="BQ44" i="13"/>
  <c r="S31" i="13"/>
  <c r="UZ175" i="13" l="1"/>
  <c r="PC136" i="13"/>
  <c r="JF97" i="13"/>
  <c r="BJ45" i="13"/>
  <c r="DI58" i="13"/>
  <c r="RB149" i="13"/>
  <c r="ND123" i="13"/>
  <c r="FH71" i="13"/>
  <c r="TA162" i="13"/>
  <c r="LE110" i="13"/>
  <c r="HG84" i="13"/>
  <c r="WY188" i="13"/>
  <c r="L27" i="13"/>
  <c r="XG191" i="13"/>
  <c r="VH178" i="13"/>
  <c r="TI165" i="13"/>
  <c r="RJ152" i="13"/>
  <c r="XG187" i="13"/>
  <c r="VH174" i="13"/>
  <c r="TI161" i="13"/>
  <c r="RJ148" i="13"/>
  <c r="G12" i="13"/>
  <c r="G13" i="13"/>
  <c r="XG193" i="13"/>
  <c r="VH180" i="13"/>
  <c r="TI167" i="13"/>
  <c r="RJ154" i="13"/>
  <c r="H2" i="13"/>
  <c r="H3" i="13"/>
  <c r="WV190" i="13"/>
  <c r="UW177" i="13"/>
  <c r="SX164" i="13"/>
  <c r="QY151" i="13"/>
  <c r="G9" i="13"/>
  <c r="G10" i="13"/>
  <c r="PK135" i="13"/>
  <c r="NL122" i="13"/>
  <c r="LM109" i="13"/>
  <c r="PK141" i="13"/>
  <c r="NL128" i="13"/>
  <c r="LM115" i="13"/>
  <c r="OZ138" i="13"/>
  <c r="NA125" i="13"/>
  <c r="LB112" i="13"/>
  <c r="PK139" i="13"/>
  <c r="NL126" i="13"/>
  <c r="LM113" i="13"/>
  <c r="JN102" i="13"/>
  <c r="HO89" i="13"/>
  <c r="FP76" i="13"/>
  <c r="JC99" i="13"/>
  <c r="HD86" i="13"/>
  <c r="FE73" i="13"/>
  <c r="HO87" i="13"/>
  <c r="JN100" i="13"/>
  <c r="FP74" i="13"/>
  <c r="JN96" i="13"/>
  <c r="HO83" i="13"/>
  <c r="FP70" i="13"/>
  <c r="DQ57" i="13"/>
  <c r="BR44" i="13"/>
  <c r="DF60" i="13"/>
  <c r="H36" i="13"/>
  <c r="H39" i="13"/>
  <c r="BG47" i="13"/>
  <c r="DQ63" i="13"/>
  <c r="BR50" i="13"/>
  <c r="DQ61" i="13"/>
  <c r="BR48" i="13"/>
  <c r="T31" i="13"/>
  <c r="RC144" i="13" l="1"/>
  <c r="PD131" i="13"/>
  <c r="DJ53" i="13"/>
  <c r="BK40" i="13"/>
  <c r="NE118" i="13"/>
  <c r="LF105" i="13"/>
  <c r="L32" i="13"/>
  <c r="TB157" i="13"/>
  <c r="JG92" i="13"/>
  <c r="HH79" i="13"/>
  <c r="WZ183" i="13"/>
  <c r="VA170" i="13"/>
  <c r="FI66" i="13"/>
  <c r="XH191" i="13"/>
  <c r="TJ165" i="13"/>
  <c r="VI178" i="13"/>
  <c r="RK152" i="13"/>
  <c r="XH187" i="13"/>
  <c r="TJ161" i="13"/>
  <c r="VI174" i="13"/>
  <c r="RK148" i="13"/>
  <c r="XH193" i="13"/>
  <c r="VI180" i="13"/>
  <c r="TJ167" i="13"/>
  <c r="RK154" i="13"/>
  <c r="UW182" i="13"/>
  <c r="SX169" i="13"/>
  <c r="WV195" i="13"/>
  <c r="QY156" i="13"/>
  <c r="H4" i="13"/>
  <c r="H5" i="13" s="1"/>
  <c r="WV192" i="13"/>
  <c r="UW179" i="13"/>
  <c r="QY153" i="13"/>
  <c r="SX166" i="13"/>
  <c r="PL135" i="13"/>
  <c r="NM122" i="13"/>
  <c r="LN109" i="13"/>
  <c r="PL141" i="13"/>
  <c r="NM128" i="13"/>
  <c r="LN115" i="13"/>
  <c r="PL139" i="13"/>
  <c r="NM126" i="13"/>
  <c r="LN113" i="13"/>
  <c r="OZ140" i="13"/>
  <c r="LB114" i="13"/>
  <c r="NA127" i="13"/>
  <c r="LB117" i="13"/>
  <c r="OZ143" i="13"/>
  <c r="NA130" i="13"/>
  <c r="JO96" i="13"/>
  <c r="HP83" i="13"/>
  <c r="FQ70" i="13"/>
  <c r="JO100" i="13"/>
  <c r="HP87" i="13"/>
  <c r="FQ74" i="13"/>
  <c r="JO102" i="13"/>
  <c r="HP89" i="13"/>
  <c r="FQ76" i="13"/>
  <c r="JC104" i="13"/>
  <c r="HD91" i="13"/>
  <c r="FE78" i="13"/>
  <c r="JC101" i="13"/>
  <c r="HD88" i="13"/>
  <c r="FE75" i="13"/>
  <c r="DR61" i="13"/>
  <c r="BS48" i="13"/>
  <c r="BG52" i="13"/>
  <c r="DF65" i="13"/>
  <c r="DR63" i="13"/>
  <c r="BS50" i="13"/>
  <c r="DF62" i="13"/>
  <c r="I33" i="13"/>
  <c r="BG49" i="13"/>
  <c r="DR57" i="13"/>
  <c r="BS44" i="13"/>
  <c r="U31" i="13"/>
  <c r="RC149" i="13" l="1"/>
  <c r="M27" i="13"/>
  <c r="JG97" i="13"/>
  <c r="DJ58" i="13"/>
  <c r="NE123" i="13"/>
  <c r="LF110" i="13"/>
  <c r="HH84" i="13"/>
  <c r="FI71" i="13"/>
  <c r="PD136" i="13"/>
  <c r="BK45" i="13"/>
  <c r="TB162" i="13"/>
  <c r="WZ188" i="13"/>
  <c r="VA175" i="13"/>
  <c r="XI187" i="13"/>
  <c r="VJ174" i="13"/>
  <c r="TK161" i="13"/>
  <c r="RL148" i="13"/>
  <c r="VJ178" i="13"/>
  <c r="XI191" i="13"/>
  <c r="TK165" i="13"/>
  <c r="RL152" i="13"/>
  <c r="H8" i="13"/>
  <c r="H11" i="13"/>
  <c r="H7" i="13"/>
  <c r="I6" i="13"/>
  <c r="WW189" i="13"/>
  <c r="SY163" i="13"/>
  <c r="UX176" i="13"/>
  <c r="QZ150" i="13"/>
  <c r="XI193" i="13"/>
  <c r="TK167" i="13"/>
  <c r="VJ180" i="13"/>
  <c r="RL154" i="13"/>
  <c r="PA137" i="13"/>
  <c r="NB124" i="13"/>
  <c r="LC111" i="13"/>
  <c r="PM141" i="13"/>
  <c r="NN128" i="13"/>
  <c r="LO115" i="13"/>
  <c r="PM139" i="13"/>
  <c r="NN126" i="13"/>
  <c r="LO113" i="13"/>
  <c r="PM135" i="13"/>
  <c r="NN122" i="13"/>
  <c r="LO109" i="13"/>
  <c r="JP100" i="13"/>
  <c r="HQ87" i="13"/>
  <c r="FR74" i="13"/>
  <c r="JP102" i="13"/>
  <c r="HQ89" i="13"/>
  <c r="FR76" i="13"/>
  <c r="JD98" i="13"/>
  <c r="HE85" i="13"/>
  <c r="FF72" i="13"/>
  <c r="JP96" i="13"/>
  <c r="HQ83" i="13"/>
  <c r="FR70" i="13"/>
  <c r="DS63" i="13"/>
  <c r="BT50" i="13"/>
  <c r="DS57" i="13"/>
  <c r="BT44" i="13"/>
  <c r="DG59" i="13"/>
  <c r="BH46" i="13"/>
  <c r="I34" i="13"/>
  <c r="DS61" i="13"/>
  <c r="BT48" i="13"/>
  <c r="V31" i="13"/>
  <c r="TC157" i="13" l="1"/>
  <c r="RD144" i="13"/>
  <c r="DK53" i="13"/>
  <c r="BL40" i="13"/>
  <c r="PE131" i="13"/>
  <c r="M32" i="13"/>
  <c r="NF118" i="13"/>
  <c r="HI79" i="13"/>
  <c r="XA183" i="13"/>
  <c r="LG105" i="13"/>
  <c r="JH92" i="13"/>
  <c r="FJ66" i="13"/>
  <c r="VB170" i="13"/>
  <c r="XJ187" i="13"/>
  <c r="VK174" i="13"/>
  <c r="TL161" i="13"/>
  <c r="RM148" i="13"/>
  <c r="XJ191" i="13"/>
  <c r="VK178" i="13"/>
  <c r="TL165" i="13"/>
  <c r="RM152" i="13"/>
  <c r="VK180" i="13"/>
  <c r="XJ193" i="13"/>
  <c r="TL167" i="13"/>
  <c r="RM154" i="13"/>
  <c r="I2" i="13"/>
  <c r="I3" i="13"/>
  <c r="WW190" i="13"/>
  <c r="UX177" i="13"/>
  <c r="SY164" i="13"/>
  <c r="QZ151" i="13"/>
  <c r="H12" i="13"/>
  <c r="H13" i="13"/>
  <c r="H10" i="13"/>
  <c r="H9" i="13"/>
  <c r="PA138" i="13"/>
  <c r="NB125" i="13"/>
  <c r="LC112" i="13"/>
  <c r="PN135" i="13"/>
  <c r="NO122" i="13"/>
  <c r="LP109" i="13"/>
  <c r="PN141" i="13"/>
  <c r="NO128" i="13"/>
  <c r="LP115" i="13"/>
  <c r="PN139" i="13"/>
  <c r="NO126" i="13"/>
  <c r="LP113" i="13"/>
  <c r="HR89" i="13"/>
  <c r="JQ102" i="13"/>
  <c r="FS76" i="13"/>
  <c r="HE86" i="13"/>
  <c r="JD99" i="13"/>
  <c r="FF73" i="13"/>
  <c r="JQ100" i="13"/>
  <c r="HR87" i="13"/>
  <c r="FS74" i="13"/>
  <c r="JQ96" i="13"/>
  <c r="HR83" i="13"/>
  <c r="FS70" i="13"/>
  <c r="DT61" i="13"/>
  <c r="BU48" i="13"/>
  <c r="DT57" i="13"/>
  <c r="BU44" i="13"/>
  <c r="DG60" i="13"/>
  <c r="I36" i="13"/>
  <c r="BH47" i="13"/>
  <c r="I39" i="13"/>
  <c r="DT63" i="13"/>
  <c r="BU50" i="13"/>
  <c r="W31" i="13"/>
  <c r="LG110" i="13" l="1"/>
  <c r="JH97" i="13"/>
  <c r="BL45" i="13"/>
  <c r="FJ71" i="13"/>
  <c r="DK58" i="13"/>
  <c r="N27" i="13"/>
  <c r="NF123" i="13"/>
  <c r="VB175" i="13"/>
  <c r="RD149" i="13"/>
  <c r="TC162" i="13"/>
  <c r="XA188" i="13"/>
  <c r="HI84" i="13"/>
  <c r="PE136" i="13"/>
  <c r="XK191" i="13"/>
  <c r="VL178" i="13"/>
  <c r="TM165" i="13"/>
  <c r="RN152" i="13"/>
  <c r="XK187" i="13"/>
  <c r="VL174" i="13"/>
  <c r="TM161" i="13"/>
  <c r="RN148" i="13"/>
  <c r="I4" i="13"/>
  <c r="I5" i="13" s="1"/>
  <c r="UX179" i="13"/>
  <c r="WW192" i="13"/>
  <c r="QZ153" i="13"/>
  <c r="SY166" i="13"/>
  <c r="VL180" i="13"/>
  <c r="XK193" i="13"/>
  <c r="TM167" i="13"/>
  <c r="RN154" i="13"/>
  <c r="UX182" i="13"/>
  <c r="WW195" i="13"/>
  <c r="SY169" i="13"/>
  <c r="QZ156" i="13"/>
  <c r="PO141" i="13"/>
  <c r="NP128" i="13"/>
  <c r="LQ115" i="13"/>
  <c r="PO139" i="13"/>
  <c r="NP126" i="13"/>
  <c r="LQ113" i="13"/>
  <c r="PA140" i="13"/>
  <c r="NB127" i="13"/>
  <c r="LC114" i="13"/>
  <c r="PO135" i="13"/>
  <c r="NP122" i="13"/>
  <c r="LQ109" i="13"/>
  <c r="LC117" i="13"/>
  <c r="PA143" i="13"/>
  <c r="NB130" i="13"/>
  <c r="JD104" i="13"/>
  <c r="HE91" i="13"/>
  <c r="FF78" i="13"/>
  <c r="JD101" i="13"/>
  <c r="HE88" i="13"/>
  <c r="FF75" i="13"/>
  <c r="JR100" i="13"/>
  <c r="HS87" i="13"/>
  <c r="FT74" i="13"/>
  <c r="JR96" i="13"/>
  <c r="HS83" i="13"/>
  <c r="FT70" i="13"/>
  <c r="JR102" i="13"/>
  <c r="HS89" i="13"/>
  <c r="FT76" i="13"/>
  <c r="BH52" i="13"/>
  <c r="DG65" i="13"/>
  <c r="DU63" i="13"/>
  <c r="BV50" i="13"/>
  <c r="DU57" i="13"/>
  <c r="BV44" i="13"/>
  <c r="DG62" i="13"/>
  <c r="J33" i="13"/>
  <c r="BH49" i="13"/>
  <c r="DU61" i="13"/>
  <c r="BV48" i="13"/>
  <c r="X31" i="13"/>
  <c r="N32" i="13" l="1"/>
  <c r="O27" i="13" s="1"/>
  <c r="FK66" i="13"/>
  <c r="XB183" i="13"/>
  <c r="NG118" i="13"/>
  <c r="VC170" i="13"/>
  <c r="LH105" i="13"/>
  <c r="TD157" i="13"/>
  <c r="BM40" i="13"/>
  <c r="RE144" i="13"/>
  <c r="DL53" i="13"/>
  <c r="JI92" i="13"/>
  <c r="PF131" i="13"/>
  <c r="HJ79" i="13"/>
  <c r="XL191" i="13"/>
  <c r="VM178" i="13"/>
  <c r="TN165" i="13"/>
  <c r="RO152" i="13"/>
  <c r="XL187" i="13"/>
  <c r="VM174" i="13"/>
  <c r="TN161" i="13"/>
  <c r="RO148" i="13"/>
  <c r="VM180" i="13"/>
  <c r="XL193" i="13"/>
  <c r="RO154" i="13"/>
  <c r="TN167" i="13"/>
  <c r="J6" i="13"/>
  <c r="WX189" i="13"/>
  <c r="UY176" i="13"/>
  <c r="SZ163" i="13"/>
  <c r="RA150" i="13"/>
  <c r="I11" i="13"/>
  <c r="I7" i="13"/>
  <c r="I8" i="13"/>
  <c r="PB137" i="13"/>
  <c r="NC124" i="13"/>
  <c r="LD111" i="13"/>
  <c r="PP139" i="13"/>
  <c r="NQ126" i="13"/>
  <c r="LR113" i="13"/>
  <c r="PP135" i="13"/>
  <c r="NQ122" i="13"/>
  <c r="LR109" i="13"/>
  <c r="PP141" i="13"/>
  <c r="NQ128" i="13"/>
  <c r="LR115" i="13"/>
  <c r="JS96" i="13"/>
  <c r="HT83" i="13"/>
  <c r="FU70" i="13"/>
  <c r="JS102" i="13"/>
  <c r="HT89" i="13"/>
  <c r="FU76" i="13"/>
  <c r="JE98" i="13"/>
  <c r="HF85" i="13"/>
  <c r="FG72" i="13"/>
  <c r="JS100" i="13"/>
  <c r="HT87" i="13"/>
  <c r="FU74" i="13"/>
  <c r="DV57" i="13"/>
  <c r="BW44" i="13"/>
  <c r="DV63" i="13"/>
  <c r="BW50" i="13"/>
  <c r="DV61" i="13"/>
  <c r="BW48" i="13"/>
  <c r="DH59" i="13"/>
  <c r="BI46" i="13"/>
  <c r="J34" i="13"/>
  <c r="Y31" i="13"/>
  <c r="TE157" i="13" l="1"/>
  <c r="HK79" i="13"/>
  <c r="XC183" i="13"/>
  <c r="FL66" i="13"/>
  <c r="NH118" i="13"/>
  <c r="VD170" i="13"/>
  <c r="JJ92" i="13"/>
  <c r="RF144" i="13"/>
  <c r="PG131" i="13"/>
  <c r="DM53" i="13"/>
  <c r="BN40" i="13"/>
  <c r="O32" i="13"/>
  <c r="LI105" i="13"/>
  <c r="PF136" i="13"/>
  <c r="BM45" i="13"/>
  <c r="JI97" i="13"/>
  <c r="NG123" i="13"/>
  <c r="LH110" i="13"/>
  <c r="DL58" i="13"/>
  <c r="HJ84" i="13"/>
  <c r="FK71" i="13"/>
  <c r="XB188" i="13"/>
  <c r="VC175" i="13"/>
  <c r="TD162" i="13"/>
  <c r="RE149" i="13"/>
  <c r="XM187" i="13"/>
  <c r="VN174" i="13"/>
  <c r="TO161" i="13"/>
  <c r="RP148" i="13"/>
  <c r="XM191" i="13"/>
  <c r="VN178" i="13"/>
  <c r="TO165" i="13"/>
  <c r="RP152" i="13"/>
  <c r="J2" i="13"/>
  <c r="J3" i="13"/>
  <c r="WX190" i="13"/>
  <c r="SZ164" i="13"/>
  <c r="UY177" i="13"/>
  <c r="RA151" i="13"/>
  <c r="I10" i="13"/>
  <c r="I9" i="13"/>
  <c r="I12" i="13"/>
  <c r="I13" i="13"/>
  <c r="VN180" i="13"/>
  <c r="XM193" i="13"/>
  <c r="RP154" i="13"/>
  <c r="TO167" i="13"/>
  <c r="PQ135" i="13"/>
  <c r="NR122" i="13"/>
  <c r="LS109" i="13"/>
  <c r="PB138" i="13"/>
  <c r="NC125" i="13"/>
  <c r="LD112" i="13"/>
  <c r="PQ141" i="13"/>
  <c r="NR128" i="13"/>
  <c r="LS115" i="13"/>
  <c r="PQ139" i="13"/>
  <c r="NR126" i="13"/>
  <c r="LS113" i="13"/>
  <c r="JE99" i="13"/>
  <c r="HF86" i="13"/>
  <c r="FG73" i="13"/>
  <c r="JT96" i="13"/>
  <c r="HU83" i="13"/>
  <c r="FV70" i="13"/>
  <c r="JT102" i="13"/>
  <c r="HU89" i="13"/>
  <c r="FV76" i="13"/>
  <c r="JT100" i="13"/>
  <c r="HU87" i="13"/>
  <c r="FV74" i="13"/>
  <c r="DW57" i="13"/>
  <c r="BX44" i="13"/>
  <c r="DW63" i="13"/>
  <c r="BX50" i="13"/>
  <c r="DW61" i="13"/>
  <c r="BX48" i="13"/>
  <c r="DH60" i="13"/>
  <c r="J36" i="13"/>
  <c r="BI47" i="13"/>
  <c r="J39" i="13"/>
  <c r="Z31" i="13"/>
  <c r="FL71" i="13" l="1"/>
  <c r="DM58" i="13"/>
  <c r="JJ97" i="13"/>
  <c r="PG136" i="13"/>
  <c r="HK84" i="13"/>
  <c r="XC188" i="13"/>
  <c r="P27" i="13"/>
  <c r="VD175" i="13"/>
  <c r="BN45" i="13"/>
  <c r="TE162" i="13"/>
  <c r="LI110" i="13"/>
  <c r="RF149" i="13"/>
  <c r="NH123" i="13"/>
  <c r="XN191" i="13"/>
  <c r="VO178" i="13"/>
  <c r="TP165" i="13"/>
  <c r="RQ152" i="13"/>
  <c r="XN187" i="13"/>
  <c r="VO174" i="13"/>
  <c r="TP161" i="13"/>
  <c r="RQ148" i="13"/>
  <c r="WX195" i="13"/>
  <c r="UY182" i="13"/>
  <c r="SZ169" i="13"/>
  <c r="RA156" i="13"/>
  <c r="XN193" i="13"/>
  <c r="TP167" i="13"/>
  <c r="VO180" i="13"/>
  <c r="RQ154" i="13"/>
  <c r="J4" i="13"/>
  <c r="J5" i="13" s="1"/>
  <c r="WX192" i="13"/>
  <c r="UY179" i="13"/>
  <c r="SZ166" i="13"/>
  <c r="RA153" i="13"/>
  <c r="PR135" i="13"/>
  <c r="NS122" i="13"/>
  <c r="LT109" i="13"/>
  <c r="PR139" i="13"/>
  <c r="NS126" i="13"/>
  <c r="LT113" i="13"/>
  <c r="PR141" i="13"/>
  <c r="NS128" i="13"/>
  <c r="LT115" i="13"/>
  <c r="PB140" i="13"/>
  <c r="NC127" i="13"/>
  <c r="LD114" i="13"/>
  <c r="NC130" i="13"/>
  <c r="LD117" i="13"/>
  <c r="PB143" i="13"/>
  <c r="JE101" i="13"/>
  <c r="HF88" i="13"/>
  <c r="FG75" i="13"/>
  <c r="JE104" i="13"/>
  <c r="HF91" i="13"/>
  <c r="FG78" i="13"/>
  <c r="JU102" i="13"/>
  <c r="HV89" i="13"/>
  <c r="FW76" i="13"/>
  <c r="JU96" i="13"/>
  <c r="HV83" i="13"/>
  <c r="FW70" i="13"/>
  <c r="JU100" i="13"/>
  <c r="HV87" i="13"/>
  <c r="FW74" i="13"/>
  <c r="DX63" i="13"/>
  <c r="BY50" i="13"/>
  <c r="DX61" i="13"/>
  <c r="BY48" i="13"/>
  <c r="DH62" i="13"/>
  <c r="BI49" i="13"/>
  <c r="K33" i="13"/>
  <c r="DX57" i="13"/>
  <c r="BY44" i="13"/>
  <c r="BI52" i="13"/>
  <c r="DH65" i="13"/>
  <c r="AA31" i="13"/>
  <c r="RG144" i="13" l="1"/>
  <c r="DN53" i="13"/>
  <c r="JK92" i="13"/>
  <c r="PH131" i="13"/>
  <c r="BO40" i="13"/>
  <c r="P32" i="13"/>
  <c r="TF157" i="13"/>
  <c r="FM66" i="13"/>
  <c r="LJ105" i="13"/>
  <c r="HL79" i="13"/>
  <c r="NI118" i="13"/>
  <c r="VE170" i="13"/>
  <c r="XD183" i="13"/>
  <c r="XO187" i="13"/>
  <c r="VP174" i="13"/>
  <c r="TQ161" i="13"/>
  <c r="RR148" i="13"/>
  <c r="XO191" i="13"/>
  <c r="VP178" i="13"/>
  <c r="TQ165" i="13"/>
  <c r="RR152" i="13"/>
  <c r="K6" i="13"/>
  <c r="WY189" i="13"/>
  <c r="UZ176" i="13"/>
  <c r="RB150" i="13"/>
  <c r="TA163" i="13"/>
  <c r="XO193" i="13"/>
  <c r="VP180" i="13"/>
  <c r="TQ167" i="13"/>
  <c r="RR154" i="13"/>
  <c r="J7" i="13"/>
  <c r="J8" i="13"/>
  <c r="J11" i="13"/>
  <c r="PS135" i="13"/>
  <c r="NT122" i="13"/>
  <c r="LU109" i="13"/>
  <c r="PS141" i="13"/>
  <c r="NT128" i="13"/>
  <c r="LU115" i="13"/>
  <c r="PS139" i="13"/>
  <c r="NT126" i="13"/>
  <c r="LU113" i="13"/>
  <c r="PC137" i="13"/>
  <c r="ND124" i="13"/>
  <c r="LE111" i="13"/>
  <c r="JV100" i="13"/>
  <c r="HW87" i="13"/>
  <c r="FX74" i="13"/>
  <c r="JV96" i="13"/>
  <c r="HW83" i="13"/>
  <c r="FX70" i="13"/>
  <c r="JV102" i="13"/>
  <c r="HW89" i="13"/>
  <c r="FX76" i="13"/>
  <c r="JF98" i="13"/>
  <c r="HG85" i="13"/>
  <c r="FH72" i="13"/>
  <c r="DY61" i="13"/>
  <c r="BZ48" i="13"/>
  <c r="DY57" i="13"/>
  <c r="BZ44" i="13"/>
  <c r="DI59" i="13"/>
  <c r="K34" i="13"/>
  <c r="BJ46" i="13"/>
  <c r="DY63" i="13"/>
  <c r="BZ50" i="13"/>
  <c r="AB31" i="13"/>
  <c r="RG149" i="13" l="1"/>
  <c r="JK97" i="13"/>
  <c r="HL84" i="13"/>
  <c r="VE175" i="13"/>
  <c r="PH136" i="13"/>
  <c r="NI123" i="13"/>
  <c r="DN58" i="13"/>
  <c r="BO45" i="13"/>
  <c r="LJ110" i="13"/>
  <c r="Q27" i="13"/>
  <c r="FM71" i="13"/>
  <c r="XD188" i="13"/>
  <c r="TF162" i="13"/>
  <c r="XP191" i="13"/>
  <c r="TR165" i="13"/>
  <c r="VQ178" i="13"/>
  <c r="RS152" i="13"/>
  <c r="XP187" i="13"/>
  <c r="VQ174" i="13"/>
  <c r="TR161" i="13"/>
  <c r="RS148" i="13"/>
  <c r="XP193" i="13"/>
  <c r="VQ180" i="13"/>
  <c r="RS154" i="13"/>
  <c r="TR167" i="13"/>
  <c r="J12" i="13"/>
  <c r="J13" i="13"/>
  <c r="J10" i="13"/>
  <c r="J9" i="13"/>
  <c r="K2" i="13"/>
  <c r="K3" i="13"/>
  <c r="WY190" i="13"/>
  <c r="UZ177" i="13"/>
  <c r="TA164" i="13"/>
  <c r="RB151" i="13"/>
  <c r="PT135" i="13"/>
  <c r="NU122" i="13"/>
  <c r="LV109" i="13"/>
  <c r="PT141" i="13"/>
  <c r="NU128" i="13"/>
  <c r="LV115" i="13"/>
  <c r="PC138" i="13"/>
  <c r="ND125" i="13"/>
  <c r="LE112" i="13"/>
  <c r="PT139" i="13"/>
  <c r="NU126" i="13"/>
  <c r="LV113" i="13"/>
  <c r="JW100" i="13"/>
  <c r="HX87" i="13"/>
  <c r="FY74" i="13"/>
  <c r="JW102" i="13"/>
  <c r="HX89" i="13"/>
  <c r="FY76" i="13"/>
  <c r="JF99" i="13"/>
  <c r="HG86" i="13"/>
  <c r="FH73" i="13"/>
  <c r="JW96" i="13"/>
  <c r="HX83" i="13"/>
  <c r="FY70" i="13"/>
  <c r="DZ63" i="13"/>
  <c r="CA50" i="13"/>
  <c r="DI60" i="13"/>
  <c r="BJ47" i="13"/>
  <c r="K36" i="13"/>
  <c r="K39" i="13"/>
  <c r="DZ57" i="13"/>
  <c r="CA44" i="13"/>
  <c r="DZ61" i="13"/>
  <c r="CA48" i="13"/>
  <c r="AC31" i="13"/>
  <c r="NJ118" i="13" l="1"/>
  <c r="FN66" i="13"/>
  <c r="BP40" i="13"/>
  <c r="JL92" i="13"/>
  <c r="Q32" i="13"/>
  <c r="XE183" i="13"/>
  <c r="LK105" i="13"/>
  <c r="PI131" i="13"/>
  <c r="VF170" i="13"/>
  <c r="DO53" i="13"/>
  <c r="TG157" i="13"/>
  <c r="RH144" i="13"/>
  <c r="HM79" i="13"/>
  <c r="XQ187" i="13"/>
  <c r="VR174" i="13"/>
  <c r="TS161" i="13"/>
  <c r="RT148" i="13"/>
  <c r="XQ191" i="13"/>
  <c r="VR178" i="13"/>
  <c r="RT152" i="13"/>
  <c r="TS165" i="13"/>
  <c r="XQ193" i="13"/>
  <c r="TS167" i="13"/>
  <c r="VR180" i="13"/>
  <c r="RT154" i="13"/>
  <c r="WY195" i="13"/>
  <c r="UZ182" i="13"/>
  <c r="RB156" i="13"/>
  <c r="TA169" i="13"/>
  <c r="K4" i="13"/>
  <c r="K5" i="13" s="1"/>
  <c r="WY192" i="13"/>
  <c r="UZ179" i="13"/>
  <c r="TA166" i="13"/>
  <c r="RB153" i="13"/>
  <c r="PU141" i="13"/>
  <c r="NV128" i="13"/>
  <c r="LW115" i="13"/>
  <c r="PU135" i="13"/>
  <c r="NV122" i="13"/>
  <c r="LW109" i="13"/>
  <c r="PC140" i="13"/>
  <c r="ND127" i="13"/>
  <c r="LE114" i="13"/>
  <c r="PU139" i="13"/>
  <c r="NV126" i="13"/>
  <c r="LW113" i="13"/>
  <c r="ND130" i="13"/>
  <c r="LE117" i="13"/>
  <c r="PC143" i="13"/>
  <c r="JX100" i="13"/>
  <c r="HY87" i="13"/>
  <c r="FZ74" i="13"/>
  <c r="JX96" i="13"/>
  <c r="HY83" i="13"/>
  <c r="FZ70" i="13"/>
  <c r="JF104" i="13"/>
  <c r="HG91" i="13"/>
  <c r="FH78" i="13"/>
  <c r="JX102" i="13"/>
  <c r="HY89" i="13"/>
  <c r="FZ76" i="13"/>
  <c r="JF101" i="13"/>
  <c r="HG88" i="13"/>
  <c r="FH75" i="13"/>
  <c r="BJ52" i="13"/>
  <c r="DI65" i="13"/>
  <c r="DI62" i="13"/>
  <c r="BJ49" i="13"/>
  <c r="L33" i="13"/>
  <c r="EA61" i="13"/>
  <c r="CB48" i="13"/>
  <c r="EA57" i="13"/>
  <c r="CB44" i="13"/>
  <c r="EA63" i="13"/>
  <c r="CB50" i="13"/>
  <c r="AD31" i="13"/>
  <c r="PI136" i="13" l="1"/>
  <c r="JL97" i="13"/>
  <c r="FN71" i="13"/>
  <c r="R27" i="13"/>
  <c r="NJ123" i="13"/>
  <c r="HM84" i="13"/>
  <c r="XE188" i="13"/>
  <c r="LK110" i="13"/>
  <c r="VF175" i="13"/>
  <c r="TG162" i="13"/>
  <c r="RH149" i="13"/>
  <c r="BP45" i="13"/>
  <c r="DO58" i="13"/>
  <c r="XR191" i="13"/>
  <c r="VS178" i="13"/>
  <c r="TT165" i="13"/>
  <c r="RU152" i="13"/>
  <c r="XR187" i="13"/>
  <c r="VS174" i="13"/>
  <c r="RU148" i="13"/>
  <c r="TT161" i="13"/>
  <c r="VS180" i="13"/>
  <c r="XR193" i="13"/>
  <c r="TT167" i="13"/>
  <c r="RU154" i="13"/>
  <c r="L6" i="13"/>
  <c r="WZ189" i="13"/>
  <c r="VA176" i="13"/>
  <c r="TB163" i="13"/>
  <c r="RC150" i="13"/>
  <c r="K7" i="13"/>
  <c r="K11" i="13"/>
  <c r="K8" i="13"/>
  <c r="PV135" i="13"/>
  <c r="NW122" i="13"/>
  <c r="LX109" i="13"/>
  <c r="PD137" i="13"/>
  <c r="NE124" i="13"/>
  <c r="LF111" i="13"/>
  <c r="PV139" i="13"/>
  <c r="NW126" i="13"/>
  <c r="LX113" i="13"/>
  <c r="PV141" i="13"/>
  <c r="NW128" i="13"/>
  <c r="LX115" i="13"/>
  <c r="JY96" i="13"/>
  <c r="HZ83" i="13"/>
  <c r="GA70" i="13"/>
  <c r="JY100" i="13"/>
  <c r="HZ87" i="13"/>
  <c r="GA74" i="13"/>
  <c r="JG98" i="13"/>
  <c r="HH85" i="13"/>
  <c r="FI72" i="13"/>
  <c r="JY102" i="13"/>
  <c r="HZ89" i="13"/>
  <c r="GA76" i="13"/>
  <c r="DJ59" i="13"/>
  <c r="BK46" i="13"/>
  <c r="L34" i="13"/>
  <c r="EB63" i="13"/>
  <c r="CC50" i="13"/>
  <c r="EB57" i="13"/>
  <c r="CC44" i="13"/>
  <c r="EB61" i="13"/>
  <c r="CC48" i="13"/>
  <c r="AE31" i="13"/>
  <c r="RI144" i="13" l="1"/>
  <c r="DP53" i="13"/>
  <c r="NK118" i="13"/>
  <c r="FO66" i="13"/>
  <c r="BQ40" i="13"/>
  <c r="PJ131" i="13"/>
  <c r="JM92" i="13"/>
  <c r="HN79" i="13"/>
  <c r="LL105" i="13"/>
  <c r="TH157" i="13"/>
  <c r="XF183" i="13"/>
  <c r="R32" i="13"/>
  <c r="VG170" i="13"/>
  <c r="XS191" i="13"/>
  <c r="VT178" i="13"/>
  <c r="TU165" i="13"/>
  <c r="RV152" i="13"/>
  <c r="VT174" i="13"/>
  <c r="XS187" i="13"/>
  <c r="RV148" i="13"/>
  <c r="TU161" i="13"/>
  <c r="VT180" i="13"/>
  <c r="XS193" i="13"/>
  <c r="RV154" i="13"/>
  <c r="TU167" i="13"/>
  <c r="L2" i="13"/>
  <c r="L3" i="13"/>
  <c r="WZ190" i="13"/>
  <c r="VA177" i="13"/>
  <c r="TB164" i="13"/>
  <c r="RC151" i="13"/>
  <c r="K13" i="13"/>
  <c r="K12" i="13"/>
  <c r="K9" i="13"/>
  <c r="K10" i="13"/>
  <c r="PW135" i="13"/>
  <c r="NX122" i="13"/>
  <c r="LY109" i="13"/>
  <c r="PW141" i="13"/>
  <c r="NX128" i="13"/>
  <c r="LY115" i="13"/>
  <c r="PW139" i="13"/>
  <c r="NX126" i="13"/>
  <c r="LY113" i="13"/>
  <c r="PD138" i="13"/>
  <c r="NE125" i="13"/>
  <c r="LF112" i="13"/>
  <c r="JZ96" i="13"/>
  <c r="IA83" i="13"/>
  <c r="GB70" i="13"/>
  <c r="JZ102" i="13"/>
  <c r="IA89" i="13"/>
  <c r="GB76" i="13"/>
  <c r="JZ100" i="13"/>
  <c r="IA87" i="13"/>
  <c r="GB74" i="13"/>
  <c r="JG99" i="13"/>
  <c r="HH86" i="13"/>
  <c r="FI73" i="13"/>
  <c r="EC63" i="13"/>
  <c r="CD50" i="13"/>
  <c r="DJ60" i="13"/>
  <c r="L36" i="13"/>
  <c r="BK47" i="13"/>
  <c r="L39" i="13"/>
  <c r="EC57" i="13"/>
  <c r="CD44" i="13"/>
  <c r="EC61" i="13"/>
  <c r="CD48" i="13"/>
  <c r="AF31" i="13"/>
  <c r="NK123" i="13" l="1"/>
  <c r="DP58" i="13"/>
  <c r="FO71" i="13"/>
  <c r="PJ136" i="13"/>
  <c r="LL110" i="13"/>
  <c r="BQ45" i="13"/>
  <c r="XF188" i="13"/>
  <c r="JM97" i="13"/>
  <c r="HN84" i="13"/>
  <c r="VG175" i="13"/>
  <c r="RI149" i="13"/>
  <c r="TH162" i="13"/>
  <c r="S27" i="13"/>
  <c r="XT187" i="13"/>
  <c r="VU174" i="13"/>
  <c r="TV161" i="13"/>
  <c r="RW148" i="13"/>
  <c r="XT191" i="13"/>
  <c r="VU178" i="13"/>
  <c r="TV165" i="13"/>
  <c r="RW152" i="13"/>
  <c r="VU180" i="13"/>
  <c r="XT193" i="13"/>
  <c r="RW154" i="13"/>
  <c r="TV167" i="13"/>
  <c r="L4" i="13"/>
  <c r="L5" i="13" s="1"/>
  <c r="WZ192" i="13"/>
  <c r="VA179" i="13"/>
  <c r="TB166" i="13"/>
  <c r="RC153" i="13"/>
  <c r="WZ195" i="13"/>
  <c r="VA182" i="13"/>
  <c r="TB169" i="13"/>
  <c r="RC156" i="13"/>
  <c r="PX135" i="13"/>
  <c r="NY122" i="13"/>
  <c r="LZ109" i="13"/>
  <c r="PX141" i="13"/>
  <c r="NY128" i="13"/>
  <c r="LZ115" i="13"/>
  <c r="PD140" i="13"/>
  <c r="NE127" i="13"/>
  <c r="LF114" i="13"/>
  <c r="PX139" i="13"/>
  <c r="LZ113" i="13"/>
  <c r="NY126" i="13"/>
  <c r="NE130" i="13"/>
  <c r="LF117" i="13"/>
  <c r="PD143" i="13"/>
  <c r="JG104" i="13"/>
  <c r="HH91" i="13"/>
  <c r="FI78" i="13"/>
  <c r="KA96" i="13"/>
  <c r="IB83" i="13"/>
  <c r="GC70" i="13"/>
  <c r="JG101" i="13"/>
  <c r="HH88" i="13"/>
  <c r="FI75" i="13"/>
  <c r="IB89" i="13"/>
  <c r="KA102" i="13"/>
  <c r="GC76" i="13"/>
  <c r="KA100" i="13"/>
  <c r="IB87" i="13"/>
  <c r="GC74" i="13"/>
  <c r="DJ62" i="13"/>
  <c r="BK49" i="13"/>
  <c r="M33" i="13"/>
  <c r="ED61" i="13"/>
  <c r="CE48" i="13"/>
  <c r="BK52" i="13"/>
  <c r="DJ65" i="13"/>
  <c r="ED57" i="13"/>
  <c r="CE44" i="13"/>
  <c r="ED63" i="13"/>
  <c r="CE50" i="13"/>
  <c r="AG31" i="13"/>
  <c r="VH170" i="13" l="1"/>
  <c r="S32" i="13"/>
  <c r="LM105" i="13"/>
  <c r="TI157" i="13"/>
  <c r="FP66" i="13"/>
  <c r="RJ144" i="13"/>
  <c r="DQ53" i="13"/>
  <c r="JN92" i="13"/>
  <c r="BR40" i="13"/>
  <c r="NL118" i="13"/>
  <c r="PK131" i="13"/>
  <c r="HO79" i="13"/>
  <c r="XG183" i="13"/>
  <c r="XU187" i="13"/>
  <c r="VV174" i="13"/>
  <c r="TW161" i="13"/>
  <c r="RX148" i="13"/>
  <c r="XU191" i="13"/>
  <c r="VV178" i="13"/>
  <c r="TW165" i="13"/>
  <c r="RX152" i="13"/>
  <c r="M6" i="13"/>
  <c r="XA189" i="13"/>
  <c r="VB176" i="13"/>
  <c r="TC163" i="13"/>
  <c r="RD150" i="13"/>
  <c r="L7" i="13"/>
  <c r="L8" i="13"/>
  <c r="L11" i="13"/>
  <c r="VV180" i="13"/>
  <c r="XU193" i="13"/>
  <c r="TW167" i="13"/>
  <c r="RX154" i="13"/>
  <c r="PY135" i="13"/>
  <c r="NZ122" i="13"/>
  <c r="MA109" i="13"/>
  <c r="PY139" i="13"/>
  <c r="NZ126" i="13"/>
  <c r="MA113" i="13"/>
  <c r="PY141" i="13"/>
  <c r="NZ128" i="13"/>
  <c r="MA115" i="13"/>
  <c r="PE137" i="13"/>
  <c r="NF124" i="13"/>
  <c r="LG111" i="13"/>
  <c r="JH98" i="13"/>
  <c r="HI85" i="13"/>
  <c r="FJ72" i="13"/>
  <c r="KB100" i="13"/>
  <c r="IC87" i="13"/>
  <c r="GD74" i="13"/>
  <c r="KB96" i="13"/>
  <c r="IC83" i="13"/>
  <c r="GD70" i="13"/>
  <c r="IC89" i="13"/>
  <c r="KB102" i="13"/>
  <c r="GD76" i="13"/>
  <c r="EE61" i="13"/>
  <c r="CF48" i="13"/>
  <c r="EE63" i="13"/>
  <c r="CF50" i="13"/>
  <c r="DK59" i="13"/>
  <c r="M34" i="13"/>
  <c r="BL46" i="13"/>
  <c r="EE57" i="13"/>
  <c r="CF44" i="13"/>
  <c r="AH31" i="13"/>
  <c r="LM110" i="13" l="1"/>
  <c r="JN97" i="13"/>
  <c r="FP71" i="13"/>
  <c r="T27" i="13"/>
  <c r="VH175" i="13"/>
  <c r="DQ58" i="13"/>
  <c r="BR45" i="13"/>
  <c r="NL123" i="13"/>
  <c r="XG188" i="13"/>
  <c r="HO84" i="13"/>
  <c r="RJ149" i="13"/>
  <c r="PK136" i="13"/>
  <c r="TI162" i="13"/>
  <c r="XV187" i="13"/>
  <c r="VW174" i="13"/>
  <c r="TX161" i="13"/>
  <c r="RY148" i="13"/>
  <c r="XV191" i="13"/>
  <c r="VW178" i="13"/>
  <c r="TX165" i="13"/>
  <c r="RY152" i="13"/>
  <c r="L12" i="13"/>
  <c r="L13" i="13"/>
  <c r="L9" i="13"/>
  <c r="L10" i="13"/>
  <c r="M2" i="13"/>
  <c r="M3" i="13"/>
  <c r="XA190" i="13"/>
  <c r="TC164" i="13"/>
  <c r="VB177" i="13"/>
  <c r="RD151" i="13"/>
  <c r="XV193" i="13"/>
  <c r="TX167" i="13"/>
  <c r="VW180" i="13"/>
  <c r="RY154" i="13"/>
  <c r="PZ135" i="13"/>
  <c r="OA122" i="13"/>
  <c r="MB109" i="13"/>
  <c r="PE138" i="13"/>
  <c r="NF125" i="13"/>
  <c r="LG112" i="13"/>
  <c r="PZ141" i="13"/>
  <c r="MB115" i="13"/>
  <c r="OA128" i="13"/>
  <c r="PZ139" i="13"/>
  <c r="OA126" i="13"/>
  <c r="MB113" i="13"/>
  <c r="KC102" i="13"/>
  <c r="ID89" i="13"/>
  <c r="GE76" i="13"/>
  <c r="KC96" i="13"/>
  <c r="ID83" i="13"/>
  <c r="GE70" i="13"/>
  <c r="KC100" i="13"/>
  <c r="ID87" i="13"/>
  <c r="GE74" i="13"/>
  <c r="JH99" i="13"/>
  <c r="HI86" i="13"/>
  <c r="FJ73" i="13"/>
  <c r="DK60" i="13"/>
  <c r="M39" i="13"/>
  <c r="BL47" i="13"/>
  <c r="M36" i="13"/>
  <c r="EF63" i="13"/>
  <c r="CG50" i="13"/>
  <c r="EF57" i="13"/>
  <c r="CG44" i="13"/>
  <c r="EF61" i="13"/>
  <c r="CG48" i="13"/>
  <c r="AI31" i="13"/>
  <c r="XH183" i="13" l="1"/>
  <c r="FQ66" i="13"/>
  <c r="JO92" i="13"/>
  <c r="DR53" i="13"/>
  <c r="NM118" i="13"/>
  <c r="HP79" i="13"/>
  <c r="TJ157" i="13"/>
  <c r="BS40" i="13"/>
  <c r="RK144" i="13"/>
  <c r="T32" i="13"/>
  <c r="PL131" i="13"/>
  <c r="LN105" i="13"/>
  <c r="VI170" i="13"/>
  <c r="XW187" i="13"/>
  <c r="VX174" i="13"/>
  <c r="TY161" i="13"/>
  <c r="RZ148" i="13"/>
  <c r="XW191" i="13"/>
  <c r="VX178" i="13"/>
  <c r="TY165" i="13"/>
  <c r="RZ152" i="13"/>
  <c r="M4" i="13"/>
  <c r="M5" i="13" s="1"/>
  <c r="XA192" i="13"/>
  <c r="VB179" i="13"/>
  <c r="TC166" i="13"/>
  <c r="RD153" i="13"/>
  <c r="XW193" i="13"/>
  <c r="VX180" i="13"/>
  <c r="TY167" i="13"/>
  <c r="RZ154" i="13"/>
  <c r="XA195" i="13"/>
  <c r="VB182" i="13"/>
  <c r="TC169" i="13"/>
  <c r="RD156" i="13"/>
  <c r="QA135" i="13"/>
  <c r="OB122" i="13"/>
  <c r="MC109" i="13"/>
  <c r="QA141" i="13"/>
  <c r="OB128" i="13"/>
  <c r="MC115" i="13"/>
  <c r="PE140" i="13"/>
  <c r="LG114" i="13"/>
  <c r="NF127" i="13"/>
  <c r="QA139" i="13"/>
  <c r="OB126" i="13"/>
  <c r="MC113" i="13"/>
  <c r="NF130" i="13"/>
  <c r="LG117" i="13"/>
  <c r="PE143" i="13"/>
  <c r="KD102" i="13"/>
  <c r="IE89" i="13"/>
  <c r="GF76" i="13"/>
  <c r="JH101" i="13"/>
  <c r="HI88" i="13"/>
  <c r="FJ75" i="13"/>
  <c r="KD96" i="13"/>
  <c r="IE83" i="13"/>
  <c r="GF70" i="13"/>
  <c r="KD100" i="13"/>
  <c r="IE87" i="13"/>
  <c r="GF74" i="13"/>
  <c r="JH104" i="13"/>
  <c r="HI91" i="13"/>
  <c r="FJ78" i="13"/>
  <c r="EG63" i="13"/>
  <c r="CH50" i="13"/>
  <c r="EG57" i="13"/>
  <c r="CH44" i="13"/>
  <c r="BL52" i="13"/>
  <c r="DK65" i="13"/>
  <c r="DK62" i="13"/>
  <c r="BL49" i="13"/>
  <c r="N33" i="13"/>
  <c r="EG61" i="13"/>
  <c r="CH48" i="13"/>
  <c r="AJ31" i="13"/>
  <c r="TJ162" i="13" l="1"/>
  <c r="BS45" i="13"/>
  <c r="RK149" i="13"/>
  <c r="PL136" i="13"/>
  <c r="LN110" i="13"/>
  <c r="JO97" i="13"/>
  <c r="VI175" i="13"/>
  <c r="NM123" i="13"/>
  <c r="FQ71" i="13"/>
  <c r="HP84" i="13"/>
  <c r="DR58" i="13"/>
  <c r="XH188" i="13"/>
  <c r="U27" i="13"/>
  <c r="XX187" i="13"/>
  <c r="VY174" i="13"/>
  <c r="TZ161" i="13"/>
  <c r="SA148" i="13"/>
  <c r="XX191" i="13"/>
  <c r="VY178" i="13"/>
  <c r="TZ165" i="13"/>
  <c r="SA152" i="13"/>
  <c r="N6" i="13"/>
  <c r="XB189" i="13"/>
  <c r="VC176" i="13"/>
  <c r="TD163" i="13"/>
  <c r="RE150" i="13"/>
  <c r="XX193" i="13"/>
  <c r="VY180" i="13"/>
  <c r="TZ167" i="13"/>
  <c r="SA154" i="13"/>
  <c r="M7" i="13"/>
  <c r="M8" i="13"/>
  <c r="M11" i="13"/>
  <c r="QB141" i="13"/>
  <c r="OC128" i="13"/>
  <c r="MD115" i="13"/>
  <c r="PF137" i="13"/>
  <c r="LH111" i="13"/>
  <c r="NG124" i="13"/>
  <c r="QB135" i="13"/>
  <c r="OC122" i="13"/>
  <c r="MD109" i="13"/>
  <c r="QB139" i="13"/>
  <c r="OC126" i="13"/>
  <c r="MD113" i="13"/>
  <c r="JI98" i="13"/>
  <c r="HJ85" i="13"/>
  <c r="FK72" i="13"/>
  <c r="KE96" i="13"/>
  <c r="IF83" i="13"/>
  <c r="GG70" i="13"/>
  <c r="KE102" i="13"/>
  <c r="IF89" i="13"/>
  <c r="GG76" i="13"/>
  <c r="KE100" i="13"/>
  <c r="IF87" i="13"/>
  <c r="GG74" i="13"/>
  <c r="EH61" i="13"/>
  <c r="CI48" i="13"/>
  <c r="EH57" i="13"/>
  <c r="CI44" i="13"/>
  <c r="DL59" i="13"/>
  <c r="BM46" i="13"/>
  <c r="N34" i="13"/>
  <c r="EH63" i="13"/>
  <c r="CI50" i="13"/>
  <c r="AK31" i="13"/>
  <c r="U32" i="13" l="1"/>
  <c r="RL144" i="13"/>
  <c r="FR66" i="13"/>
  <c r="PM131" i="13"/>
  <c r="BT40" i="13"/>
  <c r="VJ170" i="13"/>
  <c r="XI183" i="13"/>
  <c r="JP92" i="13"/>
  <c r="DS53" i="13"/>
  <c r="TK157" i="13"/>
  <c r="NN118" i="13"/>
  <c r="HQ79" i="13"/>
  <c r="LO105" i="13"/>
  <c r="VZ174" i="13"/>
  <c r="XY187" i="13"/>
  <c r="UA161" i="13"/>
  <c r="SB148" i="13"/>
  <c r="XY191" i="13"/>
  <c r="VZ178" i="13"/>
  <c r="UA165" i="13"/>
  <c r="SB152" i="13"/>
  <c r="N3" i="13"/>
  <c r="N2" i="13"/>
  <c r="XB190" i="13"/>
  <c r="VC177" i="13"/>
  <c r="RE151" i="13"/>
  <c r="TD164" i="13"/>
  <c r="M10" i="13"/>
  <c r="M9" i="13"/>
  <c r="XY193" i="13"/>
  <c r="UA167" i="13"/>
  <c r="VZ180" i="13"/>
  <c r="SB154" i="13"/>
  <c r="M12" i="13"/>
  <c r="M13" i="13"/>
  <c r="QC139" i="13"/>
  <c r="OD126" i="13"/>
  <c r="ME113" i="13"/>
  <c r="PF138" i="13"/>
  <c r="NG125" i="13"/>
  <c r="LH112" i="13"/>
  <c r="QC135" i="13"/>
  <c r="OD122" i="13"/>
  <c r="ME109" i="13"/>
  <c r="QC141" i="13"/>
  <c r="ME115" i="13"/>
  <c r="OD128" i="13"/>
  <c r="KF96" i="13"/>
  <c r="IG83" i="13"/>
  <c r="GH70" i="13"/>
  <c r="KF102" i="13"/>
  <c r="IG89" i="13"/>
  <c r="GH76" i="13"/>
  <c r="KF100" i="13"/>
  <c r="IG87" i="13"/>
  <c r="GH74" i="13"/>
  <c r="JI99" i="13"/>
  <c r="HJ86" i="13"/>
  <c r="FK73" i="13"/>
  <c r="EI63" i="13"/>
  <c r="CJ50" i="13"/>
  <c r="EI61" i="13"/>
  <c r="CJ48" i="13"/>
  <c r="DL60" i="13"/>
  <c r="N36" i="13"/>
  <c r="BM47" i="13"/>
  <c r="N39" i="13"/>
  <c r="EI57" i="13"/>
  <c r="CJ44" i="13"/>
  <c r="AL31" i="13"/>
  <c r="TK162" i="13" l="1"/>
  <c r="LO110" i="13"/>
  <c r="HQ84" i="13"/>
  <c r="RL149" i="13"/>
  <c r="JP97" i="13"/>
  <c r="NN123" i="13"/>
  <c r="FR71" i="13"/>
  <c r="V27" i="13"/>
  <c r="PM136" i="13"/>
  <c r="DS58" i="13"/>
  <c r="VJ175" i="13"/>
  <c r="BT45" i="13"/>
  <c r="XI188" i="13"/>
  <c r="XZ187" i="13"/>
  <c r="WA174" i="13"/>
  <c r="UB161" i="13"/>
  <c r="SC148" i="13"/>
  <c r="XZ191" i="13"/>
  <c r="WA178" i="13"/>
  <c r="UB165" i="13"/>
  <c r="SC152" i="13"/>
  <c r="WA180" i="13"/>
  <c r="XZ193" i="13"/>
  <c r="UB167" i="13"/>
  <c r="SC154" i="13"/>
  <c r="XB195" i="13"/>
  <c r="TD169" i="13"/>
  <c r="VC182" i="13"/>
  <c r="RE156" i="13"/>
  <c r="N4" i="13"/>
  <c r="N5" i="13" s="1"/>
  <c r="XB192" i="13"/>
  <c r="VC179" i="13"/>
  <c r="TD166" i="13"/>
  <c r="RE153" i="13"/>
  <c r="QD139" i="13"/>
  <c r="OE126" i="13"/>
  <c r="MF113" i="13"/>
  <c r="QD141" i="13"/>
  <c r="OE128" i="13"/>
  <c r="MF115" i="13"/>
  <c r="QD135" i="13"/>
  <c r="OE122" i="13"/>
  <c r="MF109" i="13"/>
  <c r="PF140" i="13"/>
  <c r="NG127" i="13"/>
  <c r="LH114" i="13"/>
  <c r="PF143" i="13"/>
  <c r="NG130" i="13"/>
  <c r="LH117" i="13"/>
  <c r="KG102" i="13"/>
  <c r="IH89" i="13"/>
  <c r="GI76" i="13"/>
  <c r="KG96" i="13"/>
  <c r="IH83" i="13"/>
  <c r="GI70" i="13"/>
  <c r="JI101" i="13"/>
  <c r="HJ88" i="13"/>
  <c r="FK75" i="13"/>
  <c r="KG100" i="13"/>
  <c r="IH87" i="13"/>
  <c r="GI74" i="13"/>
  <c r="JI104" i="13"/>
  <c r="HJ91" i="13"/>
  <c r="FK78" i="13"/>
  <c r="DL62" i="13"/>
  <c r="BM49" i="13"/>
  <c r="O33" i="13"/>
  <c r="EJ61" i="13"/>
  <c r="CK48" i="13"/>
  <c r="EJ57" i="13"/>
  <c r="CK44" i="13"/>
  <c r="BM52" i="13"/>
  <c r="DL65" i="13"/>
  <c r="EJ63" i="13"/>
  <c r="CK50" i="13"/>
  <c r="AM31" i="13"/>
  <c r="XJ183" i="13" l="1"/>
  <c r="DT53" i="13"/>
  <c r="VK170" i="13"/>
  <c r="BU40" i="13"/>
  <c r="FS66" i="13"/>
  <c r="TL157" i="13"/>
  <c r="PN131" i="13"/>
  <c r="V32" i="13"/>
  <c r="JQ92" i="13"/>
  <c r="RM144" i="13"/>
  <c r="NO118" i="13"/>
  <c r="LP105" i="13"/>
  <c r="HR79" i="13"/>
  <c r="YA187" i="13"/>
  <c r="WB174" i="13"/>
  <c r="UC161" i="13"/>
  <c r="SD148" i="13"/>
  <c r="YA191" i="13"/>
  <c r="WB178" i="13"/>
  <c r="UC165" i="13"/>
  <c r="SD152" i="13"/>
  <c r="WB180" i="13"/>
  <c r="YA193" i="13"/>
  <c r="SD154" i="13"/>
  <c r="UC167" i="13"/>
  <c r="O6" i="13"/>
  <c r="XC189" i="13"/>
  <c r="VD176" i="13"/>
  <c r="RF150" i="13"/>
  <c r="TE163" i="13"/>
  <c r="N8" i="13"/>
  <c r="N7" i="13"/>
  <c r="N11" i="13"/>
  <c r="QE141" i="13"/>
  <c r="OF128" i="13"/>
  <c r="MG115" i="13"/>
  <c r="QE135" i="13"/>
  <c r="OF122" i="13"/>
  <c r="MG109" i="13"/>
  <c r="QE139" i="13"/>
  <c r="OF126" i="13"/>
  <c r="MG113" i="13"/>
  <c r="PG137" i="13"/>
  <c r="NH124" i="13"/>
  <c r="LI111" i="13"/>
  <c r="KH100" i="13"/>
  <c r="II87" i="13"/>
  <c r="GJ74" i="13"/>
  <c r="JJ98" i="13"/>
  <c r="HK85" i="13"/>
  <c r="FL72" i="13"/>
  <c r="KH102" i="13"/>
  <c r="II89" i="13"/>
  <c r="GJ76" i="13"/>
  <c r="KH96" i="13"/>
  <c r="II83" i="13"/>
  <c r="GJ70" i="13"/>
  <c r="EK61" i="13"/>
  <c r="CL48" i="13"/>
  <c r="EK57" i="13"/>
  <c r="CL44" i="13"/>
  <c r="DM59" i="13"/>
  <c r="O34" i="13"/>
  <c r="BN46" i="13"/>
  <c r="EK63" i="13"/>
  <c r="CL50" i="13"/>
  <c r="AN31" i="13"/>
  <c r="BU45" i="13" l="1"/>
  <c r="RM149" i="13"/>
  <c r="XJ188" i="13"/>
  <c r="DT58" i="13"/>
  <c r="JQ97" i="13"/>
  <c r="LP110" i="13"/>
  <c r="VK175" i="13"/>
  <c r="FS71" i="13"/>
  <c r="TL162" i="13"/>
  <c r="PN136" i="13"/>
  <c r="HR84" i="13"/>
  <c r="NO123" i="13"/>
  <c r="W27" i="13"/>
  <c r="YB191" i="13"/>
  <c r="WC178" i="13"/>
  <c r="UD165" i="13"/>
  <c r="SE152" i="13"/>
  <c r="YB187" i="13"/>
  <c r="WC174" i="13"/>
  <c r="UD161" i="13"/>
  <c r="SE148" i="13"/>
  <c r="WC180" i="13"/>
  <c r="YB193" i="13"/>
  <c r="SE154" i="13"/>
  <c r="UD167" i="13"/>
  <c r="O2" i="13"/>
  <c r="O3" i="13"/>
  <c r="XC190" i="13"/>
  <c r="VD177" i="13"/>
  <c r="RF151" i="13"/>
  <c r="TE164" i="13"/>
  <c r="N12" i="13"/>
  <c r="N13" i="13"/>
  <c r="N9" i="13"/>
  <c r="N10" i="13"/>
  <c r="PG138" i="13"/>
  <c r="NH125" i="13"/>
  <c r="LI112" i="13"/>
  <c r="QF135" i="13"/>
  <c r="OG122" i="13"/>
  <c r="MH109" i="13"/>
  <c r="QF141" i="13"/>
  <c r="OG128" i="13"/>
  <c r="MH115" i="13"/>
  <c r="QF139" i="13"/>
  <c r="OG126" i="13"/>
  <c r="MH113" i="13"/>
  <c r="KI96" i="13"/>
  <c r="IJ83" i="13"/>
  <c r="GK70" i="13"/>
  <c r="JJ99" i="13"/>
  <c r="HK86" i="13"/>
  <c r="FL73" i="13"/>
  <c r="KI102" i="13"/>
  <c r="IJ89" i="13"/>
  <c r="GK76" i="13"/>
  <c r="KI100" i="13"/>
  <c r="IJ87" i="13"/>
  <c r="GK74" i="13"/>
  <c r="EL63" i="13"/>
  <c r="CM50" i="13"/>
  <c r="DM60" i="13"/>
  <c r="O39" i="13"/>
  <c r="BN47" i="13"/>
  <c r="O36" i="13"/>
  <c r="EL57" i="13"/>
  <c r="CM44" i="13"/>
  <c r="EL61" i="13"/>
  <c r="CM48" i="13"/>
  <c r="AO31" i="13"/>
  <c r="VL170" i="13" l="1"/>
  <c r="NP118" i="13"/>
  <c r="FT66" i="13"/>
  <c r="PO131" i="13"/>
  <c r="RN144" i="13"/>
  <c r="LQ105" i="13"/>
  <c r="DU53" i="13"/>
  <c r="W32" i="13"/>
  <c r="HS79" i="13"/>
  <c r="BV40" i="13"/>
  <c r="TM157" i="13"/>
  <c r="XK183" i="13"/>
  <c r="JR92" i="13"/>
  <c r="YC187" i="13"/>
  <c r="WD174" i="13"/>
  <c r="UE161" i="13"/>
  <c r="SF148" i="13"/>
  <c r="YC191" i="13"/>
  <c r="WD178" i="13"/>
  <c r="UE165" i="13"/>
  <c r="SF152" i="13"/>
  <c r="WD180" i="13"/>
  <c r="YC193" i="13"/>
  <c r="SF154" i="13"/>
  <c r="UE167" i="13"/>
  <c r="O4" i="13"/>
  <c r="O5" i="13" s="1"/>
  <c r="XC192" i="13"/>
  <c r="TE166" i="13"/>
  <c r="VD179" i="13"/>
  <c r="RF153" i="13"/>
  <c r="XC195" i="13"/>
  <c r="TE169" i="13"/>
  <c r="VD182" i="13"/>
  <c r="RF156" i="13"/>
  <c r="QG141" i="13"/>
  <c r="OH128" i="13"/>
  <c r="MI115" i="13"/>
  <c r="PG140" i="13"/>
  <c r="NH127" i="13"/>
  <c r="LI114" i="13"/>
  <c r="QG135" i="13"/>
  <c r="MI109" i="13"/>
  <c r="OH122" i="13"/>
  <c r="QG139" i="13"/>
  <c r="OH126" i="13"/>
  <c r="MI113" i="13"/>
  <c r="PG143" i="13"/>
  <c r="LI117" i="13"/>
  <c r="NH130" i="13"/>
  <c r="KJ96" i="13"/>
  <c r="IK83" i="13"/>
  <c r="GL70" i="13"/>
  <c r="KJ102" i="13"/>
  <c r="IK89" i="13"/>
  <c r="GL76" i="13"/>
  <c r="JJ101" i="13"/>
  <c r="HK88" i="13"/>
  <c r="FL75" i="13"/>
  <c r="JJ104" i="13"/>
  <c r="HK91" i="13"/>
  <c r="FL78" i="13"/>
  <c r="KJ100" i="13"/>
  <c r="IK87" i="13"/>
  <c r="GL74" i="13"/>
  <c r="EM63" i="13"/>
  <c r="CN50" i="13"/>
  <c r="BN52" i="13"/>
  <c r="DM65" i="13"/>
  <c r="EM61" i="13"/>
  <c r="CN48" i="13"/>
  <c r="DM62" i="13"/>
  <c r="BN49" i="13"/>
  <c r="P33" i="13"/>
  <c r="EM57" i="13"/>
  <c r="CN44" i="13"/>
  <c r="AP31" i="13"/>
  <c r="DU58" i="13" l="1"/>
  <c r="NP123" i="13"/>
  <c r="BV45" i="13"/>
  <c r="RN149" i="13"/>
  <c r="TM162" i="13"/>
  <c r="HS84" i="13"/>
  <c r="XK188" i="13"/>
  <c r="JR97" i="13"/>
  <c r="VL175" i="13"/>
  <c r="PO136" i="13"/>
  <c r="LQ110" i="13"/>
  <c r="FT71" i="13"/>
  <c r="X27" i="13"/>
  <c r="YD187" i="13"/>
  <c r="WE174" i="13"/>
  <c r="UF161" i="13"/>
  <c r="SG148" i="13"/>
  <c r="YD191" i="13"/>
  <c r="WE178" i="13"/>
  <c r="UF165" i="13"/>
  <c r="SG152" i="13"/>
  <c r="P6" i="13"/>
  <c r="XD189" i="13"/>
  <c r="TF163" i="13"/>
  <c r="RG150" i="13"/>
  <c r="VE176" i="13"/>
  <c r="YD193" i="13"/>
  <c r="UF167" i="13"/>
  <c r="WE180" i="13"/>
  <c r="SG154" i="13"/>
  <c r="O7" i="13"/>
  <c r="O8" i="13"/>
  <c r="O11" i="13"/>
  <c r="QH135" i="13"/>
  <c r="OI122" i="13"/>
  <c r="MJ109" i="13"/>
  <c r="QH139" i="13"/>
  <c r="MJ113" i="13"/>
  <c r="OI126" i="13"/>
  <c r="QH141" i="13"/>
  <c r="OI128" i="13"/>
  <c r="MJ115" i="13"/>
  <c r="PH137" i="13"/>
  <c r="NI124" i="13"/>
  <c r="LJ111" i="13"/>
  <c r="KK96" i="13"/>
  <c r="IL83" i="13"/>
  <c r="GM70" i="13"/>
  <c r="JK98" i="13"/>
  <c r="HL85" i="13"/>
  <c r="FM72" i="13"/>
  <c r="KK102" i="13"/>
  <c r="IL89" i="13"/>
  <c r="GM76" i="13"/>
  <c r="KK100" i="13"/>
  <c r="IL87" i="13"/>
  <c r="GM74" i="13"/>
  <c r="EN61" i="13"/>
  <c r="CO48" i="13"/>
  <c r="DN59" i="13"/>
  <c r="BO46" i="13"/>
  <c r="P34" i="13"/>
  <c r="EN57" i="13"/>
  <c r="CO44" i="13"/>
  <c r="EN63" i="13"/>
  <c r="CO50" i="13"/>
  <c r="AQ31" i="13"/>
  <c r="TN157" i="13" l="1"/>
  <c r="NQ118" i="13"/>
  <c r="DV53" i="13"/>
  <c r="X32" i="13"/>
  <c r="RO144" i="13"/>
  <c r="LR105" i="13"/>
  <c r="JS92" i="13"/>
  <c r="BW40" i="13"/>
  <c r="HT79" i="13"/>
  <c r="FU66" i="13"/>
  <c r="PP131" i="13"/>
  <c r="VM170" i="13"/>
  <c r="XL183" i="13"/>
  <c r="YE191" i="13"/>
  <c r="WF178" i="13"/>
  <c r="UG165" i="13"/>
  <c r="SH152" i="13"/>
  <c r="YE187" i="13"/>
  <c r="WF174" i="13"/>
  <c r="UG161" i="13"/>
  <c r="SH148" i="13"/>
  <c r="O9" i="13"/>
  <c r="O10" i="13"/>
  <c r="O12" i="13"/>
  <c r="O13" i="13"/>
  <c r="YE193" i="13"/>
  <c r="WF180" i="13"/>
  <c r="UG167" i="13"/>
  <c r="SH154" i="13"/>
  <c r="P2" i="13"/>
  <c r="P3" i="13"/>
  <c r="XD190" i="13"/>
  <c r="VE177" i="13"/>
  <c r="RG151" i="13"/>
  <c r="TF164" i="13"/>
  <c r="QI135" i="13"/>
  <c r="MK109" i="13"/>
  <c r="OJ122" i="13"/>
  <c r="QI141" i="13"/>
  <c r="OJ128" i="13"/>
  <c r="MK115" i="13"/>
  <c r="QI139" i="13"/>
  <c r="OJ126" i="13"/>
  <c r="MK113" i="13"/>
  <c r="PH138" i="13"/>
  <c r="NI125" i="13"/>
  <c r="LJ112" i="13"/>
  <c r="KL102" i="13"/>
  <c r="IM89" i="13"/>
  <c r="GN76" i="13"/>
  <c r="KL100" i="13"/>
  <c r="IM87" i="13"/>
  <c r="GN74" i="13"/>
  <c r="JK99" i="13"/>
  <c r="HL86" i="13"/>
  <c r="FM73" i="13"/>
  <c r="KL96" i="13"/>
  <c r="IM83" i="13"/>
  <c r="GN70" i="13"/>
  <c r="EO61" i="13"/>
  <c r="CP48" i="13"/>
  <c r="EO57" i="13"/>
  <c r="CP44" i="13"/>
  <c r="EO63" i="13"/>
  <c r="CP50" i="13"/>
  <c r="DN60" i="13"/>
  <c r="P36" i="13"/>
  <c r="BO47" i="13"/>
  <c r="P39" i="13"/>
  <c r="AR31" i="13"/>
  <c r="XL188" i="13" l="1"/>
  <c r="PP136" i="13"/>
  <c r="HT84" i="13"/>
  <c r="BW45" i="13"/>
  <c r="TN162" i="13"/>
  <c r="NQ123" i="13"/>
  <c r="FU71" i="13"/>
  <c r="VM175" i="13"/>
  <c r="LR110" i="13"/>
  <c r="JS97" i="13"/>
  <c r="RO149" i="13"/>
  <c r="Y27" i="13"/>
  <c r="DV58" i="13"/>
  <c r="YF187" i="13"/>
  <c r="UH161" i="13"/>
  <c r="WG174" i="13"/>
  <c r="SI148" i="13"/>
  <c r="YF191" i="13"/>
  <c r="WG178" i="13"/>
  <c r="UH165" i="13"/>
  <c r="SI152" i="13"/>
  <c r="VE182" i="13"/>
  <c r="TF169" i="13"/>
  <c r="XD195" i="13"/>
  <c r="RG156" i="13"/>
  <c r="P4" i="13"/>
  <c r="P5" i="13" s="1"/>
  <c r="XD192" i="13"/>
  <c r="TF166" i="13"/>
  <c r="VE179" i="13"/>
  <c r="RG153" i="13"/>
  <c r="YF193" i="13"/>
  <c r="WG180" i="13"/>
  <c r="UH167" i="13"/>
  <c r="SI154" i="13"/>
  <c r="PH140" i="13"/>
  <c r="NI127" i="13"/>
  <c r="LJ114" i="13"/>
  <c r="QJ135" i="13"/>
  <c r="OK122" i="13"/>
  <c r="ML109" i="13"/>
  <c r="QJ141" i="13"/>
  <c r="OK128" i="13"/>
  <c r="ML115" i="13"/>
  <c r="QJ139" i="13"/>
  <c r="OK126" i="13"/>
  <c r="ML113" i="13"/>
  <c r="LJ117" i="13"/>
  <c r="PH143" i="13"/>
  <c r="NI130" i="13"/>
  <c r="KM100" i="13"/>
  <c r="IN87" i="13"/>
  <c r="GO74" i="13"/>
  <c r="JK104" i="13"/>
  <c r="HL91" i="13"/>
  <c r="FM78" i="13"/>
  <c r="KM96" i="13"/>
  <c r="IN83" i="13"/>
  <c r="GO70" i="13"/>
  <c r="KM102" i="13"/>
  <c r="IN89" i="13"/>
  <c r="GO76" i="13"/>
  <c r="JK101" i="13"/>
  <c r="HL88" i="13"/>
  <c r="FM75" i="13"/>
  <c r="EP63" i="13"/>
  <c r="CQ50" i="13"/>
  <c r="EP57" i="13"/>
  <c r="CQ44" i="13"/>
  <c r="BO52" i="13"/>
  <c r="DN65" i="13"/>
  <c r="DN62" i="13"/>
  <c r="BO49" i="13"/>
  <c r="Q33" i="13"/>
  <c r="EP61" i="13"/>
  <c r="CQ48" i="13"/>
  <c r="AS31" i="13"/>
  <c r="FV66" i="13" l="1"/>
  <c r="DW53" i="13"/>
  <c r="JT92" i="13"/>
  <c r="RP144" i="13"/>
  <c r="HU79" i="13"/>
  <c r="BX40" i="13"/>
  <c r="PQ131" i="13"/>
  <c r="Y32" i="13"/>
  <c r="NR118" i="13"/>
  <c r="TO157" i="13"/>
  <c r="XM183" i="13"/>
  <c r="LS105" i="13"/>
  <c r="VN170" i="13"/>
  <c r="YG191" i="13"/>
  <c r="WH178" i="13"/>
  <c r="UI165" i="13"/>
  <c r="SJ152" i="13"/>
  <c r="YG187" i="13"/>
  <c r="UI161" i="13"/>
  <c r="WH174" i="13"/>
  <c r="SJ148" i="13"/>
  <c r="Q6" i="13"/>
  <c r="XE189" i="13"/>
  <c r="TG163" i="13"/>
  <c r="RH150" i="13"/>
  <c r="VF176" i="13"/>
  <c r="YG193" i="13"/>
  <c r="UI167" i="13"/>
  <c r="WH180" i="13"/>
  <c r="SJ154" i="13"/>
  <c r="P7" i="13"/>
  <c r="P8" i="13"/>
  <c r="P11" i="13"/>
  <c r="QK139" i="13"/>
  <c r="OL126" i="13"/>
  <c r="MM113" i="13"/>
  <c r="QK141" i="13"/>
  <c r="OL128" i="13"/>
  <c r="MM115" i="13"/>
  <c r="QK135" i="13"/>
  <c r="OL122" i="13"/>
  <c r="MM109" i="13"/>
  <c r="PI137" i="13"/>
  <c r="NJ124" i="13"/>
  <c r="LK111" i="13"/>
  <c r="KN102" i="13"/>
  <c r="IO89" i="13"/>
  <c r="GP76" i="13"/>
  <c r="JL98" i="13"/>
  <c r="HM85" i="13"/>
  <c r="FN72" i="13"/>
  <c r="KN96" i="13"/>
  <c r="IO83" i="13"/>
  <c r="GP70" i="13"/>
  <c r="KN100" i="13"/>
  <c r="IO87" i="13"/>
  <c r="GP74" i="13"/>
  <c r="EQ57" i="13"/>
  <c r="CR44" i="13"/>
  <c r="EQ63" i="13"/>
  <c r="CR50" i="13"/>
  <c r="EQ61" i="13"/>
  <c r="CR48" i="13"/>
  <c r="DO59" i="13"/>
  <c r="Q34" i="13"/>
  <c r="BP46" i="13"/>
  <c r="AT31" i="13"/>
  <c r="RP149" i="13" l="1"/>
  <c r="PQ136" i="13"/>
  <c r="BX45" i="13"/>
  <c r="NR123" i="13"/>
  <c r="HU84" i="13"/>
  <c r="LS110" i="13"/>
  <c r="JT97" i="13"/>
  <c r="Z27" i="13"/>
  <c r="VN175" i="13"/>
  <c r="DW58" i="13"/>
  <c r="XM188" i="13"/>
  <c r="TO162" i="13"/>
  <c r="FV71" i="13"/>
  <c r="YH191" i="13"/>
  <c r="WI178" i="13"/>
  <c r="UJ165" i="13"/>
  <c r="SK152" i="13"/>
  <c r="YH187" i="13"/>
  <c r="WI174" i="13"/>
  <c r="UJ161" i="13"/>
  <c r="SK148" i="13"/>
  <c r="WI180" i="13"/>
  <c r="YH193" i="13"/>
  <c r="UJ167" i="13"/>
  <c r="SK154" i="13"/>
  <c r="Q2" i="13"/>
  <c r="Q3" i="13"/>
  <c r="XE190" i="13"/>
  <c r="VF177" i="13"/>
  <c r="TG164" i="13"/>
  <c r="RH151" i="13"/>
  <c r="P9" i="13"/>
  <c r="P10" i="13"/>
  <c r="P12" i="13"/>
  <c r="P13" i="13"/>
  <c r="QL135" i="13"/>
  <c r="OM122" i="13"/>
  <c r="MN109" i="13"/>
  <c r="QL141" i="13"/>
  <c r="OM128" i="13"/>
  <c r="MN115" i="13"/>
  <c r="PI138" i="13"/>
  <c r="NJ125" i="13"/>
  <c r="LK112" i="13"/>
  <c r="QL139" i="13"/>
  <c r="OM126" i="13"/>
  <c r="MN113" i="13"/>
  <c r="KO100" i="13"/>
  <c r="IP87" i="13"/>
  <c r="GQ74" i="13"/>
  <c r="KO102" i="13"/>
  <c r="IP89" i="13"/>
  <c r="GQ76" i="13"/>
  <c r="JL99" i="13"/>
  <c r="HM86" i="13"/>
  <c r="FN73" i="13"/>
  <c r="KO96" i="13"/>
  <c r="IP83" i="13"/>
  <c r="GQ70" i="13"/>
  <c r="ER57" i="13"/>
  <c r="CS44" i="13"/>
  <c r="ER63" i="13"/>
  <c r="CS50" i="13"/>
  <c r="ER61" i="13"/>
  <c r="CS48" i="13"/>
  <c r="DO60" i="13"/>
  <c r="BP47" i="13"/>
  <c r="Q36" i="13"/>
  <c r="Q39" i="13"/>
  <c r="AU31" i="13"/>
  <c r="RQ144" i="13" l="1"/>
  <c r="BY40" i="13"/>
  <c r="TP157" i="13"/>
  <c r="PR131" i="13"/>
  <c r="JU92" i="13"/>
  <c r="XN183" i="13"/>
  <c r="VO170" i="13"/>
  <c r="NS118" i="13"/>
  <c r="HV79" i="13"/>
  <c r="DX53" i="13"/>
  <c r="Z32" i="13"/>
  <c r="LT105" i="13"/>
  <c r="FW66" i="13"/>
  <c r="YI187" i="13"/>
  <c r="WJ174" i="13"/>
  <c r="UK161" i="13"/>
  <c r="SL148" i="13"/>
  <c r="YI191" i="13"/>
  <c r="WJ178" i="13"/>
  <c r="SL152" i="13"/>
  <c r="UK165" i="13"/>
  <c r="Q4" i="13"/>
  <c r="Q5" i="13" s="1"/>
  <c r="VF179" i="13"/>
  <c r="RH153" i="13"/>
  <c r="TG166" i="13"/>
  <c r="XE192" i="13"/>
  <c r="VF182" i="13"/>
  <c r="XE195" i="13"/>
  <c r="TG169" i="13"/>
  <c r="RH156" i="13"/>
  <c r="WJ180" i="13"/>
  <c r="YI193" i="13"/>
  <c r="SL154" i="13"/>
  <c r="UK167" i="13"/>
  <c r="QM139" i="13"/>
  <c r="MO113" i="13"/>
  <c r="ON126" i="13"/>
  <c r="PI140" i="13"/>
  <c r="NJ127" i="13"/>
  <c r="LK114" i="13"/>
  <c r="QM135" i="13"/>
  <c r="ON122" i="13"/>
  <c r="MO109" i="13"/>
  <c r="QM141" i="13"/>
  <c r="ON128" i="13"/>
  <c r="MO115" i="13"/>
  <c r="NJ130" i="13"/>
  <c r="LK117" i="13"/>
  <c r="PI143" i="13"/>
  <c r="KP100" i="13"/>
  <c r="IQ87" i="13"/>
  <c r="GR74" i="13"/>
  <c r="KP96" i="13"/>
  <c r="IQ83" i="13"/>
  <c r="GR70" i="13"/>
  <c r="JL104" i="13"/>
  <c r="HM91" i="13"/>
  <c r="FN78" i="13"/>
  <c r="JL101" i="13"/>
  <c r="HM88" i="13"/>
  <c r="FN75" i="13"/>
  <c r="KP102" i="13"/>
  <c r="IQ89" i="13"/>
  <c r="GR76" i="13"/>
  <c r="ES63" i="13"/>
  <c r="CT50" i="13"/>
  <c r="DO62" i="13"/>
  <c r="R33" i="13"/>
  <c r="BP49" i="13"/>
  <c r="BP52" i="13"/>
  <c r="DO65" i="13"/>
  <c r="ES57" i="13"/>
  <c r="CT44" i="13"/>
  <c r="ES61" i="13"/>
  <c r="CT48" i="13"/>
  <c r="AV31" i="13"/>
  <c r="VO175" i="13" l="1"/>
  <c r="FW71" i="13"/>
  <c r="DX58" i="13"/>
  <c r="HV84" i="13"/>
  <c r="TP162" i="13"/>
  <c r="BY45" i="13"/>
  <c r="RQ149" i="13"/>
  <c r="PR136" i="13"/>
  <c r="NS123" i="13"/>
  <c r="LT110" i="13"/>
  <c r="XN188" i="13"/>
  <c r="AA27" i="13"/>
  <c r="JU97" i="13"/>
  <c r="YJ187" i="13"/>
  <c r="WK174" i="13"/>
  <c r="UL161" i="13"/>
  <c r="SM148" i="13"/>
  <c r="YJ191" i="13"/>
  <c r="WK178" i="13"/>
  <c r="UL165" i="13"/>
  <c r="SM152" i="13"/>
  <c r="R6" i="13"/>
  <c r="XF189" i="13"/>
  <c r="VG176" i="13"/>
  <c r="TH163" i="13"/>
  <c r="RI150" i="13"/>
  <c r="WK180" i="13"/>
  <c r="UL167" i="13"/>
  <c r="YJ193" i="13"/>
  <c r="SM154" i="13"/>
  <c r="Q7" i="13"/>
  <c r="Q8" i="13"/>
  <c r="Q11" i="13"/>
  <c r="QN141" i="13"/>
  <c r="OO128" i="13"/>
  <c r="MP115" i="13"/>
  <c r="QN135" i="13"/>
  <c r="OO122" i="13"/>
  <c r="MP109" i="13"/>
  <c r="PJ137" i="13"/>
  <c r="NK124" i="13"/>
  <c r="LL111" i="13"/>
  <c r="QN139" i="13"/>
  <c r="OO126" i="13"/>
  <c r="MP113" i="13"/>
  <c r="JM98" i="13"/>
  <c r="HN85" i="13"/>
  <c r="FO72" i="13"/>
  <c r="KQ100" i="13"/>
  <c r="IR87" i="13"/>
  <c r="GS74" i="13"/>
  <c r="KQ96" i="13"/>
  <c r="IR83" i="13"/>
  <c r="GS70" i="13"/>
  <c r="KQ102" i="13"/>
  <c r="IR89" i="13"/>
  <c r="GS76" i="13"/>
  <c r="ET57" i="13"/>
  <c r="CU44" i="13"/>
  <c r="ET61" i="13"/>
  <c r="CU48" i="13"/>
  <c r="DP59" i="13"/>
  <c r="BQ46" i="13"/>
  <c r="R34" i="13"/>
  <c r="ET63" i="13"/>
  <c r="CU50" i="13"/>
  <c r="AW31" i="13"/>
  <c r="VP170" i="13" l="1"/>
  <c r="NT118" i="13"/>
  <c r="HW79" i="13"/>
  <c r="DY53" i="13"/>
  <c r="RR144" i="13"/>
  <c r="LU105" i="13"/>
  <c r="FX66" i="13"/>
  <c r="BZ40" i="13"/>
  <c r="AA32" i="13"/>
  <c r="XO183" i="13"/>
  <c r="TQ157" i="13"/>
  <c r="JV92" i="13"/>
  <c r="PS131" i="13"/>
  <c r="YK187" i="13"/>
  <c r="WL174" i="13"/>
  <c r="UM161" i="13"/>
  <c r="SN148" i="13"/>
  <c r="YK191" i="13"/>
  <c r="WL178" i="13"/>
  <c r="UM165" i="13"/>
  <c r="SN152" i="13"/>
  <c r="Q10" i="13"/>
  <c r="Q9" i="13"/>
  <c r="Q12" i="13"/>
  <c r="Q13" i="13"/>
  <c r="WL180" i="13"/>
  <c r="YK193" i="13"/>
  <c r="SN154" i="13"/>
  <c r="UM167" i="13"/>
  <c r="R2" i="13"/>
  <c r="R3" i="13"/>
  <c r="XF190" i="13"/>
  <c r="TH164" i="13"/>
  <c r="VG177" i="13"/>
  <c r="RI151" i="13"/>
  <c r="QO135" i="13"/>
  <c r="OP122" i="13"/>
  <c r="MQ109" i="13"/>
  <c r="PJ138" i="13"/>
  <c r="NK125" i="13"/>
  <c r="LL112" i="13"/>
  <c r="QO141" i="13"/>
  <c r="OP128" i="13"/>
  <c r="MQ115" i="13"/>
  <c r="QO139" i="13"/>
  <c r="OP126" i="13"/>
  <c r="MQ113" i="13"/>
  <c r="KR96" i="13"/>
  <c r="IS83" i="13"/>
  <c r="GT70" i="13"/>
  <c r="KR100" i="13"/>
  <c r="IS87" i="13"/>
  <c r="GT74" i="13"/>
  <c r="KR102" i="13"/>
  <c r="IS89" i="13"/>
  <c r="GT76" i="13"/>
  <c r="JM99" i="13"/>
  <c r="HN86" i="13"/>
  <c r="FO73" i="13"/>
  <c r="DP60" i="13"/>
  <c r="R36" i="13"/>
  <c r="BQ47" i="13"/>
  <c r="R39" i="13"/>
  <c r="EU61" i="13"/>
  <c r="CV48" i="13"/>
  <c r="EU57" i="13"/>
  <c r="CV44" i="13"/>
  <c r="EU63" i="13"/>
  <c r="CV50" i="13"/>
  <c r="AX31" i="13"/>
  <c r="XO188" i="13" l="1"/>
  <c r="JV97" i="13"/>
  <c r="BZ45" i="13"/>
  <c r="VP175" i="13"/>
  <c r="HW84" i="13"/>
  <c r="PS136" i="13"/>
  <c r="DY58" i="13"/>
  <c r="TQ162" i="13"/>
  <c r="FX71" i="13"/>
  <c r="LU110" i="13"/>
  <c r="RR149" i="13"/>
  <c r="NT123" i="13"/>
  <c r="AB27" i="13"/>
  <c r="YL187" i="13"/>
  <c r="WM174" i="13"/>
  <c r="UN161" i="13"/>
  <c r="SO148" i="13"/>
  <c r="YL191" i="13"/>
  <c r="WM178" i="13"/>
  <c r="UN165" i="13"/>
  <c r="SO152" i="13"/>
  <c r="YL193" i="13"/>
  <c r="UN167" i="13"/>
  <c r="WM180" i="13"/>
  <c r="SO154" i="13"/>
  <c r="XF195" i="13"/>
  <c r="VG182" i="13"/>
  <c r="RI156" i="13"/>
  <c r="TH169" i="13"/>
  <c r="R4" i="13"/>
  <c r="R5" i="13" s="1"/>
  <c r="XF192" i="13"/>
  <c r="VG179" i="13"/>
  <c r="TH166" i="13"/>
  <c r="RI153" i="13"/>
  <c r="QP141" i="13"/>
  <c r="OQ128" i="13"/>
  <c r="MR115" i="13"/>
  <c r="PJ140" i="13"/>
  <c r="NK127" i="13"/>
  <c r="LL114" i="13"/>
  <c r="QP135" i="13"/>
  <c r="OQ122" i="13"/>
  <c r="MR109" i="13"/>
  <c r="QP139" i="13"/>
  <c r="OQ126" i="13"/>
  <c r="MR113" i="13"/>
  <c r="NK130" i="13"/>
  <c r="LL117" i="13"/>
  <c r="PJ143" i="13"/>
  <c r="JM101" i="13"/>
  <c r="HN88" i="13"/>
  <c r="FO75" i="13"/>
  <c r="JM104" i="13"/>
  <c r="HN91" i="13"/>
  <c r="FO78" i="13"/>
  <c r="KS102" i="13"/>
  <c r="IT89" i="13"/>
  <c r="GU76" i="13"/>
  <c r="KS96" i="13"/>
  <c r="IT83" i="13"/>
  <c r="GU70" i="13"/>
  <c r="KS100" i="13"/>
  <c r="IT87" i="13"/>
  <c r="GU74" i="13"/>
  <c r="BQ52" i="13"/>
  <c r="DP65" i="13"/>
  <c r="EV61" i="13"/>
  <c r="CW48" i="13"/>
  <c r="EV57" i="13"/>
  <c r="CW44" i="13"/>
  <c r="EV63" i="13"/>
  <c r="CW50" i="13"/>
  <c r="DP62" i="13"/>
  <c r="BQ49" i="13"/>
  <c r="S33" i="13"/>
  <c r="AY31" i="13"/>
  <c r="FY66" i="13" l="1"/>
  <c r="DZ53" i="13"/>
  <c r="CA40" i="13"/>
  <c r="VQ170" i="13"/>
  <c r="RS144" i="13"/>
  <c r="HX79" i="13"/>
  <c r="PT131" i="13"/>
  <c r="AB32" i="13"/>
  <c r="TR157" i="13"/>
  <c r="NU118" i="13"/>
  <c r="XP183" i="13"/>
  <c r="LV105" i="13"/>
  <c r="JW92" i="13"/>
  <c r="YM191" i="13"/>
  <c r="WN178" i="13"/>
  <c r="UO165" i="13"/>
  <c r="SP152" i="13"/>
  <c r="YM187" i="13"/>
  <c r="WN174" i="13"/>
  <c r="UO161" i="13"/>
  <c r="SP148" i="13"/>
  <c r="YM193" i="13"/>
  <c r="WN180" i="13"/>
  <c r="UO167" i="13"/>
  <c r="SP154" i="13"/>
  <c r="S6" i="13"/>
  <c r="XG189" i="13"/>
  <c r="VH176" i="13"/>
  <c r="TI163" i="13"/>
  <c r="RJ150" i="13"/>
  <c r="R8" i="13"/>
  <c r="R7" i="13"/>
  <c r="R11" i="13"/>
  <c r="QQ135" i="13"/>
  <c r="OR122" i="13"/>
  <c r="MS109" i="13"/>
  <c r="PK137" i="13"/>
  <c r="NL124" i="13"/>
  <c r="LM111" i="13"/>
  <c r="QQ141" i="13"/>
  <c r="OR128" i="13"/>
  <c r="MS115" i="13"/>
  <c r="QQ139" i="13"/>
  <c r="OR126" i="13"/>
  <c r="MS113" i="13"/>
  <c r="KT102" i="13"/>
  <c r="IU89" i="13"/>
  <c r="GV76" i="13"/>
  <c r="KT100" i="13"/>
  <c r="IU87" i="13"/>
  <c r="GV74" i="13"/>
  <c r="JN98" i="13"/>
  <c r="HO85" i="13"/>
  <c r="FP72" i="13"/>
  <c r="KT96" i="13"/>
  <c r="IU83" i="13"/>
  <c r="GV70" i="13"/>
  <c r="DQ59" i="13"/>
  <c r="S34" i="13"/>
  <c r="BR46" i="13"/>
  <c r="EW63" i="13"/>
  <c r="CX50" i="13"/>
  <c r="EW61" i="13"/>
  <c r="CX48" i="13"/>
  <c r="EW57" i="13"/>
  <c r="CX44" i="13"/>
  <c r="AZ31" i="13"/>
  <c r="RS149" i="13" l="1"/>
  <c r="HX84" i="13"/>
  <c r="NU123" i="13"/>
  <c r="PT136" i="13"/>
  <c r="JW97" i="13"/>
  <c r="DZ58" i="13"/>
  <c r="XP188" i="13"/>
  <c r="LV110" i="13"/>
  <c r="CA45" i="13"/>
  <c r="FY71" i="13"/>
  <c r="VQ175" i="13"/>
  <c r="TR162" i="13"/>
  <c r="AC27" i="13"/>
  <c r="YN187" i="13"/>
  <c r="WO174" i="13"/>
  <c r="UP161" i="13"/>
  <c r="SQ148" i="13"/>
  <c r="YN191" i="13"/>
  <c r="UP165" i="13"/>
  <c r="WO178" i="13"/>
  <c r="SQ152" i="13"/>
  <c r="YN193" i="13"/>
  <c r="UP167" i="13"/>
  <c r="SQ154" i="13"/>
  <c r="WO180" i="13"/>
  <c r="S2" i="13"/>
  <c r="S3" i="13"/>
  <c r="XG190" i="13"/>
  <c r="VH177" i="13"/>
  <c r="TI164" i="13"/>
  <c r="RJ151" i="13"/>
  <c r="R10" i="13"/>
  <c r="R9" i="13"/>
  <c r="R12" i="13"/>
  <c r="R13" i="13"/>
  <c r="QR139" i="13"/>
  <c r="OS126" i="13"/>
  <c r="MT113" i="13"/>
  <c r="QR141" i="13"/>
  <c r="OS128" i="13"/>
  <c r="MT115" i="13"/>
  <c r="PK138" i="13"/>
  <c r="NL125" i="13"/>
  <c r="LM112" i="13"/>
  <c r="QR135" i="13"/>
  <c r="OS122" i="13"/>
  <c r="MT109" i="13"/>
  <c r="KU102" i="13"/>
  <c r="IV89" i="13"/>
  <c r="GW76" i="13"/>
  <c r="JN99" i="13"/>
  <c r="HO86" i="13"/>
  <c r="FP73" i="13"/>
  <c r="KU96" i="13"/>
  <c r="IV83" i="13"/>
  <c r="GW70" i="13"/>
  <c r="KU100" i="13"/>
  <c r="IV87" i="13"/>
  <c r="GW74" i="13"/>
  <c r="EX61" i="13"/>
  <c r="CY48" i="13"/>
  <c r="EX63" i="13"/>
  <c r="CY50" i="13"/>
  <c r="EX57" i="13"/>
  <c r="CY44" i="13"/>
  <c r="DQ60" i="13"/>
  <c r="S36" i="13"/>
  <c r="BR47" i="13"/>
  <c r="S39" i="13"/>
  <c r="BA31" i="13"/>
  <c r="RT144" i="13" l="1"/>
  <c r="PU131" i="13"/>
  <c r="FZ66" i="13"/>
  <c r="XQ183" i="13"/>
  <c r="TS157" i="13"/>
  <c r="NV118" i="13"/>
  <c r="EA53" i="13"/>
  <c r="LW105" i="13"/>
  <c r="JX92" i="13"/>
  <c r="CB40" i="13"/>
  <c r="AC32" i="13"/>
  <c r="HY79" i="13"/>
  <c r="VR170" i="13"/>
  <c r="WP174" i="13"/>
  <c r="YO187" i="13"/>
  <c r="UQ161" i="13"/>
  <c r="SR148" i="13"/>
  <c r="WP178" i="13"/>
  <c r="YO191" i="13"/>
  <c r="UQ165" i="13"/>
  <c r="SR152" i="13"/>
  <c r="XG195" i="13"/>
  <c r="VH182" i="13"/>
  <c r="RJ156" i="13"/>
  <c r="TI169" i="13"/>
  <c r="YO193" i="13"/>
  <c r="UQ167" i="13"/>
  <c r="WP180" i="13"/>
  <c r="SR154" i="13"/>
  <c r="S4" i="13"/>
  <c r="S5" i="13" s="1"/>
  <c r="XG192" i="13"/>
  <c r="VH179" i="13"/>
  <c r="RJ153" i="13"/>
  <c r="TI166" i="13"/>
  <c r="QS139" i="13"/>
  <c r="OT126" i="13"/>
  <c r="MU113" i="13"/>
  <c r="QS141" i="13"/>
  <c r="OT128" i="13"/>
  <c r="MU115" i="13"/>
  <c r="QS135" i="13"/>
  <c r="OT122" i="13"/>
  <c r="MU109" i="13"/>
  <c r="PK140" i="13"/>
  <c r="NL127" i="13"/>
  <c r="LM114" i="13"/>
  <c r="NL130" i="13"/>
  <c r="LM117" i="13"/>
  <c r="PK143" i="13"/>
  <c r="KV100" i="13"/>
  <c r="IW87" i="13"/>
  <c r="GX74" i="13"/>
  <c r="JN104" i="13"/>
  <c r="HO91" i="13"/>
  <c r="FP78" i="13"/>
  <c r="KV102" i="13"/>
  <c r="IW89" i="13"/>
  <c r="GX76" i="13"/>
  <c r="KV96" i="13"/>
  <c r="IW83" i="13"/>
  <c r="GX70" i="13"/>
  <c r="JN101" i="13"/>
  <c r="HO88" i="13"/>
  <c r="FP75" i="13"/>
  <c r="EY57" i="13"/>
  <c r="CZ44" i="13"/>
  <c r="EY63" i="13"/>
  <c r="CZ50" i="13"/>
  <c r="DQ62" i="13"/>
  <c r="BR49" i="13"/>
  <c r="T33" i="13"/>
  <c r="CZ48" i="13"/>
  <c r="EY61" i="13"/>
  <c r="BR52" i="13"/>
  <c r="DQ65" i="13"/>
  <c r="BB31" i="13"/>
  <c r="JX97" i="13" l="1"/>
  <c r="EA58" i="13"/>
  <c r="LW110" i="13"/>
  <c r="HY84" i="13"/>
  <c r="AD27" i="13"/>
  <c r="NV123" i="13"/>
  <c r="FZ71" i="13"/>
  <c r="VR175" i="13"/>
  <c r="XQ188" i="13"/>
  <c r="PU136" i="13"/>
  <c r="TS162" i="13"/>
  <c r="CB45" i="13"/>
  <c r="RT149" i="13"/>
  <c r="YP191" i="13"/>
  <c r="WQ178" i="13"/>
  <c r="UR165" i="13"/>
  <c r="SS152" i="13"/>
  <c r="YP187" i="13"/>
  <c r="WQ174" i="13"/>
  <c r="SS148" i="13"/>
  <c r="UR161" i="13"/>
  <c r="WQ180" i="13"/>
  <c r="YP193" i="13"/>
  <c r="SS154" i="13"/>
  <c r="UR167" i="13"/>
  <c r="T6" i="13"/>
  <c r="XH189" i="13"/>
  <c r="VI176" i="13"/>
  <c r="TJ163" i="13"/>
  <c r="RK150" i="13"/>
  <c r="S8" i="13"/>
  <c r="S7" i="13"/>
  <c r="S11" i="13"/>
  <c r="QT135" i="13"/>
  <c r="OU122" i="13"/>
  <c r="MV109" i="13"/>
  <c r="QT141" i="13"/>
  <c r="OU128" i="13"/>
  <c r="MV115" i="13"/>
  <c r="PL137" i="13"/>
  <c r="NM124" i="13"/>
  <c r="LN111" i="13"/>
  <c r="QT139" i="13"/>
  <c r="OU126" i="13"/>
  <c r="MV113" i="13"/>
  <c r="KW102" i="13"/>
  <c r="IX89" i="13"/>
  <c r="GY76" i="13"/>
  <c r="KW96" i="13"/>
  <c r="IX83" i="13"/>
  <c r="GY70" i="13"/>
  <c r="JO98" i="13"/>
  <c r="HP85" i="13"/>
  <c r="FQ72" i="13"/>
  <c r="KW100" i="13"/>
  <c r="IX87" i="13"/>
  <c r="GY74" i="13"/>
  <c r="EZ57" i="13"/>
  <c r="DA44" i="13"/>
  <c r="DA48" i="13"/>
  <c r="EZ61" i="13"/>
  <c r="EZ63" i="13"/>
  <c r="DA50" i="13"/>
  <c r="DR59" i="13"/>
  <c r="T34" i="13"/>
  <c r="BS46" i="13"/>
  <c r="BC31" i="13"/>
  <c r="RU144" i="13" l="1"/>
  <c r="NW118" i="13"/>
  <c r="AD32" i="13"/>
  <c r="TT157" i="13"/>
  <c r="LX105" i="13"/>
  <c r="PV131" i="13"/>
  <c r="EB53" i="13"/>
  <c r="CC40" i="13"/>
  <c r="GA66" i="13"/>
  <c r="VS170" i="13"/>
  <c r="JY92" i="13"/>
  <c r="HZ79" i="13"/>
  <c r="XR183" i="13"/>
  <c r="YQ187" i="13"/>
  <c r="WR174" i="13"/>
  <c r="US161" i="13"/>
  <c r="ST148" i="13"/>
  <c r="YQ191" i="13"/>
  <c r="WR178" i="13"/>
  <c r="ST152" i="13"/>
  <c r="US165" i="13"/>
  <c r="T2" i="13"/>
  <c r="T3" i="13"/>
  <c r="XH190" i="13"/>
  <c r="VI177" i="13"/>
  <c r="TJ164" i="13"/>
  <c r="RK151" i="13"/>
  <c r="WR180" i="13"/>
  <c r="YQ193" i="13"/>
  <c r="US167" i="13"/>
  <c r="ST154" i="13"/>
  <c r="S9" i="13"/>
  <c r="S10" i="13"/>
  <c r="S12" i="13"/>
  <c r="S13" i="13"/>
  <c r="QU135" i="13"/>
  <c r="OV122" i="13"/>
  <c r="MW109" i="13"/>
  <c r="QU141" i="13"/>
  <c r="OV128" i="13"/>
  <c r="MW115" i="13"/>
  <c r="PL138" i="13"/>
  <c r="NM125" i="13"/>
  <c r="LN112" i="13"/>
  <c r="QU139" i="13"/>
  <c r="MW113" i="13"/>
  <c r="OV126" i="13"/>
  <c r="IY87" i="13"/>
  <c r="KX100" i="13"/>
  <c r="GZ74" i="13"/>
  <c r="KX102" i="13"/>
  <c r="IY89" i="13"/>
  <c r="GZ76" i="13"/>
  <c r="KX96" i="13"/>
  <c r="IY83" i="13"/>
  <c r="GZ70" i="13"/>
  <c r="JO99" i="13"/>
  <c r="HP86" i="13"/>
  <c r="FQ73" i="13"/>
  <c r="DR60" i="13"/>
  <c r="T36" i="13"/>
  <c r="BS47" i="13"/>
  <c r="T39" i="13"/>
  <c r="FA63" i="13"/>
  <c r="DB50" i="13"/>
  <c r="FA57" i="13"/>
  <c r="DB44" i="13"/>
  <c r="FA61" i="13"/>
  <c r="DB48" i="13"/>
  <c r="BD31" i="13"/>
  <c r="JY97" i="13" l="1"/>
  <c r="CC45" i="13"/>
  <c r="HZ84" i="13"/>
  <c r="PV136" i="13"/>
  <c r="AE27" i="13"/>
  <c r="EB58" i="13"/>
  <c r="GA71" i="13"/>
  <c r="XR188" i="13"/>
  <c r="LX110" i="13"/>
  <c r="VS175" i="13"/>
  <c r="NW123" i="13"/>
  <c r="RU149" i="13"/>
  <c r="TT162" i="13"/>
  <c r="YR187" i="13"/>
  <c r="WS174" i="13"/>
  <c r="UT161" i="13"/>
  <c r="SU148" i="13"/>
  <c r="YR191" i="13"/>
  <c r="WS178" i="13"/>
  <c r="UT165" i="13"/>
  <c r="SU152" i="13"/>
  <c r="XH195" i="13"/>
  <c r="VI182" i="13"/>
  <c r="RK156" i="13"/>
  <c r="TJ169" i="13"/>
  <c r="T4" i="13"/>
  <c r="T5" i="13" s="1"/>
  <c r="XH192" i="13"/>
  <c r="VI179" i="13"/>
  <c r="RK153" i="13"/>
  <c r="TJ166" i="13"/>
  <c r="WS180" i="13"/>
  <c r="SU154" i="13"/>
  <c r="YR193" i="13"/>
  <c r="UT167" i="13"/>
  <c r="QV135" i="13"/>
  <c r="OW122" i="13"/>
  <c r="MX109" i="13"/>
  <c r="PL140" i="13"/>
  <c r="NM127" i="13"/>
  <c r="LN114" i="13"/>
  <c r="QV139" i="13"/>
  <c r="OW126" i="13"/>
  <c r="MX113" i="13"/>
  <c r="QV141" i="13"/>
  <c r="OW128" i="13"/>
  <c r="MX115" i="13"/>
  <c r="NM130" i="13"/>
  <c r="LN117" i="13"/>
  <c r="PL143" i="13"/>
  <c r="JO104" i="13"/>
  <c r="HP91" i="13"/>
  <c r="FQ78" i="13"/>
  <c r="HP88" i="13"/>
  <c r="JO101" i="13"/>
  <c r="FQ75" i="13"/>
  <c r="KY96" i="13"/>
  <c r="IZ83" i="13"/>
  <c r="HA70" i="13"/>
  <c r="KY100" i="13"/>
  <c r="IZ87" i="13"/>
  <c r="HA74" i="13"/>
  <c r="KY102" i="13"/>
  <c r="IZ89" i="13"/>
  <c r="HA76" i="13"/>
  <c r="BS52" i="13"/>
  <c r="DR65" i="13"/>
  <c r="FB61" i="13"/>
  <c r="DC48" i="13"/>
  <c r="FB63" i="13"/>
  <c r="DC50" i="13"/>
  <c r="DR62" i="13"/>
  <c r="U33" i="13"/>
  <c r="BS49" i="13"/>
  <c r="FB57" i="13"/>
  <c r="DC44" i="13"/>
  <c r="BE31" i="13"/>
  <c r="RV144" i="13" l="1"/>
  <c r="IA79" i="13"/>
  <c r="EC53" i="13"/>
  <c r="GB66" i="13"/>
  <c r="VT170" i="13"/>
  <c r="TU157" i="13"/>
  <c r="JZ92" i="13"/>
  <c r="CD40" i="13"/>
  <c r="LY105" i="13"/>
  <c r="PW131" i="13"/>
  <c r="AE32" i="13"/>
  <c r="NX118" i="13"/>
  <c r="XS183" i="13"/>
  <c r="YS187" i="13"/>
  <c r="WT174" i="13"/>
  <c r="SV148" i="13"/>
  <c r="UU161" i="13"/>
  <c r="YS191" i="13"/>
  <c r="WT178" i="13"/>
  <c r="UU165" i="13"/>
  <c r="SV152" i="13"/>
  <c r="WT180" i="13"/>
  <c r="YS193" i="13"/>
  <c r="UU167" i="13"/>
  <c r="SV154" i="13"/>
  <c r="U6" i="13"/>
  <c r="XI189" i="13"/>
  <c r="VJ176" i="13"/>
  <c r="TK163" i="13"/>
  <c r="RL150" i="13"/>
  <c r="T7" i="13"/>
  <c r="T8" i="13"/>
  <c r="T11" i="13"/>
  <c r="PM137" i="13"/>
  <c r="LO111" i="13"/>
  <c r="NN124" i="13"/>
  <c r="QW139" i="13"/>
  <c r="OX126" i="13"/>
  <c r="MY113" i="13"/>
  <c r="QW135" i="13"/>
  <c r="OX122" i="13"/>
  <c r="MY109" i="13"/>
  <c r="QW141" i="13"/>
  <c r="OX128" i="13"/>
  <c r="MY115" i="13"/>
  <c r="KZ100" i="13"/>
  <c r="JA87" i="13"/>
  <c r="HB74" i="13"/>
  <c r="JP98" i="13"/>
  <c r="HQ85" i="13"/>
  <c r="FR72" i="13"/>
  <c r="KZ96" i="13"/>
  <c r="JA83" i="13"/>
  <c r="HB70" i="13"/>
  <c r="KZ102" i="13"/>
  <c r="JA89" i="13"/>
  <c r="HB76" i="13"/>
  <c r="FC61" i="13"/>
  <c r="DD48" i="13"/>
  <c r="FC63" i="13"/>
  <c r="DD50" i="13"/>
  <c r="DS59" i="13"/>
  <c r="U34" i="13"/>
  <c r="BT46" i="13"/>
  <c r="FC57" i="13"/>
  <c r="DD44" i="13"/>
  <c r="BF31" i="13"/>
  <c r="LY110" i="13" l="1"/>
  <c r="GB71" i="13"/>
  <c r="PW136" i="13"/>
  <c r="IA84" i="13"/>
  <c r="AF27" i="13"/>
  <c r="XS188" i="13"/>
  <c r="EC58" i="13"/>
  <c r="VT175" i="13"/>
  <c r="NX123" i="13"/>
  <c r="TU162" i="13"/>
  <c r="CD45" i="13"/>
  <c r="RV149" i="13"/>
  <c r="JZ97" i="13"/>
  <c r="YT187" i="13"/>
  <c r="WU174" i="13"/>
  <c r="SW148" i="13"/>
  <c r="UV161" i="13"/>
  <c r="YT191" i="13"/>
  <c r="UV165" i="13"/>
  <c r="SW152" i="13"/>
  <c r="WU178" i="13"/>
  <c r="T9" i="13"/>
  <c r="T10" i="13"/>
  <c r="YT193" i="13"/>
  <c r="UV167" i="13"/>
  <c r="WU180" i="13"/>
  <c r="SW154" i="13"/>
  <c r="U2" i="13"/>
  <c r="U3" i="13"/>
  <c r="XI190" i="13"/>
  <c r="TK164" i="13"/>
  <c r="RL151" i="13"/>
  <c r="VJ177" i="13"/>
  <c r="T12" i="13"/>
  <c r="T13" i="13"/>
  <c r="QX135" i="13"/>
  <c r="OY122" i="13"/>
  <c r="MZ109" i="13"/>
  <c r="QX141" i="13"/>
  <c r="MZ115" i="13"/>
  <c r="OY128" i="13"/>
  <c r="PM138" i="13"/>
  <c r="LO112" i="13"/>
  <c r="NN125" i="13"/>
  <c r="QX139" i="13"/>
  <c r="OY126" i="13"/>
  <c r="MZ113" i="13"/>
  <c r="JP99" i="13"/>
  <c r="HQ86" i="13"/>
  <c r="FR73" i="13"/>
  <c r="LA100" i="13"/>
  <c r="JB87" i="13"/>
  <c r="HC74" i="13"/>
  <c r="LA96" i="13"/>
  <c r="JB83" i="13"/>
  <c r="HC70" i="13"/>
  <c r="LA102" i="13"/>
  <c r="JB89" i="13"/>
  <c r="HC76" i="13"/>
  <c r="FD63" i="13"/>
  <c r="DE50" i="13"/>
  <c r="FD57" i="13"/>
  <c r="DE44" i="13"/>
  <c r="DS60" i="13"/>
  <c r="U36" i="13"/>
  <c r="BT47" i="13"/>
  <c r="U39" i="13"/>
  <c r="FD61" i="13"/>
  <c r="DE48" i="13"/>
  <c r="BG31" i="13"/>
  <c r="XT183" i="13" l="1"/>
  <c r="NY118" i="13"/>
  <c r="IB79" i="13"/>
  <c r="ED53" i="13"/>
  <c r="KA92" i="13"/>
  <c r="VU170" i="13"/>
  <c r="LZ105" i="13"/>
  <c r="GC66" i="13"/>
  <c r="CE40" i="13"/>
  <c r="TV157" i="13"/>
  <c r="AF32" i="13"/>
  <c r="RW144" i="13"/>
  <c r="PX131" i="13"/>
  <c r="YU191" i="13"/>
  <c r="WV178" i="13"/>
  <c r="UW165" i="13"/>
  <c r="SX152" i="13"/>
  <c r="YU187" i="13"/>
  <c r="WV174" i="13"/>
  <c r="UW161" i="13"/>
  <c r="SX148" i="13"/>
  <c r="YU193" i="13"/>
  <c r="WV180" i="13"/>
  <c r="UW167" i="13"/>
  <c r="SX154" i="13"/>
  <c r="XI195" i="13"/>
  <c r="VJ182" i="13"/>
  <c r="TK169" i="13"/>
  <c r="RL156" i="13"/>
  <c r="U4" i="13"/>
  <c r="U5" i="13" s="1"/>
  <c r="XI192" i="13"/>
  <c r="VJ179" i="13"/>
  <c r="TK166" i="13"/>
  <c r="RL153" i="13"/>
  <c r="QY139" i="13"/>
  <c r="OZ126" i="13"/>
  <c r="NA113" i="13"/>
  <c r="QY141" i="13"/>
  <c r="OZ128" i="13"/>
  <c r="NA115" i="13"/>
  <c r="QY135" i="13"/>
  <c r="OZ122" i="13"/>
  <c r="NA109" i="13"/>
  <c r="PM140" i="13"/>
  <c r="LO114" i="13"/>
  <c r="NN127" i="13"/>
  <c r="NN130" i="13"/>
  <c r="LO117" i="13"/>
  <c r="PM143" i="13"/>
  <c r="LB102" i="13"/>
  <c r="JC89" i="13"/>
  <c r="HD76" i="13"/>
  <c r="LB100" i="13"/>
  <c r="JC87" i="13"/>
  <c r="HD74" i="13"/>
  <c r="JP104" i="13"/>
  <c r="HQ91" i="13"/>
  <c r="FR78" i="13"/>
  <c r="JP101" i="13"/>
  <c r="HQ88" i="13"/>
  <c r="FR75" i="13"/>
  <c r="LB96" i="13"/>
  <c r="JC83" i="13"/>
  <c r="HD70" i="13"/>
  <c r="DS62" i="13"/>
  <c r="BT49" i="13"/>
  <c r="V33" i="13"/>
  <c r="FE61" i="13"/>
  <c r="DF48" i="13"/>
  <c r="FE57" i="13"/>
  <c r="DF44" i="13"/>
  <c r="BT52" i="13"/>
  <c r="DS65" i="13"/>
  <c r="FE63" i="13"/>
  <c r="DF50" i="13"/>
  <c r="BH31" i="13"/>
  <c r="TV162" i="13" l="1"/>
  <c r="KA97" i="13"/>
  <c r="RW149" i="13"/>
  <c r="IB84" i="13"/>
  <c r="GC71" i="13"/>
  <c r="AG27" i="13"/>
  <c r="ED58" i="13"/>
  <c r="PX136" i="13"/>
  <c r="CE45" i="13"/>
  <c r="NY123" i="13"/>
  <c r="XT188" i="13"/>
  <c r="LZ110" i="13"/>
  <c r="VU175" i="13"/>
  <c r="YV187" i="13"/>
  <c r="WW174" i="13"/>
  <c r="UX161" i="13"/>
  <c r="SY148" i="13"/>
  <c r="YV191" i="13"/>
  <c r="WW178" i="13"/>
  <c r="UX165" i="13"/>
  <c r="SY152" i="13"/>
  <c r="YV193" i="13"/>
  <c r="UX167" i="13"/>
  <c r="WW180" i="13"/>
  <c r="SY154" i="13"/>
  <c r="V6" i="13"/>
  <c r="XJ189" i="13"/>
  <c r="VK176" i="13"/>
  <c r="TL163" i="13"/>
  <c r="RM150" i="13"/>
  <c r="U7" i="13"/>
  <c r="U8" i="13"/>
  <c r="U11" i="13"/>
  <c r="QZ135" i="13"/>
  <c r="PA122" i="13"/>
  <c r="NB109" i="13"/>
  <c r="QZ139" i="13"/>
  <c r="PA126" i="13"/>
  <c r="NB113" i="13"/>
  <c r="QZ141" i="13"/>
  <c r="PA128" i="13"/>
  <c r="NB115" i="13"/>
  <c r="PN137" i="13"/>
  <c r="NO124" i="13"/>
  <c r="LP111" i="13"/>
  <c r="JQ98" i="13"/>
  <c r="HR85" i="13"/>
  <c r="FS72" i="13"/>
  <c r="LC96" i="13"/>
  <c r="JD83" i="13"/>
  <c r="HE70" i="13"/>
  <c r="LC100" i="13"/>
  <c r="JD87" i="13"/>
  <c r="HE74" i="13"/>
  <c r="LC102" i="13"/>
  <c r="JD89" i="13"/>
  <c r="HE76" i="13"/>
  <c r="FF57" i="13"/>
  <c r="DG44" i="13"/>
  <c r="FF61" i="13"/>
  <c r="DG48" i="13"/>
  <c r="FF63" i="13"/>
  <c r="DG50" i="13"/>
  <c r="DT59" i="13"/>
  <c r="V34" i="13"/>
  <c r="BU46" i="13"/>
  <c r="BI31" i="13"/>
  <c r="MA105" i="13" l="1"/>
  <c r="XU183" i="13"/>
  <c r="EE53" i="13"/>
  <c r="CF40" i="13"/>
  <c r="TW157" i="13"/>
  <c r="VV170" i="13"/>
  <c r="KB92" i="13"/>
  <c r="AG32" i="13"/>
  <c r="NZ118" i="13"/>
  <c r="RX144" i="13"/>
  <c r="IC79" i="13"/>
  <c r="GD66" i="13"/>
  <c r="PY131" i="13"/>
  <c r="YW191" i="13"/>
  <c r="WX178" i="13"/>
  <c r="UY165" i="13"/>
  <c r="SZ152" i="13"/>
  <c r="YW187" i="13"/>
  <c r="WX174" i="13"/>
  <c r="UY161" i="13"/>
  <c r="SZ148" i="13"/>
  <c r="V2" i="13"/>
  <c r="V3" i="13"/>
  <c r="XJ190" i="13"/>
  <c r="VK177" i="13"/>
  <c r="TL164" i="13"/>
  <c r="RM151" i="13"/>
  <c r="YW193" i="13"/>
  <c r="UY167" i="13"/>
  <c r="WX180" i="13"/>
  <c r="SZ154" i="13"/>
  <c r="U12" i="13"/>
  <c r="U13" i="13"/>
  <c r="U10" i="13"/>
  <c r="U9" i="13"/>
  <c r="RA135" i="13"/>
  <c r="PB122" i="13"/>
  <c r="NC109" i="13"/>
  <c r="RA141" i="13"/>
  <c r="PB128" i="13"/>
  <c r="NC115" i="13"/>
  <c r="PN138" i="13"/>
  <c r="NO125" i="13"/>
  <c r="LP112" i="13"/>
  <c r="RA139" i="13"/>
  <c r="PB126" i="13"/>
  <c r="NC113" i="13"/>
  <c r="JQ99" i="13"/>
  <c r="HR86" i="13"/>
  <c r="FS73" i="13"/>
  <c r="LD96" i="13"/>
  <c r="JE83" i="13"/>
  <c r="HF70" i="13"/>
  <c r="LD102" i="13"/>
  <c r="JE89" i="13"/>
  <c r="HF76" i="13"/>
  <c r="LD100" i="13"/>
  <c r="JE87" i="13"/>
  <c r="HF74" i="13"/>
  <c r="FG63" i="13"/>
  <c r="DH50" i="13"/>
  <c r="DT60" i="13"/>
  <c r="V36" i="13"/>
  <c r="BU47" i="13"/>
  <c r="V39" i="13"/>
  <c r="FG57" i="13"/>
  <c r="DH44" i="13"/>
  <c r="FG61" i="13"/>
  <c r="DH48" i="13"/>
  <c r="BJ31" i="13"/>
  <c r="VV175" i="13" l="1"/>
  <c r="XU188" i="13"/>
  <c r="TW162" i="13"/>
  <c r="EE58" i="13"/>
  <c r="RX149" i="13"/>
  <c r="PY136" i="13"/>
  <c r="KB97" i="13"/>
  <c r="CF45" i="13"/>
  <c r="NZ123" i="13"/>
  <c r="IC84" i="13"/>
  <c r="MA110" i="13"/>
  <c r="GD71" i="13"/>
  <c r="AH27" i="13"/>
  <c r="YX187" i="13"/>
  <c r="WY174" i="13"/>
  <c r="UZ161" i="13"/>
  <c r="TA148" i="13"/>
  <c r="YX191" i="13"/>
  <c r="WY178" i="13"/>
  <c r="UZ165" i="13"/>
  <c r="TA152" i="13"/>
  <c r="WY180" i="13"/>
  <c r="YX193" i="13"/>
  <c r="TA154" i="13"/>
  <c r="UZ167" i="13"/>
  <c r="XJ195" i="13"/>
  <c r="VK182" i="13"/>
  <c r="RM156" i="13"/>
  <c r="TL169" i="13"/>
  <c r="V4" i="13"/>
  <c r="V5" i="13" s="1"/>
  <c r="XJ192" i="13"/>
  <c r="VK179" i="13"/>
  <c r="TL166" i="13"/>
  <c r="RM153" i="13"/>
  <c r="RB139" i="13"/>
  <c r="PC126" i="13"/>
  <c r="ND113" i="13"/>
  <c r="RB141" i="13"/>
  <c r="PC128" i="13"/>
  <c r="ND115" i="13"/>
  <c r="RB135" i="13"/>
  <c r="PC122" i="13"/>
  <c r="ND109" i="13"/>
  <c r="PN140" i="13"/>
  <c r="NO127" i="13"/>
  <c r="LP114" i="13"/>
  <c r="NO130" i="13"/>
  <c r="LP117" i="13"/>
  <c r="PN143" i="13"/>
  <c r="LE100" i="13"/>
  <c r="JF87" i="13"/>
  <c r="HG74" i="13"/>
  <c r="JQ104" i="13"/>
  <c r="HR91" i="13"/>
  <c r="FS78" i="13"/>
  <c r="LE96" i="13"/>
  <c r="JF83" i="13"/>
  <c r="HG70" i="13"/>
  <c r="LE102" i="13"/>
  <c r="JF89" i="13"/>
  <c r="HG76" i="13"/>
  <c r="JQ101" i="13"/>
  <c r="HR88" i="13"/>
  <c r="FS75" i="13"/>
  <c r="BU52" i="13"/>
  <c r="DT65" i="13"/>
  <c r="DT62" i="13"/>
  <c r="BU49" i="13"/>
  <c r="W33" i="13"/>
  <c r="FH61" i="13"/>
  <c r="DI48" i="13"/>
  <c r="FH57" i="13"/>
  <c r="DI44" i="13"/>
  <c r="FH63" i="13"/>
  <c r="DI50" i="13"/>
  <c r="BK31" i="13"/>
  <c r="VW170" i="13" l="1"/>
  <c r="GE66" i="13"/>
  <c r="CG40" i="13"/>
  <c r="AH32" i="13"/>
  <c r="AI27" i="13" s="1"/>
  <c r="TX157" i="13"/>
  <c r="KC92" i="13"/>
  <c r="XV183" i="13"/>
  <c r="RY144" i="13"/>
  <c r="ID79" i="13"/>
  <c r="EF53" i="13"/>
  <c r="PZ131" i="13"/>
  <c r="OA118" i="13"/>
  <c r="MB105" i="13"/>
  <c r="YY187" i="13"/>
  <c r="WZ174" i="13"/>
  <c r="VA161" i="13"/>
  <c r="TB148" i="13"/>
  <c r="YY191" i="13"/>
  <c r="WZ178" i="13"/>
  <c r="VA165" i="13"/>
  <c r="TB152" i="13"/>
  <c r="W6" i="13"/>
  <c r="VL176" i="13"/>
  <c r="XK189" i="13"/>
  <c r="RN150" i="13"/>
  <c r="TM163" i="13"/>
  <c r="WZ180" i="13"/>
  <c r="YY193" i="13"/>
  <c r="VA167" i="13"/>
  <c r="TB154" i="13"/>
  <c r="V7" i="13"/>
  <c r="V8" i="13"/>
  <c r="V11" i="13"/>
  <c r="RC135" i="13"/>
  <c r="PD122" i="13"/>
  <c r="NE109" i="13"/>
  <c r="PO137" i="13"/>
  <c r="NP124" i="13"/>
  <c r="LQ111" i="13"/>
  <c r="RC139" i="13"/>
  <c r="PD126" i="13"/>
  <c r="NE113" i="13"/>
  <c r="RC141" i="13"/>
  <c r="PD128" i="13"/>
  <c r="NE115" i="13"/>
  <c r="LF96" i="13"/>
  <c r="JG83" i="13"/>
  <c r="HH70" i="13"/>
  <c r="LF100" i="13"/>
  <c r="JG87" i="13"/>
  <c r="HH74" i="13"/>
  <c r="LF102" i="13"/>
  <c r="JG89" i="13"/>
  <c r="HH76" i="13"/>
  <c r="JR98" i="13"/>
  <c r="HS85" i="13"/>
  <c r="FT72" i="13"/>
  <c r="FI61" i="13"/>
  <c r="DJ48" i="13"/>
  <c r="FI63" i="13"/>
  <c r="DJ50" i="13"/>
  <c r="FI57" i="13"/>
  <c r="DJ44" i="13"/>
  <c r="DU59" i="13"/>
  <c r="W34" i="13"/>
  <c r="BV46" i="13"/>
  <c r="BL31" i="13"/>
  <c r="AI32" i="13" l="1"/>
  <c r="XW188" i="13" s="1"/>
  <c r="KD92" i="13"/>
  <c r="IE79" i="13"/>
  <c r="QA131" i="13"/>
  <c r="EG53" i="13"/>
  <c r="CH40" i="13"/>
  <c r="OB118" i="13"/>
  <c r="MC105" i="13"/>
  <c r="GF66" i="13"/>
  <c r="RZ144" i="13"/>
  <c r="VX170" i="13"/>
  <c r="MB110" i="13"/>
  <c r="ID84" i="13"/>
  <c r="GE71" i="13"/>
  <c r="CG45" i="13"/>
  <c r="KC97" i="13"/>
  <c r="EF58" i="13"/>
  <c r="PZ136" i="13"/>
  <c r="RY149" i="13"/>
  <c r="XV188" i="13"/>
  <c r="VW175" i="13"/>
  <c r="TX162" i="13"/>
  <c r="OA123" i="13"/>
  <c r="TY157" i="13"/>
  <c r="XW183" i="13"/>
  <c r="YZ187" i="13"/>
  <c r="XA174" i="13"/>
  <c r="VB161" i="13"/>
  <c r="TC148" i="13"/>
  <c r="YZ191" i="13"/>
  <c r="XA178" i="13"/>
  <c r="VB165" i="13"/>
  <c r="TC152" i="13"/>
  <c r="W2" i="13"/>
  <c r="W3" i="13"/>
  <c r="VL177" i="13"/>
  <c r="XK190" i="13"/>
  <c r="TM164" i="13"/>
  <c r="RN151" i="13"/>
  <c r="V9" i="13"/>
  <c r="V10" i="13"/>
  <c r="XA180" i="13"/>
  <c r="YZ193" i="13"/>
  <c r="VB167" i="13"/>
  <c r="TC154" i="13"/>
  <c r="V13" i="13"/>
  <c r="V12" i="13"/>
  <c r="RD135" i="13"/>
  <c r="PE122" i="13"/>
  <c r="NF109" i="13"/>
  <c r="RD141" i="13"/>
  <c r="PE128" i="13"/>
  <c r="NF115" i="13"/>
  <c r="RD139" i="13"/>
  <c r="PE126" i="13"/>
  <c r="NF113" i="13"/>
  <c r="PO138" i="13"/>
  <c r="NP125" i="13"/>
  <c r="LQ112" i="13"/>
  <c r="LG102" i="13"/>
  <c r="JH89" i="13"/>
  <c r="HI76" i="13"/>
  <c r="JR99" i="13"/>
  <c r="HS86" i="13"/>
  <c r="FT73" i="13"/>
  <c r="LG100" i="13"/>
  <c r="JH87" i="13"/>
  <c r="HI74" i="13"/>
  <c r="LG96" i="13"/>
  <c r="JH83" i="13"/>
  <c r="HI70" i="13"/>
  <c r="FJ57" i="13"/>
  <c r="DK44" i="13"/>
  <c r="DU60" i="13"/>
  <c r="W36" i="13"/>
  <c r="BV47" i="13"/>
  <c r="W39" i="13"/>
  <c r="FJ61" i="13"/>
  <c r="DK48" i="13"/>
  <c r="FJ63" i="13"/>
  <c r="DK50" i="13"/>
  <c r="BM31" i="13"/>
  <c r="EG58" i="13" l="1"/>
  <c r="OB123" i="13"/>
  <c r="IE84" i="13"/>
  <c r="QA136" i="13"/>
  <c r="KD97" i="13"/>
  <c r="CH45" i="13"/>
  <c r="AJ27" i="13"/>
  <c r="EH53" i="13" s="1"/>
  <c r="TY162" i="13"/>
  <c r="RZ149" i="13"/>
  <c r="VX175" i="13"/>
  <c r="GF71" i="13"/>
  <c r="MC110" i="13"/>
  <c r="ZA187" i="13"/>
  <c r="XB174" i="13"/>
  <c r="TD148" i="13"/>
  <c r="VC161" i="13"/>
  <c r="ZA191" i="13"/>
  <c r="XB178" i="13"/>
  <c r="VC165" i="13"/>
  <c r="TD152" i="13"/>
  <c r="W4" i="13"/>
  <c r="W5" i="13" s="1"/>
  <c r="XK192" i="13"/>
  <c r="VL179" i="13"/>
  <c r="TM166" i="13"/>
  <c r="RN153" i="13"/>
  <c r="XK195" i="13"/>
  <c r="TM169" i="13"/>
  <c r="VL182" i="13"/>
  <c r="RN156" i="13"/>
  <c r="XB180" i="13"/>
  <c r="ZA193" i="13"/>
  <c r="VC167" i="13"/>
  <c r="TD154" i="13"/>
  <c r="PO140" i="13"/>
  <c r="NP127" i="13"/>
  <c r="LQ114" i="13"/>
  <c r="RE135" i="13"/>
  <c r="PF122" i="13"/>
  <c r="NG109" i="13"/>
  <c r="RE139" i="13"/>
  <c r="PF126" i="13"/>
  <c r="NG113" i="13"/>
  <c r="RE141" i="13"/>
  <c r="PF128" i="13"/>
  <c r="NG115" i="13"/>
  <c r="PO143" i="13"/>
  <c r="NP130" i="13"/>
  <c r="LQ117" i="13"/>
  <c r="JR101" i="13"/>
  <c r="HS88" i="13"/>
  <c r="FT75" i="13"/>
  <c r="LH96" i="13"/>
  <c r="JI83" i="13"/>
  <c r="HJ70" i="13"/>
  <c r="JR104" i="13"/>
  <c r="HS91" i="13"/>
  <c r="FT78" i="13"/>
  <c r="LH100" i="13"/>
  <c r="JI87" i="13"/>
  <c r="HJ74" i="13"/>
  <c r="LH102" i="13"/>
  <c r="JI89" i="13"/>
  <c r="HJ76" i="13"/>
  <c r="FK61" i="13"/>
  <c r="DL48" i="13"/>
  <c r="BV52" i="13"/>
  <c r="DU65" i="13"/>
  <c r="DU62" i="13"/>
  <c r="BV49" i="13"/>
  <c r="X33" i="13"/>
  <c r="FK63" i="13"/>
  <c r="DL50" i="13"/>
  <c r="FK57" i="13"/>
  <c r="DL44" i="13"/>
  <c r="BN31" i="13"/>
  <c r="AJ32" i="13" l="1"/>
  <c r="KE97" i="13" s="1"/>
  <c r="CI40" i="13"/>
  <c r="GG66" i="13"/>
  <c r="IF79" i="13"/>
  <c r="KE92" i="13"/>
  <c r="MD105" i="13"/>
  <c r="OC118" i="13"/>
  <c r="QB131" i="13"/>
  <c r="VY170" i="13"/>
  <c r="SA144" i="13"/>
  <c r="TZ157" i="13"/>
  <c r="XX183" i="13"/>
  <c r="ZB191" i="13"/>
  <c r="XC178" i="13"/>
  <c r="TE152" i="13"/>
  <c r="VD165" i="13"/>
  <c r="ZB187" i="13"/>
  <c r="XC174" i="13"/>
  <c r="TE148" i="13"/>
  <c r="VD161" i="13"/>
  <c r="XX188" i="13"/>
  <c r="VY175" i="13"/>
  <c r="TZ162" i="13"/>
  <c r="SA149" i="13"/>
  <c r="ZB193" i="13"/>
  <c r="VD167" i="13"/>
  <c r="XC180" i="13"/>
  <c r="TE154" i="13"/>
  <c r="X6" i="13"/>
  <c r="XL189" i="13"/>
  <c r="VM176" i="13"/>
  <c r="RO150" i="13"/>
  <c r="TN163" i="13"/>
  <c r="W7" i="13"/>
  <c r="W8" i="13"/>
  <c r="W11" i="13"/>
  <c r="QB136" i="13"/>
  <c r="OC123" i="13"/>
  <c r="MD110" i="13"/>
  <c r="RF141" i="13"/>
  <c r="PG128" i="13"/>
  <c r="NH115" i="13"/>
  <c r="RF139" i="13"/>
  <c r="PG126" i="13"/>
  <c r="NH113" i="13"/>
  <c r="PP137" i="13"/>
  <c r="NQ124" i="13"/>
  <c r="LR111" i="13"/>
  <c r="RF135" i="13"/>
  <c r="PG122" i="13"/>
  <c r="NH109" i="13"/>
  <c r="JJ87" i="13"/>
  <c r="LI100" i="13"/>
  <c r="HK74" i="13"/>
  <c r="LI102" i="13"/>
  <c r="JJ89" i="13"/>
  <c r="HK76" i="13"/>
  <c r="IF84" i="13"/>
  <c r="GG71" i="13"/>
  <c r="JS98" i="13"/>
  <c r="HT85" i="13"/>
  <c r="FU72" i="13"/>
  <c r="LI96" i="13"/>
  <c r="JJ83" i="13"/>
  <c r="HK70" i="13"/>
  <c r="FL57" i="13"/>
  <c r="DM44" i="13"/>
  <c r="AK27" i="13"/>
  <c r="EH58" i="13"/>
  <c r="CI45" i="13"/>
  <c r="FL61" i="13"/>
  <c r="DM48" i="13"/>
  <c r="DV59" i="13"/>
  <c r="X34" i="13"/>
  <c r="BW46" i="13"/>
  <c r="FL63" i="13"/>
  <c r="DM50" i="13"/>
  <c r="BO31" i="13"/>
  <c r="ZC191" i="13" l="1"/>
  <c r="XD178" i="13"/>
  <c r="VE165" i="13"/>
  <c r="TF152" i="13"/>
  <c r="ZC187" i="13"/>
  <c r="XD174" i="13"/>
  <c r="TF148" i="13"/>
  <c r="VE161" i="13"/>
  <c r="XY183" i="13"/>
  <c r="VZ170" i="13"/>
  <c r="UA157" i="13"/>
  <c r="SB144" i="13"/>
  <c r="ZC193" i="13"/>
  <c r="XD180" i="13"/>
  <c r="TF154" i="13"/>
  <c r="VE167" i="13"/>
  <c r="W13" i="13"/>
  <c r="W12" i="13"/>
  <c r="W9" i="13"/>
  <c r="W10" i="13"/>
  <c r="X2" i="13"/>
  <c r="X3" i="13"/>
  <c r="XL190" i="13"/>
  <c r="VM177" i="13"/>
  <c r="TN164" i="13"/>
  <c r="RO151" i="13"/>
  <c r="RG139" i="13"/>
  <c r="PH126" i="13"/>
  <c r="NI113" i="13"/>
  <c r="RG141" i="13"/>
  <c r="PH128" i="13"/>
  <c r="NI115" i="13"/>
  <c r="QC131" i="13"/>
  <c r="OD118" i="13"/>
  <c r="ME105" i="13"/>
  <c r="PP138" i="13"/>
  <c r="NQ125" i="13"/>
  <c r="LR112" i="13"/>
  <c r="RG135" i="13"/>
  <c r="PH122" i="13"/>
  <c r="NI109" i="13"/>
  <c r="LJ96" i="13"/>
  <c r="JK83" i="13"/>
  <c r="HL70" i="13"/>
  <c r="LJ102" i="13"/>
  <c r="JK89" i="13"/>
  <c r="HL76" i="13"/>
  <c r="JS99" i="13"/>
  <c r="HT86" i="13"/>
  <c r="FU73" i="13"/>
  <c r="KF92" i="13"/>
  <c r="IG79" i="13"/>
  <c r="GH66" i="13"/>
  <c r="LJ100" i="13"/>
  <c r="JK87" i="13"/>
  <c r="HL74" i="13"/>
  <c r="FM61" i="13"/>
  <c r="DN48" i="13"/>
  <c r="FM57" i="13"/>
  <c r="DN44" i="13"/>
  <c r="EI53" i="13"/>
  <c r="CJ40" i="13"/>
  <c r="AK32" i="13"/>
  <c r="DV60" i="13"/>
  <c r="BW47" i="13"/>
  <c r="X39" i="13"/>
  <c r="X36" i="13"/>
  <c r="FM63" i="13"/>
  <c r="DN50" i="13"/>
  <c r="BP31" i="13"/>
  <c r="XY188" i="13" l="1"/>
  <c r="VZ175" i="13"/>
  <c r="UA162" i="13"/>
  <c r="SB149" i="13"/>
  <c r="ZD191" i="13"/>
  <c r="XE178" i="13"/>
  <c r="VF165" i="13"/>
  <c r="TG152" i="13"/>
  <c r="ZD187" i="13"/>
  <c r="XE174" i="13"/>
  <c r="VF161" i="13"/>
  <c r="TG148" i="13"/>
  <c r="X4" i="13"/>
  <c r="X5" i="13" s="1"/>
  <c r="XL192" i="13"/>
  <c r="TN166" i="13"/>
  <c r="VM179" i="13"/>
  <c r="RO153" i="13"/>
  <c r="VM182" i="13"/>
  <c r="TN169" i="13"/>
  <c r="XL195" i="13"/>
  <c r="RO156" i="13"/>
  <c r="ZD193" i="13"/>
  <c r="XE180" i="13"/>
  <c r="TG154" i="13"/>
  <c r="VF167" i="13"/>
  <c r="RH139" i="13"/>
  <c r="PI126" i="13"/>
  <c r="NJ113" i="13"/>
  <c r="PP140" i="13"/>
  <c r="NQ127" i="13"/>
  <c r="LR114" i="13"/>
  <c r="RH135" i="13"/>
  <c r="PI122" i="13"/>
  <c r="NJ109" i="13"/>
  <c r="QC136" i="13"/>
  <c r="OD123" i="13"/>
  <c r="ME110" i="13"/>
  <c r="RH141" i="13"/>
  <c r="PI128" i="13"/>
  <c r="NJ115" i="13"/>
  <c r="LR117" i="13"/>
  <c r="PP143" i="13"/>
  <c r="NQ130" i="13"/>
  <c r="LK100" i="13"/>
  <c r="JL87" i="13"/>
  <c r="HM74" i="13"/>
  <c r="HT91" i="13"/>
  <c r="JS104" i="13"/>
  <c r="FU78" i="13"/>
  <c r="KF97" i="13"/>
  <c r="IG84" i="13"/>
  <c r="GH71" i="13"/>
  <c r="LK96" i="13"/>
  <c r="JL83" i="13"/>
  <c r="HM70" i="13"/>
  <c r="HT88" i="13"/>
  <c r="JS101" i="13"/>
  <c r="FU75" i="13"/>
  <c r="LK102" i="13"/>
  <c r="JL89" i="13"/>
  <c r="HM76" i="13"/>
  <c r="DV62" i="13"/>
  <c r="BW49" i="13"/>
  <c r="Y33" i="13"/>
  <c r="FN63" i="13"/>
  <c r="DO50" i="13"/>
  <c r="BW52" i="13"/>
  <c r="DV65" i="13"/>
  <c r="FN61" i="13"/>
  <c r="DO48" i="13"/>
  <c r="FN57" i="13"/>
  <c r="DO44" i="13"/>
  <c r="AL27" i="13"/>
  <c r="EI58" i="13"/>
  <c r="CJ45" i="13"/>
  <c r="BQ31" i="13"/>
  <c r="ZE187" i="13" l="1"/>
  <c r="XF174" i="13"/>
  <c r="VG161" i="13"/>
  <c r="TH148" i="13"/>
  <c r="ZE191" i="13"/>
  <c r="XF178" i="13"/>
  <c r="VG165" i="13"/>
  <c r="TH152" i="13"/>
  <c r="XZ183" i="13"/>
  <c r="WA170" i="13"/>
  <c r="UB157" i="13"/>
  <c r="SC144" i="13"/>
  <c r="ZE193" i="13"/>
  <c r="VG167" i="13"/>
  <c r="XF180" i="13"/>
  <c r="TH154" i="13"/>
  <c r="Y6" i="13"/>
  <c r="XM189" i="13"/>
  <c r="RP150" i="13"/>
  <c r="VN176" i="13"/>
  <c r="TO163" i="13"/>
  <c r="X7" i="13"/>
  <c r="X11" i="13"/>
  <c r="X8" i="13"/>
  <c r="RI135" i="13"/>
  <c r="PJ122" i="13"/>
  <c r="NK109" i="13"/>
  <c r="QD131" i="13"/>
  <c r="OE118" i="13"/>
  <c r="MF105" i="13"/>
  <c r="RI141" i="13"/>
  <c r="PJ128" i="13"/>
  <c r="NK115" i="13"/>
  <c r="RI139" i="13"/>
  <c r="NK113" i="13"/>
  <c r="PJ126" i="13"/>
  <c r="PQ137" i="13"/>
  <c r="NR124" i="13"/>
  <c r="LS111" i="13"/>
  <c r="LL102" i="13"/>
  <c r="JM89" i="13"/>
  <c r="HN76" i="13"/>
  <c r="JT98" i="13"/>
  <c r="HU85" i="13"/>
  <c r="FV72" i="13"/>
  <c r="LL96" i="13"/>
  <c r="JM83" i="13"/>
  <c r="HN70" i="13"/>
  <c r="LL100" i="13"/>
  <c r="JM87" i="13"/>
  <c r="HN74" i="13"/>
  <c r="KG92" i="13"/>
  <c r="IH79" i="13"/>
  <c r="GI66" i="13"/>
  <c r="FO63" i="13"/>
  <c r="DP50" i="13"/>
  <c r="EJ53" i="13"/>
  <c r="CK40" i="13"/>
  <c r="AL32" i="13"/>
  <c r="FO61" i="13"/>
  <c r="DP48" i="13"/>
  <c r="DW59" i="13"/>
  <c r="Y34" i="13"/>
  <c r="BX46" i="13"/>
  <c r="FO57" i="13"/>
  <c r="DP44" i="13"/>
  <c r="BR31" i="13"/>
  <c r="ZF191" i="13" l="1"/>
  <c r="XG178" i="13"/>
  <c r="TI152" i="13"/>
  <c r="VH165" i="13"/>
  <c r="ZF187" i="13"/>
  <c r="XG174" i="13"/>
  <c r="TI148" i="13"/>
  <c r="VH161" i="13"/>
  <c r="XZ188" i="13"/>
  <c r="WA175" i="13"/>
  <c r="UB162" i="13"/>
  <c r="SC149" i="13"/>
  <c r="Y2" i="13"/>
  <c r="Y3" i="13"/>
  <c r="XM190" i="13"/>
  <c r="VN177" i="13"/>
  <c r="TO164" i="13"/>
  <c r="RP151" i="13"/>
  <c r="X12" i="13"/>
  <c r="X13" i="13"/>
  <c r="X10" i="13"/>
  <c r="X9" i="13"/>
  <c r="XG180" i="13"/>
  <c r="ZF193" i="13"/>
  <c r="VH167" i="13"/>
  <c r="TI154" i="13"/>
  <c r="PK122" i="13"/>
  <c r="RJ135" i="13"/>
  <c r="NL109" i="13"/>
  <c r="QD136" i="13"/>
  <c r="MF110" i="13"/>
  <c r="OE123" i="13"/>
  <c r="PQ138" i="13"/>
  <c r="NR125" i="13"/>
  <c r="LS112" i="13"/>
  <c r="RJ139" i="13"/>
  <c r="PK126" i="13"/>
  <c r="NL113" i="13"/>
  <c r="RJ141" i="13"/>
  <c r="PK128" i="13"/>
  <c r="NL115" i="13"/>
  <c r="KG97" i="13"/>
  <c r="IH84" i="13"/>
  <c r="GI71" i="13"/>
  <c r="LM100" i="13"/>
  <c r="JN87" i="13"/>
  <c r="HO74" i="13"/>
  <c r="LM102" i="13"/>
  <c r="JN89" i="13"/>
  <c r="HO76" i="13"/>
  <c r="JT99" i="13"/>
  <c r="HU86" i="13"/>
  <c r="FV73" i="13"/>
  <c r="LM96" i="13"/>
  <c r="JN83" i="13"/>
  <c r="HO70" i="13"/>
  <c r="FP57" i="13"/>
  <c r="DQ44" i="13"/>
  <c r="DW60" i="13"/>
  <c r="BX47" i="13"/>
  <c r="Y36" i="13"/>
  <c r="Y39" i="13"/>
  <c r="AM27" i="13"/>
  <c r="EJ58" i="13"/>
  <c r="CK45" i="13"/>
  <c r="FP61" i="13"/>
  <c r="DQ48" i="13"/>
  <c r="FP63" i="13"/>
  <c r="DQ50" i="13"/>
  <c r="BS31" i="13"/>
  <c r="WB170" i="13" l="1"/>
  <c r="YA183" i="13"/>
  <c r="UC157" i="13"/>
  <c r="SD144" i="13"/>
  <c r="ZG191" i="13"/>
  <c r="XH178" i="13"/>
  <c r="TJ152" i="13"/>
  <c r="VI165" i="13"/>
  <c r="ZG187" i="13"/>
  <c r="XH174" i="13"/>
  <c r="TJ148" i="13"/>
  <c r="VI161" i="13"/>
  <c r="VN182" i="13"/>
  <c r="TO169" i="13"/>
  <c r="XM195" i="13"/>
  <c r="RP156" i="13"/>
  <c r="XH180" i="13"/>
  <c r="ZG193" i="13"/>
  <c r="VI167" i="13"/>
  <c r="TJ154" i="13"/>
  <c r="Y4" i="13"/>
  <c r="Y5" i="13" s="1"/>
  <c r="VN179" i="13"/>
  <c r="TO166" i="13"/>
  <c r="RP153" i="13"/>
  <c r="XM192" i="13"/>
  <c r="RK139" i="13"/>
  <c r="NM113" i="13"/>
  <c r="PL126" i="13"/>
  <c r="RK135" i="13"/>
  <c r="PL122" i="13"/>
  <c r="NM109" i="13"/>
  <c r="QE131" i="13"/>
  <c r="OF118" i="13"/>
  <c r="MG105" i="13"/>
  <c r="RK141" i="13"/>
  <c r="PL128" i="13"/>
  <c r="NM115" i="13"/>
  <c r="PQ140" i="13"/>
  <c r="NR127" i="13"/>
  <c r="LS114" i="13"/>
  <c r="LS117" i="13"/>
  <c r="PQ143" i="13"/>
  <c r="NR130" i="13"/>
  <c r="LN100" i="13"/>
  <c r="JO87" i="13"/>
  <c r="HP74" i="13"/>
  <c r="LN96" i="13"/>
  <c r="JO83" i="13"/>
  <c r="HP70" i="13"/>
  <c r="KH92" i="13"/>
  <c r="II79" i="13"/>
  <c r="GJ66" i="13"/>
  <c r="JT104" i="13"/>
  <c r="HU91" i="13"/>
  <c r="FV78" i="13"/>
  <c r="LN102" i="13"/>
  <c r="JO89" i="13"/>
  <c r="HP76" i="13"/>
  <c r="JT101" i="13"/>
  <c r="HU88" i="13"/>
  <c r="FV75" i="13"/>
  <c r="BX52" i="13"/>
  <c r="DW65" i="13"/>
  <c r="DW62" i="13"/>
  <c r="BX49" i="13"/>
  <c r="Z33" i="13"/>
  <c r="FQ61" i="13"/>
  <c r="DR48" i="13"/>
  <c r="EK53" i="13"/>
  <c r="CL40" i="13"/>
  <c r="AM32" i="13"/>
  <c r="FQ57" i="13"/>
  <c r="DR44" i="13"/>
  <c r="FQ63" i="13"/>
  <c r="DR50" i="13"/>
  <c r="BT31" i="13"/>
  <c r="ZH187" i="13" l="1"/>
  <c r="XI174" i="13"/>
  <c r="VJ161" i="13"/>
  <c r="TK148" i="13"/>
  <c r="YA188" i="13"/>
  <c r="WB175" i="13"/>
  <c r="UC162" i="13"/>
  <c r="SD149" i="13"/>
  <c r="ZH191" i="13"/>
  <c r="XI178" i="13"/>
  <c r="VJ165" i="13"/>
  <c r="TK152" i="13"/>
  <c r="XI180" i="13"/>
  <c r="ZH193" i="13"/>
  <c r="VJ167" i="13"/>
  <c r="TK154" i="13"/>
  <c r="Z6" i="13"/>
  <c r="XN189" i="13"/>
  <c r="VO176" i="13"/>
  <c r="TP163" i="13"/>
  <c r="RQ150" i="13"/>
  <c r="Y8" i="13"/>
  <c r="Y11" i="13"/>
  <c r="Y7" i="13"/>
  <c r="RL139" i="13"/>
  <c r="NN113" i="13"/>
  <c r="PM126" i="13"/>
  <c r="PR137" i="13"/>
  <c r="NS124" i="13"/>
  <c r="LT111" i="13"/>
  <c r="RL141" i="13"/>
  <c r="PM128" i="13"/>
  <c r="NN115" i="13"/>
  <c r="RL135" i="13"/>
  <c r="PM122" i="13"/>
  <c r="NN109" i="13"/>
  <c r="QE136" i="13"/>
  <c r="OF123" i="13"/>
  <c r="MG110" i="13"/>
  <c r="KH97" i="13"/>
  <c r="II84" i="13"/>
  <c r="GJ71" i="13"/>
  <c r="JU98" i="13"/>
  <c r="HV85" i="13"/>
  <c r="FW72" i="13"/>
  <c r="JP87" i="13"/>
  <c r="LO100" i="13"/>
  <c r="HQ74" i="13"/>
  <c r="LO96" i="13"/>
  <c r="JP83" i="13"/>
  <c r="HQ70" i="13"/>
  <c r="LO102" i="13"/>
  <c r="JP89" i="13"/>
  <c r="HQ76" i="13"/>
  <c r="FR57" i="13"/>
  <c r="DS44" i="13"/>
  <c r="FR61" i="13"/>
  <c r="DS48" i="13"/>
  <c r="FR63" i="13"/>
  <c r="DS50" i="13"/>
  <c r="AN27" i="13"/>
  <c r="EK58" i="13"/>
  <c r="CL45" i="13"/>
  <c r="DX59" i="13"/>
  <c r="BY46" i="13"/>
  <c r="Z34" i="13"/>
  <c r="BU31" i="13"/>
  <c r="YB183" i="13" l="1"/>
  <c r="WC170" i="13"/>
  <c r="UD157" i="13"/>
  <c r="SE144" i="13"/>
  <c r="ZI187" i="13"/>
  <c r="XJ174" i="13"/>
  <c r="TL148" i="13"/>
  <c r="VK161" i="13"/>
  <c r="ZI191" i="13"/>
  <c r="VK165" i="13"/>
  <c r="XJ178" i="13"/>
  <c r="TL152" i="13"/>
  <c r="Y12" i="13"/>
  <c r="Y13" i="13"/>
  <c r="Z2" i="13"/>
  <c r="Z3" i="13"/>
  <c r="XN190" i="13"/>
  <c r="TP164" i="13"/>
  <c r="VO177" i="13"/>
  <c r="RQ151" i="13"/>
  <c r="Y10" i="13"/>
  <c r="Y9" i="13"/>
  <c r="XJ180" i="13"/>
  <c r="ZI193" i="13"/>
  <c r="VK167" i="13"/>
  <c r="TL154" i="13"/>
  <c r="RM141" i="13"/>
  <c r="PN128" i="13"/>
  <c r="NO115" i="13"/>
  <c r="RM139" i="13"/>
  <c r="PN126" i="13"/>
  <c r="NO113" i="13"/>
  <c r="RM135" i="13"/>
  <c r="PN122" i="13"/>
  <c r="NO109" i="13"/>
  <c r="PR138" i="13"/>
  <c r="LT112" i="13"/>
  <c r="NS125" i="13"/>
  <c r="QF131" i="13"/>
  <c r="OG118" i="13"/>
  <c r="MH105" i="13"/>
  <c r="LP96" i="13"/>
  <c r="JQ83" i="13"/>
  <c r="HR70" i="13"/>
  <c r="JU99" i="13"/>
  <c r="HV86" i="13"/>
  <c r="FW73" i="13"/>
  <c r="LP100" i="13"/>
  <c r="JQ87" i="13"/>
  <c r="HR74" i="13"/>
  <c r="KI92" i="13"/>
  <c r="IJ79" i="13"/>
  <c r="GK66" i="13"/>
  <c r="LP102" i="13"/>
  <c r="JQ89" i="13"/>
  <c r="HR76" i="13"/>
  <c r="DX60" i="13"/>
  <c r="Z36" i="13"/>
  <c r="BY47" i="13"/>
  <c r="Z39" i="13"/>
  <c r="FS57" i="13"/>
  <c r="DT44" i="13"/>
  <c r="FS63" i="13"/>
  <c r="DT50" i="13"/>
  <c r="FS61" i="13"/>
  <c r="DT48" i="13"/>
  <c r="EL53" i="13"/>
  <c r="CM40" i="13"/>
  <c r="AN32" i="13"/>
  <c r="BV31" i="13"/>
  <c r="YB188" i="13" l="1"/>
  <c r="WC175" i="13"/>
  <c r="UD162" i="13"/>
  <c r="SE149" i="13"/>
  <c r="ZJ187" i="13"/>
  <c r="XK174" i="13"/>
  <c r="VL161" i="13"/>
  <c r="TM148" i="13"/>
  <c r="ZJ191" i="13"/>
  <c r="XK178" i="13"/>
  <c r="VL165" i="13"/>
  <c r="TM152" i="13"/>
  <c r="XN195" i="13"/>
  <c r="VO182" i="13"/>
  <c r="TP169" i="13"/>
  <c r="RQ156" i="13"/>
  <c r="ZJ193" i="13"/>
  <c r="VL167" i="13"/>
  <c r="XK180" i="13"/>
  <c r="TM154" i="13"/>
  <c r="Z4" i="13"/>
  <c r="Z5" i="13" s="1"/>
  <c r="XN192" i="13"/>
  <c r="VO179" i="13"/>
  <c r="TP166" i="13"/>
  <c r="RQ153" i="13"/>
  <c r="PR140" i="13"/>
  <c r="NS127" i="13"/>
  <c r="LT114" i="13"/>
  <c r="RN139" i="13"/>
  <c r="PO126" i="13"/>
  <c r="NP113" i="13"/>
  <c r="RN135" i="13"/>
  <c r="PO122" i="13"/>
  <c r="NP109" i="13"/>
  <c r="RN141" i="13"/>
  <c r="NP115" i="13"/>
  <c r="PO128" i="13"/>
  <c r="QF136" i="13"/>
  <c r="OG123" i="13"/>
  <c r="MH110" i="13"/>
  <c r="NS130" i="13"/>
  <c r="LT117" i="13"/>
  <c r="PR143" i="13"/>
  <c r="LQ100" i="13"/>
  <c r="JR87" i="13"/>
  <c r="HS74" i="13"/>
  <c r="JU101" i="13"/>
  <c r="HV88" i="13"/>
  <c r="FW75" i="13"/>
  <c r="LQ96" i="13"/>
  <c r="JR83" i="13"/>
  <c r="HS70" i="13"/>
  <c r="KI97" i="13"/>
  <c r="IJ84" i="13"/>
  <c r="GK71" i="13"/>
  <c r="LQ102" i="13"/>
  <c r="JR89" i="13"/>
  <c r="HS76" i="13"/>
  <c r="JU104" i="13"/>
  <c r="HV91" i="13"/>
  <c r="FW78" i="13"/>
  <c r="BY52" i="13"/>
  <c r="DX65" i="13"/>
  <c r="FT63" i="13"/>
  <c r="DU50" i="13"/>
  <c r="FT57" i="13"/>
  <c r="DU44" i="13"/>
  <c r="FT61" i="13"/>
  <c r="DU48" i="13"/>
  <c r="DX62" i="13"/>
  <c r="BY49" i="13"/>
  <c r="AA33" i="13"/>
  <c r="AO27" i="13"/>
  <c r="EL58" i="13"/>
  <c r="CM45" i="13"/>
  <c r="BW31" i="13"/>
  <c r="ZK187" i="13" l="1"/>
  <c r="XL174" i="13"/>
  <c r="VM161" i="13"/>
  <c r="TN148" i="13"/>
  <c r="ZK191" i="13"/>
  <c r="XL178" i="13"/>
  <c r="VM165" i="13"/>
  <c r="TN152" i="13"/>
  <c r="YC183" i="13"/>
  <c r="WD170" i="13"/>
  <c r="UE157" i="13"/>
  <c r="SF144" i="13"/>
  <c r="AA6" i="13"/>
  <c r="XO189" i="13"/>
  <c r="VP176" i="13"/>
  <c r="TQ163" i="13"/>
  <c r="RR150" i="13"/>
  <c r="ZK193" i="13"/>
  <c r="XL180" i="13"/>
  <c r="TN154" i="13"/>
  <c r="VM167" i="13"/>
  <c r="Z7" i="13"/>
  <c r="Z8" i="13"/>
  <c r="Z11" i="13"/>
  <c r="RO135" i="13"/>
  <c r="PP122" i="13"/>
  <c r="NQ109" i="13"/>
  <c r="PS137" i="13"/>
  <c r="NT124" i="13"/>
  <c r="LU111" i="13"/>
  <c r="RO139" i="13"/>
  <c r="PP126" i="13"/>
  <c r="NQ113" i="13"/>
  <c r="QG131" i="13"/>
  <c r="OH118" i="13"/>
  <c r="MI105" i="13"/>
  <c r="RO141" i="13"/>
  <c r="PP128" i="13"/>
  <c r="NQ115" i="13"/>
  <c r="LR102" i="13"/>
  <c r="JS89" i="13"/>
  <c r="HT76" i="13"/>
  <c r="LR96" i="13"/>
  <c r="JS83" i="13"/>
  <c r="HT70" i="13"/>
  <c r="LR100" i="13"/>
  <c r="JS87" i="13"/>
  <c r="HT74" i="13"/>
  <c r="KJ92" i="13"/>
  <c r="IK79" i="13"/>
  <c r="GL66" i="13"/>
  <c r="JV98" i="13"/>
  <c r="HW85" i="13"/>
  <c r="FX72" i="13"/>
  <c r="FU57" i="13"/>
  <c r="DV44" i="13"/>
  <c r="FU63" i="13"/>
  <c r="DV50" i="13"/>
  <c r="EM53" i="13"/>
  <c r="CN40" i="13"/>
  <c r="AO32" i="13"/>
  <c r="DY59" i="13"/>
  <c r="AA34" i="13"/>
  <c r="BZ46" i="13"/>
  <c r="FU61" i="13"/>
  <c r="DV48" i="13"/>
  <c r="BX31" i="13"/>
  <c r="YC188" i="13" l="1"/>
  <c r="WD175" i="13"/>
  <c r="UE162" i="13"/>
  <c r="SF149" i="13"/>
  <c r="ZL187" i="13"/>
  <c r="XM174" i="13"/>
  <c r="VN161" i="13"/>
  <c r="TO148" i="13"/>
  <c r="ZL191" i="13"/>
  <c r="XM178" i="13"/>
  <c r="VN165" i="13"/>
  <c r="TO152" i="13"/>
  <c r="Z12" i="13"/>
  <c r="Z13" i="13"/>
  <c r="Z9" i="13"/>
  <c r="Z10" i="13"/>
  <c r="ZL193" i="13"/>
  <c r="XM180" i="13"/>
  <c r="VN167" i="13"/>
  <c r="TO154" i="13"/>
  <c r="AA2" i="13"/>
  <c r="AA3" i="13"/>
  <c r="XO190" i="13"/>
  <c r="VP177" i="13"/>
  <c r="TQ164" i="13"/>
  <c r="RR151" i="13"/>
  <c r="QG136" i="13"/>
  <c r="OH123" i="13"/>
  <c r="MI110" i="13"/>
  <c r="RP135" i="13"/>
  <c r="PQ122" i="13"/>
  <c r="NR109" i="13"/>
  <c r="RP139" i="13"/>
  <c r="PQ126" i="13"/>
  <c r="NR113" i="13"/>
  <c r="RP141" i="13"/>
  <c r="PQ128" i="13"/>
  <c r="NR115" i="13"/>
  <c r="PS138" i="13"/>
  <c r="NT125" i="13"/>
  <c r="LU112" i="13"/>
  <c r="JV99" i="13"/>
  <c r="HW86" i="13"/>
  <c r="FX73" i="13"/>
  <c r="LS100" i="13"/>
  <c r="JT87" i="13"/>
  <c r="HU74" i="13"/>
  <c r="LS102" i="13"/>
  <c r="JT89" i="13"/>
  <c r="HU76" i="13"/>
  <c r="KJ97" i="13"/>
  <c r="IK84" i="13"/>
  <c r="GL71" i="13"/>
  <c r="LS96" i="13"/>
  <c r="JT83" i="13"/>
  <c r="HU70" i="13"/>
  <c r="FV63" i="13"/>
  <c r="DW50" i="13"/>
  <c r="FV61" i="13"/>
  <c r="DW48" i="13"/>
  <c r="FV57" i="13"/>
  <c r="DW44" i="13"/>
  <c r="DY60" i="13"/>
  <c r="AA36" i="13"/>
  <c r="BZ47" i="13"/>
  <c r="AA39" i="13"/>
  <c r="AP27" i="13"/>
  <c r="EM58" i="13"/>
  <c r="CN45" i="13"/>
  <c r="BY31" i="13"/>
  <c r="XN174" i="13" l="1"/>
  <c r="ZM187" i="13"/>
  <c r="VO161" i="13"/>
  <c r="TP148" i="13"/>
  <c r="YD183" i="13"/>
  <c r="WE170" i="13"/>
  <c r="UF157" i="13"/>
  <c r="SG144" i="13"/>
  <c r="ZM191" i="13"/>
  <c r="XN178" i="13"/>
  <c r="VO165" i="13"/>
  <c r="TP152" i="13"/>
  <c r="XO195" i="13"/>
  <c r="VP182" i="13"/>
  <c r="RR156" i="13"/>
  <c r="TQ169" i="13"/>
  <c r="AA4" i="13"/>
  <c r="AA5" i="13" s="1"/>
  <c r="XO192" i="13"/>
  <c r="VP179" i="13"/>
  <c r="TQ166" i="13"/>
  <c r="RR153" i="13"/>
  <c r="ZM193" i="13"/>
  <c r="TP154" i="13"/>
  <c r="XN180" i="13"/>
  <c r="VO167" i="13"/>
  <c r="RQ141" i="13"/>
  <c r="PR128" i="13"/>
  <c r="NS115" i="13"/>
  <c r="PS140" i="13"/>
  <c r="NT127" i="13"/>
  <c r="LU114" i="13"/>
  <c r="PR122" i="13"/>
  <c r="RQ135" i="13"/>
  <c r="NS109" i="13"/>
  <c r="QH131" i="13"/>
  <c r="OI118" i="13"/>
  <c r="MJ105" i="13"/>
  <c r="RQ139" i="13"/>
  <c r="PR126" i="13"/>
  <c r="NS113" i="13"/>
  <c r="NT130" i="13"/>
  <c r="LU117" i="13"/>
  <c r="PS143" i="13"/>
  <c r="JV104" i="13"/>
  <c r="HW91" i="13"/>
  <c r="FX78" i="13"/>
  <c r="JV101" i="13"/>
  <c r="HW88" i="13"/>
  <c r="FX75" i="13"/>
  <c r="LT96" i="13"/>
  <c r="JU83" i="13"/>
  <c r="HV70" i="13"/>
  <c r="LT102" i="13"/>
  <c r="JU89" i="13"/>
  <c r="HV76" i="13"/>
  <c r="KK92" i="13"/>
  <c r="IL79" i="13"/>
  <c r="GM66" i="13"/>
  <c r="LT100" i="13"/>
  <c r="JU87" i="13"/>
  <c r="HV74" i="13"/>
  <c r="FW61" i="13"/>
  <c r="DX48" i="13"/>
  <c r="FW57" i="13"/>
  <c r="DX44" i="13"/>
  <c r="DY62" i="13"/>
  <c r="BZ49" i="13"/>
  <c r="AB33" i="13"/>
  <c r="EN53" i="13"/>
  <c r="CO40" i="13"/>
  <c r="AP32" i="13"/>
  <c r="BZ52" i="13"/>
  <c r="DY65" i="13"/>
  <c r="FW63" i="13"/>
  <c r="DX50" i="13"/>
  <c r="BZ31" i="13"/>
  <c r="YD188" i="13" l="1"/>
  <c r="WE175" i="13"/>
  <c r="UF162" i="13"/>
  <c r="SG149" i="13"/>
  <c r="ZN191" i="13"/>
  <c r="XO178" i="13"/>
  <c r="TQ152" i="13"/>
  <c r="VP165" i="13"/>
  <c r="ZN187" i="13"/>
  <c r="XO174" i="13"/>
  <c r="VP161" i="13"/>
  <c r="TQ148" i="13"/>
  <c r="AA8" i="13"/>
  <c r="AA7" i="13"/>
  <c r="AA11" i="13"/>
  <c r="XO180" i="13"/>
  <c r="ZN193" i="13"/>
  <c r="TQ154" i="13"/>
  <c r="VP167" i="13"/>
  <c r="AB6" i="13"/>
  <c r="XP189" i="13"/>
  <c r="VQ176" i="13"/>
  <c r="TR163" i="13"/>
  <c r="RS150" i="13"/>
  <c r="PT137" i="13"/>
  <c r="NU124" i="13"/>
  <c r="LV111" i="13"/>
  <c r="RR139" i="13"/>
  <c r="PS126" i="13"/>
  <c r="NT113" i="13"/>
  <c r="RR141" i="13"/>
  <c r="PS128" i="13"/>
  <c r="NT115" i="13"/>
  <c r="RR135" i="13"/>
  <c r="PS122" i="13"/>
  <c r="NT109" i="13"/>
  <c r="QH136" i="13"/>
  <c r="OI123" i="13"/>
  <c r="MJ110" i="13"/>
  <c r="KK97" i="13"/>
  <c r="IL84" i="13"/>
  <c r="GM71" i="13"/>
  <c r="LU96" i="13"/>
  <c r="JV83" i="13"/>
  <c r="HW70" i="13"/>
  <c r="JW98" i="13"/>
  <c r="HX85" i="13"/>
  <c r="FY72" i="13"/>
  <c r="LU100" i="13"/>
  <c r="JV87" i="13"/>
  <c r="HW74" i="13"/>
  <c r="LU102" i="13"/>
  <c r="JV89" i="13"/>
  <c r="HW76" i="13"/>
  <c r="DZ59" i="13"/>
  <c r="AB34" i="13"/>
  <c r="CA46" i="13"/>
  <c r="AQ27" i="13"/>
  <c r="EN58" i="13"/>
  <c r="CO45" i="13"/>
  <c r="FX63" i="13"/>
  <c r="DY50" i="13"/>
  <c r="FX61" i="13"/>
  <c r="DY48" i="13"/>
  <c r="FX57" i="13"/>
  <c r="DY44" i="13"/>
  <c r="CA31" i="13"/>
  <c r="ZO191" i="13" l="1"/>
  <c r="XP178" i="13"/>
  <c r="TR152" i="13"/>
  <c r="VQ165" i="13"/>
  <c r="ZO187" i="13"/>
  <c r="XP174" i="13"/>
  <c r="VQ161" i="13"/>
  <c r="TR148" i="13"/>
  <c r="YE183" i="13"/>
  <c r="WF170" i="13"/>
  <c r="UG157" i="13"/>
  <c r="SH144" i="13"/>
  <c r="AA13" i="13"/>
  <c r="AA12" i="13"/>
  <c r="AB2" i="13"/>
  <c r="AB3" i="13"/>
  <c r="XP190" i="13"/>
  <c r="VQ177" i="13"/>
  <c r="RS151" i="13"/>
  <c r="TR164" i="13"/>
  <c r="XP180" i="13"/>
  <c r="ZO193" i="13"/>
  <c r="VQ167" i="13"/>
  <c r="TR154" i="13"/>
  <c r="AA10" i="13"/>
  <c r="AA9" i="13"/>
  <c r="RS141" i="13"/>
  <c r="PT128" i="13"/>
  <c r="NU115" i="13"/>
  <c r="QI131" i="13"/>
  <c r="OJ118" i="13"/>
  <c r="MK105" i="13"/>
  <c r="RS139" i="13"/>
  <c r="NU113" i="13"/>
  <c r="PT126" i="13"/>
  <c r="PT138" i="13"/>
  <c r="NU125" i="13"/>
  <c r="LV112" i="13"/>
  <c r="RS135" i="13"/>
  <c r="PT122" i="13"/>
  <c r="NU109" i="13"/>
  <c r="LV96" i="13"/>
  <c r="JW83" i="13"/>
  <c r="HX70" i="13"/>
  <c r="LV100" i="13"/>
  <c r="JW87" i="13"/>
  <c r="HX74" i="13"/>
  <c r="JW99" i="13"/>
  <c r="HX86" i="13"/>
  <c r="FY73" i="13"/>
  <c r="LV102" i="13"/>
  <c r="JW89" i="13"/>
  <c r="HX76" i="13"/>
  <c r="KL92" i="13"/>
  <c r="IM79" i="13"/>
  <c r="GN66" i="13"/>
  <c r="FY61" i="13"/>
  <c r="DZ48" i="13"/>
  <c r="FY57" i="13"/>
  <c r="DZ44" i="13"/>
  <c r="DZ60" i="13"/>
  <c r="CA47" i="13"/>
  <c r="AB39" i="13"/>
  <c r="AB36" i="13"/>
  <c r="FY63" i="13"/>
  <c r="DZ50" i="13"/>
  <c r="EO53" i="13"/>
  <c r="CP40" i="13"/>
  <c r="AQ32" i="13"/>
  <c r="CB31" i="13"/>
  <c r="ZP187" i="13" l="1"/>
  <c r="XQ174" i="13"/>
  <c r="VR161" i="13"/>
  <c r="TS148" i="13"/>
  <c r="YE188" i="13"/>
  <c r="WF175" i="13"/>
  <c r="UG162" i="13"/>
  <c r="SH149" i="13"/>
  <c r="ZP191" i="13"/>
  <c r="XQ178" i="13"/>
  <c r="VR165" i="13"/>
  <c r="TS152" i="13"/>
  <c r="XQ180" i="13"/>
  <c r="ZP193" i="13"/>
  <c r="TS154" i="13"/>
  <c r="VR167" i="13"/>
  <c r="XP195" i="13"/>
  <c r="VQ182" i="13"/>
  <c r="RS156" i="13"/>
  <c r="TR169" i="13"/>
  <c r="AB4" i="13"/>
  <c r="AB5" i="13" s="1"/>
  <c r="XP192" i="13"/>
  <c r="VQ179" i="13"/>
  <c r="TR166" i="13"/>
  <c r="RS153" i="13"/>
  <c r="RT139" i="13"/>
  <c r="NV113" i="13"/>
  <c r="PU126" i="13"/>
  <c r="RT141" i="13"/>
  <c r="PU128" i="13"/>
  <c r="NV115" i="13"/>
  <c r="PT140" i="13"/>
  <c r="NU127" i="13"/>
  <c r="LV114" i="13"/>
  <c r="RT135" i="13"/>
  <c r="PU122" i="13"/>
  <c r="NV109" i="13"/>
  <c r="QI136" i="13"/>
  <c r="OJ123" i="13"/>
  <c r="MK110" i="13"/>
  <c r="NU130" i="13"/>
  <c r="LV117" i="13"/>
  <c r="PT143" i="13"/>
  <c r="LW102" i="13"/>
  <c r="JX89" i="13"/>
  <c r="HY76" i="13"/>
  <c r="JW101" i="13"/>
  <c r="HX88" i="13"/>
  <c r="FY75" i="13"/>
  <c r="IM84" i="13"/>
  <c r="KL97" i="13"/>
  <c r="GN71" i="13"/>
  <c r="LW96" i="13"/>
  <c r="JX83" i="13"/>
  <c r="HY70" i="13"/>
  <c r="LW100" i="13"/>
  <c r="JX87" i="13"/>
  <c r="HY74" i="13"/>
  <c r="JW104" i="13"/>
  <c r="HX91" i="13"/>
  <c r="FY78" i="13"/>
  <c r="AR27" i="13"/>
  <c r="EO58" i="13"/>
  <c r="CP45" i="13"/>
  <c r="CA52" i="13"/>
  <c r="DZ65" i="13"/>
  <c r="FZ57" i="13"/>
  <c r="EA44" i="13"/>
  <c r="FZ63" i="13"/>
  <c r="EA50" i="13"/>
  <c r="FZ61" i="13"/>
  <c r="EA48" i="13"/>
  <c r="DZ62" i="13"/>
  <c r="AC33" i="13"/>
  <c r="CA49" i="13"/>
  <c r="CC31" i="13"/>
  <c r="ZQ187" i="13" l="1"/>
  <c r="XR174" i="13"/>
  <c r="TT148" i="13"/>
  <c r="VS161" i="13"/>
  <c r="YF183" i="13"/>
  <c r="WG170" i="13"/>
  <c r="UH157" i="13"/>
  <c r="SI144" i="13"/>
  <c r="ZQ191" i="13"/>
  <c r="XR178" i="13"/>
  <c r="TT152" i="13"/>
  <c r="VS165" i="13"/>
  <c r="AC6" i="13"/>
  <c r="XQ189" i="13"/>
  <c r="VR176" i="13"/>
  <c r="TS163" i="13"/>
  <c r="RT150" i="13"/>
  <c r="XR180" i="13"/>
  <c r="ZQ193" i="13"/>
  <c r="TT154" i="13"/>
  <c r="VS167" i="13"/>
  <c r="AB8" i="13"/>
  <c r="AB11" i="13"/>
  <c r="AB7" i="13"/>
  <c r="RU141" i="13"/>
  <c r="PV128" i="13"/>
  <c r="NW115" i="13"/>
  <c r="QJ131" i="13"/>
  <c r="OK118" i="13"/>
  <c r="ML105" i="13"/>
  <c r="RU135" i="13"/>
  <c r="PV122" i="13"/>
  <c r="NW109" i="13"/>
  <c r="PU137" i="13"/>
  <c r="NV124" i="13"/>
  <c r="LW111" i="13"/>
  <c r="PV126" i="13"/>
  <c r="NW113" i="13"/>
  <c r="RU139" i="13"/>
  <c r="JX98" i="13"/>
  <c r="HY85" i="13"/>
  <c r="FZ72" i="13"/>
  <c r="LX96" i="13"/>
  <c r="JY83" i="13"/>
  <c r="HZ70" i="13"/>
  <c r="LX102" i="13"/>
  <c r="JY89" i="13"/>
  <c r="HZ76" i="13"/>
  <c r="KM92" i="13"/>
  <c r="IN79" i="13"/>
  <c r="GO66" i="13"/>
  <c r="LX100" i="13"/>
  <c r="JY87" i="13"/>
  <c r="HZ74" i="13"/>
  <c r="GA63" i="13"/>
  <c r="EB50" i="13"/>
  <c r="EA59" i="13"/>
  <c r="CB46" i="13"/>
  <c r="AC34" i="13"/>
  <c r="GA57" i="13"/>
  <c r="EB44" i="13"/>
  <c r="GA61" i="13"/>
  <c r="EB48" i="13"/>
  <c r="EP53" i="13"/>
  <c r="CQ40" i="13"/>
  <c r="AR32" i="13"/>
  <c r="CD31" i="13"/>
  <c r="ZR191" i="13" l="1"/>
  <c r="XS178" i="13"/>
  <c r="VT165" i="13"/>
  <c r="TU152" i="13"/>
  <c r="ZR187" i="13"/>
  <c r="TU148" i="13"/>
  <c r="VT161" i="13"/>
  <c r="XS174" i="13"/>
  <c r="YF188" i="13"/>
  <c r="WG175" i="13"/>
  <c r="UH162" i="13"/>
  <c r="SI149" i="13"/>
  <c r="ZR193" i="13"/>
  <c r="VT167" i="13"/>
  <c r="XS180" i="13"/>
  <c r="TU154" i="13"/>
  <c r="AB12" i="13"/>
  <c r="AB13" i="13"/>
  <c r="AC2" i="13"/>
  <c r="AC3" i="13"/>
  <c r="XQ190" i="13"/>
  <c r="TS164" i="13"/>
  <c r="RT151" i="13"/>
  <c r="VR177" i="13"/>
  <c r="AB10" i="13"/>
  <c r="AB9" i="13"/>
  <c r="QJ136" i="13"/>
  <c r="OK123" i="13"/>
  <c r="ML110" i="13"/>
  <c r="RV135" i="13"/>
  <c r="PW122" i="13"/>
  <c r="NX109" i="13"/>
  <c r="RV139" i="13"/>
  <c r="PW126" i="13"/>
  <c r="NX113" i="13"/>
  <c r="PU138" i="13"/>
  <c r="LW112" i="13"/>
  <c r="NV125" i="13"/>
  <c r="RV141" i="13"/>
  <c r="PW128" i="13"/>
  <c r="NX115" i="13"/>
  <c r="JX99" i="13"/>
  <c r="HY86" i="13"/>
  <c r="FZ73" i="13"/>
  <c r="LY100" i="13"/>
  <c r="JZ87" i="13"/>
  <c r="IA74" i="13"/>
  <c r="LY96" i="13"/>
  <c r="JZ83" i="13"/>
  <c r="IA70" i="13"/>
  <c r="LY102" i="13"/>
  <c r="JZ89" i="13"/>
  <c r="IA76" i="13"/>
  <c r="KM97" i="13"/>
  <c r="IN84" i="13"/>
  <c r="GO71" i="13"/>
  <c r="AS27" i="13"/>
  <c r="EP58" i="13"/>
  <c r="CQ45" i="13"/>
  <c r="GB61" i="13"/>
  <c r="EC48" i="13"/>
  <c r="EA60" i="13"/>
  <c r="AC36" i="13"/>
  <c r="CB47" i="13"/>
  <c r="AC39" i="13"/>
  <c r="GB57" i="13"/>
  <c r="EC44" i="13"/>
  <c r="GB63" i="13"/>
  <c r="EC50" i="13"/>
  <c r="CE31" i="13"/>
  <c r="ZS187" i="13" l="1"/>
  <c r="XT174" i="13"/>
  <c r="VU161" i="13"/>
  <c r="TV148" i="13"/>
  <c r="ZS191" i="13"/>
  <c r="XT178" i="13"/>
  <c r="VU165" i="13"/>
  <c r="TV152" i="13"/>
  <c r="WH170" i="13"/>
  <c r="YG183" i="13"/>
  <c r="UI157" i="13"/>
  <c r="SJ144" i="13"/>
  <c r="XQ195" i="13"/>
  <c r="VR182" i="13"/>
  <c r="TS169" i="13"/>
  <c r="RT156" i="13"/>
  <c r="AC4" i="13"/>
  <c r="AC5" i="13" s="1"/>
  <c r="XQ192" i="13"/>
  <c r="VR179" i="13"/>
  <c r="TS166" i="13"/>
  <c r="RT153" i="13"/>
  <c r="ZS193" i="13"/>
  <c r="XT180" i="13"/>
  <c r="TV154" i="13"/>
  <c r="VU167" i="13"/>
  <c r="QK131" i="13"/>
  <c r="OL118" i="13"/>
  <c r="MM105" i="13"/>
  <c r="RW135" i="13"/>
  <c r="PX122" i="13"/>
  <c r="NY109" i="13"/>
  <c r="PU140" i="13"/>
  <c r="NV127" i="13"/>
  <c r="LW114" i="13"/>
  <c r="RW141" i="13"/>
  <c r="PX128" i="13"/>
  <c r="NY115" i="13"/>
  <c r="RW139" i="13"/>
  <c r="PX126" i="13"/>
  <c r="NY113" i="13"/>
  <c r="NV130" i="13"/>
  <c r="LW117" i="13"/>
  <c r="PU143" i="13"/>
  <c r="JX101" i="13"/>
  <c r="HY88" i="13"/>
  <c r="FZ75" i="13"/>
  <c r="JX104" i="13"/>
  <c r="HY91" i="13"/>
  <c r="FZ78" i="13"/>
  <c r="KN92" i="13"/>
  <c r="IO79" i="13"/>
  <c r="GP66" i="13"/>
  <c r="LZ96" i="13"/>
  <c r="KA83" i="13"/>
  <c r="IB70" i="13"/>
  <c r="LZ102" i="13"/>
  <c r="KA89" i="13"/>
  <c r="IB76" i="13"/>
  <c r="LZ100" i="13"/>
  <c r="KA87" i="13"/>
  <c r="IB74" i="13"/>
  <c r="EA62" i="13"/>
  <c r="CB49" i="13"/>
  <c r="AD33" i="13"/>
  <c r="GC63" i="13"/>
  <c r="ED50" i="13"/>
  <c r="GC57" i="13"/>
  <c r="ED44" i="13"/>
  <c r="CB52" i="13"/>
  <c r="EA65" i="13"/>
  <c r="GC61" i="13"/>
  <c r="ED48" i="13"/>
  <c r="EQ53" i="13"/>
  <c r="CR40" i="13"/>
  <c r="AS32" i="13"/>
  <c r="CF31" i="13"/>
  <c r="ZT187" i="13" l="1"/>
  <c r="VV161" i="13"/>
  <c r="XU174" i="13"/>
  <c r="TW148" i="13"/>
  <c r="YG188" i="13"/>
  <c r="WH175" i="13"/>
  <c r="UI162" i="13"/>
  <c r="SJ149" i="13"/>
  <c r="ZT191" i="13"/>
  <c r="VV165" i="13"/>
  <c r="XU178" i="13"/>
  <c r="TW152" i="13"/>
  <c r="AD6" i="13"/>
  <c r="XR189" i="13"/>
  <c r="VS176" i="13"/>
  <c r="TT163" i="13"/>
  <c r="RU150" i="13"/>
  <c r="AC7" i="13"/>
  <c r="AC8" i="13"/>
  <c r="AC11" i="13"/>
  <c r="ZT193" i="13"/>
  <c r="VV167" i="13"/>
  <c r="XU180" i="13"/>
  <c r="TW154" i="13"/>
  <c r="QK136" i="13"/>
  <c r="MM110" i="13"/>
  <c r="OL123" i="13"/>
  <c r="RX141" i="13"/>
  <c r="PY128" i="13"/>
  <c r="NZ115" i="13"/>
  <c r="RX135" i="13"/>
  <c r="PY122" i="13"/>
  <c r="NZ109" i="13"/>
  <c r="RX139" i="13"/>
  <c r="PY126" i="13"/>
  <c r="NZ113" i="13"/>
  <c r="PV137" i="13"/>
  <c r="NW124" i="13"/>
  <c r="LX111" i="13"/>
  <c r="JY98" i="13"/>
  <c r="HZ85" i="13"/>
  <c r="GA72" i="13"/>
  <c r="MA96" i="13"/>
  <c r="KB83" i="13"/>
  <c r="IC70" i="13"/>
  <c r="KN97" i="13"/>
  <c r="IO84" i="13"/>
  <c r="GP71" i="13"/>
  <c r="KB89" i="13"/>
  <c r="MA102" i="13"/>
  <c r="IC76" i="13"/>
  <c r="MA100" i="13"/>
  <c r="KB87" i="13"/>
  <c r="IC74" i="13"/>
  <c r="GD61" i="13"/>
  <c r="EE48" i="13"/>
  <c r="GD57" i="13"/>
  <c r="EE44" i="13"/>
  <c r="EB59" i="13"/>
  <c r="AD34" i="13"/>
  <c r="CC46" i="13"/>
  <c r="AT27" i="13"/>
  <c r="EQ58" i="13"/>
  <c r="CR45" i="13"/>
  <c r="GD63" i="13"/>
  <c r="EE50" i="13"/>
  <c r="CG31" i="13"/>
  <c r="YH183" i="13" l="1"/>
  <c r="WI170" i="13"/>
  <c r="UJ157" i="13"/>
  <c r="SK144" i="13"/>
  <c r="ZU187" i="13"/>
  <c r="XV174" i="13"/>
  <c r="VW161" i="13"/>
  <c r="TX148" i="13"/>
  <c r="XV178" i="13"/>
  <c r="ZU191" i="13"/>
  <c r="VW165" i="13"/>
  <c r="TX152" i="13"/>
  <c r="AC12" i="13"/>
  <c r="AC13" i="13"/>
  <c r="ZU193" i="13"/>
  <c r="XV180" i="13"/>
  <c r="VW167" i="13"/>
  <c r="TX154" i="13"/>
  <c r="AC9" i="13"/>
  <c r="AC10" i="13"/>
  <c r="AD2" i="13"/>
  <c r="AD3" i="13"/>
  <c r="XR190" i="13"/>
  <c r="TT164" i="13"/>
  <c r="VS177" i="13"/>
  <c r="RU151" i="13"/>
  <c r="PV138" i="13"/>
  <c r="NW125" i="13"/>
  <c r="LX112" i="13"/>
  <c r="RY141" i="13"/>
  <c r="PZ128" i="13"/>
  <c r="OA115" i="13"/>
  <c r="RY139" i="13"/>
  <c r="OA113" i="13"/>
  <c r="PZ126" i="13"/>
  <c r="RY135" i="13"/>
  <c r="PZ122" i="13"/>
  <c r="OA109" i="13"/>
  <c r="QL131" i="13"/>
  <c r="OM118" i="13"/>
  <c r="MN105" i="13"/>
  <c r="MB96" i="13"/>
  <c r="KC83" i="13"/>
  <c r="ID70" i="13"/>
  <c r="MB100" i="13"/>
  <c r="KC87" i="13"/>
  <c r="ID74" i="13"/>
  <c r="KO92" i="13"/>
  <c r="IP79" i="13"/>
  <c r="GQ66" i="13"/>
  <c r="JY99" i="13"/>
  <c r="HZ86" i="13"/>
  <c r="GA73" i="13"/>
  <c r="MB102" i="13"/>
  <c r="KC89" i="13"/>
  <c r="ID76" i="13"/>
  <c r="EB60" i="13"/>
  <c r="AD36" i="13"/>
  <c r="CC47" i="13"/>
  <c r="AD39" i="13"/>
  <c r="GE61" i="13"/>
  <c r="EF48" i="13"/>
  <c r="GE63" i="13"/>
  <c r="EF50" i="13"/>
  <c r="GE57" i="13"/>
  <c r="EF44" i="13"/>
  <c r="ER53" i="13"/>
  <c r="CS40" i="13"/>
  <c r="AT32" i="13"/>
  <c r="CH31" i="13"/>
  <c r="ZV187" i="13" l="1"/>
  <c r="XW174" i="13"/>
  <c r="TY148" i="13"/>
  <c r="VX161" i="13"/>
  <c r="YH188" i="13"/>
  <c r="WI175" i="13"/>
  <c r="UJ162" i="13"/>
  <c r="SK149" i="13"/>
  <c r="ZV191" i="13"/>
  <c r="XW178" i="13"/>
  <c r="VX165" i="13"/>
  <c r="TY152" i="13"/>
  <c r="XR195" i="13"/>
  <c r="VS182" i="13"/>
  <c r="RU156" i="13"/>
  <c r="TT169" i="13"/>
  <c r="XW180" i="13"/>
  <c r="ZV193" i="13"/>
  <c r="TY154" i="13"/>
  <c r="VX167" i="13"/>
  <c r="AD4" i="13"/>
  <c r="AD5" i="13" s="1"/>
  <c r="XR192" i="13"/>
  <c r="VS179" i="13"/>
  <c r="TT166" i="13"/>
  <c r="RU153" i="13"/>
  <c r="PV140" i="13"/>
  <c r="NW127" i="13"/>
  <c r="LX114" i="13"/>
  <c r="RZ135" i="13"/>
  <c r="QA122" i="13"/>
  <c r="OB109" i="13"/>
  <c r="QL136" i="13"/>
  <c r="OM123" i="13"/>
  <c r="MN110" i="13"/>
  <c r="RZ139" i="13"/>
  <c r="QA126" i="13"/>
  <c r="OB113" i="13"/>
  <c r="RZ141" i="13"/>
  <c r="QA128" i="13"/>
  <c r="OB115" i="13"/>
  <c r="NW130" i="13"/>
  <c r="PV143" i="13"/>
  <c r="LX117" i="13"/>
  <c r="MC102" i="13"/>
  <c r="KD89" i="13"/>
  <c r="IE76" i="13"/>
  <c r="JY101" i="13"/>
  <c r="HZ88" i="13"/>
  <c r="GA75" i="13"/>
  <c r="KO97" i="13"/>
  <c r="IP84" i="13"/>
  <c r="GQ71" i="13"/>
  <c r="MC100" i="13"/>
  <c r="KD87" i="13"/>
  <c r="IE74" i="13"/>
  <c r="HZ91" i="13"/>
  <c r="JY104" i="13"/>
  <c r="GA78" i="13"/>
  <c r="MC96" i="13"/>
  <c r="KD83" i="13"/>
  <c r="IE70" i="13"/>
  <c r="AU27" i="13"/>
  <c r="ER58" i="13"/>
  <c r="CS45" i="13"/>
  <c r="GF61" i="13"/>
  <c r="EG48" i="13"/>
  <c r="GF63" i="13"/>
  <c r="EG50" i="13"/>
  <c r="GF57" i="13"/>
  <c r="EG44" i="13"/>
  <c r="EB62" i="13"/>
  <c r="CC49" i="13"/>
  <c r="AE33" i="13"/>
  <c r="CC52" i="13"/>
  <c r="EB65" i="13"/>
  <c r="CI31" i="13"/>
  <c r="WJ170" i="13" l="1"/>
  <c r="UK157" i="13"/>
  <c r="YI183" i="13"/>
  <c r="SL144" i="13"/>
  <c r="ZW191" i="13"/>
  <c r="XX178" i="13"/>
  <c r="VY165" i="13"/>
  <c r="TZ152" i="13"/>
  <c r="ZW187" i="13"/>
  <c r="XX174" i="13"/>
  <c r="VY161" i="13"/>
  <c r="TZ148" i="13"/>
  <c r="XX180" i="13"/>
  <c r="ZW193" i="13"/>
  <c r="TZ154" i="13"/>
  <c r="VY167" i="13"/>
  <c r="AE6" i="13"/>
  <c r="VT176" i="13"/>
  <c r="TU163" i="13"/>
  <c r="XS189" i="13"/>
  <c r="RV150" i="13"/>
  <c r="AD7" i="13"/>
  <c r="AD8" i="13"/>
  <c r="AD11" i="13"/>
  <c r="QM131" i="13"/>
  <c r="ON118" i="13"/>
  <c r="MO105" i="13"/>
  <c r="SA141" i="13"/>
  <c r="QB128" i="13"/>
  <c r="OC115" i="13"/>
  <c r="SA139" i="13"/>
  <c r="QB126" i="13"/>
  <c r="OC113" i="13"/>
  <c r="SA135" i="13"/>
  <c r="QB122" i="13"/>
  <c r="OC109" i="13"/>
  <c r="PW137" i="13"/>
  <c r="NX124" i="13"/>
  <c r="LY111" i="13"/>
  <c r="KP92" i="13"/>
  <c r="IQ79" i="13"/>
  <c r="GR66" i="13"/>
  <c r="MD96" i="13"/>
  <c r="KE83" i="13"/>
  <c r="IF70" i="13"/>
  <c r="MD102" i="13"/>
  <c r="KE89" i="13"/>
  <c r="IF76" i="13"/>
  <c r="JZ98" i="13"/>
  <c r="IA85" i="13"/>
  <c r="GB72" i="13"/>
  <c r="KE87" i="13"/>
  <c r="MD100" i="13"/>
  <c r="IF74" i="13"/>
  <c r="GG57" i="13"/>
  <c r="EH44" i="13"/>
  <c r="GG61" i="13"/>
  <c r="EH48" i="13"/>
  <c r="EC59" i="13"/>
  <c r="AE34" i="13"/>
  <c r="CD46" i="13"/>
  <c r="GG63" i="13"/>
  <c r="EH50" i="13"/>
  <c r="ES53" i="13"/>
  <c r="CT40" i="13"/>
  <c r="AU32" i="13"/>
  <c r="CJ31" i="13"/>
  <c r="ZX187" i="13" l="1"/>
  <c r="XY174" i="13"/>
  <c r="VZ161" i="13"/>
  <c r="UA148" i="13"/>
  <c r="YI188" i="13"/>
  <c r="WJ175" i="13"/>
  <c r="UK162" i="13"/>
  <c r="SL149" i="13"/>
  <c r="ZX191" i="13"/>
  <c r="XY178" i="13"/>
  <c r="VZ165" i="13"/>
  <c r="UA152" i="13"/>
  <c r="AD9" i="13"/>
  <c r="AD10" i="13"/>
  <c r="AD12" i="13"/>
  <c r="AD13" i="13"/>
  <c r="XY180" i="13"/>
  <c r="VZ167" i="13"/>
  <c r="UA154" i="13"/>
  <c r="ZX193" i="13"/>
  <c r="AE2" i="13"/>
  <c r="AE3" i="13"/>
  <c r="VT177" i="13"/>
  <c r="XS190" i="13"/>
  <c r="RV151" i="13"/>
  <c r="TU164" i="13"/>
  <c r="SB139" i="13"/>
  <c r="QC126" i="13"/>
  <c r="OD113" i="13"/>
  <c r="SB135" i="13"/>
  <c r="QC122" i="13"/>
  <c r="OD109" i="13"/>
  <c r="PW138" i="13"/>
  <c r="NX125" i="13"/>
  <c r="LY112" i="13"/>
  <c r="QM136" i="13"/>
  <c r="ON123" i="13"/>
  <c r="MO110" i="13"/>
  <c r="SB141" i="13"/>
  <c r="QC128" i="13"/>
  <c r="OD115" i="13"/>
  <c r="JZ99" i="13"/>
  <c r="IA86" i="13"/>
  <c r="GB73" i="13"/>
  <c r="KP97" i="13"/>
  <c r="IQ84" i="13"/>
  <c r="GR71" i="13"/>
  <c r="ME100" i="13"/>
  <c r="KF87" i="13"/>
  <c r="IG74" i="13"/>
  <c r="ME102" i="13"/>
  <c r="KF89" i="13"/>
  <c r="IG76" i="13"/>
  <c r="ME96" i="13"/>
  <c r="KF83" i="13"/>
  <c r="IG70" i="13"/>
  <c r="GH57" i="13"/>
  <c r="EI44" i="13"/>
  <c r="EC60" i="13"/>
  <c r="AE36" i="13"/>
  <c r="CD47" i="13"/>
  <c r="AE39" i="13"/>
  <c r="AV27" i="13"/>
  <c r="ES58" i="13"/>
  <c r="CT45" i="13"/>
  <c r="GH61" i="13"/>
  <c r="EI48" i="13"/>
  <c r="GH63" i="13"/>
  <c r="EI50" i="13"/>
  <c r="CK31" i="13"/>
  <c r="ZY187" i="13" l="1"/>
  <c r="XZ174" i="13"/>
  <c r="WA161" i="13"/>
  <c r="UB148" i="13"/>
  <c r="YJ183" i="13"/>
  <c r="WK170" i="13"/>
  <c r="SM144" i="13"/>
  <c r="UL157" i="13"/>
  <c r="ZY191" i="13"/>
  <c r="XZ178" i="13"/>
  <c r="WA165" i="13"/>
  <c r="UB152" i="13"/>
  <c r="AE4" i="13"/>
  <c r="AE5" i="13" s="1"/>
  <c r="XS192" i="13"/>
  <c r="TU166" i="13"/>
  <c r="VT179" i="13"/>
  <c r="RV153" i="13"/>
  <c r="XS195" i="13"/>
  <c r="RV156" i="13"/>
  <c r="VT182" i="13"/>
  <c r="TU169" i="13"/>
  <c r="XZ180" i="13"/>
  <c r="ZY193" i="13"/>
  <c r="UB154" i="13"/>
  <c r="WA167" i="13"/>
  <c r="SC135" i="13"/>
  <c r="QD122" i="13"/>
  <c r="OE109" i="13"/>
  <c r="SC139" i="13"/>
  <c r="QD126" i="13"/>
  <c r="OE113" i="13"/>
  <c r="QN131" i="13"/>
  <c r="OO118" i="13"/>
  <c r="MP105" i="13"/>
  <c r="PW140" i="13"/>
  <c r="NX127" i="13"/>
  <c r="LY114" i="13"/>
  <c r="SC141" i="13"/>
  <c r="QD128" i="13"/>
  <c r="OE115" i="13"/>
  <c r="PW143" i="13"/>
  <c r="NX130" i="13"/>
  <c r="LY117" i="13"/>
  <c r="JZ101" i="13"/>
  <c r="IA88" i="13"/>
  <c r="GB75" i="13"/>
  <c r="MF100" i="13"/>
  <c r="KG87" i="13"/>
  <c r="IH74" i="13"/>
  <c r="KQ92" i="13"/>
  <c r="IR79" i="13"/>
  <c r="GS66" i="13"/>
  <c r="MF96" i="13"/>
  <c r="KG83" i="13"/>
  <c r="IH70" i="13"/>
  <c r="JZ104" i="13"/>
  <c r="IA91" i="13"/>
  <c r="GB78" i="13"/>
  <c r="MF102" i="13"/>
  <c r="KG89" i="13"/>
  <c r="IH76" i="13"/>
  <c r="GI57" i="13"/>
  <c r="EJ44" i="13"/>
  <c r="ET53" i="13"/>
  <c r="CU40" i="13"/>
  <c r="AV32" i="13"/>
  <c r="GI63" i="13"/>
  <c r="EJ50" i="13"/>
  <c r="GI61" i="13"/>
  <c r="EJ48" i="13"/>
  <c r="CD52" i="13"/>
  <c r="EC65" i="13"/>
  <c r="EC62" i="13"/>
  <c r="CD49" i="13"/>
  <c r="AF33" i="13"/>
  <c r="CL31" i="13"/>
  <c r="ZZ191" i="13" l="1"/>
  <c r="YA178" i="13"/>
  <c r="WB165" i="13"/>
  <c r="UC152" i="13"/>
  <c r="YJ188" i="13"/>
  <c r="WK175" i="13"/>
  <c r="UL162" i="13"/>
  <c r="SM149" i="13"/>
  <c r="ZZ187" i="13"/>
  <c r="YA174" i="13"/>
  <c r="WB161" i="13"/>
  <c r="UC148" i="13"/>
  <c r="ZZ193" i="13"/>
  <c r="YA180" i="13"/>
  <c r="UC154" i="13"/>
  <c r="WB167" i="13"/>
  <c r="AF6" i="13"/>
  <c r="XT189" i="13"/>
  <c r="VU176" i="13"/>
  <c r="RW150" i="13"/>
  <c r="TV163" i="13"/>
  <c r="AE7" i="13"/>
  <c r="AE8" i="13"/>
  <c r="AE11" i="13"/>
  <c r="PX137" i="13"/>
  <c r="NY124" i="13"/>
  <c r="LZ111" i="13"/>
  <c r="SD141" i="13"/>
  <c r="OF115" i="13"/>
  <c r="QE128" i="13"/>
  <c r="SD135" i="13"/>
  <c r="QE122" i="13"/>
  <c r="OF109" i="13"/>
  <c r="SD139" i="13"/>
  <c r="QE126" i="13"/>
  <c r="OF113" i="13"/>
  <c r="QN136" i="13"/>
  <c r="OO123" i="13"/>
  <c r="MP110" i="13"/>
  <c r="KQ97" i="13"/>
  <c r="IR84" i="13"/>
  <c r="GS71" i="13"/>
  <c r="MG100" i="13"/>
  <c r="KH87" i="13"/>
  <c r="II74" i="13"/>
  <c r="MG96" i="13"/>
  <c r="KH83" i="13"/>
  <c r="II70" i="13"/>
  <c r="KA98" i="13"/>
  <c r="IB85" i="13"/>
  <c r="GC72" i="13"/>
  <c r="MG102" i="13"/>
  <c r="KH89" i="13"/>
  <c r="II76" i="13"/>
  <c r="AW27" i="13"/>
  <c r="ET58" i="13"/>
  <c r="CU45" i="13"/>
  <c r="ED59" i="13"/>
  <c r="AF34" i="13"/>
  <c r="CE46" i="13"/>
  <c r="GJ63" i="13"/>
  <c r="EK50" i="13"/>
  <c r="GJ61" i="13"/>
  <c r="EK48" i="13"/>
  <c r="GJ57" i="13"/>
  <c r="EK44" i="13"/>
  <c r="CM31" i="13"/>
  <c r="YK183" i="13" l="1"/>
  <c r="UM157" i="13"/>
  <c r="WL170" i="13"/>
  <c r="SN144" i="13"/>
  <c r="AAA191" i="13"/>
  <c r="YB178" i="13"/>
  <c r="WC165" i="13"/>
  <c r="UD152" i="13"/>
  <c r="AAA187" i="13"/>
  <c r="YB174" i="13"/>
  <c r="UD148" i="13"/>
  <c r="WC161" i="13"/>
  <c r="AF2" i="13"/>
  <c r="AF3" i="13"/>
  <c r="XT190" i="13"/>
  <c r="VU177" i="13"/>
  <c r="RW151" i="13"/>
  <c r="TV164" i="13"/>
  <c r="AE12" i="13"/>
  <c r="AE13" i="13"/>
  <c r="AE9" i="13"/>
  <c r="AE10" i="13"/>
  <c r="AAA193" i="13"/>
  <c r="YB180" i="13"/>
  <c r="UD154" i="13"/>
  <c r="WC167" i="13"/>
  <c r="SE141" i="13"/>
  <c r="QF128" i="13"/>
  <c r="OG115" i="13"/>
  <c r="SE139" i="13"/>
  <c r="QF126" i="13"/>
  <c r="OG113" i="13"/>
  <c r="SE135" i="13"/>
  <c r="QF122" i="13"/>
  <c r="OG109" i="13"/>
  <c r="PX138" i="13"/>
  <c r="NY125" i="13"/>
  <c r="LZ112" i="13"/>
  <c r="QO131" i="13"/>
  <c r="OP118" i="13"/>
  <c r="MQ105" i="13"/>
  <c r="MH102" i="13"/>
  <c r="KI89" i="13"/>
  <c r="IJ76" i="13"/>
  <c r="MH96" i="13"/>
  <c r="KI83" i="13"/>
  <c r="IJ70" i="13"/>
  <c r="KR92" i="13"/>
  <c r="IS79" i="13"/>
  <c r="GT66" i="13"/>
  <c r="KA99" i="13"/>
  <c r="IB86" i="13"/>
  <c r="GC73" i="13"/>
  <c r="MH100" i="13"/>
  <c r="KI87" i="13"/>
  <c r="IJ74" i="13"/>
  <c r="GK61" i="13"/>
  <c r="EL48" i="13"/>
  <c r="GK63" i="13"/>
  <c r="EL50" i="13"/>
  <c r="ED60" i="13"/>
  <c r="AF36" i="13"/>
  <c r="CE47" i="13"/>
  <c r="AF39" i="13"/>
  <c r="GK57" i="13"/>
  <c r="EL44" i="13"/>
  <c r="EU53" i="13"/>
  <c r="CV40" i="13"/>
  <c r="AW32" i="13"/>
  <c r="CN31" i="13"/>
  <c r="AAB187" i="13" l="1"/>
  <c r="YC174" i="13"/>
  <c r="WD161" i="13"/>
  <c r="UE148" i="13"/>
  <c r="AAB191" i="13"/>
  <c r="YC178" i="13"/>
  <c r="WD165" i="13"/>
  <c r="UE152" i="13"/>
  <c r="YK188" i="13"/>
  <c r="WL175" i="13"/>
  <c r="UM162" i="13"/>
  <c r="SN149" i="13"/>
  <c r="AAB193" i="13"/>
  <c r="YC180" i="13"/>
  <c r="UE154" i="13"/>
  <c r="WD167" i="13"/>
  <c r="VU182" i="13"/>
  <c r="TV169" i="13"/>
  <c r="XT195" i="13"/>
  <c r="RW156" i="13"/>
  <c r="AF4" i="13"/>
  <c r="AF5" i="13" s="1"/>
  <c r="XT192" i="13"/>
  <c r="VU179" i="13"/>
  <c r="TV166" i="13"/>
  <c r="RW153" i="13"/>
  <c r="SF141" i="13"/>
  <c r="QG128" i="13"/>
  <c r="OH115" i="13"/>
  <c r="SF139" i="13"/>
  <c r="QG126" i="13"/>
  <c r="OH113" i="13"/>
  <c r="PX140" i="13"/>
  <c r="NY127" i="13"/>
  <c r="LZ114" i="13"/>
  <c r="QO136" i="13"/>
  <c r="OP123" i="13"/>
  <c r="MQ110" i="13"/>
  <c r="SF135" i="13"/>
  <c r="QG122" i="13"/>
  <c r="OH109" i="13"/>
  <c r="LZ117" i="13"/>
  <c r="PX143" i="13"/>
  <c r="NY130" i="13"/>
  <c r="MI100" i="13"/>
  <c r="KJ87" i="13"/>
  <c r="IK74" i="13"/>
  <c r="MI102" i="13"/>
  <c r="KJ89" i="13"/>
  <c r="IK76" i="13"/>
  <c r="MI96" i="13"/>
  <c r="KJ83" i="13"/>
  <c r="IK70" i="13"/>
  <c r="KA101" i="13"/>
  <c r="IB88" i="13"/>
  <c r="GC75" i="13"/>
  <c r="KR97" i="13"/>
  <c r="IS84" i="13"/>
  <c r="GT71" i="13"/>
  <c r="KA104" i="13"/>
  <c r="IB91" i="13"/>
  <c r="GC78" i="13"/>
  <c r="AX27" i="13"/>
  <c r="EU58" i="13"/>
  <c r="CV45" i="13"/>
  <c r="ED62" i="13"/>
  <c r="CE49" i="13"/>
  <c r="AG33" i="13"/>
  <c r="GL57" i="13"/>
  <c r="EM44" i="13"/>
  <c r="CE52" i="13"/>
  <c r="ED65" i="13"/>
  <c r="GL61" i="13"/>
  <c r="EM48" i="13"/>
  <c r="GL63" i="13"/>
  <c r="EM50" i="13"/>
  <c r="CO31" i="13"/>
  <c r="YL183" i="13" l="1"/>
  <c r="WM170" i="13"/>
  <c r="UN157" i="13"/>
  <c r="SO144" i="13"/>
  <c r="AAC187" i="13"/>
  <c r="YD174" i="13"/>
  <c r="WE161" i="13"/>
  <c r="UF148" i="13"/>
  <c r="AAC191" i="13"/>
  <c r="YD178" i="13"/>
  <c r="WE165" i="13"/>
  <c r="UF152" i="13"/>
  <c r="AAC193" i="13"/>
  <c r="YD180" i="13"/>
  <c r="WE167" i="13"/>
  <c r="UF154" i="13"/>
  <c r="AG6" i="13"/>
  <c r="XU189" i="13"/>
  <c r="VV176" i="13"/>
  <c r="RX150" i="13"/>
  <c r="TW163" i="13"/>
  <c r="AF8" i="13"/>
  <c r="AF7" i="13"/>
  <c r="AF11" i="13"/>
  <c r="QP131" i="13"/>
  <c r="OQ118" i="13"/>
  <c r="MR105" i="13"/>
  <c r="SG135" i="13"/>
  <c r="QH122" i="13"/>
  <c r="OI109" i="13"/>
  <c r="SG141" i="13"/>
  <c r="QH128" i="13"/>
  <c r="OI115" i="13"/>
  <c r="PY137" i="13"/>
  <c r="NZ124" i="13"/>
  <c r="MA111" i="13"/>
  <c r="SG139" i="13"/>
  <c r="QH126" i="13"/>
  <c r="OI113" i="13"/>
  <c r="MJ100" i="13"/>
  <c r="KK87" i="13"/>
  <c r="IL74" i="13"/>
  <c r="KS92" i="13"/>
  <c r="IT79" i="13"/>
  <c r="GU66" i="13"/>
  <c r="MJ96" i="13"/>
  <c r="KK83" i="13"/>
  <c r="IL70" i="13"/>
  <c r="MJ102" i="13"/>
  <c r="KK89" i="13"/>
  <c r="IL76" i="13"/>
  <c r="KB98" i="13"/>
  <c r="IC85" i="13"/>
  <c r="GD72" i="13"/>
  <c r="GM63" i="13"/>
  <c r="EN50" i="13"/>
  <c r="GM61" i="13"/>
  <c r="EN48" i="13"/>
  <c r="GM57" i="13"/>
  <c r="EN44" i="13"/>
  <c r="EE59" i="13"/>
  <c r="AG34" i="13"/>
  <c r="CF46" i="13"/>
  <c r="EV53" i="13"/>
  <c r="CW40" i="13"/>
  <c r="AX32" i="13"/>
  <c r="CP31" i="13"/>
  <c r="AAD187" i="13" l="1"/>
  <c r="YE174" i="13"/>
  <c r="WF161" i="13"/>
  <c r="UG148" i="13"/>
  <c r="AAD191" i="13"/>
  <c r="YE178" i="13"/>
  <c r="WF165" i="13"/>
  <c r="UG152" i="13"/>
  <c r="YL188" i="13"/>
  <c r="WM175" i="13"/>
  <c r="UN162" i="13"/>
  <c r="SO149" i="13"/>
  <c r="AG2" i="13"/>
  <c r="AG3" i="13"/>
  <c r="XU190" i="13"/>
  <c r="VV177" i="13"/>
  <c r="TW164" i="13"/>
  <c r="RX151" i="13"/>
  <c r="YE180" i="13"/>
  <c r="AAD193" i="13"/>
  <c r="UG154" i="13"/>
  <c r="WF167" i="13"/>
  <c r="AF9" i="13"/>
  <c r="AF10" i="13"/>
  <c r="AF12" i="13"/>
  <c r="AF13" i="13"/>
  <c r="QP136" i="13"/>
  <c r="OQ123" i="13"/>
  <c r="MR110" i="13"/>
  <c r="NZ125" i="13"/>
  <c r="PY138" i="13"/>
  <c r="MA112" i="13"/>
  <c r="SH135" i="13"/>
  <c r="QI122" i="13"/>
  <c r="OJ109" i="13"/>
  <c r="SH139" i="13"/>
  <c r="QI126" i="13"/>
  <c r="OJ113" i="13"/>
  <c r="SH141" i="13"/>
  <c r="QI128" i="13"/>
  <c r="OJ115" i="13"/>
  <c r="MK100" i="13"/>
  <c r="KL87" i="13"/>
  <c r="IM74" i="13"/>
  <c r="KB99" i="13"/>
  <c r="IC86" i="13"/>
  <c r="GD73" i="13"/>
  <c r="MK102" i="13"/>
  <c r="KL89" i="13"/>
  <c r="IM76" i="13"/>
  <c r="KS97" i="13"/>
  <c r="IT84" i="13"/>
  <c r="GU71" i="13"/>
  <c r="MK96" i="13"/>
  <c r="KL83" i="13"/>
  <c r="IM70" i="13"/>
  <c r="GN61" i="13"/>
  <c r="EO48" i="13"/>
  <c r="GN57" i="13"/>
  <c r="EO44" i="13"/>
  <c r="EE60" i="13"/>
  <c r="AG36" i="13"/>
  <c r="CF47" i="13"/>
  <c r="AG39" i="13"/>
  <c r="AY27" i="13"/>
  <c r="EV58" i="13"/>
  <c r="CW45" i="13"/>
  <c r="GN63" i="13"/>
  <c r="EO50" i="13"/>
  <c r="CQ31" i="13"/>
  <c r="AAE187" i="13" l="1"/>
  <c r="YF174" i="13"/>
  <c r="WG161" i="13"/>
  <c r="UH148" i="13"/>
  <c r="YM183" i="13"/>
  <c r="UO157" i="13"/>
  <c r="WN170" i="13"/>
  <c r="SP144" i="13"/>
  <c r="AAE191" i="13"/>
  <c r="YF178" i="13"/>
  <c r="WG165" i="13"/>
  <c r="UH152" i="13"/>
  <c r="AG4" i="13"/>
  <c r="AG5" i="13" s="1"/>
  <c r="VV179" i="13"/>
  <c r="XU192" i="13"/>
  <c r="RX153" i="13"/>
  <c r="TW166" i="13"/>
  <c r="VV182" i="13"/>
  <c r="TW169" i="13"/>
  <c r="RX156" i="13"/>
  <c r="XU195" i="13"/>
  <c r="YF180" i="13"/>
  <c r="AAE193" i="13"/>
  <c r="WG167" i="13"/>
  <c r="UH154" i="13"/>
  <c r="QQ131" i="13"/>
  <c r="OR118" i="13"/>
  <c r="MS105" i="13"/>
  <c r="SI135" i="13"/>
  <c r="QJ122" i="13"/>
  <c r="OK109" i="13"/>
  <c r="PY140" i="13"/>
  <c r="NZ127" i="13"/>
  <c r="MA114" i="13"/>
  <c r="SI139" i="13"/>
  <c r="QJ126" i="13"/>
  <c r="OK113" i="13"/>
  <c r="SI141" i="13"/>
  <c r="QJ128" i="13"/>
  <c r="OK115" i="13"/>
  <c r="MA117" i="13"/>
  <c r="PY143" i="13"/>
  <c r="NZ130" i="13"/>
  <c r="KT92" i="13"/>
  <c r="IU79" i="13"/>
  <c r="GV66" i="13"/>
  <c r="ML96" i="13"/>
  <c r="KM83" i="13"/>
  <c r="IN70" i="13"/>
  <c r="KB101" i="13"/>
  <c r="IC88" i="13"/>
  <c r="GD75" i="13"/>
  <c r="ML100" i="13"/>
  <c r="KM87" i="13"/>
  <c r="IN74" i="13"/>
  <c r="KB104" i="13"/>
  <c r="IC91" i="13"/>
  <c r="GD78" i="13"/>
  <c r="ML102" i="13"/>
  <c r="KM89" i="13"/>
  <c r="IN76" i="13"/>
  <c r="EE62" i="13"/>
  <c r="CF49" i="13"/>
  <c r="AH33" i="13"/>
  <c r="GO63" i="13"/>
  <c r="EP50" i="13"/>
  <c r="EW53" i="13"/>
  <c r="CX40" i="13"/>
  <c r="AY32" i="13"/>
  <c r="GO61" i="13"/>
  <c r="EP48" i="13"/>
  <c r="GO57" i="13"/>
  <c r="EP44" i="13"/>
  <c r="CF52" i="13"/>
  <c r="EE65" i="13"/>
  <c r="CR31" i="13"/>
  <c r="AAF187" i="13" l="1"/>
  <c r="WH161" i="13"/>
  <c r="UI148" i="13"/>
  <c r="YG174" i="13"/>
  <c r="AAF191" i="13"/>
  <c r="YG178" i="13"/>
  <c r="WH165" i="13"/>
  <c r="UI152" i="13"/>
  <c r="YM188" i="13"/>
  <c r="WN175" i="13"/>
  <c r="UO162" i="13"/>
  <c r="SP149" i="13"/>
  <c r="AH6" i="13"/>
  <c r="XV189" i="13"/>
  <c r="VW176" i="13"/>
  <c r="TX163" i="13"/>
  <c r="RY150" i="13"/>
  <c r="YG180" i="13"/>
  <c r="WH167" i="13"/>
  <c r="UI154" i="13"/>
  <c r="AAF193" i="13"/>
  <c r="AG7" i="13"/>
  <c r="AG8" i="13"/>
  <c r="AG11" i="13"/>
  <c r="SJ135" i="13"/>
  <c r="QK122" i="13"/>
  <c r="OL109" i="13"/>
  <c r="SJ141" i="13"/>
  <c r="QK128" i="13"/>
  <c r="OL115" i="13"/>
  <c r="QQ136" i="13"/>
  <c r="OR123" i="13"/>
  <c r="MS110" i="13"/>
  <c r="SJ139" i="13"/>
  <c r="OL113" i="13"/>
  <c r="QK126" i="13"/>
  <c r="PZ137" i="13"/>
  <c r="OA124" i="13"/>
  <c r="MB111" i="13"/>
  <c r="MM96" i="13"/>
  <c r="KN83" i="13"/>
  <c r="IO70" i="13"/>
  <c r="KN89" i="13"/>
  <c r="MM102" i="13"/>
  <c r="IO76" i="13"/>
  <c r="KC98" i="13"/>
  <c r="ID85" i="13"/>
  <c r="GE72" i="13"/>
  <c r="KT97" i="13"/>
  <c r="IU84" i="13"/>
  <c r="GV71" i="13"/>
  <c r="MM100" i="13"/>
  <c r="KN87" i="13"/>
  <c r="IO74" i="13"/>
  <c r="GP57" i="13"/>
  <c r="EQ44" i="13"/>
  <c r="GP61" i="13"/>
  <c r="EQ48" i="13"/>
  <c r="EF59" i="13"/>
  <c r="AH34" i="13"/>
  <c r="CG46" i="13"/>
  <c r="GP63" i="13"/>
  <c r="EQ50" i="13"/>
  <c r="AZ27" i="13"/>
  <c r="EW58" i="13"/>
  <c r="CX45" i="13"/>
  <c r="CS31" i="13"/>
  <c r="AAG187" i="13" l="1"/>
  <c r="YH174" i="13"/>
  <c r="UJ148" i="13"/>
  <c r="WI161" i="13"/>
  <c r="AAG191" i="13"/>
  <c r="YH178" i="13"/>
  <c r="WI165" i="13"/>
  <c r="UJ152" i="13"/>
  <c r="YN183" i="13"/>
  <c r="UP157" i="13"/>
  <c r="WO170" i="13"/>
  <c r="SQ144" i="13"/>
  <c r="YH180" i="13"/>
  <c r="AAG193" i="13"/>
  <c r="UJ154" i="13"/>
  <c r="WI167" i="13"/>
  <c r="AG9" i="13"/>
  <c r="AG10" i="13"/>
  <c r="AG13" i="13"/>
  <c r="AG12" i="13"/>
  <c r="AH2" i="13"/>
  <c r="AH3" i="13"/>
  <c r="XV190" i="13"/>
  <c r="TX164" i="13"/>
  <c r="VW177" i="13"/>
  <c r="RY151" i="13"/>
  <c r="PZ138" i="13"/>
  <c r="OA125" i="13"/>
  <c r="MB112" i="13"/>
  <c r="SK135" i="13"/>
  <c r="QL122" i="13"/>
  <c r="OM109" i="13"/>
  <c r="SK139" i="13"/>
  <c r="QL126" i="13"/>
  <c r="OM113" i="13"/>
  <c r="QR131" i="13"/>
  <c r="OS118" i="13"/>
  <c r="MT105" i="13"/>
  <c r="SK141" i="13"/>
  <c r="QL128" i="13"/>
  <c r="OM115" i="13"/>
  <c r="MN96" i="13"/>
  <c r="KO83" i="13"/>
  <c r="IP70" i="13"/>
  <c r="KC99" i="13"/>
  <c r="ID86" i="13"/>
  <c r="GE73" i="13"/>
  <c r="MN100" i="13"/>
  <c r="KO87" i="13"/>
  <c r="IP74" i="13"/>
  <c r="KO89" i="13"/>
  <c r="MN102" i="13"/>
  <c r="IP76" i="13"/>
  <c r="KU92" i="13"/>
  <c r="IV79" i="13"/>
  <c r="GW66" i="13"/>
  <c r="GQ61" i="13"/>
  <c r="ER48" i="13"/>
  <c r="GQ57" i="13"/>
  <c r="ER44" i="13"/>
  <c r="EF60" i="13"/>
  <c r="AH39" i="13"/>
  <c r="AH36" i="13"/>
  <c r="CG47" i="13"/>
  <c r="EX53" i="13"/>
  <c r="CY40" i="13"/>
  <c r="AZ32" i="13"/>
  <c r="GQ63" i="13"/>
  <c r="ER50" i="13"/>
  <c r="CT31" i="13"/>
  <c r="AAH191" i="13" l="1"/>
  <c r="YI178" i="13"/>
  <c r="UK152" i="13"/>
  <c r="WJ165" i="13"/>
  <c r="AAH187" i="13"/>
  <c r="YI174" i="13"/>
  <c r="UK148" i="13"/>
  <c r="WJ161" i="13"/>
  <c r="YN188" i="13"/>
  <c r="WO175" i="13"/>
  <c r="UP162" i="13"/>
  <c r="SQ149" i="13"/>
  <c r="XV195" i="13"/>
  <c r="VW182" i="13"/>
  <c r="TX169" i="13"/>
  <c r="RY156" i="13"/>
  <c r="AH4" i="13"/>
  <c r="AH5" i="13" s="1"/>
  <c r="XV192" i="13"/>
  <c r="VW179" i="13"/>
  <c r="TX166" i="13"/>
  <c r="RY153" i="13"/>
  <c r="AAH193" i="13"/>
  <c r="YI180" i="13"/>
  <c r="UK154" i="13"/>
  <c r="WJ167" i="13"/>
  <c r="QR136" i="13"/>
  <c r="OS123" i="13"/>
  <c r="MT110" i="13"/>
  <c r="PZ140" i="13"/>
  <c r="OA127" i="13"/>
  <c r="MB114" i="13"/>
  <c r="SL139" i="13"/>
  <c r="QM126" i="13"/>
  <c r="ON113" i="13"/>
  <c r="SL135" i="13"/>
  <c r="QM122" i="13"/>
  <c r="ON109" i="13"/>
  <c r="SL141" i="13"/>
  <c r="ON115" i="13"/>
  <c r="QM128" i="13"/>
  <c r="OA130" i="13"/>
  <c r="MB117" i="13"/>
  <c r="PZ143" i="13"/>
  <c r="KU97" i="13"/>
  <c r="IV84" i="13"/>
  <c r="GW71" i="13"/>
  <c r="MO96" i="13"/>
  <c r="KP83" i="13"/>
  <c r="IQ70" i="13"/>
  <c r="ID91" i="13"/>
  <c r="KC104" i="13"/>
  <c r="GE78" i="13"/>
  <c r="MO100" i="13"/>
  <c r="KP87" i="13"/>
  <c r="IQ74" i="13"/>
  <c r="KC101" i="13"/>
  <c r="ID88" i="13"/>
  <c r="GE75" i="13"/>
  <c r="MO102" i="13"/>
  <c r="KP89" i="13"/>
  <c r="IQ76" i="13"/>
  <c r="EF62" i="13"/>
  <c r="AI33" i="13"/>
  <c r="CG49" i="13"/>
  <c r="CG52" i="13"/>
  <c r="EF65" i="13"/>
  <c r="GR57" i="13"/>
  <c r="ES44" i="13"/>
  <c r="GR63" i="13"/>
  <c r="ES50" i="13"/>
  <c r="BA27" i="13"/>
  <c r="EX58" i="13"/>
  <c r="CY45" i="13"/>
  <c r="GR61" i="13"/>
  <c r="ES48" i="13"/>
  <c r="CU31" i="13"/>
  <c r="YO183" i="13" l="1"/>
  <c r="WP170" i="13"/>
  <c r="UQ157" i="13"/>
  <c r="SR144" i="13"/>
  <c r="AAI191" i="13"/>
  <c r="YJ178" i="13"/>
  <c r="UL152" i="13"/>
  <c r="WK165" i="13"/>
  <c r="AAI187" i="13"/>
  <c r="YJ174" i="13"/>
  <c r="WK161" i="13"/>
  <c r="UL148" i="13"/>
  <c r="AH7" i="13"/>
  <c r="AH11" i="13"/>
  <c r="AH8" i="13"/>
  <c r="AI6" i="13"/>
  <c r="XW189" i="13"/>
  <c r="VX176" i="13"/>
  <c r="TY163" i="13"/>
  <c r="RZ150" i="13"/>
  <c r="AAI193" i="13"/>
  <c r="YJ180" i="13"/>
  <c r="UL154" i="13"/>
  <c r="WK167" i="13"/>
  <c r="QA137" i="13"/>
  <c r="OB124" i="13"/>
  <c r="MC111" i="13"/>
  <c r="SM139" i="13"/>
  <c r="QN126" i="13"/>
  <c r="OO113" i="13"/>
  <c r="SM141" i="13"/>
  <c r="QN128" i="13"/>
  <c r="OO115" i="13"/>
  <c r="SM135" i="13"/>
  <c r="QN122" i="13"/>
  <c r="OO109" i="13"/>
  <c r="QS131" i="13"/>
  <c r="OT118" i="13"/>
  <c r="MU105" i="13"/>
  <c r="KD98" i="13"/>
  <c r="IE85" i="13"/>
  <c r="GF72" i="13"/>
  <c r="KV92" i="13"/>
  <c r="IW79" i="13"/>
  <c r="GX66" i="13"/>
  <c r="MP100" i="13"/>
  <c r="KQ87" i="13"/>
  <c r="IR74" i="13"/>
  <c r="MP96" i="13"/>
  <c r="KQ83" i="13"/>
  <c r="IR70" i="13"/>
  <c r="MP102" i="13"/>
  <c r="KQ89" i="13"/>
  <c r="IR76" i="13"/>
  <c r="GS63" i="13"/>
  <c r="ET50" i="13"/>
  <c r="EY53" i="13"/>
  <c r="CZ40" i="13"/>
  <c r="BA32" i="13"/>
  <c r="GS61" i="13"/>
  <c r="ET48" i="13"/>
  <c r="EG59" i="13"/>
  <c r="AI34" i="13"/>
  <c r="CH46" i="13"/>
  <c r="GS57" i="13"/>
  <c r="ET44" i="13"/>
  <c r="CV31" i="13"/>
  <c r="AAJ191" i="13" l="1"/>
  <c r="YK178" i="13"/>
  <c r="WL165" i="13"/>
  <c r="UM152" i="13"/>
  <c r="AAJ187" i="13"/>
  <c r="YK174" i="13"/>
  <c r="WL161" i="13"/>
  <c r="UM148" i="13"/>
  <c r="YO188" i="13"/>
  <c r="WP175" i="13"/>
  <c r="UQ162" i="13"/>
  <c r="SR149" i="13"/>
  <c r="AAJ193" i="13"/>
  <c r="UM154" i="13"/>
  <c r="WL167" i="13"/>
  <c r="YK180" i="13"/>
  <c r="AH10" i="13"/>
  <c r="AH9" i="13"/>
  <c r="AI2" i="13"/>
  <c r="AI3" i="13"/>
  <c r="XW190" i="13"/>
  <c r="VX177" i="13"/>
  <c r="TY164" i="13"/>
  <c r="RZ151" i="13"/>
  <c r="AH12" i="13"/>
  <c r="AH13" i="13"/>
  <c r="SN139" i="13"/>
  <c r="QO126" i="13"/>
  <c r="OP113" i="13"/>
  <c r="SN135" i="13"/>
  <c r="QO122" i="13"/>
  <c r="OP109" i="13"/>
  <c r="QS136" i="13"/>
  <c r="OT123" i="13"/>
  <c r="MU110" i="13"/>
  <c r="QA138" i="13"/>
  <c r="OB125" i="13"/>
  <c r="MC112" i="13"/>
  <c r="SN141" i="13"/>
  <c r="QO128" i="13"/>
  <c r="OP115" i="13"/>
  <c r="KD99" i="13"/>
  <c r="IE86" i="13"/>
  <c r="GF73" i="13"/>
  <c r="MQ102" i="13"/>
  <c r="KR89" i="13"/>
  <c r="IS76" i="13"/>
  <c r="KV97" i="13"/>
  <c r="IW84" i="13"/>
  <c r="GX71" i="13"/>
  <c r="MQ100" i="13"/>
  <c r="KR87" i="13"/>
  <c r="IS74" i="13"/>
  <c r="MQ96" i="13"/>
  <c r="KR83" i="13"/>
  <c r="IS70" i="13"/>
  <c r="GT61" i="13"/>
  <c r="EU48" i="13"/>
  <c r="EG60" i="13"/>
  <c r="AI36" i="13"/>
  <c r="CH47" i="13"/>
  <c r="AI39" i="13"/>
  <c r="BB27" i="13"/>
  <c r="EY58" i="13"/>
  <c r="CZ45" i="13"/>
  <c r="GT57" i="13"/>
  <c r="EU44" i="13"/>
  <c r="GT63" i="13"/>
  <c r="EU50" i="13"/>
  <c r="CW31" i="13"/>
  <c r="YP183" i="13" l="1"/>
  <c r="WQ170" i="13"/>
  <c r="UR157" i="13"/>
  <c r="SS144" i="13"/>
  <c r="YL174" i="13"/>
  <c r="AAK187" i="13"/>
  <c r="WM161" i="13"/>
  <c r="UN148" i="13"/>
  <c r="AAK191" i="13"/>
  <c r="YL178" i="13"/>
  <c r="WM165" i="13"/>
  <c r="UN152" i="13"/>
  <c r="XW195" i="13"/>
  <c r="VX182" i="13"/>
  <c r="RZ156" i="13"/>
  <c r="TY169" i="13"/>
  <c r="AAK193" i="13"/>
  <c r="WM167" i="13"/>
  <c r="UN154" i="13"/>
  <c r="YL180" i="13"/>
  <c r="AI4" i="13"/>
  <c r="AI5" i="13" s="1"/>
  <c r="XW192" i="13"/>
  <c r="VX179" i="13"/>
  <c r="RZ153" i="13"/>
  <c r="TY166" i="13"/>
  <c r="SO139" i="13"/>
  <c r="QP126" i="13"/>
  <c r="OQ113" i="13"/>
  <c r="QT131" i="13"/>
  <c r="OU118" i="13"/>
  <c r="MV105" i="13"/>
  <c r="SO135" i="13"/>
  <c r="QP122" i="13"/>
  <c r="OQ109" i="13"/>
  <c r="SO141" i="13"/>
  <c r="QP128" i="13"/>
  <c r="OQ115" i="13"/>
  <c r="QA140" i="13"/>
  <c r="OB127" i="13"/>
  <c r="MC114" i="13"/>
  <c r="OB130" i="13"/>
  <c r="MC117" i="13"/>
  <c r="QA143" i="13"/>
  <c r="MR100" i="13"/>
  <c r="KS87" i="13"/>
  <c r="IT74" i="13"/>
  <c r="MR96" i="13"/>
  <c r="KS83" i="13"/>
  <c r="IT70" i="13"/>
  <c r="KD104" i="13"/>
  <c r="IE91" i="13"/>
  <c r="GF78" i="13"/>
  <c r="KW92" i="13"/>
  <c r="IX79" i="13"/>
  <c r="GY66" i="13"/>
  <c r="MR102" i="13"/>
  <c r="KS89" i="13"/>
  <c r="IT76" i="13"/>
  <c r="KD101" i="13"/>
  <c r="IE88" i="13"/>
  <c r="GF75" i="13"/>
  <c r="CH52" i="13"/>
  <c r="EG65" i="13"/>
  <c r="EG62" i="13"/>
  <c r="CH49" i="13"/>
  <c r="AJ33" i="13"/>
  <c r="GU57" i="13"/>
  <c r="EV44" i="13"/>
  <c r="EZ53" i="13"/>
  <c r="DA40" i="13"/>
  <c r="BB32" i="13"/>
  <c r="GU63" i="13"/>
  <c r="EV50" i="13"/>
  <c r="GU61" i="13"/>
  <c r="EV48" i="13"/>
  <c r="CX31" i="13"/>
  <c r="YP188" i="13" l="1"/>
  <c r="WQ175" i="13"/>
  <c r="UR162" i="13"/>
  <c r="SS149" i="13"/>
  <c r="AAL187" i="13"/>
  <c r="YM174" i="13"/>
  <c r="WN161" i="13"/>
  <c r="UO148" i="13"/>
  <c r="AAL191" i="13"/>
  <c r="UO152" i="13"/>
  <c r="WN165" i="13"/>
  <c r="YM178" i="13"/>
  <c r="AJ6" i="13"/>
  <c r="XX189" i="13"/>
  <c r="VY176" i="13"/>
  <c r="TZ163" i="13"/>
  <c r="SA150" i="13"/>
  <c r="YM180" i="13"/>
  <c r="AAL193" i="13"/>
  <c r="UO154" i="13"/>
  <c r="WN167" i="13"/>
  <c r="AI7" i="13"/>
  <c r="AI8" i="13"/>
  <c r="AI11" i="13"/>
  <c r="QT136" i="13"/>
  <c r="OU123" i="13"/>
  <c r="MV110" i="13"/>
  <c r="SP135" i="13"/>
  <c r="QQ122" i="13"/>
  <c r="OR109" i="13"/>
  <c r="SP139" i="13"/>
  <c r="QQ126" i="13"/>
  <c r="OR113" i="13"/>
  <c r="QB137" i="13"/>
  <c r="MD111" i="13"/>
  <c r="OC124" i="13"/>
  <c r="SP141" i="13"/>
  <c r="QQ128" i="13"/>
  <c r="OR115" i="13"/>
  <c r="KE98" i="13"/>
  <c r="IF85" i="13"/>
  <c r="GG72" i="13"/>
  <c r="MS102" i="13"/>
  <c r="KT89" i="13"/>
  <c r="IU76" i="13"/>
  <c r="KW97" i="13"/>
  <c r="IX84" i="13"/>
  <c r="GY71" i="13"/>
  <c r="MS96" i="13"/>
  <c r="KT83" i="13"/>
  <c r="IU70" i="13"/>
  <c r="MS100" i="13"/>
  <c r="KT87" i="13"/>
  <c r="IU74" i="13"/>
  <c r="GV57" i="13"/>
  <c r="EW44" i="13"/>
  <c r="GV61" i="13"/>
  <c r="EW48" i="13"/>
  <c r="EZ58" i="13"/>
  <c r="DA45" i="13"/>
  <c r="EH59" i="13"/>
  <c r="AJ34" i="13"/>
  <c r="CI46" i="13"/>
  <c r="BC27" i="13"/>
  <c r="GV63" i="13"/>
  <c r="EW50" i="13"/>
  <c r="CY31" i="13"/>
  <c r="AAM191" i="13" l="1"/>
  <c r="YN178" i="13"/>
  <c r="WO165" i="13"/>
  <c r="UP152" i="13"/>
  <c r="AAM187" i="13"/>
  <c r="YN174" i="13"/>
  <c r="WO161" i="13"/>
  <c r="UP148" i="13"/>
  <c r="YQ183" i="13"/>
  <c r="WR170" i="13"/>
  <c r="US157" i="13"/>
  <c r="ST144" i="13"/>
  <c r="AI12" i="13"/>
  <c r="AI13" i="13"/>
  <c r="AI10" i="13"/>
  <c r="AI9" i="13"/>
  <c r="YN180" i="13"/>
  <c r="AAM193" i="13"/>
  <c r="UP154" i="13"/>
  <c r="WO167" i="13"/>
  <c r="AJ2" i="13"/>
  <c r="AJ3" i="13"/>
  <c r="XX190" i="13"/>
  <c r="VY177" i="13"/>
  <c r="TZ164" i="13"/>
  <c r="SA151" i="13"/>
  <c r="QR122" i="13"/>
  <c r="SQ135" i="13"/>
  <c r="OS109" i="13"/>
  <c r="SQ141" i="13"/>
  <c r="QR128" i="13"/>
  <c r="OS115" i="13"/>
  <c r="SQ139" i="13"/>
  <c r="QR126" i="13"/>
  <c r="OS113" i="13"/>
  <c r="QU131" i="13"/>
  <c r="MW105" i="13"/>
  <c r="OV118" i="13"/>
  <c r="QB138" i="13"/>
  <c r="OC125" i="13"/>
  <c r="MD112" i="13"/>
  <c r="MT96" i="13"/>
  <c r="KU83" i="13"/>
  <c r="IV70" i="13"/>
  <c r="MT102" i="13"/>
  <c r="KU89" i="13"/>
  <c r="IV76" i="13"/>
  <c r="MT100" i="13"/>
  <c r="KU87" i="13"/>
  <c r="IV74" i="13"/>
  <c r="KX92" i="13"/>
  <c r="IY79" i="13"/>
  <c r="GZ66" i="13"/>
  <c r="KE99" i="13"/>
  <c r="IF86" i="13"/>
  <c r="GG73" i="13"/>
  <c r="GW63" i="13"/>
  <c r="EX50" i="13"/>
  <c r="GW61" i="13"/>
  <c r="EX48" i="13"/>
  <c r="FA53" i="13"/>
  <c r="DB40" i="13"/>
  <c r="BC32" i="13"/>
  <c r="GW57" i="13"/>
  <c r="EX44" i="13"/>
  <c r="EH60" i="13"/>
  <c r="CI47" i="13"/>
  <c r="AJ39" i="13"/>
  <c r="AJ36" i="13"/>
  <c r="CZ31" i="13"/>
  <c r="AAN191" i="13" l="1"/>
  <c r="YO178" i="13"/>
  <c r="WP165" i="13"/>
  <c r="UQ152" i="13"/>
  <c r="AAN187" i="13"/>
  <c r="YO174" i="13"/>
  <c r="WP161" i="13"/>
  <c r="UQ148" i="13"/>
  <c r="YQ188" i="13"/>
  <c r="WR175" i="13"/>
  <c r="US162" i="13"/>
  <c r="ST149" i="13"/>
  <c r="YO180" i="13"/>
  <c r="AAN193" i="13"/>
  <c r="WP167" i="13"/>
  <c r="UQ154" i="13"/>
  <c r="AJ4" i="13"/>
  <c r="AJ5" i="13" s="1"/>
  <c r="XX192" i="13"/>
  <c r="VY179" i="13"/>
  <c r="TZ166" i="13"/>
  <c r="SA153" i="13"/>
  <c r="XX195" i="13"/>
  <c r="VY182" i="13"/>
  <c r="SA156" i="13"/>
  <c r="TZ169" i="13"/>
  <c r="QU136" i="13"/>
  <c r="OV123" i="13"/>
  <c r="MW110" i="13"/>
  <c r="SR141" i="13"/>
  <c r="QS128" i="13"/>
  <c r="OT115" i="13"/>
  <c r="SR135" i="13"/>
  <c r="QS122" i="13"/>
  <c r="OT109" i="13"/>
  <c r="QB140" i="13"/>
  <c r="OC127" i="13"/>
  <c r="MD114" i="13"/>
  <c r="SR139" i="13"/>
  <c r="QS126" i="13"/>
  <c r="OT113" i="13"/>
  <c r="OC130" i="13"/>
  <c r="MD117" i="13"/>
  <c r="QB143" i="13"/>
  <c r="MU96" i="13"/>
  <c r="KV83" i="13"/>
  <c r="IW70" i="13"/>
  <c r="KE101" i="13"/>
  <c r="IF88" i="13"/>
  <c r="GG75" i="13"/>
  <c r="KX97" i="13"/>
  <c r="IY84" i="13"/>
  <c r="GZ71" i="13"/>
  <c r="KE104" i="13"/>
  <c r="IF91" i="13"/>
  <c r="GG78" i="13"/>
  <c r="MU102" i="13"/>
  <c r="KV89" i="13"/>
  <c r="IW76" i="13"/>
  <c r="KV87" i="13"/>
  <c r="MU100" i="13"/>
  <c r="IW74" i="13"/>
  <c r="GX61" i="13"/>
  <c r="EY48" i="13"/>
  <c r="EH62" i="13"/>
  <c r="CI49" i="13"/>
  <c r="AK33" i="13"/>
  <c r="GX57" i="13"/>
  <c r="EY44" i="13"/>
  <c r="CI52" i="13"/>
  <c r="EH65" i="13"/>
  <c r="BD27" i="13"/>
  <c r="FA58" i="13"/>
  <c r="DB45" i="13"/>
  <c r="GX63" i="13"/>
  <c r="EY50" i="13"/>
  <c r="DA31" i="13"/>
  <c r="YR183" i="13" l="1"/>
  <c r="WS170" i="13"/>
  <c r="SU144" i="13"/>
  <c r="UT157" i="13"/>
  <c r="AAO187" i="13"/>
  <c r="YP174" i="13"/>
  <c r="UR148" i="13"/>
  <c r="WQ161" i="13"/>
  <c r="AAO191" i="13"/>
  <c r="YP178" i="13"/>
  <c r="WQ165" i="13"/>
  <c r="UR152" i="13"/>
  <c r="YP180" i="13"/>
  <c r="AAO193" i="13"/>
  <c r="UR154" i="13"/>
  <c r="WQ167" i="13"/>
  <c r="AJ7" i="13"/>
  <c r="AJ8" i="13"/>
  <c r="AJ11" i="13"/>
  <c r="AK6" i="13"/>
  <c r="XY189" i="13"/>
  <c r="VZ176" i="13"/>
  <c r="UA163" i="13"/>
  <c r="SB150" i="13"/>
  <c r="SS139" i="13"/>
  <c r="QT126" i="13"/>
  <c r="OU113" i="13"/>
  <c r="SS135" i="13"/>
  <c r="QT122" i="13"/>
  <c r="OU109" i="13"/>
  <c r="SS141" i="13"/>
  <c r="QT128" i="13"/>
  <c r="OU115" i="13"/>
  <c r="QC137" i="13"/>
  <c r="OD124" i="13"/>
  <c r="ME111" i="13"/>
  <c r="QV131" i="13"/>
  <c r="OW118" i="13"/>
  <c r="MX105" i="13"/>
  <c r="KY92" i="13"/>
  <c r="IZ79" i="13"/>
  <c r="HA66" i="13"/>
  <c r="MV100" i="13"/>
  <c r="KW87" i="13"/>
  <c r="IX74" i="13"/>
  <c r="MV102" i="13"/>
  <c r="KW89" i="13"/>
  <c r="IX76" i="13"/>
  <c r="KF98" i="13"/>
  <c r="IG85" i="13"/>
  <c r="GH72" i="13"/>
  <c r="MV96" i="13"/>
  <c r="KW83" i="13"/>
  <c r="IX70" i="13"/>
  <c r="EI59" i="13"/>
  <c r="AK34" i="13"/>
  <c r="CJ46" i="13"/>
  <c r="GY57" i="13"/>
  <c r="EZ44" i="13"/>
  <c r="GY61" i="13"/>
  <c r="EZ48" i="13"/>
  <c r="GY63" i="13"/>
  <c r="EZ50" i="13"/>
  <c r="FB53" i="13"/>
  <c r="DC40" i="13"/>
  <c r="BD32" i="13"/>
  <c r="DB31" i="13"/>
  <c r="AAP187" i="13" l="1"/>
  <c r="YQ174" i="13"/>
  <c r="US148" i="13"/>
  <c r="WR161" i="13"/>
  <c r="AAP191" i="13"/>
  <c r="YQ178" i="13"/>
  <c r="WR165" i="13"/>
  <c r="US152" i="13"/>
  <c r="YR188" i="13"/>
  <c r="WS175" i="13"/>
  <c r="UT162" i="13"/>
  <c r="SU149" i="13"/>
  <c r="AK2" i="13"/>
  <c r="AK3" i="13"/>
  <c r="XY190" i="13"/>
  <c r="UA164" i="13"/>
  <c r="VZ177" i="13"/>
  <c r="SB151" i="13"/>
  <c r="AJ9" i="13"/>
  <c r="AJ10" i="13"/>
  <c r="AJ12" i="13"/>
  <c r="AJ13" i="13"/>
  <c r="AAP193" i="13"/>
  <c r="YQ180" i="13"/>
  <c r="WR167" i="13"/>
  <c r="US154" i="13"/>
  <c r="QV136" i="13"/>
  <c r="OW123" i="13"/>
  <c r="MX110" i="13"/>
  <c r="ST139" i="13"/>
  <c r="QU126" i="13"/>
  <c r="OV113" i="13"/>
  <c r="QC138" i="13"/>
  <c r="OD125" i="13"/>
  <c r="ME112" i="13"/>
  <c r="ST135" i="13"/>
  <c r="QU122" i="13"/>
  <c r="OV109" i="13"/>
  <c r="ST141" i="13"/>
  <c r="QU128" i="13"/>
  <c r="OV115" i="13"/>
  <c r="MW96" i="13"/>
  <c r="KX83" i="13"/>
  <c r="IY70" i="13"/>
  <c r="KX87" i="13"/>
  <c r="MW100" i="13"/>
  <c r="IY74" i="13"/>
  <c r="KF99" i="13"/>
  <c r="IG86" i="13"/>
  <c r="GH73" i="13"/>
  <c r="KY97" i="13"/>
  <c r="IZ84" i="13"/>
  <c r="HA71" i="13"/>
  <c r="MW102" i="13"/>
  <c r="KX89" i="13"/>
  <c r="IY76" i="13"/>
  <c r="GZ61" i="13"/>
  <c r="FA48" i="13"/>
  <c r="EI60" i="13"/>
  <c r="AK36" i="13"/>
  <c r="CJ47" i="13"/>
  <c r="AK39" i="13"/>
  <c r="BE27" i="13"/>
  <c r="FB58" i="13"/>
  <c r="DC45" i="13"/>
  <c r="GZ57" i="13"/>
  <c r="FA44" i="13"/>
  <c r="GZ63" i="13"/>
  <c r="FA50" i="13"/>
  <c r="DC31" i="13"/>
  <c r="YS183" i="13" l="1"/>
  <c r="UU157" i="13"/>
  <c r="WT170" i="13"/>
  <c r="SV144" i="13"/>
  <c r="AAQ191" i="13"/>
  <c r="YR178" i="13"/>
  <c r="WS165" i="13"/>
  <c r="UT152" i="13"/>
  <c r="AAQ187" i="13"/>
  <c r="YR174" i="13"/>
  <c r="UT148" i="13"/>
  <c r="WS161" i="13"/>
  <c r="XY195" i="13"/>
  <c r="VZ182" i="13"/>
  <c r="UA169" i="13"/>
  <c r="SB156" i="13"/>
  <c r="AAQ193" i="13"/>
  <c r="YR180" i="13"/>
  <c r="UT154" i="13"/>
  <c r="WS167" i="13"/>
  <c r="AK4" i="13"/>
  <c r="AK5" i="13" s="1"/>
  <c r="XY192" i="13"/>
  <c r="VZ179" i="13"/>
  <c r="UA166" i="13"/>
  <c r="SB153" i="13"/>
  <c r="SU139" i="13"/>
  <c r="QV126" i="13"/>
  <c r="OW113" i="13"/>
  <c r="QW131" i="13"/>
  <c r="OX118" i="13"/>
  <c r="MY105" i="13"/>
  <c r="SU135" i="13"/>
  <c r="QV122" i="13"/>
  <c r="OW109" i="13"/>
  <c r="QV128" i="13"/>
  <c r="SU141" i="13"/>
  <c r="OW115" i="13"/>
  <c r="QC140" i="13"/>
  <c r="OD127" i="13"/>
  <c r="ME114" i="13"/>
  <c r="OD130" i="13"/>
  <c r="ME117" i="13"/>
  <c r="QC143" i="13"/>
  <c r="MX100" i="13"/>
  <c r="KY87" i="13"/>
  <c r="IZ74" i="13"/>
  <c r="KF104" i="13"/>
  <c r="IG91" i="13"/>
  <c r="GH78" i="13"/>
  <c r="MX96" i="13"/>
  <c r="KY83" i="13"/>
  <c r="IZ70" i="13"/>
  <c r="KZ92" i="13"/>
  <c r="JA79" i="13"/>
  <c r="HB66" i="13"/>
  <c r="MX102" i="13"/>
  <c r="KY89" i="13"/>
  <c r="IZ76" i="13"/>
  <c r="KF101" i="13"/>
  <c r="IG88" i="13"/>
  <c r="GH75" i="13"/>
  <c r="CJ52" i="13"/>
  <c r="EI65" i="13"/>
  <c r="HA63" i="13"/>
  <c r="FB50" i="13"/>
  <c r="HA57" i="13"/>
  <c r="FB44" i="13"/>
  <c r="FC53" i="13"/>
  <c r="DD40" i="13"/>
  <c r="BE32" i="13"/>
  <c r="HA61" i="13"/>
  <c r="FB48" i="13"/>
  <c r="EI62" i="13"/>
  <c r="CJ49" i="13"/>
  <c r="AL33" i="13"/>
  <c r="DD31" i="13"/>
  <c r="AAR187" i="13" l="1"/>
  <c r="YS174" i="13"/>
  <c r="WT161" i="13"/>
  <c r="UU148" i="13"/>
  <c r="YS188" i="13"/>
  <c r="WT175" i="13"/>
  <c r="UU162" i="13"/>
  <c r="SV149" i="13"/>
  <c r="AAR191" i="13"/>
  <c r="YS178" i="13"/>
  <c r="WT165" i="13"/>
  <c r="UU152" i="13"/>
  <c r="AAR193" i="13"/>
  <c r="YS180" i="13"/>
  <c r="UU154" i="13"/>
  <c r="WT167" i="13"/>
  <c r="AL6" i="13"/>
  <c r="XZ189" i="13"/>
  <c r="WA176" i="13"/>
  <c r="UB163" i="13"/>
  <c r="SC150" i="13"/>
  <c r="AK8" i="13"/>
  <c r="AK7" i="13"/>
  <c r="AK11" i="13"/>
  <c r="QW136" i="13"/>
  <c r="OX123" i="13"/>
  <c r="MY110" i="13"/>
  <c r="SV135" i="13"/>
  <c r="QW122" i="13"/>
  <c r="OX109" i="13"/>
  <c r="SV139" i="13"/>
  <c r="QW126" i="13"/>
  <c r="OX113" i="13"/>
  <c r="QD137" i="13"/>
  <c r="OE124" i="13"/>
  <c r="MF111" i="13"/>
  <c r="SV141" i="13"/>
  <c r="QW128" i="13"/>
  <c r="OX115" i="13"/>
  <c r="MY100" i="13"/>
  <c r="KZ87" i="13"/>
  <c r="JA74" i="13"/>
  <c r="KG98" i="13"/>
  <c r="IH85" i="13"/>
  <c r="GI72" i="13"/>
  <c r="MY102" i="13"/>
  <c r="KZ89" i="13"/>
  <c r="JA76" i="13"/>
  <c r="KZ97" i="13"/>
  <c r="JA84" i="13"/>
  <c r="HB71" i="13"/>
  <c r="MY96" i="13"/>
  <c r="KZ83" i="13"/>
  <c r="JA70" i="13"/>
  <c r="HB57" i="13"/>
  <c r="FC44" i="13"/>
  <c r="HB63" i="13"/>
  <c r="FC50" i="13"/>
  <c r="BF27" i="13"/>
  <c r="FC58" i="13"/>
  <c r="DD45" i="13"/>
  <c r="EJ59" i="13"/>
  <c r="AL34" i="13"/>
  <c r="CK46" i="13"/>
  <c r="HB61" i="13"/>
  <c r="FC48" i="13"/>
  <c r="DE31" i="13"/>
  <c r="YT183" i="13" l="1"/>
  <c r="WU170" i="13"/>
  <c r="UV157" i="13"/>
  <c r="SW144" i="13"/>
  <c r="AAS187" i="13"/>
  <c r="YT174" i="13"/>
  <c r="WU161" i="13"/>
  <c r="UV148" i="13"/>
  <c r="AAS191" i="13"/>
  <c r="YT178" i="13"/>
  <c r="WU165" i="13"/>
  <c r="UV152" i="13"/>
  <c r="AK12" i="13"/>
  <c r="AK13" i="13"/>
  <c r="AAS193" i="13"/>
  <c r="WU167" i="13"/>
  <c r="UV154" i="13"/>
  <c r="YT180" i="13"/>
  <c r="AL2" i="13"/>
  <c r="AL3" i="13"/>
  <c r="XZ190" i="13"/>
  <c r="WA177" i="13"/>
  <c r="SC151" i="13"/>
  <c r="UB164" i="13"/>
  <c r="AK9" i="13"/>
  <c r="AK10" i="13"/>
  <c r="SW135" i="13"/>
  <c r="QX122" i="13"/>
  <c r="OY109" i="13"/>
  <c r="SW139" i="13"/>
  <c r="QX126" i="13"/>
  <c r="OY113" i="13"/>
  <c r="QD138" i="13"/>
  <c r="OE125" i="13"/>
  <c r="MF112" i="13"/>
  <c r="QX131" i="13"/>
  <c r="OY118" i="13"/>
  <c r="MZ105" i="13"/>
  <c r="SW141" i="13"/>
  <c r="QX128" i="13"/>
  <c r="OY115" i="13"/>
  <c r="MZ96" i="13"/>
  <c r="LA83" i="13"/>
  <c r="JB70" i="13"/>
  <c r="LA92" i="13"/>
  <c r="JB79" i="13"/>
  <c r="HC66" i="13"/>
  <c r="KG99" i="13"/>
  <c r="IH86" i="13"/>
  <c r="GI73" i="13"/>
  <c r="MZ100" i="13"/>
  <c r="LA87" i="13"/>
  <c r="JB74" i="13"/>
  <c r="MZ102" i="13"/>
  <c r="LA89" i="13"/>
  <c r="JB76" i="13"/>
  <c r="FD53" i="13"/>
  <c r="DE40" i="13"/>
  <c r="BF32" i="13"/>
  <c r="HC63" i="13"/>
  <c r="FD50" i="13"/>
  <c r="HC61" i="13"/>
  <c r="FD48" i="13"/>
  <c r="HC57" i="13"/>
  <c r="FD44" i="13"/>
  <c r="EJ60" i="13"/>
  <c r="AL36" i="13"/>
  <c r="CK47" i="13"/>
  <c r="AL39" i="13"/>
  <c r="DF31" i="13"/>
  <c r="AAT187" i="13" l="1"/>
  <c r="YU174" i="13"/>
  <c r="UW148" i="13"/>
  <c r="WV161" i="13"/>
  <c r="AAT191" i="13"/>
  <c r="YU178" i="13"/>
  <c r="UW152" i="13"/>
  <c r="WV165" i="13"/>
  <c r="YT188" i="13"/>
  <c r="WU175" i="13"/>
  <c r="SW149" i="13"/>
  <c r="UV162" i="13"/>
  <c r="YU180" i="13"/>
  <c r="AAT193" i="13"/>
  <c r="UW154" i="13"/>
  <c r="WV167" i="13"/>
  <c r="XZ195" i="13"/>
  <c r="UB169" i="13"/>
  <c r="SC156" i="13"/>
  <c r="WA182" i="13"/>
  <c r="AL4" i="13"/>
  <c r="AL5" i="13" s="1"/>
  <c r="XZ192" i="13"/>
  <c r="WA179" i="13"/>
  <c r="SC153" i="13"/>
  <c r="UB166" i="13"/>
  <c r="QX136" i="13"/>
  <c r="OY123" i="13"/>
  <c r="MZ110" i="13"/>
  <c r="SX139" i="13"/>
  <c r="OZ113" i="13"/>
  <c r="QY126" i="13"/>
  <c r="SX141" i="13"/>
  <c r="QY128" i="13"/>
  <c r="OZ115" i="13"/>
  <c r="SX135" i="13"/>
  <c r="QY122" i="13"/>
  <c r="OZ109" i="13"/>
  <c r="QD140" i="13"/>
  <c r="OE127" i="13"/>
  <c r="MF114" i="13"/>
  <c r="QD143" i="13"/>
  <c r="OE130" i="13"/>
  <c r="MF117" i="13"/>
  <c r="NA100" i="13"/>
  <c r="LB87" i="13"/>
  <c r="JC74" i="13"/>
  <c r="KG104" i="13"/>
  <c r="IH91" i="13"/>
  <c r="GI78" i="13"/>
  <c r="NA96" i="13"/>
  <c r="LB83" i="13"/>
  <c r="JC70" i="13"/>
  <c r="NA102" i="13"/>
  <c r="LB89" i="13"/>
  <c r="JC76" i="13"/>
  <c r="LA97" i="13"/>
  <c r="JB84" i="13"/>
  <c r="HC71" i="13"/>
  <c r="IH88" i="13"/>
  <c r="KG101" i="13"/>
  <c r="GI75" i="13"/>
  <c r="HD61" i="13"/>
  <c r="FE48" i="13"/>
  <c r="CK52" i="13"/>
  <c r="EJ65" i="13"/>
  <c r="BG27" i="13"/>
  <c r="FD58" i="13"/>
  <c r="DE45" i="13"/>
  <c r="EJ62" i="13"/>
  <c r="CK49" i="13"/>
  <c r="AM33" i="13"/>
  <c r="HD57" i="13"/>
  <c r="FE44" i="13"/>
  <c r="HD63" i="13"/>
  <c r="FE50" i="13"/>
  <c r="DG31" i="13"/>
  <c r="AAU191" i="13" l="1"/>
  <c r="YV178" i="13"/>
  <c r="WW165" i="13"/>
  <c r="UX152" i="13"/>
  <c r="YU183" i="13"/>
  <c r="UW157" i="13"/>
  <c r="WV170" i="13"/>
  <c r="SX144" i="13"/>
  <c r="AAU187" i="13"/>
  <c r="YV174" i="13"/>
  <c r="UX148" i="13"/>
  <c r="WW161" i="13"/>
  <c r="YV180" i="13"/>
  <c r="AAU193" i="13"/>
  <c r="UX154" i="13"/>
  <c r="WW167" i="13"/>
  <c r="AM6" i="13"/>
  <c r="YA189" i="13"/>
  <c r="WB176" i="13"/>
  <c r="SD150" i="13"/>
  <c r="UC163" i="13"/>
  <c r="AL7" i="13"/>
  <c r="AL8" i="13"/>
  <c r="AL11" i="13"/>
  <c r="QY131" i="13"/>
  <c r="OZ118" i="13"/>
  <c r="NA105" i="13"/>
  <c r="SY135" i="13"/>
  <c r="QZ122" i="13"/>
  <c r="PA109" i="13"/>
  <c r="SY141" i="13"/>
  <c r="QZ128" i="13"/>
  <c r="PA115" i="13"/>
  <c r="QE137" i="13"/>
  <c r="OF124" i="13"/>
  <c r="MG111" i="13"/>
  <c r="SY139" i="13"/>
  <c r="PA113" i="13"/>
  <c r="QZ126" i="13"/>
  <c r="NB96" i="13"/>
  <c r="LC83" i="13"/>
  <c r="JD70" i="13"/>
  <c r="KH98" i="13"/>
  <c r="II85" i="13"/>
  <c r="GJ72" i="13"/>
  <c r="NB102" i="13"/>
  <c r="LC89" i="13"/>
  <c r="JD76" i="13"/>
  <c r="LB92" i="13"/>
  <c r="JC79" i="13"/>
  <c r="HD66" i="13"/>
  <c r="NB100" i="13"/>
  <c r="LC87" i="13"/>
  <c r="JD74" i="13"/>
  <c r="HE61" i="13"/>
  <c r="FF48" i="13"/>
  <c r="FE53" i="13"/>
  <c r="DF40" i="13"/>
  <c r="BG32" i="13"/>
  <c r="HE57" i="13"/>
  <c r="FF44" i="13"/>
  <c r="HE63" i="13"/>
  <c r="FF50" i="13"/>
  <c r="EK59" i="13"/>
  <c r="AM34" i="13"/>
  <c r="CL46" i="13"/>
  <c r="DH31" i="13"/>
  <c r="AAV191" i="13" l="1"/>
  <c r="YW178" i="13"/>
  <c r="WX165" i="13"/>
  <c r="UY152" i="13"/>
  <c r="AAV187" i="13"/>
  <c r="YW174" i="13"/>
  <c r="WX161" i="13"/>
  <c r="UY148" i="13"/>
  <c r="YU188" i="13"/>
  <c r="WV175" i="13"/>
  <c r="SX149" i="13"/>
  <c r="UW162" i="13"/>
  <c r="AM3" i="13"/>
  <c r="AM2" i="13"/>
  <c r="WB177" i="13"/>
  <c r="YA190" i="13"/>
  <c r="SD151" i="13"/>
  <c r="UC164" i="13"/>
  <c r="AL12" i="13"/>
  <c r="AL13" i="13"/>
  <c r="AL10" i="13"/>
  <c r="AL9" i="13"/>
  <c r="YW180" i="13"/>
  <c r="WX167" i="13"/>
  <c r="AAV193" i="13"/>
  <c r="UY154" i="13"/>
  <c r="QY136" i="13"/>
  <c r="OZ123" i="13"/>
  <c r="NA110" i="13"/>
  <c r="SZ139" i="13"/>
  <c r="RA126" i="13"/>
  <c r="PB113" i="13"/>
  <c r="SZ135" i="13"/>
  <c r="RA122" i="13"/>
  <c r="PB109" i="13"/>
  <c r="QE138" i="13"/>
  <c r="OF125" i="13"/>
  <c r="MG112" i="13"/>
  <c r="SZ141" i="13"/>
  <c r="RA128" i="13"/>
  <c r="PB115" i="13"/>
  <c r="NC96" i="13"/>
  <c r="LD83" i="13"/>
  <c r="JE70" i="13"/>
  <c r="LB97" i="13"/>
  <c r="JC84" i="13"/>
  <c r="HD71" i="13"/>
  <c r="NC100" i="13"/>
  <c r="LD87" i="13"/>
  <c r="JE74" i="13"/>
  <c r="KH99" i="13"/>
  <c r="II86" i="13"/>
  <c r="GJ73" i="13"/>
  <c r="NC102" i="13"/>
  <c r="LD89" i="13"/>
  <c r="JE76" i="13"/>
  <c r="EK60" i="13"/>
  <c r="AM36" i="13"/>
  <c r="CL47" i="13"/>
  <c r="AM39" i="13"/>
  <c r="HF57" i="13"/>
  <c r="FG44" i="13"/>
  <c r="HF61" i="13"/>
  <c r="FG48" i="13"/>
  <c r="BH27" i="13"/>
  <c r="FE58" i="13"/>
  <c r="DF45" i="13"/>
  <c r="HF63" i="13"/>
  <c r="FG50" i="13"/>
  <c r="DI31" i="13"/>
  <c r="AAW187" i="13" l="1"/>
  <c r="YX174" i="13"/>
  <c r="WY161" i="13"/>
  <c r="UZ148" i="13"/>
  <c r="YV183" i="13"/>
  <c r="UX157" i="13"/>
  <c r="SY144" i="13"/>
  <c r="WW170" i="13"/>
  <c r="AAW191" i="13"/>
  <c r="YX178" i="13"/>
  <c r="UZ152" i="13"/>
  <c r="WY165" i="13"/>
  <c r="YA195" i="13"/>
  <c r="WB182" i="13"/>
  <c r="UC169" i="13"/>
  <c r="SD156" i="13"/>
  <c r="AM4" i="13"/>
  <c r="AM5" i="13" s="1"/>
  <c r="YA192" i="13"/>
  <c r="UC166" i="13"/>
  <c r="WB179" i="13"/>
  <c r="SD153" i="13"/>
  <c r="YX180" i="13"/>
  <c r="AAW193" i="13"/>
  <c r="WY167" i="13"/>
  <c r="UZ154" i="13"/>
  <c r="QZ131" i="13"/>
  <c r="PA118" i="13"/>
  <c r="NB105" i="13"/>
  <c r="TA135" i="13"/>
  <c r="RB122" i="13"/>
  <c r="PC109" i="13"/>
  <c r="QE140" i="13"/>
  <c r="OF127" i="13"/>
  <c r="MG114" i="13"/>
  <c r="TA139" i="13"/>
  <c r="RB126" i="13"/>
  <c r="PC113" i="13"/>
  <c r="TA141" i="13"/>
  <c r="RB128" i="13"/>
  <c r="PC115" i="13"/>
  <c r="QE143" i="13"/>
  <c r="OF130" i="13"/>
  <c r="MG117" i="13"/>
  <c r="KH101" i="13"/>
  <c r="II88" i="13"/>
  <c r="GJ75" i="13"/>
  <c r="KH104" i="13"/>
  <c r="II91" i="13"/>
  <c r="GJ78" i="13"/>
  <c r="ND96" i="13"/>
  <c r="LE83" i="13"/>
  <c r="JF70" i="13"/>
  <c r="LC92" i="13"/>
  <c r="JD79" i="13"/>
  <c r="HE66" i="13"/>
  <c r="ND100" i="13"/>
  <c r="LE87" i="13"/>
  <c r="JF74" i="13"/>
  <c r="ND102" i="13"/>
  <c r="LE89" i="13"/>
  <c r="JF76" i="13"/>
  <c r="HG57" i="13"/>
  <c r="FH44" i="13"/>
  <c r="HG63" i="13"/>
  <c r="FH50" i="13"/>
  <c r="FF53" i="13"/>
  <c r="DG40" i="13"/>
  <c r="BH32" i="13"/>
  <c r="EK62" i="13"/>
  <c r="AN33" i="13"/>
  <c r="CL49" i="13"/>
  <c r="CL52" i="13"/>
  <c r="EK65" i="13"/>
  <c r="HG61" i="13"/>
  <c r="FH48" i="13"/>
  <c r="DJ31" i="13"/>
  <c r="AAX191" i="13" l="1"/>
  <c r="YY178" i="13"/>
  <c r="VA152" i="13"/>
  <c r="WZ165" i="13"/>
  <c r="AAX187" i="13"/>
  <c r="YY174" i="13"/>
  <c r="WZ161" i="13"/>
  <c r="VA148" i="13"/>
  <c r="YV188" i="13"/>
  <c r="UX162" i="13"/>
  <c r="WW175" i="13"/>
  <c r="SY149" i="13"/>
  <c r="AM7" i="13"/>
  <c r="AM8" i="13"/>
  <c r="AM11" i="13"/>
  <c r="AAX193" i="13"/>
  <c r="YY180" i="13"/>
  <c r="WZ167" i="13"/>
  <c r="VA154" i="13"/>
  <c r="AN6" i="13"/>
  <c r="YB189" i="13"/>
  <c r="SE150" i="13"/>
  <c r="UD163" i="13"/>
  <c r="WC176" i="13"/>
  <c r="QF137" i="13"/>
  <c r="OG124" i="13"/>
  <c r="MH111" i="13"/>
  <c r="TB135" i="13"/>
  <c r="RC122" i="13"/>
  <c r="PD109" i="13"/>
  <c r="TB139" i="13"/>
  <c r="RC126" i="13"/>
  <c r="PD113" i="13"/>
  <c r="QZ136" i="13"/>
  <c r="NB110" i="13"/>
  <c r="PA123" i="13"/>
  <c r="TB141" i="13"/>
  <c r="RC128" i="13"/>
  <c r="PD115" i="13"/>
  <c r="NE96" i="13"/>
  <c r="LF83" i="13"/>
  <c r="JG70" i="13"/>
  <c r="NE100" i="13"/>
  <c r="LF87" i="13"/>
  <c r="JG74" i="13"/>
  <c r="LC97" i="13"/>
  <c r="JD84" i="13"/>
  <c r="HE71" i="13"/>
  <c r="NE102" i="13"/>
  <c r="LF89" i="13"/>
  <c r="JG76" i="13"/>
  <c r="KI98" i="13"/>
  <c r="IJ85" i="13"/>
  <c r="GK72" i="13"/>
  <c r="BI27" i="13"/>
  <c r="FF58" i="13"/>
  <c r="DG45" i="13"/>
  <c r="HH63" i="13"/>
  <c r="FI50" i="13"/>
  <c r="HH61" i="13"/>
  <c r="FI48" i="13"/>
  <c r="HH57" i="13"/>
  <c r="FI44" i="13"/>
  <c r="EL59" i="13"/>
  <c r="AN34" i="13"/>
  <c r="CM46" i="13"/>
  <c r="DK31" i="13"/>
  <c r="AAY187" i="13" l="1"/>
  <c r="YZ174" i="13"/>
  <c r="XA161" i="13"/>
  <c r="VB148" i="13"/>
  <c r="WX170" i="13"/>
  <c r="YW183" i="13"/>
  <c r="SZ144" i="13"/>
  <c r="UY157" i="13"/>
  <c r="AAY191" i="13"/>
  <c r="YZ178" i="13"/>
  <c r="XA165" i="13"/>
  <c r="VB152" i="13"/>
  <c r="AN2" i="13"/>
  <c r="AN3" i="13"/>
  <c r="WC177" i="13"/>
  <c r="YB190" i="13"/>
  <c r="UD164" i="13"/>
  <c r="SE151" i="13"/>
  <c r="AM12" i="13"/>
  <c r="AM13" i="13"/>
  <c r="AAY193" i="13"/>
  <c r="YZ180" i="13"/>
  <c r="XA167" i="13"/>
  <c r="VB154" i="13"/>
  <c r="AM10" i="13"/>
  <c r="AM9" i="13"/>
  <c r="QF138" i="13"/>
  <c r="OG125" i="13"/>
  <c r="MH112" i="13"/>
  <c r="TC139" i="13"/>
  <c r="RD126" i="13"/>
  <c r="PE113" i="13"/>
  <c r="TC135" i="13"/>
  <c r="RD122" i="13"/>
  <c r="PE109" i="13"/>
  <c r="TC141" i="13"/>
  <c r="RD128" i="13"/>
  <c r="PE115" i="13"/>
  <c r="RA131" i="13"/>
  <c r="PB118" i="13"/>
  <c r="NC105" i="13"/>
  <c r="NF96" i="13"/>
  <c r="LG83" i="13"/>
  <c r="JH70" i="13"/>
  <c r="KI99" i="13"/>
  <c r="IJ86" i="13"/>
  <c r="GK73" i="13"/>
  <c r="NF102" i="13"/>
  <c r="LG89" i="13"/>
  <c r="JH76" i="13"/>
  <c r="LD92" i="13"/>
  <c r="JE79" i="13"/>
  <c r="HF66" i="13"/>
  <c r="NF100" i="13"/>
  <c r="LG87" i="13"/>
  <c r="JH74" i="13"/>
  <c r="HI61" i="13"/>
  <c r="FJ48" i="13"/>
  <c r="EL60" i="13"/>
  <c r="AN36" i="13"/>
  <c r="CM47" i="13"/>
  <c r="AN39" i="13"/>
  <c r="HI63" i="13"/>
  <c r="FJ50" i="13"/>
  <c r="HI57" i="13"/>
  <c r="FJ44" i="13"/>
  <c r="FG53" i="13"/>
  <c r="DH40" i="13"/>
  <c r="BI32" i="13"/>
  <c r="DL31" i="13"/>
  <c r="WX175" i="13" l="1"/>
  <c r="YW188" i="13"/>
  <c r="UY162" i="13"/>
  <c r="SZ149" i="13"/>
  <c r="AAZ191" i="13"/>
  <c r="ZA178" i="13"/>
  <c r="XB165" i="13"/>
  <c r="VC152" i="13"/>
  <c r="AAZ187" i="13"/>
  <c r="ZA174" i="13"/>
  <c r="XB161" i="13"/>
  <c r="VC148" i="13"/>
  <c r="AAZ193" i="13"/>
  <c r="ZA180" i="13"/>
  <c r="XB167" i="13"/>
  <c r="VC154" i="13"/>
  <c r="WC182" i="13"/>
  <c r="UD169" i="13"/>
  <c r="YB195" i="13"/>
  <c r="SE156" i="13"/>
  <c r="AN4" i="13"/>
  <c r="AN5" i="13" s="1"/>
  <c r="YB192" i="13"/>
  <c r="WC179" i="13"/>
  <c r="UD166" i="13"/>
  <c r="SE153" i="13"/>
  <c r="TD139" i="13"/>
  <c r="RE126" i="13"/>
  <c r="PF113" i="13"/>
  <c r="TD135" i="13"/>
  <c r="RE122" i="13"/>
  <c r="PF109" i="13"/>
  <c r="RA136" i="13"/>
  <c r="PB123" i="13"/>
  <c r="NC110" i="13"/>
  <c r="TD141" i="13"/>
  <c r="RE128" i="13"/>
  <c r="PF115" i="13"/>
  <c r="QF140" i="13"/>
  <c r="OG127" i="13"/>
  <c r="MH114" i="13"/>
  <c r="MH117" i="13"/>
  <c r="QF143" i="13"/>
  <c r="OG130" i="13"/>
  <c r="NG96" i="13"/>
  <c r="LH83" i="13"/>
  <c r="JI70" i="13"/>
  <c r="LD97" i="13"/>
  <c r="JE84" i="13"/>
  <c r="HF71" i="13"/>
  <c r="KI104" i="13"/>
  <c r="IJ91" i="13"/>
  <c r="GK78" i="13"/>
  <c r="NG100" i="13"/>
  <c r="LH87" i="13"/>
  <c r="JI74" i="13"/>
  <c r="LH89" i="13"/>
  <c r="NG102" i="13"/>
  <c r="JI76" i="13"/>
  <c r="KI101" i="13"/>
  <c r="IJ88" i="13"/>
  <c r="GK75" i="13"/>
  <c r="HJ63" i="13"/>
  <c r="FK50" i="13"/>
  <c r="BJ27" i="13"/>
  <c r="FG58" i="13"/>
  <c r="DH45" i="13"/>
  <c r="HJ57" i="13"/>
  <c r="FK44" i="13"/>
  <c r="CM52" i="13"/>
  <c r="EL65" i="13"/>
  <c r="EL62" i="13"/>
  <c r="CM49" i="13"/>
  <c r="AO33" i="13"/>
  <c r="HJ61" i="13"/>
  <c r="FK48" i="13"/>
  <c r="DM31" i="13"/>
  <c r="ZB174" i="13" l="1"/>
  <c r="ABA187" i="13"/>
  <c r="XC161" i="13"/>
  <c r="VD148" i="13"/>
  <c r="ZB178" i="13"/>
  <c r="ABA191" i="13"/>
  <c r="XC165" i="13"/>
  <c r="VD152" i="13"/>
  <c r="YX183" i="13"/>
  <c r="UZ157" i="13"/>
  <c r="WY170" i="13"/>
  <c r="TA144" i="13"/>
  <c r="AO6" i="13"/>
  <c r="YC189" i="13"/>
  <c r="UE163" i="13"/>
  <c r="WD176" i="13"/>
  <c r="SF150" i="13"/>
  <c r="ABA193" i="13"/>
  <c r="ZB180" i="13"/>
  <c r="XC167" i="13"/>
  <c r="VD154" i="13"/>
  <c r="AN7" i="13"/>
  <c r="AN8" i="13"/>
  <c r="AN11" i="13"/>
  <c r="TE135" i="13"/>
  <c r="RF122" i="13"/>
  <c r="PG109" i="13"/>
  <c r="TE141" i="13"/>
  <c r="RF128" i="13"/>
  <c r="PG115" i="13"/>
  <c r="TE139" i="13"/>
  <c r="RF126" i="13"/>
  <c r="PG113" i="13"/>
  <c r="RB131" i="13"/>
  <c r="PC118" i="13"/>
  <c r="ND105" i="13"/>
  <c r="QG137" i="13"/>
  <c r="OH124" i="13"/>
  <c r="MI111" i="13"/>
  <c r="KJ98" i="13"/>
  <c r="IK85" i="13"/>
  <c r="GL72" i="13"/>
  <c r="LE92" i="13"/>
  <c r="JF79" i="13"/>
  <c r="HG66" i="13"/>
  <c r="NH96" i="13"/>
  <c r="LI83" i="13"/>
  <c r="JJ70" i="13"/>
  <c r="NH100" i="13"/>
  <c r="LI87" i="13"/>
  <c r="JJ74" i="13"/>
  <c r="NH102" i="13"/>
  <c r="LI89" i="13"/>
  <c r="JJ76" i="13"/>
  <c r="HK61" i="13"/>
  <c r="FL48" i="13"/>
  <c r="EM59" i="13"/>
  <c r="AO34" i="13"/>
  <c r="CN46" i="13"/>
  <c r="FH53" i="13"/>
  <c r="DI40" i="13"/>
  <c r="BJ32" i="13"/>
  <c r="HK57" i="13"/>
  <c r="FL44" i="13"/>
  <c r="HK63" i="13"/>
  <c r="FL50" i="13"/>
  <c r="DN31" i="13"/>
  <c r="YX188" i="13" l="1"/>
  <c r="WY175" i="13"/>
  <c r="UZ162" i="13"/>
  <c r="TA149" i="13"/>
  <c r="ABB187" i="13"/>
  <c r="ZC174" i="13"/>
  <c r="XD161" i="13"/>
  <c r="VE148" i="13"/>
  <c r="ABB191" i="13"/>
  <c r="ZC178" i="13"/>
  <c r="XD165" i="13"/>
  <c r="VE152" i="13"/>
  <c r="AN12" i="13"/>
  <c r="AN13" i="13"/>
  <c r="ZC180" i="13"/>
  <c r="ABB193" i="13"/>
  <c r="XD167" i="13"/>
  <c r="VE154" i="13"/>
  <c r="AN9" i="13"/>
  <c r="AN10" i="13"/>
  <c r="AO2" i="13"/>
  <c r="AO3" i="13"/>
  <c r="WD177" i="13"/>
  <c r="YC190" i="13"/>
  <c r="UE164" i="13"/>
  <c r="SF151" i="13"/>
  <c r="TF141" i="13"/>
  <c r="RG128" i="13"/>
  <c r="PH115" i="13"/>
  <c r="QG138" i="13"/>
  <c r="OH125" i="13"/>
  <c r="MI112" i="13"/>
  <c r="TF139" i="13"/>
  <c r="RG126" i="13"/>
  <c r="PH113" i="13"/>
  <c r="TF135" i="13"/>
  <c r="RG122" i="13"/>
  <c r="PH109" i="13"/>
  <c r="RB136" i="13"/>
  <c r="PC123" i="13"/>
  <c r="ND110" i="13"/>
  <c r="KJ99" i="13"/>
  <c r="IK86" i="13"/>
  <c r="GL73" i="13"/>
  <c r="NI100" i="13"/>
  <c r="LJ87" i="13"/>
  <c r="JK74" i="13"/>
  <c r="LE97" i="13"/>
  <c r="JF84" i="13"/>
  <c r="HG71" i="13"/>
  <c r="NI102" i="13"/>
  <c r="LJ89" i="13"/>
  <c r="JK76" i="13"/>
  <c r="NI96" i="13"/>
  <c r="LJ83" i="13"/>
  <c r="JK70" i="13"/>
  <c r="HL63" i="13"/>
  <c r="FM50" i="13"/>
  <c r="HL57" i="13"/>
  <c r="FM44" i="13"/>
  <c r="HL61" i="13"/>
  <c r="FM48" i="13"/>
  <c r="EM60" i="13"/>
  <c r="AO36" i="13"/>
  <c r="CN47" i="13"/>
  <c r="AO39" i="13"/>
  <c r="BK27" i="13"/>
  <c r="FH58" i="13"/>
  <c r="DI45" i="13"/>
  <c r="DO31" i="13"/>
  <c r="ABC191" i="13" l="1"/>
  <c r="ZD178" i="13"/>
  <c r="XE165" i="13"/>
  <c r="VF152" i="13"/>
  <c r="YY183" i="13"/>
  <c r="WZ170" i="13"/>
  <c r="VA157" i="13"/>
  <c r="TB144" i="13"/>
  <c r="ABC187" i="13"/>
  <c r="ZD174" i="13"/>
  <c r="XE161" i="13"/>
  <c r="VF148" i="13"/>
  <c r="WD182" i="13"/>
  <c r="YC195" i="13"/>
  <c r="UE169" i="13"/>
  <c r="SF156" i="13"/>
  <c r="AO4" i="13"/>
  <c r="AO5" i="13" s="1"/>
  <c r="WD179" i="13"/>
  <c r="YC192" i="13"/>
  <c r="SF153" i="13"/>
  <c r="UE166" i="13"/>
  <c r="ZD180" i="13"/>
  <c r="ABC193" i="13"/>
  <c r="XE167" i="13"/>
  <c r="VF154" i="13"/>
  <c r="QG140" i="13"/>
  <c r="OH127" i="13"/>
  <c r="MI114" i="13"/>
  <c r="TG141" i="13"/>
  <c r="RH128" i="13"/>
  <c r="PI115" i="13"/>
  <c r="TG135" i="13"/>
  <c r="RH122" i="13"/>
  <c r="PI109" i="13"/>
  <c r="TG139" i="13"/>
  <c r="PI113" i="13"/>
  <c r="RH126" i="13"/>
  <c r="RC131" i="13"/>
  <c r="PD118" i="13"/>
  <c r="NE105" i="13"/>
  <c r="MI117" i="13"/>
  <c r="OH130" i="13"/>
  <c r="QG143" i="13"/>
  <c r="KJ101" i="13"/>
  <c r="IK88" i="13"/>
  <c r="GL75" i="13"/>
  <c r="KJ104" i="13"/>
  <c r="IK91" i="13"/>
  <c r="GL78" i="13"/>
  <c r="NJ96" i="13"/>
  <c r="LK83" i="13"/>
  <c r="JL70" i="13"/>
  <c r="NJ100" i="13"/>
  <c r="LK87" i="13"/>
  <c r="JL74" i="13"/>
  <c r="NJ102" i="13"/>
  <c r="LK89" i="13"/>
  <c r="JL76" i="13"/>
  <c r="LF92" i="13"/>
  <c r="JG79" i="13"/>
  <c r="HH66" i="13"/>
  <c r="HM61" i="13"/>
  <c r="FN48" i="13"/>
  <c r="FI53" i="13"/>
  <c r="DJ40" i="13"/>
  <c r="BK32" i="13"/>
  <c r="CN52" i="13"/>
  <c r="EM65" i="13"/>
  <c r="HM57" i="13"/>
  <c r="FN44" i="13"/>
  <c r="EM62" i="13"/>
  <c r="AP33" i="13"/>
  <c r="CN49" i="13"/>
  <c r="HM63" i="13"/>
  <c r="FN50" i="13"/>
  <c r="DP31" i="13"/>
  <c r="ABD191" i="13" l="1"/>
  <c r="ZE178" i="13"/>
  <c r="XF165" i="13"/>
  <c r="VG152" i="13"/>
  <c r="ABD187" i="13"/>
  <c r="ZE174" i="13"/>
  <c r="XF161" i="13"/>
  <c r="VG148" i="13"/>
  <c r="YY188" i="13"/>
  <c r="WZ175" i="13"/>
  <c r="VA162" i="13"/>
  <c r="TB149" i="13"/>
  <c r="ZE180" i="13"/>
  <c r="XF167" i="13"/>
  <c r="VG154" i="13"/>
  <c r="ABD193" i="13"/>
  <c r="AP6" i="13"/>
  <c r="YD189" i="13"/>
  <c r="WE176" i="13"/>
  <c r="UF163" i="13"/>
  <c r="SG150" i="13"/>
  <c r="AO7" i="13"/>
  <c r="AO8" i="13"/>
  <c r="AO11" i="13"/>
  <c r="TH139" i="13"/>
  <c r="RI126" i="13"/>
  <c r="PJ113" i="13"/>
  <c r="TH141" i="13"/>
  <c r="RI128" i="13"/>
  <c r="PJ115" i="13"/>
  <c r="RC136" i="13"/>
  <c r="PD123" i="13"/>
  <c r="NE110" i="13"/>
  <c r="QH137" i="13"/>
  <c r="OI124" i="13"/>
  <c r="MJ111" i="13"/>
  <c r="TH135" i="13"/>
  <c r="RI122" i="13"/>
  <c r="PJ109" i="13"/>
  <c r="KK98" i="13"/>
  <c r="IL85" i="13"/>
  <c r="GM72" i="13"/>
  <c r="NK100" i="13"/>
  <c r="LL87" i="13"/>
  <c r="JM74" i="13"/>
  <c r="NK96" i="13"/>
  <c r="LL83" i="13"/>
  <c r="JM70" i="13"/>
  <c r="NK102" i="13"/>
  <c r="LL89" i="13"/>
  <c r="JM76" i="13"/>
  <c r="LF97" i="13"/>
  <c r="JG84" i="13"/>
  <c r="HH71" i="13"/>
  <c r="HN63" i="13"/>
  <c r="FO50" i="13"/>
  <c r="HN57" i="13"/>
  <c r="FO44" i="13"/>
  <c r="HN61" i="13"/>
  <c r="FO48" i="13"/>
  <c r="BL27" i="13"/>
  <c r="FI58" i="13"/>
  <c r="DJ45" i="13"/>
  <c r="EN59" i="13"/>
  <c r="AP34" i="13"/>
  <c r="CO46" i="13"/>
  <c r="DQ31" i="13"/>
  <c r="ABE191" i="13" l="1"/>
  <c r="ZF178" i="13"/>
  <c r="XG165" i="13"/>
  <c r="VH152" i="13"/>
  <c r="YZ183" i="13"/>
  <c r="XA170" i="13"/>
  <c r="VB157" i="13"/>
  <c r="TC144" i="13"/>
  <c r="ABE187" i="13"/>
  <c r="ZF174" i="13"/>
  <c r="VH148" i="13"/>
  <c r="XG161" i="13"/>
  <c r="AP2" i="13"/>
  <c r="AP3" i="13"/>
  <c r="YD190" i="13"/>
  <c r="UF164" i="13"/>
  <c r="WE177" i="13"/>
  <c r="SG151" i="13"/>
  <c r="ZF180" i="13"/>
  <c r="ABE193" i="13"/>
  <c r="XG167" i="13"/>
  <c r="VH154" i="13"/>
  <c r="AO10" i="13"/>
  <c r="AO9" i="13"/>
  <c r="AO12" i="13"/>
  <c r="AO13" i="13"/>
  <c r="TI135" i="13"/>
  <c r="PK109" i="13"/>
  <c r="RJ122" i="13"/>
  <c r="TI139" i="13"/>
  <c r="RJ126" i="13"/>
  <c r="PK113" i="13"/>
  <c r="QH138" i="13"/>
  <c r="OI125" i="13"/>
  <c r="MJ112" i="13"/>
  <c r="RD131" i="13"/>
  <c r="PE118" i="13"/>
  <c r="NF105" i="13"/>
  <c r="TI141" i="13"/>
  <c r="RJ128" i="13"/>
  <c r="PK115" i="13"/>
  <c r="KK99" i="13"/>
  <c r="IL86" i="13"/>
  <c r="GM73" i="13"/>
  <c r="NL96" i="13"/>
  <c r="LM83" i="13"/>
  <c r="JN70" i="13"/>
  <c r="LG92" i="13"/>
  <c r="JH79" i="13"/>
  <c r="HI66" i="13"/>
  <c r="LM89" i="13"/>
  <c r="NL102" i="13"/>
  <c r="JN76" i="13"/>
  <c r="NL100" i="13"/>
  <c r="LM87" i="13"/>
  <c r="JN74" i="13"/>
  <c r="HO61" i="13"/>
  <c r="FP48" i="13"/>
  <c r="EN60" i="13"/>
  <c r="AP36" i="13"/>
  <c r="CO47" i="13"/>
  <c r="AP39" i="13"/>
  <c r="HO57" i="13"/>
  <c r="FP44" i="13"/>
  <c r="FJ53" i="13"/>
  <c r="DK40" i="13"/>
  <c r="BL32" i="13"/>
  <c r="HO63" i="13"/>
  <c r="FP50" i="13"/>
  <c r="DR31" i="13"/>
  <c r="ABF191" i="13" l="1"/>
  <c r="ZG178" i="13"/>
  <c r="XH165" i="13"/>
  <c r="VI152" i="13"/>
  <c r="ABF187" i="13"/>
  <c r="ZG174" i="13"/>
  <c r="VI148" i="13"/>
  <c r="XH161" i="13"/>
  <c r="YZ188" i="13"/>
  <c r="XA175" i="13"/>
  <c r="VB162" i="13"/>
  <c r="TC149" i="13"/>
  <c r="YD195" i="13"/>
  <c r="WE182" i="13"/>
  <c r="UF169" i="13"/>
  <c r="SG156" i="13"/>
  <c r="ABF193" i="13"/>
  <c r="ZG180" i="13"/>
  <c r="XH167" i="13"/>
  <c r="VI154" i="13"/>
  <c r="AP4" i="13"/>
  <c r="AP5" i="13" s="1"/>
  <c r="YD192" i="13"/>
  <c r="WE179" i="13"/>
  <c r="UF166" i="13"/>
  <c r="SG153" i="13"/>
  <c r="TJ139" i="13"/>
  <c r="RK126" i="13"/>
  <c r="PL113" i="13"/>
  <c r="RD136" i="13"/>
  <c r="PE123" i="13"/>
  <c r="NF110" i="13"/>
  <c r="TJ135" i="13"/>
  <c r="RK122" i="13"/>
  <c r="PL109" i="13"/>
  <c r="TJ141" i="13"/>
  <c r="RK128" i="13"/>
  <c r="PL115" i="13"/>
  <c r="QH140" i="13"/>
  <c r="OI127" i="13"/>
  <c r="MJ114" i="13"/>
  <c r="OI130" i="13"/>
  <c r="MJ117" i="13"/>
  <c r="QH143" i="13"/>
  <c r="LG97" i="13"/>
  <c r="JH84" i="13"/>
  <c r="HI71" i="13"/>
  <c r="NM100" i="13"/>
  <c r="LN87" i="13"/>
  <c r="JO74" i="13"/>
  <c r="KK104" i="13"/>
  <c r="IL91" i="13"/>
  <c r="GM78" i="13"/>
  <c r="NM96" i="13"/>
  <c r="LN83" i="13"/>
  <c r="JO70" i="13"/>
  <c r="NM102" i="13"/>
  <c r="LN89" i="13"/>
  <c r="JO76" i="13"/>
  <c r="KK101" i="13"/>
  <c r="IL88" i="13"/>
  <c r="GM75" i="13"/>
  <c r="CO52" i="13"/>
  <c r="EN65" i="13"/>
  <c r="HP63" i="13"/>
  <c r="FQ50" i="13"/>
  <c r="HP61" i="13"/>
  <c r="FQ48" i="13"/>
  <c r="EN62" i="13"/>
  <c r="AQ33" i="13"/>
  <c r="CO49" i="13"/>
  <c r="BM27" i="13"/>
  <c r="FJ58" i="13"/>
  <c r="DK45" i="13"/>
  <c r="HP57" i="13"/>
  <c r="FQ44" i="13"/>
  <c r="DS31" i="13"/>
  <c r="ABG191" i="13" l="1"/>
  <c r="ZH178" i="13"/>
  <c r="XI165" i="13"/>
  <c r="VJ152" i="13"/>
  <c r="ABG187" i="13"/>
  <c r="ZH174" i="13"/>
  <c r="XI161" i="13"/>
  <c r="VJ148" i="13"/>
  <c r="ZA183" i="13"/>
  <c r="VC157" i="13"/>
  <c r="XB170" i="13"/>
  <c r="TD144" i="13"/>
  <c r="ABG193" i="13"/>
  <c r="ZH180" i="13"/>
  <c r="VJ154" i="13"/>
  <c r="XI167" i="13"/>
  <c r="AQ6" i="13"/>
  <c r="YE189" i="13"/>
  <c r="WF176" i="13"/>
  <c r="UG163" i="13"/>
  <c r="SH150" i="13"/>
  <c r="AP8" i="13"/>
  <c r="AP7" i="13"/>
  <c r="AP11" i="13"/>
  <c r="QI137" i="13"/>
  <c r="OJ124" i="13"/>
  <c r="MK111" i="13"/>
  <c r="TK135" i="13"/>
  <c r="RL122" i="13"/>
  <c r="PM109" i="13"/>
  <c r="RE131" i="13"/>
  <c r="PF118" i="13"/>
  <c r="NG105" i="13"/>
  <c r="TK139" i="13"/>
  <c r="RL126" i="13"/>
  <c r="PM113" i="13"/>
  <c r="TK141" i="13"/>
  <c r="RL128" i="13"/>
  <c r="PM115" i="13"/>
  <c r="NN96" i="13"/>
  <c r="LO83" i="13"/>
  <c r="JP70" i="13"/>
  <c r="NN102" i="13"/>
  <c r="LO89" i="13"/>
  <c r="JP76" i="13"/>
  <c r="LO87" i="13"/>
  <c r="NN100" i="13"/>
  <c r="JP74" i="13"/>
  <c r="LH92" i="13"/>
  <c r="JI79" i="13"/>
  <c r="HJ66" i="13"/>
  <c r="KL98" i="13"/>
  <c r="IM85" i="13"/>
  <c r="GN72" i="13"/>
  <c r="HQ63" i="13"/>
  <c r="FR50" i="13"/>
  <c r="HQ61" i="13"/>
  <c r="FR48" i="13"/>
  <c r="EO59" i="13"/>
  <c r="AQ34" i="13"/>
  <c r="CP46" i="13"/>
  <c r="HQ57" i="13"/>
  <c r="FR44" i="13"/>
  <c r="FK53" i="13"/>
  <c r="DL40" i="13"/>
  <c r="BM32" i="13"/>
  <c r="DT31" i="13"/>
  <c r="ABH191" i="13" l="1"/>
  <c r="ZI178" i="13"/>
  <c r="XJ165" i="13"/>
  <c r="VK152" i="13"/>
  <c r="ZA188" i="13"/>
  <c r="XB175" i="13"/>
  <c r="VC162" i="13"/>
  <c r="TD149" i="13"/>
  <c r="ABH187" i="13"/>
  <c r="ZI174" i="13"/>
  <c r="XJ161" i="13"/>
  <c r="VK148" i="13"/>
  <c r="ABH193" i="13"/>
  <c r="VK154" i="13"/>
  <c r="ZI180" i="13"/>
  <c r="XJ167" i="13"/>
  <c r="AP10" i="13"/>
  <c r="AP9" i="13"/>
  <c r="AP12" i="13"/>
  <c r="AP13" i="13"/>
  <c r="AQ2" i="13"/>
  <c r="AQ3" i="13"/>
  <c r="YE190" i="13"/>
  <c r="WF177" i="13"/>
  <c r="UG164" i="13"/>
  <c r="SH151" i="13"/>
  <c r="RM122" i="13"/>
  <c r="TL135" i="13"/>
  <c r="PN109" i="13"/>
  <c r="RE136" i="13"/>
  <c r="NG110" i="13"/>
  <c r="PF123" i="13"/>
  <c r="QI138" i="13"/>
  <c r="OJ125" i="13"/>
  <c r="MK112" i="13"/>
  <c r="TL139" i="13"/>
  <c r="RM126" i="13"/>
  <c r="PN113" i="13"/>
  <c r="TL141" i="13"/>
  <c r="RM128" i="13"/>
  <c r="PN115" i="13"/>
  <c r="LP89" i="13"/>
  <c r="NO102" i="13"/>
  <c r="JQ76" i="13"/>
  <c r="NO100" i="13"/>
  <c r="LP87" i="13"/>
  <c r="JQ74" i="13"/>
  <c r="KL99" i="13"/>
  <c r="IM86" i="13"/>
  <c r="GN73" i="13"/>
  <c r="LH97" i="13"/>
  <c r="JI84" i="13"/>
  <c r="HJ71" i="13"/>
  <c r="NO96" i="13"/>
  <c r="LP83" i="13"/>
  <c r="JQ70" i="13"/>
  <c r="HR57" i="13"/>
  <c r="FS44" i="13"/>
  <c r="EO60" i="13"/>
  <c r="AQ36" i="13"/>
  <c r="CP47" i="13"/>
  <c r="AQ39" i="13"/>
  <c r="BN27" i="13"/>
  <c r="FK58" i="13"/>
  <c r="DL45" i="13"/>
  <c r="HR61" i="13"/>
  <c r="FS48" i="13"/>
  <c r="HR63" i="13"/>
  <c r="FS50" i="13"/>
  <c r="DU31" i="13"/>
  <c r="ABI187" i="13" l="1"/>
  <c r="ZJ174" i="13"/>
  <c r="XK161" i="13"/>
  <c r="VL148" i="13"/>
  <c r="ZB183" i="13"/>
  <c r="XC170" i="13"/>
  <c r="VD157" i="13"/>
  <c r="TE144" i="13"/>
  <c r="ZJ178" i="13"/>
  <c r="ABI191" i="13"/>
  <c r="XK165" i="13"/>
  <c r="VL152" i="13"/>
  <c r="AQ4" i="13"/>
  <c r="AQ5" i="13" s="1"/>
  <c r="YE192" i="13"/>
  <c r="WF179" i="13"/>
  <c r="UG166" i="13"/>
  <c r="SH153" i="13"/>
  <c r="YE195" i="13"/>
  <c r="WF182" i="13"/>
  <c r="SH156" i="13"/>
  <c r="UG169" i="13"/>
  <c r="ABI193" i="13"/>
  <c r="ZJ180" i="13"/>
  <c r="XK167" i="13"/>
  <c r="VL154" i="13"/>
  <c r="TM135" i="13"/>
  <c r="RN122" i="13"/>
  <c r="PO109" i="13"/>
  <c r="RF131" i="13"/>
  <c r="PG118" i="13"/>
  <c r="NH105" i="13"/>
  <c r="QI140" i="13"/>
  <c r="OJ127" i="13"/>
  <c r="MK114" i="13"/>
  <c r="TM139" i="13"/>
  <c r="RN126" i="13"/>
  <c r="PO113" i="13"/>
  <c r="TM141" i="13"/>
  <c r="RN128" i="13"/>
  <c r="PO115" i="13"/>
  <c r="OJ130" i="13"/>
  <c r="MK117" i="13"/>
  <c r="QI143" i="13"/>
  <c r="NP100" i="13"/>
  <c r="LQ87" i="13"/>
  <c r="JR74" i="13"/>
  <c r="LI92" i="13"/>
  <c r="JJ79" i="13"/>
  <c r="HK66" i="13"/>
  <c r="NP96" i="13"/>
  <c r="LQ83" i="13"/>
  <c r="JR70" i="13"/>
  <c r="KL104" i="13"/>
  <c r="IM91" i="13"/>
  <c r="GN78" i="13"/>
  <c r="KL101" i="13"/>
  <c r="IM88" i="13"/>
  <c r="GN75" i="13"/>
  <c r="NP102" i="13"/>
  <c r="LQ89" i="13"/>
  <c r="JR76" i="13"/>
  <c r="FL53" i="13"/>
  <c r="DM40" i="13"/>
  <c r="BN32" i="13"/>
  <c r="EO62" i="13"/>
  <c r="CP49" i="13"/>
  <c r="AR33" i="13"/>
  <c r="HS57" i="13"/>
  <c r="FT44" i="13"/>
  <c r="HS61" i="13"/>
  <c r="FT48" i="13"/>
  <c r="HS63" i="13"/>
  <c r="FT50" i="13"/>
  <c r="CP52" i="13"/>
  <c r="EO65" i="13"/>
  <c r="DV31" i="13"/>
  <c r="ZB188" i="13" l="1"/>
  <c r="XC175" i="13"/>
  <c r="VD162" i="13"/>
  <c r="TE149" i="13"/>
  <c r="ABJ191" i="13"/>
  <c r="ZK178" i="13"/>
  <c r="XL165" i="13"/>
  <c r="VM152" i="13"/>
  <c r="ABJ187" i="13"/>
  <c r="ZK174" i="13"/>
  <c r="XL161" i="13"/>
  <c r="VM148" i="13"/>
  <c r="ZK180" i="13"/>
  <c r="ABJ193" i="13"/>
  <c r="VM154" i="13"/>
  <c r="XL167" i="13"/>
  <c r="AR6" i="13"/>
  <c r="YF189" i="13"/>
  <c r="WG176" i="13"/>
  <c r="UH163" i="13"/>
  <c r="SI150" i="13"/>
  <c r="AQ7" i="13"/>
  <c r="AQ11" i="13"/>
  <c r="AQ8" i="13"/>
  <c r="TN139" i="13"/>
  <c r="RO126" i="13"/>
  <c r="PP113" i="13"/>
  <c r="TN135" i="13"/>
  <c r="RO122" i="13"/>
  <c r="PP109" i="13"/>
  <c r="QJ137" i="13"/>
  <c r="OK124" i="13"/>
  <c r="ML111" i="13"/>
  <c r="TN141" i="13"/>
  <c r="RO128" i="13"/>
  <c r="PP115" i="13"/>
  <c r="RF136" i="13"/>
  <c r="PG123" i="13"/>
  <c r="NH110" i="13"/>
  <c r="NQ100" i="13"/>
  <c r="LR87" i="13"/>
  <c r="JS74" i="13"/>
  <c r="NQ102" i="13"/>
  <c r="LR89" i="13"/>
  <c r="JS76" i="13"/>
  <c r="LI97" i="13"/>
  <c r="JJ84" i="13"/>
  <c r="HK71" i="13"/>
  <c r="NQ96" i="13"/>
  <c r="LR83" i="13"/>
  <c r="JS70" i="13"/>
  <c r="KM98" i="13"/>
  <c r="IN85" i="13"/>
  <c r="GO72" i="13"/>
  <c r="BO27" i="13"/>
  <c r="FL58" i="13"/>
  <c r="DM45" i="13"/>
  <c r="EP59" i="13"/>
  <c r="AR34" i="13"/>
  <c r="CQ46" i="13"/>
  <c r="HT63" i="13"/>
  <c r="FU50" i="13"/>
  <c r="HT61" i="13"/>
  <c r="FU48" i="13"/>
  <c r="HT57" i="13"/>
  <c r="FU44" i="13"/>
  <c r="DW31" i="13"/>
  <c r="ZC183" i="13" l="1"/>
  <c r="XD170" i="13"/>
  <c r="VE157" i="13"/>
  <c r="TF144" i="13"/>
  <c r="ABK187" i="13"/>
  <c r="ZL174" i="13"/>
  <c r="XM161" i="13"/>
  <c r="VN148" i="13"/>
  <c r="ABK191" i="13"/>
  <c r="ZL178" i="13"/>
  <c r="XM165" i="13"/>
  <c r="VN152" i="13"/>
  <c r="AQ12" i="13"/>
  <c r="AQ13" i="13"/>
  <c r="AQ9" i="13"/>
  <c r="AQ10" i="13"/>
  <c r="AR2" i="13"/>
  <c r="AR3" i="13"/>
  <c r="YF190" i="13"/>
  <c r="WG177" i="13"/>
  <c r="UH164" i="13"/>
  <c r="SI151" i="13"/>
  <c r="ZL180" i="13"/>
  <c r="ABK193" i="13"/>
  <c r="XM167" i="13"/>
  <c r="VN154" i="13"/>
  <c r="TO141" i="13"/>
  <c r="RP128" i="13"/>
  <c r="PQ115" i="13"/>
  <c r="QJ138" i="13"/>
  <c r="OK125" i="13"/>
  <c r="ML112" i="13"/>
  <c r="TO135" i="13"/>
  <c r="RP122" i="13"/>
  <c r="PQ109" i="13"/>
  <c r="TO139" i="13"/>
  <c r="RP126" i="13"/>
  <c r="PQ113" i="13"/>
  <c r="RG131" i="13"/>
  <c r="PH118" i="13"/>
  <c r="NI105" i="13"/>
  <c r="NR96" i="13"/>
  <c r="LS83" i="13"/>
  <c r="JT70" i="13"/>
  <c r="LJ92" i="13"/>
  <c r="JK79" i="13"/>
  <c r="HL66" i="13"/>
  <c r="NR102" i="13"/>
  <c r="LS89" i="13"/>
  <c r="JT76" i="13"/>
  <c r="KM99" i="13"/>
  <c r="IN86" i="13"/>
  <c r="GO73" i="13"/>
  <c r="NR100" i="13"/>
  <c r="LS87" i="13"/>
  <c r="JT74" i="13"/>
  <c r="HU61" i="13"/>
  <c r="FV48" i="13"/>
  <c r="HU57" i="13"/>
  <c r="FV44" i="13"/>
  <c r="HU63" i="13"/>
  <c r="FV50" i="13"/>
  <c r="EP60" i="13"/>
  <c r="AR36" i="13"/>
  <c r="CQ47" i="13"/>
  <c r="AR39" i="13"/>
  <c r="FM53" i="13"/>
  <c r="DN40" i="13"/>
  <c r="BO32" i="13"/>
  <c r="DX31" i="13"/>
  <c r="ABL187" i="13" l="1"/>
  <c r="ZM174" i="13"/>
  <c r="XN161" i="13"/>
  <c r="VO148" i="13"/>
  <c r="ZC188" i="13"/>
  <c r="XD175" i="13"/>
  <c r="VE162" i="13"/>
  <c r="TF149" i="13"/>
  <c r="ABL191" i="13"/>
  <c r="XN165" i="13"/>
  <c r="ZM178" i="13"/>
  <c r="VO152" i="13"/>
  <c r="AR4" i="13"/>
  <c r="AR5" i="13" s="1"/>
  <c r="YF192" i="13"/>
  <c r="WG179" i="13"/>
  <c r="UH166" i="13"/>
  <c r="SI153" i="13"/>
  <c r="YF195" i="13"/>
  <c r="WG182" i="13"/>
  <c r="UH169" i="13"/>
  <c r="SI156" i="13"/>
  <c r="ZM180" i="13"/>
  <c r="XN167" i="13"/>
  <c r="VO154" i="13"/>
  <c r="ABL193" i="13"/>
  <c r="TP139" i="13"/>
  <c r="RQ126" i="13"/>
  <c r="PR113" i="13"/>
  <c r="TP135" i="13"/>
  <c r="RQ122" i="13"/>
  <c r="PR109" i="13"/>
  <c r="RG136" i="13"/>
  <c r="PH123" i="13"/>
  <c r="NI110" i="13"/>
  <c r="TP141" i="13"/>
  <c r="RQ128" i="13"/>
  <c r="PR115" i="13"/>
  <c r="QJ140" i="13"/>
  <c r="OK127" i="13"/>
  <c r="ML114" i="13"/>
  <c r="OK130" i="13"/>
  <c r="ML117" i="13"/>
  <c r="QJ143" i="13"/>
  <c r="KM101" i="13"/>
  <c r="IN88" i="13"/>
  <c r="GO75" i="13"/>
  <c r="KM104" i="13"/>
  <c r="IN91" i="13"/>
  <c r="GO78" i="13"/>
  <c r="LJ97" i="13"/>
  <c r="JK84" i="13"/>
  <c r="HL71" i="13"/>
  <c r="NS100" i="13"/>
  <c r="LT87" i="13"/>
  <c r="JU74" i="13"/>
  <c r="NS96" i="13"/>
  <c r="LT83" i="13"/>
  <c r="JU70" i="13"/>
  <c r="NS102" i="13"/>
  <c r="LT89" i="13"/>
  <c r="JU76" i="13"/>
  <c r="BP27" i="13"/>
  <c r="FM58" i="13"/>
  <c r="DN45" i="13"/>
  <c r="HV57" i="13"/>
  <c r="FW44" i="13"/>
  <c r="HV63" i="13"/>
  <c r="FW50" i="13"/>
  <c r="CQ52" i="13"/>
  <c r="EP65" i="13"/>
  <c r="EP62" i="13"/>
  <c r="CQ49" i="13"/>
  <c r="AS33" i="13"/>
  <c r="HV61" i="13"/>
  <c r="FW48" i="13"/>
  <c r="DY31" i="13"/>
  <c r="ABM187" i="13" l="1"/>
  <c r="ZN174" i="13"/>
  <c r="VP148" i="13"/>
  <c r="XO161" i="13"/>
  <c r="ABM191" i="13"/>
  <c r="ZN178" i="13"/>
  <c r="XO165" i="13"/>
  <c r="VP152" i="13"/>
  <c r="ZD183" i="13"/>
  <c r="XE170" i="13"/>
  <c r="VF157" i="13"/>
  <c r="TG144" i="13"/>
  <c r="ZN180" i="13"/>
  <c r="ABM193" i="13"/>
  <c r="XO167" i="13"/>
  <c r="VP154" i="13"/>
  <c r="AS6" i="13"/>
  <c r="YG189" i="13"/>
  <c r="WH176" i="13"/>
  <c r="UI163" i="13"/>
  <c r="SJ150" i="13"/>
  <c r="AR7" i="13"/>
  <c r="AR8" i="13"/>
  <c r="AR11" i="13"/>
  <c r="TQ135" i="13"/>
  <c r="PS109" i="13"/>
  <c r="RR122" i="13"/>
  <c r="RH131" i="13"/>
  <c r="PI118" i="13"/>
  <c r="NJ105" i="13"/>
  <c r="TQ139" i="13"/>
  <c r="RR126" i="13"/>
  <c r="PS113" i="13"/>
  <c r="QK137" i="13"/>
  <c r="OL124" i="13"/>
  <c r="MM111" i="13"/>
  <c r="TQ141" i="13"/>
  <c r="RR128" i="13"/>
  <c r="PS115" i="13"/>
  <c r="NT96" i="13"/>
  <c r="LU83" i="13"/>
  <c r="JV70" i="13"/>
  <c r="NT100" i="13"/>
  <c r="LU87" i="13"/>
  <c r="JV74" i="13"/>
  <c r="LK92" i="13"/>
  <c r="JL79" i="13"/>
  <c r="HM66" i="13"/>
  <c r="NT102" i="13"/>
  <c r="LU89" i="13"/>
  <c r="JV76" i="13"/>
  <c r="KN98" i="13"/>
  <c r="IO85" i="13"/>
  <c r="GP72" i="13"/>
  <c r="HW63" i="13"/>
  <c r="FX50" i="13"/>
  <c r="HW57" i="13"/>
  <c r="FX44" i="13"/>
  <c r="HW61" i="13"/>
  <c r="FX48" i="13"/>
  <c r="EQ59" i="13"/>
  <c r="AS34" i="13"/>
  <c r="CR46" i="13"/>
  <c r="FN53" i="13"/>
  <c r="DO40" i="13"/>
  <c r="BP32" i="13"/>
  <c r="DZ31" i="13"/>
  <c r="ABN191" i="13" l="1"/>
  <c r="ZO178" i="13"/>
  <c r="VQ152" i="13"/>
  <c r="XP165" i="13"/>
  <c r="ABN187" i="13"/>
  <c r="ZO174" i="13"/>
  <c r="VQ148" i="13"/>
  <c r="XP161" i="13"/>
  <c r="ZD188" i="13"/>
  <c r="XE175" i="13"/>
  <c r="VF162" i="13"/>
  <c r="TG149" i="13"/>
  <c r="AR13" i="13"/>
  <c r="AR12" i="13"/>
  <c r="ABN193" i="13"/>
  <c r="ZO180" i="13"/>
  <c r="XP167" i="13"/>
  <c r="VQ154" i="13"/>
  <c r="AS2" i="13"/>
  <c r="AS3" i="13"/>
  <c r="YG190" i="13"/>
  <c r="UI164" i="13"/>
  <c r="WH177" i="13"/>
  <c r="SJ151" i="13"/>
  <c r="AR9" i="13"/>
  <c r="AR10" i="13"/>
  <c r="TR139" i="13"/>
  <c r="RS126" i="13"/>
  <c r="PT113" i="13"/>
  <c r="TR135" i="13"/>
  <c r="RS122" i="13"/>
  <c r="PT109" i="13"/>
  <c r="RH136" i="13"/>
  <c r="PI123" i="13"/>
  <c r="NJ110" i="13"/>
  <c r="QK138" i="13"/>
  <c r="OL125" i="13"/>
  <c r="MM112" i="13"/>
  <c r="TR141" i="13"/>
  <c r="RS128" i="13"/>
  <c r="PT115" i="13"/>
  <c r="NU96" i="13"/>
  <c r="LV83" i="13"/>
  <c r="JW70" i="13"/>
  <c r="LK97" i="13"/>
  <c r="JL84" i="13"/>
  <c r="HM71" i="13"/>
  <c r="IO86" i="13"/>
  <c r="KN99" i="13"/>
  <c r="GP73" i="13"/>
  <c r="NU102" i="13"/>
  <c r="LV89" i="13"/>
  <c r="JW76" i="13"/>
  <c r="NU100" i="13"/>
  <c r="LV87" i="13"/>
  <c r="JW74" i="13"/>
  <c r="HX61" i="13"/>
  <c r="FY48" i="13"/>
  <c r="BQ27" i="13"/>
  <c r="FN58" i="13"/>
  <c r="DO45" i="13"/>
  <c r="HX57" i="13"/>
  <c r="FY44" i="13"/>
  <c r="EQ60" i="13"/>
  <c r="AS36" i="13"/>
  <c r="CR47" i="13"/>
  <c r="AS39" i="13"/>
  <c r="HX63" i="13"/>
  <c r="FY50" i="13"/>
  <c r="EA31" i="13"/>
  <c r="ABO187" i="13" l="1"/>
  <c r="ZP174" i="13"/>
  <c r="VR148" i="13"/>
  <c r="XQ161" i="13"/>
  <c r="ABO191" i="13"/>
  <c r="ZP178" i="13"/>
  <c r="VR152" i="13"/>
  <c r="XQ165" i="13"/>
  <c r="ZE183" i="13"/>
  <c r="XF170" i="13"/>
  <c r="VG157" i="13"/>
  <c r="TH144" i="13"/>
  <c r="YG195" i="13"/>
  <c r="WH182" i="13"/>
  <c r="UI169" i="13"/>
  <c r="SJ156" i="13"/>
  <c r="AS4" i="13"/>
  <c r="AS5" i="13" s="1"/>
  <c r="YG192" i="13"/>
  <c r="WH179" i="13"/>
  <c r="UI166" i="13"/>
  <c r="SJ153" i="13"/>
  <c r="ABO193" i="13"/>
  <c r="ZP180" i="13"/>
  <c r="XQ167" i="13"/>
  <c r="VR154" i="13"/>
  <c r="RI131" i="13"/>
  <c r="PJ118" i="13"/>
  <c r="NK105" i="13"/>
  <c r="TS139" i="13"/>
  <c r="RT126" i="13"/>
  <c r="PU113" i="13"/>
  <c r="TS135" i="13"/>
  <c r="RT122" i="13"/>
  <c r="PU109" i="13"/>
  <c r="QK140" i="13"/>
  <c r="MM114" i="13"/>
  <c r="OL127" i="13"/>
  <c r="TS141" i="13"/>
  <c r="RT128" i="13"/>
  <c r="PU115" i="13"/>
  <c r="OL130" i="13"/>
  <c r="MM117" i="13"/>
  <c r="QK143" i="13"/>
  <c r="IO91" i="13"/>
  <c r="KN104" i="13"/>
  <c r="GP78" i="13"/>
  <c r="LL92" i="13"/>
  <c r="JM79" i="13"/>
  <c r="HN66" i="13"/>
  <c r="NV96" i="13"/>
  <c r="LW83" i="13"/>
  <c r="JX70" i="13"/>
  <c r="NV100" i="13"/>
  <c r="LW87" i="13"/>
  <c r="JX74" i="13"/>
  <c r="KN101" i="13"/>
  <c r="IO88" i="13"/>
  <c r="GP75" i="13"/>
  <c r="NV102" i="13"/>
  <c r="LW89" i="13"/>
  <c r="JX76" i="13"/>
  <c r="FO53" i="13"/>
  <c r="DP40" i="13"/>
  <c r="BQ32" i="13"/>
  <c r="HY63" i="13"/>
  <c r="FZ50" i="13"/>
  <c r="HY61" i="13"/>
  <c r="FZ48" i="13"/>
  <c r="CR52" i="13"/>
  <c r="EQ65" i="13"/>
  <c r="EQ62" i="13"/>
  <c r="CR49" i="13"/>
  <c r="AT33" i="13"/>
  <c r="HY57" i="13"/>
  <c r="EB31" i="13"/>
  <c r="FZ44" i="13"/>
  <c r="ZE188" i="13" l="1"/>
  <c r="XF175" i="13"/>
  <c r="VG162" i="13"/>
  <c r="TH149" i="13"/>
  <c r="ABP191" i="13"/>
  <c r="XR165" i="13"/>
  <c r="ZQ178" i="13"/>
  <c r="VS152" i="13"/>
  <c r="ABP187" i="13"/>
  <c r="ZQ174" i="13"/>
  <c r="XR161" i="13"/>
  <c r="VS148" i="13"/>
  <c r="AT6" i="13"/>
  <c r="YH189" i="13"/>
  <c r="WI176" i="13"/>
  <c r="UJ163" i="13"/>
  <c r="SK150" i="13"/>
  <c r="ABP193" i="13"/>
  <c r="VS154" i="13"/>
  <c r="ZQ180" i="13"/>
  <c r="XR167" i="13"/>
  <c r="AS7" i="13"/>
  <c r="AS8" i="13"/>
  <c r="AS11" i="13"/>
  <c r="TT135" i="13"/>
  <c r="RU122" i="13"/>
  <c r="PV109" i="13"/>
  <c r="TT139" i="13"/>
  <c r="RU126" i="13"/>
  <c r="PV113" i="13"/>
  <c r="TT141" i="13"/>
  <c r="RU128" i="13"/>
  <c r="PV115" i="13"/>
  <c r="QL137" i="13"/>
  <c r="OM124" i="13"/>
  <c r="MN111" i="13"/>
  <c r="RI136" i="13"/>
  <c r="PJ123" i="13"/>
  <c r="NK110" i="13"/>
  <c r="LL97" i="13"/>
  <c r="JM84" i="13"/>
  <c r="HN71" i="13"/>
  <c r="NW96" i="13"/>
  <c r="LX83" i="13"/>
  <c r="JY70" i="13"/>
  <c r="NW100" i="13"/>
  <c r="LX87" i="13"/>
  <c r="JY74" i="13"/>
  <c r="NW102" i="13"/>
  <c r="LX89" i="13"/>
  <c r="JY76" i="13"/>
  <c r="KO98" i="13"/>
  <c r="IP85" i="13"/>
  <c r="GQ72" i="13"/>
  <c r="BR27" i="13"/>
  <c r="FO58" i="13"/>
  <c r="DP45" i="13"/>
  <c r="ER59" i="13"/>
  <c r="AT34" i="13"/>
  <c r="CS46" i="13"/>
  <c r="HZ63" i="13"/>
  <c r="GA50" i="13"/>
  <c r="HZ57" i="13"/>
  <c r="GA44" i="13"/>
  <c r="HZ61" i="13"/>
  <c r="GA48" i="13"/>
  <c r="EC31" i="13"/>
  <c r="ZF183" i="13" l="1"/>
  <c r="XG170" i="13"/>
  <c r="VH157" i="13"/>
  <c r="TI144" i="13"/>
  <c r="ABQ187" i="13"/>
  <c r="XS161" i="13"/>
  <c r="VT148" i="13"/>
  <c r="ZR174" i="13"/>
  <c r="ZR178" i="13"/>
  <c r="ABQ191" i="13"/>
  <c r="VT152" i="13"/>
  <c r="XS165" i="13"/>
  <c r="AT2" i="13"/>
  <c r="AT3" i="13"/>
  <c r="YH190" i="13"/>
  <c r="WI177" i="13"/>
  <c r="SK151" i="13"/>
  <c r="UJ164" i="13"/>
  <c r="AS10" i="13"/>
  <c r="AS9" i="13"/>
  <c r="AS12" i="13"/>
  <c r="AS13" i="13"/>
  <c r="ABQ193" i="13"/>
  <c r="XS167" i="13"/>
  <c r="VT154" i="13"/>
  <c r="ZR180" i="13"/>
  <c r="TU141" i="13"/>
  <c r="RV128" i="13"/>
  <c r="PW115" i="13"/>
  <c r="TU139" i="13"/>
  <c r="RV126" i="13"/>
  <c r="PW113" i="13"/>
  <c r="TU135" i="13"/>
  <c r="RV122" i="13"/>
  <c r="PW109" i="13"/>
  <c r="QL138" i="13"/>
  <c r="OM125" i="13"/>
  <c r="MN112" i="13"/>
  <c r="RJ131" i="13"/>
  <c r="PK118" i="13"/>
  <c r="NL105" i="13"/>
  <c r="NX100" i="13"/>
  <c r="LY87" i="13"/>
  <c r="JZ74" i="13"/>
  <c r="NX96" i="13"/>
  <c r="LY83" i="13"/>
  <c r="JZ70" i="13"/>
  <c r="LM92" i="13"/>
  <c r="JN79" i="13"/>
  <c r="HO66" i="13"/>
  <c r="NX102" i="13"/>
  <c r="LY89" i="13"/>
  <c r="JZ76" i="13"/>
  <c r="KO99" i="13"/>
  <c r="IP86" i="13"/>
  <c r="GQ73" i="13"/>
  <c r="ER60" i="13"/>
  <c r="CS47" i="13"/>
  <c r="AT36" i="13"/>
  <c r="AT39" i="13"/>
  <c r="IA63" i="13"/>
  <c r="GB50" i="13"/>
  <c r="IA61" i="13"/>
  <c r="GB48" i="13"/>
  <c r="IA57" i="13"/>
  <c r="GB44" i="13"/>
  <c r="FP53" i="13"/>
  <c r="DQ40" i="13"/>
  <c r="BR32" i="13"/>
  <c r="ED31" i="13"/>
  <c r="ABR187" i="13" l="1"/>
  <c r="ZS174" i="13"/>
  <c r="VU148" i="13"/>
  <c r="XT161" i="13"/>
  <c r="ZF188" i="13"/>
  <c r="XG175" i="13"/>
  <c r="VH162" i="13"/>
  <c r="TI149" i="13"/>
  <c r="ABR191" i="13"/>
  <c r="ZS178" i="13"/>
  <c r="XT165" i="13"/>
  <c r="VU152" i="13"/>
  <c r="YH195" i="13"/>
  <c r="UJ169" i="13"/>
  <c r="SK156" i="13"/>
  <c r="WI182" i="13"/>
  <c r="AT4" i="13"/>
  <c r="AT5" i="13" s="1"/>
  <c r="YH192" i="13"/>
  <c r="WI179" i="13"/>
  <c r="UJ166" i="13"/>
  <c r="SK153" i="13"/>
  <c r="ZS180" i="13"/>
  <c r="ABR193" i="13"/>
  <c r="VU154" i="13"/>
  <c r="XT167" i="13"/>
  <c r="TV135" i="13"/>
  <c r="RW122" i="13"/>
  <c r="PX109" i="13"/>
  <c r="QL140" i="13"/>
  <c r="MN114" i="13"/>
  <c r="OM127" i="13"/>
  <c r="TV139" i="13"/>
  <c r="RW126" i="13"/>
  <c r="PX113" i="13"/>
  <c r="RJ136" i="13"/>
  <c r="PK123" i="13"/>
  <c r="NL110" i="13"/>
  <c r="TV141" i="13"/>
  <c r="RW128" i="13"/>
  <c r="PX115" i="13"/>
  <c r="QL143" i="13"/>
  <c r="OM130" i="13"/>
  <c r="MN117" i="13"/>
  <c r="NY100" i="13"/>
  <c r="LZ87" i="13"/>
  <c r="KA74" i="13"/>
  <c r="KO104" i="13"/>
  <c r="IP91" i="13"/>
  <c r="GQ78" i="13"/>
  <c r="KO101" i="13"/>
  <c r="IP88" i="13"/>
  <c r="GQ75" i="13"/>
  <c r="NY96" i="13"/>
  <c r="LZ83" i="13"/>
  <c r="KA70" i="13"/>
  <c r="LM97" i="13"/>
  <c r="JN84" i="13"/>
  <c r="HO71" i="13"/>
  <c r="NY102" i="13"/>
  <c r="LZ89" i="13"/>
  <c r="KA76" i="13"/>
  <c r="ER62" i="13"/>
  <c r="AU33" i="13"/>
  <c r="CS49" i="13"/>
  <c r="IB63" i="13"/>
  <c r="GC50" i="13"/>
  <c r="IB57" i="13"/>
  <c r="GC44" i="13"/>
  <c r="IB61" i="13"/>
  <c r="GC48" i="13"/>
  <c r="BS27" i="13"/>
  <c r="FP58" i="13"/>
  <c r="DQ45" i="13"/>
  <c r="CS52" i="13"/>
  <c r="ER65" i="13"/>
  <c r="EE31" i="13"/>
  <c r="ABS187" i="13" l="1"/>
  <c r="ZT174" i="13"/>
  <c r="XU161" i="13"/>
  <c r="VV148" i="13"/>
  <c r="ABS191" i="13"/>
  <c r="ZT178" i="13"/>
  <c r="XU165" i="13"/>
  <c r="VV152" i="13"/>
  <c r="XH170" i="13"/>
  <c r="ZG183" i="13"/>
  <c r="VI157" i="13"/>
  <c r="TJ144" i="13"/>
  <c r="ZT180" i="13"/>
  <c r="ABS193" i="13"/>
  <c r="VV154" i="13"/>
  <c r="XU167" i="13"/>
  <c r="AT7" i="13"/>
  <c r="AT8" i="13"/>
  <c r="AT11" i="13"/>
  <c r="AU6" i="13"/>
  <c r="YI189" i="13"/>
  <c r="WJ176" i="13"/>
  <c r="SL150" i="13"/>
  <c r="UK163" i="13"/>
  <c r="TW139" i="13"/>
  <c r="RX126" i="13"/>
  <c r="PY113" i="13"/>
  <c r="QM137" i="13"/>
  <c r="ON124" i="13"/>
  <c r="MO111" i="13"/>
  <c r="TW135" i="13"/>
  <c r="RX122" i="13"/>
  <c r="PY109" i="13"/>
  <c r="TW141" i="13"/>
  <c r="PY115" i="13"/>
  <c r="RX128" i="13"/>
  <c r="RK131" i="13"/>
  <c r="PL118" i="13"/>
  <c r="NM105" i="13"/>
  <c r="LN92" i="13"/>
  <c r="JO79" i="13"/>
  <c r="HP66" i="13"/>
  <c r="MA87" i="13"/>
  <c r="NZ100" i="13"/>
  <c r="KB74" i="13"/>
  <c r="NZ102" i="13"/>
  <c r="MA89" i="13"/>
  <c r="KB76" i="13"/>
  <c r="NZ96" i="13"/>
  <c r="MA83" i="13"/>
  <c r="KB70" i="13"/>
  <c r="KP98" i="13"/>
  <c r="IQ85" i="13"/>
  <c r="GR72" i="13"/>
  <c r="IC57" i="13"/>
  <c r="GD44" i="13"/>
  <c r="FQ53" i="13"/>
  <c r="DR40" i="13"/>
  <c r="BS32" i="13"/>
  <c r="IC61" i="13"/>
  <c r="GD48" i="13"/>
  <c r="ES59" i="13"/>
  <c r="AU34" i="13"/>
  <c r="CT46" i="13"/>
  <c r="IC63" i="13"/>
  <c r="GD50" i="13"/>
  <c r="EF31" i="13"/>
  <c r="ABT191" i="13" l="1"/>
  <c r="ZU178" i="13"/>
  <c r="XV165" i="13"/>
  <c r="VW152" i="13"/>
  <c r="ABT187" i="13"/>
  <c r="ZU174" i="13"/>
  <c r="XV161" i="13"/>
  <c r="VW148" i="13"/>
  <c r="XH175" i="13"/>
  <c r="ZG188" i="13"/>
  <c r="TJ149" i="13"/>
  <c r="VI162" i="13"/>
  <c r="ZU180" i="13"/>
  <c r="ABT193" i="13"/>
  <c r="XV167" i="13"/>
  <c r="VW154" i="13"/>
  <c r="AT10" i="13"/>
  <c r="AT9" i="13"/>
  <c r="AT12" i="13"/>
  <c r="AT13" i="13"/>
  <c r="AU2" i="13"/>
  <c r="AU3" i="13"/>
  <c r="WJ177" i="13"/>
  <c r="YI190" i="13"/>
  <c r="SL151" i="13"/>
  <c r="UK164" i="13"/>
  <c r="PZ113" i="13"/>
  <c r="TX139" i="13"/>
  <c r="RY126" i="13"/>
  <c r="RK136" i="13"/>
  <c r="PL123" i="13"/>
  <c r="NM110" i="13"/>
  <c r="TX135" i="13"/>
  <c r="RY122" i="13"/>
  <c r="PZ109" i="13"/>
  <c r="QM138" i="13"/>
  <c r="ON125" i="13"/>
  <c r="MO112" i="13"/>
  <c r="TX141" i="13"/>
  <c r="RY128" i="13"/>
  <c r="PZ115" i="13"/>
  <c r="OA102" i="13"/>
  <c r="MB89" i="13"/>
  <c r="KC76" i="13"/>
  <c r="OA100" i="13"/>
  <c r="MB87" i="13"/>
  <c r="KC74" i="13"/>
  <c r="OA96" i="13"/>
  <c r="MB83" i="13"/>
  <c r="KC70" i="13"/>
  <c r="KP99" i="13"/>
  <c r="IQ86" i="13"/>
  <c r="GR73" i="13"/>
  <c r="LN97" i="13"/>
  <c r="JO84" i="13"/>
  <c r="HP71" i="13"/>
  <c r="ID61" i="13"/>
  <c r="GE48" i="13"/>
  <c r="BT27" i="13"/>
  <c r="FQ58" i="13"/>
  <c r="DR45" i="13"/>
  <c r="ES60" i="13"/>
  <c r="AU36" i="13"/>
  <c r="CT47" i="13"/>
  <c r="AU39" i="13"/>
  <c r="ID63" i="13"/>
  <c r="GE50" i="13"/>
  <c r="ID57" i="13"/>
  <c r="GE44" i="13"/>
  <c r="EG31" i="13"/>
  <c r="ABU187" i="13" l="1"/>
  <c r="ZV174" i="13"/>
  <c r="VX148" i="13"/>
  <c r="XW161" i="13"/>
  <c r="ZH183" i="13"/>
  <c r="XI170" i="13"/>
  <c r="TK144" i="13"/>
  <c r="VJ157" i="13"/>
  <c r="ABU191" i="13"/>
  <c r="XW165" i="13"/>
  <c r="ZV178" i="13"/>
  <c r="VX152" i="13"/>
  <c r="ZV180" i="13"/>
  <c r="ABU193" i="13"/>
  <c r="XW167" i="13"/>
  <c r="VX154" i="13"/>
  <c r="AU4" i="13"/>
  <c r="AU5" i="13" s="1"/>
  <c r="YI192" i="13"/>
  <c r="UK166" i="13"/>
  <c r="WJ179" i="13"/>
  <c r="SL153" i="13"/>
  <c r="YI195" i="13"/>
  <c r="WJ182" i="13"/>
  <c r="UK169" i="13"/>
  <c r="SL156" i="13"/>
  <c r="TY141" i="13"/>
  <c r="RZ128" i="13"/>
  <c r="QA115" i="13"/>
  <c r="QM140" i="13"/>
  <c r="MO114" i="13"/>
  <c r="ON127" i="13"/>
  <c r="TY135" i="13"/>
  <c r="RZ122" i="13"/>
  <c r="QA109" i="13"/>
  <c r="RL131" i="13"/>
  <c r="PM118" i="13"/>
  <c r="NN105" i="13"/>
  <c r="TY139" i="13"/>
  <c r="RZ126" i="13"/>
  <c r="QA113" i="13"/>
  <c r="QM143" i="13"/>
  <c r="MO117" i="13"/>
  <c r="ON130" i="13"/>
  <c r="KP104" i="13"/>
  <c r="IQ91" i="13"/>
  <c r="GR78" i="13"/>
  <c r="OB96" i="13"/>
  <c r="MC83" i="13"/>
  <c r="KD70" i="13"/>
  <c r="MC89" i="13"/>
  <c r="OB102" i="13"/>
  <c r="KD76" i="13"/>
  <c r="KP101" i="13"/>
  <c r="IQ88" i="13"/>
  <c r="GR75" i="13"/>
  <c r="OB100" i="13"/>
  <c r="MC87" i="13"/>
  <c r="KD74" i="13"/>
  <c r="LO92" i="13"/>
  <c r="JP79" i="13"/>
  <c r="HQ66" i="13"/>
  <c r="ES62" i="13"/>
  <c r="AV33" i="13"/>
  <c r="CT49" i="13"/>
  <c r="IE63" i="13"/>
  <c r="GF50" i="13"/>
  <c r="IE57" i="13"/>
  <c r="GF44" i="13"/>
  <c r="CT52" i="13"/>
  <c r="ES65" i="13"/>
  <c r="IE61" i="13"/>
  <c r="GF48" i="13"/>
  <c r="FR53" i="13"/>
  <c r="DS40" i="13"/>
  <c r="BT32" i="13"/>
  <c r="EH31" i="13"/>
  <c r="ABV187" i="13" l="1"/>
  <c r="ZW174" i="13"/>
  <c r="XX161" i="13"/>
  <c r="VY148" i="13"/>
  <c r="ZH188" i="13"/>
  <c r="XI175" i="13"/>
  <c r="VJ162" i="13"/>
  <c r="TK149" i="13"/>
  <c r="ABV191" i="13"/>
  <c r="ZW178" i="13"/>
  <c r="XX165" i="13"/>
  <c r="VY152" i="13"/>
  <c r="ABV193" i="13"/>
  <c r="ZW180" i="13"/>
  <c r="XX167" i="13"/>
  <c r="VY154" i="13"/>
  <c r="AU7" i="13"/>
  <c r="AU8" i="13"/>
  <c r="AU11" i="13"/>
  <c r="AV6" i="13"/>
  <c r="YJ189" i="13"/>
  <c r="UL163" i="13"/>
  <c r="SM150" i="13"/>
  <c r="WK176" i="13"/>
  <c r="QN137" i="13"/>
  <c r="OO124" i="13"/>
  <c r="MP111" i="13"/>
  <c r="TZ135" i="13"/>
  <c r="SA122" i="13"/>
  <c r="QB109" i="13"/>
  <c r="RL136" i="13"/>
  <c r="PM123" i="13"/>
  <c r="NN110" i="13"/>
  <c r="TZ139" i="13"/>
  <c r="QB113" i="13"/>
  <c r="SA126" i="13"/>
  <c r="TZ141" i="13"/>
  <c r="QB115" i="13"/>
  <c r="SA128" i="13"/>
  <c r="OC100" i="13"/>
  <c r="MD87" i="13"/>
  <c r="KE74" i="13"/>
  <c r="LO97" i="13"/>
  <c r="JP84" i="13"/>
  <c r="HQ71" i="13"/>
  <c r="OC102" i="13"/>
  <c r="MD89" i="13"/>
  <c r="KE76" i="13"/>
  <c r="KQ98" i="13"/>
  <c r="IR85" i="13"/>
  <c r="GS72" i="13"/>
  <c r="OC96" i="13"/>
  <c r="MD83" i="13"/>
  <c r="KE70" i="13"/>
  <c r="BU27" i="13"/>
  <c r="FR58" i="13"/>
  <c r="DS45" i="13"/>
  <c r="IF57" i="13"/>
  <c r="GG44" i="13"/>
  <c r="IF61" i="13"/>
  <c r="GG48" i="13"/>
  <c r="ET59" i="13"/>
  <c r="AV34" i="13"/>
  <c r="CU46" i="13"/>
  <c r="IF63" i="13"/>
  <c r="GG50" i="13"/>
  <c r="EI31" i="13"/>
  <c r="ZI183" i="13" l="1"/>
  <c r="VK157" i="13"/>
  <c r="XJ170" i="13"/>
  <c r="TL144" i="13"/>
  <c r="ABW191" i="13"/>
  <c r="ZX178" i="13"/>
  <c r="XY165" i="13"/>
  <c r="VZ152" i="13"/>
  <c r="ABW187" i="13"/>
  <c r="ZX174" i="13"/>
  <c r="XY161" i="13"/>
  <c r="VZ148" i="13"/>
  <c r="AU9" i="13"/>
  <c r="AU10" i="13"/>
  <c r="AU12" i="13"/>
  <c r="AU13" i="13"/>
  <c r="ABW193" i="13"/>
  <c r="ZX180" i="13"/>
  <c r="XY167" i="13"/>
  <c r="VZ154" i="13"/>
  <c r="AV2" i="13"/>
  <c r="AV3" i="13"/>
  <c r="WK177" i="13"/>
  <c r="YJ190" i="13"/>
  <c r="UL164" i="13"/>
  <c r="SM151" i="13"/>
  <c r="UA135" i="13"/>
  <c r="SB122" i="13"/>
  <c r="QC109" i="13"/>
  <c r="UA141" i="13"/>
  <c r="SB128" i="13"/>
  <c r="QC115" i="13"/>
  <c r="UA139" i="13"/>
  <c r="SB126" i="13"/>
  <c r="QC113" i="13"/>
  <c r="QN138" i="13"/>
  <c r="OO125" i="13"/>
  <c r="MP112" i="13"/>
  <c r="RM131" i="13"/>
  <c r="PN118" i="13"/>
  <c r="NO105" i="13"/>
  <c r="OD96" i="13"/>
  <c r="ME83" i="13"/>
  <c r="KF70" i="13"/>
  <c r="KQ99" i="13"/>
  <c r="IR86" i="13"/>
  <c r="GS73" i="13"/>
  <c r="LP92" i="13"/>
  <c r="JQ79" i="13"/>
  <c r="HR66" i="13"/>
  <c r="OD100" i="13"/>
  <c r="ME87" i="13"/>
  <c r="KF74" i="13"/>
  <c r="OD102" i="13"/>
  <c r="ME89" i="13"/>
  <c r="KF76" i="13"/>
  <c r="ET60" i="13"/>
  <c r="AV36" i="13"/>
  <c r="CU47" i="13"/>
  <c r="AV39" i="13"/>
  <c r="IG61" i="13"/>
  <c r="GH48" i="13"/>
  <c r="IG63" i="13"/>
  <c r="GH50" i="13"/>
  <c r="IG57" i="13"/>
  <c r="GH44" i="13"/>
  <c r="FS53" i="13"/>
  <c r="DT40" i="13"/>
  <c r="BU32" i="13"/>
  <c r="EJ31" i="13"/>
  <c r="ABX187" i="13" l="1"/>
  <c r="ZY174" i="13"/>
  <c r="XZ161" i="13"/>
  <c r="WA148" i="13"/>
  <c r="ZI188" i="13"/>
  <c r="XJ175" i="13"/>
  <c r="VK162" i="13"/>
  <c r="TL149" i="13"/>
  <c r="ABX191" i="13"/>
  <c r="XZ165" i="13"/>
  <c r="ZY178" i="13"/>
  <c r="WA152" i="13"/>
  <c r="WK182" i="13"/>
  <c r="UL169" i="13"/>
  <c r="YJ195" i="13"/>
  <c r="SM156" i="13"/>
  <c r="AV4" i="13"/>
  <c r="AV5" i="13" s="1"/>
  <c r="YJ192" i="13"/>
  <c r="UL166" i="13"/>
  <c r="SM153" i="13"/>
  <c r="WK179" i="13"/>
  <c r="ABX193" i="13"/>
  <c r="XZ167" i="13"/>
  <c r="ZY180" i="13"/>
  <c r="WA154" i="13"/>
  <c r="QN140" i="13"/>
  <c r="OO127" i="13"/>
  <c r="MP114" i="13"/>
  <c r="UB135" i="13"/>
  <c r="SC122" i="13"/>
  <c r="QD109" i="13"/>
  <c r="RM136" i="13"/>
  <c r="PN123" i="13"/>
  <c r="NO110" i="13"/>
  <c r="UB141" i="13"/>
  <c r="QD115" i="13"/>
  <c r="SC128" i="13"/>
  <c r="UB139" i="13"/>
  <c r="SC126" i="13"/>
  <c r="QD113" i="13"/>
  <c r="MP117" i="13"/>
  <c r="QN143" i="13"/>
  <c r="OO130" i="13"/>
  <c r="IR91" i="13"/>
  <c r="KQ104" i="13"/>
  <c r="GS78" i="13"/>
  <c r="LP97" i="13"/>
  <c r="JQ84" i="13"/>
  <c r="HR71" i="13"/>
  <c r="OE100" i="13"/>
  <c r="MF87" i="13"/>
  <c r="KG74" i="13"/>
  <c r="OE96" i="13"/>
  <c r="MF83" i="13"/>
  <c r="KG70" i="13"/>
  <c r="KQ101" i="13"/>
  <c r="IR88" i="13"/>
  <c r="GS75" i="13"/>
  <c r="OE102" i="13"/>
  <c r="MF89" i="13"/>
  <c r="KG76" i="13"/>
  <c r="BV27" i="13"/>
  <c r="FS58" i="13"/>
  <c r="DT45" i="13"/>
  <c r="IH61" i="13"/>
  <c r="GI48" i="13"/>
  <c r="IH63" i="13"/>
  <c r="GI50" i="13"/>
  <c r="CU52" i="13"/>
  <c r="ET65" i="13"/>
  <c r="IH57" i="13"/>
  <c r="GI44" i="13"/>
  <c r="ET62" i="13"/>
  <c r="CU49" i="13"/>
  <c r="AW33" i="13"/>
  <c r="EK31" i="13"/>
  <c r="ZJ183" i="13" l="1"/>
  <c r="XK170" i="13"/>
  <c r="VL157" i="13"/>
  <c r="TM144" i="13"/>
  <c r="ABY191" i="13"/>
  <c r="YA165" i="13"/>
  <c r="ZZ178" i="13"/>
  <c r="WB152" i="13"/>
  <c r="YA161" i="13"/>
  <c r="ZZ174" i="13"/>
  <c r="ABY187" i="13"/>
  <c r="WB148" i="13"/>
  <c r="AV7" i="13"/>
  <c r="AV8" i="13"/>
  <c r="AV11" i="13"/>
  <c r="ABY193" i="13"/>
  <c r="YA167" i="13"/>
  <c r="WB154" i="13"/>
  <c r="ZZ180" i="13"/>
  <c r="AW6" i="13"/>
  <c r="YK189" i="13"/>
  <c r="WL176" i="13"/>
  <c r="SN150" i="13"/>
  <c r="UM163" i="13"/>
  <c r="QO137" i="13"/>
  <c r="OP124" i="13"/>
  <c r="MQ111" i="13"/>
  <c r="UC141" i="13"/>
  <c r="QE115" i="13"/>
  <c r="SD128" i="13"/>
  <c r="UC135" i="13"/>
  <c r="SD122" i="13"/>
  <c r="QE109" i="13"/>
  <c r="UC139" i="13"/>
  <c r="SD126" i="13"/>
  <c r="QE113" i="13"/>
  <c r="RN131" i="13"/>
  <c r="PO118" i="13"/>
  <c r="NP105" i="13"/>
  <c r="LQ92" i="13"/>
  <c r="JR79" i="13"/>
  <c r="HS66" i="13"/>
  <c r="KR98" i="13"/>
  <c r="IS85" i="13"/>
  <c r="GT72" i="13"/>
  <c r="OF96" i="13"/>
  <c r="MG83" i="13"/>
  <c r="KH70" i="13"/>
  <c r="OF102" i="13"/>
  <c r="MG89" i="13"/>
  <c r="KH76" i="13"/>
  <c r="OF100" i="13"/>
  <c r="MG87" i="13"/>
  <c r="KH74" i="13"/>
  <c r="II63" i="13"/>
  <c r="GJ50" i="13"/>
  <c r="II57" i="13"/>
  <c r="GJ44" i="13"/>
  <c r="EU59" i="13"/>
  <c r="AW34" i="13"/>
  <c r="CV46" i="13"/>
  <c r="II61" i="13"/>
  <c r="GJ48" i="13"/>
  <c r="FT53" i="13"/>
  <c r="DU40" i="13"/>
  <c r="BV32" i="13"/>
  <c r="EL31" i="13"/>
  <c r="ABZ191" i="13" l="1"/>
  <c r="AAA178" i="13"/>
  <c r="YB165" i="13"/>
  <c r="WC152" i="13"/>
  <c r="ZJ188" i="13"/>
  <c r="XK175" i="13"/>
  <c r="VL162" i="13"/>
  <c r="TM149" i="13"/>
  <c r="ABZ187" i="13"/>
  <c r="AAA174" i="13"/>
  <c r="YB161" i="13"/>
  <c r="WC148" i="13"/>
  <c r="AAA180" i="13"/>
  <c r="ABZ193" i="13"/>
  <c r="YB167" i="13"/>
  <c r="WC154" i="13"/>
  <c r="AV12" i="13"/>
  <c r="AV13" i="13"/>
  <c r="AV9" i="13"/>
  <c r="AV10" i="13"/>
  <c r="AW2" i="13"/>
  <c r="AW3" i="13"/>
  <c r="WL177" i="13"/>
  <c r="YK190" i="13"/>
  <c r="UM164" i="13"/>
  <c r="SN151" i="13"/>
  <c r="QO138" i="13"/>
  <c r="OP125" i="13"/>
  <c r="MQ112" i="13"/>
  <c r="UD135" i="13"/>
  <c r="QF109" i="13"/>
  <c r="SE122" i="13"/>
  <c r="UD139" i="13"/>
  <c r="SE126" i="13"/>
  <c r="QF113" i="13"/>
  <c r="RN136" i="13"/>
  <c r="PO123" i="13"/>
  <c r="NP110" i="13"/>
  <c r="UD141" i="13"/>
  <c r="SE128" i="13"/>
  <c r="QF115" i="13"/>
  <c r="LQ97" i="13"/>
  <c r="JR84" i="13"/>
  <c r="HS71" i="13"/>
  <c r="OG100" i="13"/>
  <c r="MH87" i="13"/>
  <c r="KI74" i="13"/>
  <c r="OG102" i="13"/>
  <c r="MH89" i="13"/>
  <c r="KI76" i="13"/>
  <c r="OG96" i="13"/>
  <c r="MH83" i="13"/>
  <c r="KI70" i="13"/>
  <c r="KR99" i="13"/>
  <c r="IS86" i="13"/>
  <c r="GT73" i="13"/>
  <c r="BW27" i="13"/>
  <c r="FT58" i="13"/>
  <c r="DU45" i="13"/>
  <c r="IJ61" i="13"/>
  <c r="GK48" i="13"/>
  <c r="EU60" i="13"/>
  <c r="AW36" i="13"/>
  <c r="CV47" i="13"/>
  <c r="AW39" i="13"/>
  <c r="IJ57" i="13"/>
  <c r="GK44" i="13"/>
  <c r="IJ63" i="13"/>
  <c r="GK50" i="13"/>
  <c r="EM31" i="13"/>
  <c r="ACA187" i="13" l="1"/>
  <c r="AAB174" i="13"/>
  <c r="YC161" i="13"/>
  <c r="WD148" i="13"/>
  <c r="ACA191" i="13"/>
  <c r="AAB178" i="13"/>
  <c r="YC165" i="13"/>
  <c r="WD152" i="13"/>
  <c r="ZK183" i="13"/>
  <c r="VM157" i="13"/>
  <c r="XL170" i="13"/>
  <c r="TN144" i="13"/>
  <c r="AW4" i="13"/>
  <c r="AW5" i="13" s="1"/>
  <c r="WL179" i="13"/>
  <c r="SN153" i="13"/>
  <c r="UM166" i="13"/>
  <c r="YK192" i="13"/>
  <c r="WL182" i="13"/>
  <c r="YK195" i="13"/>
  <c r="UM169" i="13"/>
  <c r="SN156" i="13"/>
  <c r="AAB180" i="13"/>
  <c r="ACA193" i="13"/>
  <c r="YC167" i="13"/>
  <c r="WD154" i="13"/>
  <c r="QO140" i="13"/>
  <c r="OP127" i="13"/>
  <c r="MQ114" i="13"/>
  <c r="RO131" i="13"/>
  <c r="PP118" i="13"/>
  <c r="NQ105" i="13"/>
  <c r="UE135" i="13"/>
  <c r="SF122" i="13"/>
  <c r="QG109" i="13"/>
  <c r="UE141" i="13"/>
  <c r="SF128" i="13"/>
  <c r="QG115" i="13"/>
  <c r="UE139" i="13"/>
  <c r="SF126" i="13"/>
  <c r="QG113" i="13"/>
  <c r="MQ117" i="13"/>
  <c r="QO143" i="13"/>
  <c r="OP130" i="13"/>
  <c r="KR101" i="13"/>
  <c r="IS88" i="13"/>
  <c r="GT75" i="13"/>
  <c r="KR104" i="13"/>
  <c r="IS91" i="13"/>
  <c r="GT78" i="13"/>
  <c r="LR92" i="13"/>
  <c r="JS79" i="13"/>
  <c r="HT66" i="13"/>
  <c r="OH96" i="13"/>
  <c r="MI83" i="13"/>
  <c r="KJ70" i="13"/>
  <c r="OH102" i="13"/>
  <c r="MI89" i="13"/>
  <c r="KJ76" i="13"/>
  <c r="OH100" i="13"/>
  <c r="MI87" i="13"/>
  <c r="KJ74" i="13"/>
  <c r="IK61" i="13"/>
  <c r="GL48" i="13"/>
  <c r="EU62" i="13"/>
  <c r="CV49" i="13"/>
  <c r="AX33" i="13"/>
  <c r="IK63" i="13"/>
  <c r="GL50" i="13"/>
  <c r="IK57" i="13"/>
  <c r="GL44" i="13"/>
  <c r="CV52" i="13"/>
  <c r="EU65" i="13"/>
  <c r="FU53" i="13"/>
  <c r="DV40" i="13"/>
  <c r="BW32" i="13"/>
  <c r="EN31" i="13"/>
  <c r="ZK188" i="13" l="1"/>
  <c r="XL175" i="13"/>
  <c r="TN149" i="13"/>
  <c r="VM162" i="13"/>
  <c r="ACB191" i="13"/>
  <c r="AAC178" i="13"/>
  <c r="YD165" i="13"/>
  <c r="WE152" i="13"/>
  <c r="ACB187" i="13"/>
  <c r="AAC174" i="13"/>
  <c r="YD161" i="13"/>
  <c r="WE148" i="13"/>
  <c r="AAC180" i="13"/>
  <c r="ACB193" i="13"/>
  <c r="YD167" i="13"/>
  <c r="WE154" i="13"/>
  <c r="AX6" i="13"/>
  <c r="YL189" i="13"/>
  <c r="WM176" i="13"/>
  <c r="UN163" i="13"/>
  <c r="SO150" i="13"/>
  <c r="AW8" i="13"/>
  <c r="AW11" i="13"/>
  <c r="AW7" i="13"/>
  <c r="UF135" i="13"/>
  <c r="SG122" i="13"/>
  <c r="QH109" i="13"/>
  <c r="UF141" i="13"/>
  <c r="SG128" i="13"/>
  <c r="QH115" i="13"/>
  <c r="RO136" i="13"/>
  <c r="PP123" i="13"/>
  <c r="NQ110" i="13"/>
  <c r="QP137" i="13"/>
  <c r="OQ124" i="13"/>
  <c r="MR111" i="13"/>
  <c r="UF139" i="13"/>
  <c r="QH113" i="13"/>
  <c r="SG126" i="13"/>
  <c r="OI96" i="13"/>
  <c r="MJ83" i="13"/>
  <c r="KK70" i="13"/>
  <c r="OI100" i="13"/>
  <c r="MJ87" i="13"/>
  <c r="KK74" i="13"/>
  <c r="LR97" i="13"/>
  <c r="JS84" i="13"/>
  <c r="HT71" i="13"/>
  <c r="OI102" i="13"/>
  <c r="MJ89" i="13"/>
  <c r="KK76" i="13"/>
  <c r="KS98" i="13"/>
  <c r="IT85" i="13"/>
  <c r="GU72" i="13"/>
  <c r="IL63" i="13"/>
  <c r="GM50" i="13"/>
  <c r="IL57" i="13"/>
  <c r="GM44" i="13"/>
  <c r="IL61" i="13"/>
  <c r="GM48" i="13"/>
  <c r="BX27" i="13"/>
  <c r="FU58" i="13"/>
  <c r="DV45" i="13"/>
  <c r="EV59" i="13"/>
  <c r="AX34" i="13"/>
  <c r="CW46" i="13"/>
  <c r="EO31" i="13"/>
  <c r="ACC187" i="13" l="1"/>
  <c r="AAD174" i="13"/>
  <c r="WF148" i="13"/>
  <c r="YE161" i="13"/>
  <c r="ZL183" i="13"/>
  <c r="VN157" i="13"/>
  <c r="XM170" i="13"/>
  <c r="TO144" i="13"/>
  <c r="ACC191" i="13"/>
  <c r="AAD178" i="13"/>
  <c r="YE165" i="13"/>
  <c r="WF152" i="13"/>
  <c r="AX2" i="13"/>
  <c r="AX3" i="13"/>
  <c r="YL190" i="13"/>
  <c r="UN164" i="13"/>
  <c r="WM177" i="13"/>
  <c r="SO151" i="13"/>
  <c r="AW12" i="13"/>
  <c r="AW13" i="13"/>
  <c r="AW10" i="13"/>
  <c r="AW9" i="13"/>
  <c r="YE167" i="13"/>
  <c r="AAD180" i="13"/>
  <c r="ACC193" i="13"/>
  <c r="WF154" i="13"/>
  <c r="UG139" i="13"/>
  <c r="SH126" i="13"/>
  <c r="QI113" i="13"/>
  <c r="UG135" i="13"/>
  <c r="SH122" i="13"/>
  <c r="QI109" i="13"/>
  <c r="QP138" i="13"/>
  <c r="OQ125" i="13"/>
  <c r="MR112" i="13"/>
  <c r="RP131" i="13"/>
  <c r="PQ118" i="13"/>
  <c r="NR105" i="13"/>
  <c r="UG141" i="13"/>
  <c r="SH128" i="13"/>
  <c r="QI115" i="13"/>
  <c r="OJ96" i="13"/>
  <c r="MK83" i="13"/>
  <c r="KL70" i="13"/>
  <c r="OJ100" i="13"/>
  <c r="MK87" i="13"/>
  <c r="KL74" i="13"/>
  <c r="LS92" i="13"/>
  <c r="JT79" i="13"/>
  <c r="HU66" i="13"/>
  <c r="OJ102" i="13"/>
  <c r="MK89" i="13"/>
  <c r="KL76" i="13"/>
  <c r="KS99" i="13"/>
  <c r="IT86" i="13"/>
  <c r="GU73" i="13"/>
  <c r="EV60" i="13"/>
  <c r="AX36" i="13"/>
  <c r="CW47" i="13"/>
  <c r="AX39" i="13"/>
  <c r="IM61" i="13"/>
  <c r="GN48" i="13"/>
  <c r="IM57" i="13"/>
  <c r="GN44" i="13"/>
  <c r="FV53" i="13"/>
  <c r="DW40" i="13"/>
  <c r="BX32" i="13"/>
  <c r="IM63" i="13"/>
  <c r="GN50" i="13"/>
  <c r="EP31" i="13"/>
  <c r="ZL188" i="13" l="1"/>
  <c r="XM175" i="13"/>
  <c r="VN162" i="13"/>
  <c r="TO149" i="13"/>
  <c r="ACD191" i="13"/>
  <c r="AAE178" i="13"/>
  <c r="YF165" i="13"/>
  <c r="WG152" i="13"/>
  <c r="ACD187" i="13"/>
  <c r="AAE174" i="13"/>
  <c r="WG148" i="13"/>
  <c r="YF161" i="13"/>
  <c r="YL195" i="13"/>
  <c r="WM182" i="13"/>
  <c r="SO156" i="13"/>
  <c r="UN169" i="13"/>
  <c r="AX4" i="13"/>
  <c r="AX5" i="13" s="1"/>
  <c r="YL192" i="13"/>
  <c r="WM179" i="13"/>
  <c r="UN166" i="13"/>
  <c r="SO153" i="13"/>
  <c r="ACD193" i="13"/>
  <c r="AAE180" i="13"/>
  <c r="YF167" i="13"/>
  <c r="WG154" i="13"/>
  <c r="QP140" i="13"/>
  <c r="OQ127" i="13"/>
  <c r="MR114" i="13"/>
  <c r="RP136" i="13"/>
  <c r="PQ123" i="13"/>
  <c r="NR110" i="13"/>
  <c r="UH139" i="13"/>
  <c r="QJ113" i="13"/>
  <c r="SI126" i="13"/>
  <c r="UH135" i="13"/>
  <c r="SI122" i="13"/>
  <c r="QJ109" i="13"/>
  <c r="UH141" i="13"/>
  <c r="QJ115" i="13"/>
  <c r="SI128" i="13"/>
  <c r="OQ130" i="13"/>
  <c r="MR117" i="13"/>
  <c r="QP143" i="13"/>
  <c r="KS104" i="13"/>
  <c r="IT91" i="13"/>
  <c r="GU78" i="13"/>
  <c r="LS97" i="13"/>
  <c r="JT84" i="13"/>
  <c r="HU71" i="13"/>
  <c r="IT88" i="13"/>
  <c r="KS101" i="13"/>
  <c r="GU75" i="13"/>
  <c r="OK96" i="13"/>
  <c r="ML83" i="13"/>
  <c r="KM70" i="13"/>
  <c r="OK100" i="13"/>
  <c r="ML87" i="13"/>
  <c r="KM74" i="13"/>
  <c r="OK102" i="13"/>
  <c r="ML89" i="13"/>
  <c r="KM76" i="13"/>
  <c r="IN63" i="13"/>
  <c r="GO50" i="13"/>
  <c r="BY27" i="13"/>
  <c r="FV58" i="13"/>
  <c r="DW45" i="13"/>
  <c r="IN57" i="13"/>
  <c r="GO44" i="13"/>
  <c r="EV62" i="13"/>
  <c r="CW49" i="13"/>
  <c r="AY33" i="13"/>
  <c r="IN61" i="13"/>
  <c r="GO48" i="13"/>
  <c r="CW52" i="13"/>
  <c r="EV65" i="13"/>
  <c r="EQ31" i="13"/>
  <c r="ACE191" i="13" l="1"/>
  <c r="AAF178" i="13"/>
  <c r="YG165" i="13"/>
  <c r="WH152" i="13"/>
  <c r="ACE187" i="13"/>
  <c r="AAF174" i="13"/>
  <c r="YG161" i="13"/>
  <c r="WH148" i="13"/>
  <c r="XN170" i="13"/>
  <c r="ZM183" i="13"/>
  <c r="VO157" i="13"/>
  <c r="TP144" i="13"/>
  <c r="AX8" i="13"/>
  <c r="AX7" i="13"/>
  <c r="AX11" i="13"/>
  <c r="AY6" i="13"/>
  <c r="YM189" i="13"/>
  <c r="WN176" i="13"/>
  <c r="SP150" i="13"/>
  <c r="UO163" i="13"/>
  <c r="ACE193" i="13"/>
  <c r="AAF180" i="13"/>
  <c r="YG167" i="13"/>
  <c r="WH154" i="13"/>
  <c r="UI135" i="13"/>
  <c r="SJ122" i="13"/>
  <c r="QK109" i="13"/>
  <c r="UI141" i="13"/>
  <c r="SJ128" i="13"/>
  <c r="QK115" i="13"/>
  <c r="RQ131" i="13"/>
  <c r="NS105" i="13"/>
  <c r="PR118" i="13"/>
  <c r="UI139" i="13"/>
  <c r="SJ126" i="13"/>
  <c r="QK113" i="13"/>
  <c r="QQ137" i="13"/>
  <c r="OR124" i="13"/>
  <c r="MS111" i="13"/>
  <c r="OL96" i="13"/>
  <c r="MM83" i="13"/>
  <c r="KN70" i="13"/>
  <c r="KT98" i="13"/>
  <c r="IU85" i="13"/>
  <c r="GV72" i="13"/>
  <c r="OL102" i="13"/>
  <c r="MM89" i="13"/>
  <c r="KN76" i="13"/>
  <c r="LT92" i="13"/>
  <c r="JU79" i="13"/>
  <c r="HV66" i="13"/>
  <c r="OL100" i="13"/>
  <c r="MM87" i="13"/>
  <c r="KN74" i="13"/>
  <c r="IO57" i="13"/>
  <c r="GP44" i="13"/>
  <c r="EW59" i="13"/>
  <c r="AY34" i="13"/>
  <c r="CX46" i="13"/>
  <c r="FW53" i="13"/>
  <c r="DX40" i="13"/>
  <c r="BY32" i="13"/>
  <c r="IO61" i="13"/>
  <c r="GP48" i="13"/>
  <c r="IO63" i="13"/>
  <c r="GP50" i="13"/>
  <c r="ER31" i="13"/>
  <c r="ACF187" i="13" l="1"/>
  <c r="YH161" i="13"/>
  <c r="AAG174" i="13"/>
  <c r="WI148" i="13"/>
  <c r="XN175" i="13"/>
  <c r="VO162" i="13"/>
  <c r="ZM188" i="13"/>
  <c r="TP149" i="13"/>
  <c r="ACF191" i="13"/>
  <c r="YH165" i="13"/>
  <c r="AAG178" i="13"/>
  <c r="WI152" i="13"/>
  <c r="ACF193" i="13"/>
  <c r="YH167" i="13"/>
  <c r="WI154" i="13"/>
  <c r="AAG180" i="13"/>
  <c r="AX12" i="13"/>
  <c r="AX13" i="13"/>
  <c r="AY2" i="13"/>
  <c r="AY3" i="13"/>
  <c r="YM190" i="13"/>
  <c r="WN177" i="13"/>
  <c r="UO164" i="13"/>
  <c r="SP151" i="13"/>
  <c r="AX10" i="13"/>
  <c r="AX9" i="13"/>
  <c r="RQ136" i="13"/>
  <c r="PR123" i="13"/>
  <c r="NS110" i="13"/>
  <c r="QQ138" i="13"/>
  <c r="OR125" i="13"/>
  <c r="MS112" i="13"/>
  <c r="UJ135" i="13"/>
  <c r="QL109" i="13"/>
  <c r="SK122" i="13"/>
  <c r="UJ141" i="13"/>
  <c r="QL115" i="13"/>
  <c r="SK128" i="13"/>
  <c r="UJ139" i="13"/>
  <c r="SK126" i="13"/>
  <c r="QL113" i="13"/>
  <c r="OM102" i="13"/>
  <c r="MN89" i="13"/>
  <c r="KO76" i="13"/>
  <c r="OM100" i="13"/>
  <c r="MN87" i="13"/>
  <c r="KO74" i="13"/>
  <c r="LT97" i="13"/>
  <c r="JU84" i="13"/>
  <c r="HV71" i="13"/>
  <c r="KT99" i="13"/>
  <c r="IU86" i="13"/>
  <c r="GV73" i="13"/>
  <c r="OM96" i="13"/>
  <c r="MN83" i="13"/>
  <c r="KO70" i="13"/>
  <c r="FW58" i="13"/>
  <c r="DX45" i="13"/>
  <c r="IP63" i="13"/>
  <c r="GQ50" i="13"/>
  <c r="IP61" i="13"/>
  <c r="GQ48" i="13"/>
  <c r="IP57" i="13"/>
  <c r="GQ44" i="13"/>
  <c r="EW60" i="13"/>
  <c r="AY36" i="13"/>
  <c r="AY39" i="13"/>
  <c r="CX47" i="13"/>
  <c r="BZ27" i="13"/>
  <c r="ES31" i="13"/>
  <c r="ACG191" i="13" l="1"/>
  <c r="YI165" i="13"/>
  <c r="AAH178" i="13"/>
  <c r="WJ152" i="13"/>
  <c r="ZN183" i="13"/>
  <c r="XO170" i="13"/>
  <c r="VP157" i="13"/>
  <c r="TQ144" i="13"/>
  <c r="YI161" i="13"/>
  <c r="ACG187" i="13"/>
  <c r="AAH174" i="13"/>
  <c r="WJ148" i="13"/>
  <c r="AY4" i="13"/>
  <c r="AY5" i="13" s="1"/>
  <c r="YM192" i="13"/>
  <c r="WN179" i="13"/>
  <c r="SP153" i="13"/>
  <c r="UO166" i="13"/>
  <c r="ACG193" i="13"/>
  <c r="AAH180" i="13"/>
  <c r="WJ154" i="13"/>
  <c r="YI167" i="13"/>
  <c r="YM195" i="13"/>
  <c r="WN182" i="13"/>
  <c r="SP156" i="13"/>
  <c r="UO169" i="13"/>
  <c r="QQ140" i="13"/>
  <c r="OR127" i="13"/>
  <c r="MS114" i="13"/>
  <c r="QM115" i="13"/>
  <c r="SL128" i="13"/>
  <c r="UK141" i="13"/>
  <c r="UK135" i="13"/>
  <c r="SL122" i="13"/>
  <c r="QM109" i="13"/>
  <c r="UK139" i="13"/>
  <c r="SL126" i="13"/>
  <c r="QM113" i="13"/>
  <c r="RR131" i="13"/>
  <c r="PS118" i="13"/>
  <c r="NT105" i="13"/>
  <c r="OR130" i="13"/>
  <c r="MS117" i="13"/>
  <c r="QQ143" i="13"/>
  <c r="ON96" i="13"/>
  <c r="MO83" i="13"/>
  <c r="KP70" i="13"/>
  <c r="ON102" i="13"/>
  <c r="MO89" i="13"/>
  <c r="KP76" i="13"/>
  <c r="LU92" i="13"/>
  <c r="JV79" i="13"/>
  <c r="HW66" i="13"/>
  <c r="KT101" i="13"/>
  <c r="IU88" i="13"/>
  <c r="GV75" i="13"/>
  <c r="ON100" i="13"/>
  <c r="MO87" i="13"/>
  <c r="KP74" i="13"/>
  <c r="KT104" i="13"/>
  <c r="IU91" i="13"/>
  <c r="GV78" i="13"/>
  <c r="FX53" i="13"/>
  <c r="DY40" i="13"/>
  <c r="BZ32" i="13"/>
  <c r="EW62" i="13"/>
  <c r="AZ33" i="13"/>
  <c r="CX49" i="13"/>
  <c r="CX52" i="13"/>
  <c r="EW65" i="13"/>
  <c r="IQ63" i="13"/>
  <c r="GR50" i="13"/>
  <c r="IQ61" i="13"/>
  <c r="GR48" i="13"/>
  <c r="IQ57" i="13"/>
  <c r="GR44" i="13"/>
  <c r="ET31" i="13"/>
  <c r="ACH187" i="13" l="1"/>
  <c r="AAI174" i="13"/>
  <c r="YJ161" i="13"/>
  <c r="WK148" i="13"/>
  <c r="ZN188" i="13"/>
  <c r="XO175" i="13"/>
  <c r="VP162" i="13"/>
  <c r="TQ149" i="13"/>
  <c r="ACH191" i="13"/>
  <c r="YJ165" i="13"/>
  <c r="AAI178" i="13"/>
  <c r="WK152" i="13"/>
  <c r="AZ6" i="13"/>
  <c r="YN189" i="13"/>
  <c r="WO176" i="13"/>
  <c r="UP163" i="13"/>
  <c r="SQ150" i="13"/>
  <c r="AAI180" i="13"/>
  <c r="ACH193" i="13"/>
  <c r="WK154" i="13"/>
  <c r="YJ167" i="13"/>
  <c r="AY8" i="13"/>
  <c r="AY7" i="13"/>
  <c r="AY11" i="13"/>
  <c r="UL141" i="13"/>
  <c r="QN115" i="13"/>
  <c r="SM128" i="13"/>
  <c r="UL139" i="13"/>
  <c r="QN113" i="13"/>
  <c r="SM126" i="13"/>
  <c r="QR137" i="13"/>
  <c r="OS124" i="13"/>
  <c r="MT111" i="13"/>
  <c r="UL135" i="13"/>
  <c r="SM122" i="13"/>
  <c r="QN109" i="13"/>
  <c r="RR136" i="13"/>
  <c r="PS123" i="13"/>
  <c r="NT110" i="13"/>
  <c r="OO96" i="13"/>
  <c r="MP83" i="13"/>
  <c r="KQ70" i="13"/>
  <c r="OO102" i="13"/>
  <c r="MP89" i="13"/>
  <c r="KQ76" i="13"/>
  <c r="KU98" i="13"/>
  <c r="IV85" i="13"/>
  <c r="GW72" i="13"/>
  <c r="LU97" i="13"/>
  <c r="JV84" i="13"/>
  <c r="HW71" i="13"/>
  <c r="OO100" i="13"/>
  <c r="MP87" i="13"/>
  <c r="KQ74" i="13"/>
  <c r="EX59" i="13"/>
  <c r="AZ34" i="13"/>
  <c r="CY46" i="13"/>
  <c r="CA27" i="13"/>
  <c r="FX58" i="13"/>
  <c r="DY45" i="13"/>
  <c r="IR61" i="13"/>
  <c r="GS48" i="13"/>
  <c r="IR57" i="13"/>
  <c r="GS44" i="13"/>
  <c r="IR63" i="13"/>
  <c r="GS50" i="13"/>
  <c r="EU31" i="13"/>
  <c r="AAJ178" i="13" l="1"/>
  <c r="ACI191" i="13"/>
  <c r="YK165" i="13"/>
  <c r="WL152" i="13"/>
  <c r="XP170" i="13"/>
  <c r="ZO183" i="13"/>
  <c r="VQ157" i="13"/>
  <c r="TR144" i="13"/>
  <c r="AAJ174" i="13"/>
  <c r="ACI187" i="13"/>
  <c r="YK161" i="13"/>
  <c r="WL148" i="13"/>
  <c r="AAJ180" i="13"/>
  <c r="ACI193" i="13"/>
  <c r="YK167" i="13"/>
  <c r="WL154" i="13"/>
  <c r="AY9" i="13"/>
  <c r="AY10" i="13"/>
  <c r="AZ2" i="13"/>
  <c r="AZ3" i="13"/>
  <c r="YN190" i="13"/>
  <c r="WO177" i="13"/>
  <c r="UP164" i="13"/>
  <c r="SQ151" i="13"/>
  <c r="AY13" i="13"/>
  <c r="AY12" i="13"/>
  <c r="UM141" i="13"/>
  <c r="QO115" i="13"/>
  <c r="SN128" i="13"/>
  <c r="UM135" i="13"/>
  <c r="SN122" i="13"/>
  <c r="QO109" i="13"/>
  <c r="RS131" i="13"/>
  <c r="PT118" i="13"/>
  <c r="NU105" i="13"/>
  <c r="QR138" i="13"/>
  <c r="OS125" i="13"/>
  <c r="MT112" i="13"/>
  <c r="UM139" i="13"/>
  <c r="QO113" i="13"/>
  <c r="SN126" i="13"/>
  <c r="OP102" i="13"/>
  <c r="MQ89" i="13"/>
  <c r="KR76" i="13"/>
  <c r="KU99" i="13"/>
  <c r="IV86" i="13"/>
  <c r="GW73" i="13"/>
  <c r="LV92" i="13"/>
  <c r="JW79" i="13"/>
  <c r="HX66" i="13"/>
  <c r="OP100" i="13"/>
  <c r="MQ87" i="13"/>
  <c r="KR74" i="13"/>
  <c r="OP96" i="13"/>
  <c r="MQ83" i="13"/>
  <c r="KR70" i="13"/>
  <c r="FY53" i="13"/>
  <c r="DZ40" i="13"/>
  <c r="CA32" i="13"/>
  <c r="EX60" i="13"/>
  <c r="AZ36" i="13"/>
  <c r="CY47" i="13"/>
  <c r="AZ39" i="13"/>
  <c r="IS63" i="13"/>
  <c r="GT50" i="13"/>
  <c r="IS57" i="13"/>
  <c r="GT44" i="13"/>
  <c r="IS61" i="13"/>
  <c r="GT48" i="13"/>
  <c r="EV31" i="13"/>
  <c r="ACJ187" i="13" l="1"/>
  <c r="AAK174" i="13"/>
  <c r="YL161" i="13"/>
  <c r="WM148" i="13"/>
  <c r="ACJ191" i="13"/>
  <c r="AAK178" i="13"/>
  <c r="YL165" i="13"/>
  <c r="WM152" i="13"/>
  <c r="ZO188" i="13"/>
  <c r="VQ162" i="13"/>
  <c r="TR149" i="13"/>
  <c r="XP175" i="13"/>
  <c r="AAK180" i="13"/>
  <c r="ACJ193" i="13"/>
  <c r="YL167" i="13"/>
  <c r="WM154" i="13"/>
  <c r="YN195" i="13"/>
  <c r="WO182" i="13"/>
  <c r="SQ156" i="13"/>
  <c r="UP169" i="13"/>
  <c r="AZ4" i="13"/>
  <c r="AZ5" i="13" s="1"/>
  <c r="YN192" i="13"/>
  <c r="WO179" i="13"/>
  <c r="SQ153" i="13"/>
  <c r="UP166" i="13"/>
  <c r="UN141" i="13"/>
  <c r="SO128" i="13"/>
  <c r="QP115" i="13"/>
  <c r="RS136" i="13"/>
  <c r="PT123" i="13"/>
  <c r="NU110" i="13"/>
  <c r="UN135" i="13"/>
  <c r="SO122" i="13"/>
  <c r="QP109" i="13"/>
  <c r="UN139" i="13"/>
  <c r="QP113" i="13"/>
  <c r="SO126" i="13"/>
  <c r="V18" i="13"/>
  <c r="QR140" i="13"/>
  <c r="OS127" i="13"/>
  <c r="MT114" i="13"/>
  <c r="OS130" i="13"/>
  <c r="MT117" i="13"/>
  <c r="QR143" i="13"/>
  <c r="LV97" i="13"/>
  <c r="JW84" i="13"/>
  <c r="HX71" i="13"/>
  <c r="OQ96" i="13"/>
  <c r="MR83" i="13"/>
  <c r="KS70" i="13"/>
  <c r="KU104" i="13"/>
  <c r="IV91" i="13"/>
  <c r="GW78" i="13"/>
  <c r="OQ100" i="13"/>
  <c r="MR87" i="13"/>
  <c r="KS74" i="13"/>
  <c r="MR89" i="13"/>
  <c r="OQ102" i="13"/>
  <c r="KS76" i="13"/>
  <c r="KU101" i="13"/>
  <c r="IV88" i="13"/>
  <c r="GW75" i="13"/>
  <c r="CY52" i="13"/>
  <c r="EX65" i="13"/>
  <c r="EX62" i="13"/>
  <c r="BA33" i="13"/>
  <c r="CY49" i="13"/>
  <c r="IT57" i="13"/>
  <c r="GU44" i="13"/>
  <c r="CB27" i="13"/>
  <c r="FY58" i="13"/>
  <c r="DZ45" i="13"/>
  <c r="IT63" i="13"/>
  <c r="GU50" i="13"/>
  <c r="IT61" i="13"/>
  <c r="GU48" i="13"/>
  <c r="EW31" i="13"/>
  <c r="ZP183" i="13" l="1"/>
  <c r="XQ170" i="13"/>
  <c r="TS144" i="13"/>
  <c r="VR157" i="13"/>
  <c r="ACK191" i="13"/>
  <c r="AAL178" i="13"/>
  <c r="YM165" i="13"/>
  <c r="WN152" i="13"/>
  <c r="ACK187" i="13"/>
  <c r="AAL174" i="13"/>
  <c r="YM161" i="13"/>
  <c r="WN148" i="13"/>
  <c r="BA6" i="13"/>
  <c r="YO189" i="13"/>
  <c r="WP176" i="13"/>
  <c r="UQ163" i="13"/>
  <c r="SR150" i="13"/>
  <c r="YM167" i="13"/>
  <c r="AAL180" i="13"/>
  <c r="ACK193" i="13"/>
  <c r="WN154" i="13"/>
  <c r="AZ7" i="13"/>
  <c r="AZ8" i="13"/>
  <c r="AZ11" i="13"/>
  <c r="UO135" i="13"/>
  <c r="QQ109" i="13"/>
  <c r="SP122" i="13"/>
  <c r="RT131" i="13"/>
  <c r="PU118" i="13"/>
  <c r="NV105" i="13"/>
  <c r="QS137" i="13"/>
  <c r="MU111" i="13"/>
  <c r="OT124" i="13"/>
  <c r="UO139" i="13"/>
  <c r="SP126" i="13"/>
  <c r="QQ113" i="13"/>
  <c r="UO141" i="13"/>
  <c r="SP128" i="13"/>
  <c r="QQ115" i="13"/>
  <c r="KV98" i="13"/>
  <c r="IW85" i="13"/>
  <c r="GX72" i="13"/>
  <c r="OR96" i="13"/>
  <c r="MS83" i="13"/>
  <c r="KT70" i="13"/>
  <c r="LW92" i="13"/>
  <c r="JX79" i="13"/>
  <c r="HY66" i="13"/>
  <c r="OR100" i="13"/>
  <c r="MS87" i="13"/>
  <c r="KT74" i="13"/>
  <c r="OR102" i="13"/>
  <c r="MS89" i="13"/>
  <c r="KT76" i="13"/>
  <c r="FZ53" i="13"/>
  <c r="EA40" i="13"/>
  <c r="CB32" i="13"/>
  <c r="IU61" i="13"/>
  <c r="GV48" i="13"/>
  <c r="IU63" i="13"/>
  <c r="GV50" i="13"/>
  <c r="IU57" i="13"/>
  <c r="GV44" i="13"/>
  <c r="EY59" i="13"/>
  <c r="BB33" i="13"/>
  <c r="CZ46" i="13"/>
  <c r="BA34" i="13"/>
  <c r="EX31" i="13"/>
  <c r="R18" i="13" l="1"/>
  <c r="Q18" i="13"/>
  <c r="ACL187" i="13"/>
  <c r="AAM174" i="13"/>
  <c r="WO148" i="13"/>
  <c r="YN161" i="13"/>
  <c r="ACL191" i="13"/>
  <c r="AAM178" i="13"/>
  <c r="YN165" i="13"/>
  <c r="WO152" i="13"/>
  <c r="ZP188" i="13"/>
  <c r="XQ175" i="13"/>
  <c r="VR162" i="13"/>
  <c r="TS149" i="13"/>
  <c r="AZ13" i="13"/>
  <c r="AZ12" i="13"/>
  <c r="AZ10" i="13"/>
  <c r="AZ9" i="13"/>
  <c r="BB6" i="13"/>
  <c r="YP189" i="13"/>
  <c r="WQ176" i="13"/>
  <c r="SS150" i="13"/>
  <c r="UR163" i="13"/>
  <c r="BA3" i="13"/>
  <c r="BA2" i="13"/>
  <c r="BA5" i="13" s="1"/>
  <c r="YO190" i="13"/>
  <c r="UQ164" i="13"/>
  <c r="SR151" i="13"/>
  <c r="WP177" i="13"/>
  <c r="ACL193" i="13"/>
  <c r="AAM180" i="13"/>
  <c r="YN167" i="13"/>
  <c r="WO154" i="13"/>
  <c r="QS138" i="13"/>
  <c r="OT125" i="13"/>
  <c r="MU112" i="13"/>
  <c r="UP135" i="13"/>
  <c r="SQ122" i="13"/>
  <c r="QR109" i="13"/>
  <c r="UP141" i="13"/>
  <c r="QR115" i="13"/>
  <c r="SQ128" i="13"/>
  <c r="QT137" i="13"/>
  <c r="OU124" i="13"/>
  <c r="MV111" i="13"/>
  <c r="UP139" i="13"/>
  <c r="QR113" i="13"/>
  <c r="SQ126" i="13"/>
  <c r="RT136" i="13"/>
  <c r="NV110" i="13"/>
  <c r="PU123" i="13"/>
  <c r="LW97" i="13"/>
  <c r="JX84" i="13"/>
  <c r="HY71" i="13"/>
  <c r="KW98" i="13"/>
  <c r="IX85" i="13"/>
  <c r="GY72" i="13"/>
  <c r="MT89" i="13"/>
  <c r="OS102" i="13"/>
  <c r="KU76" i="13"/>
  <c r="OS100" i="13"/>
  <c r="MT87" i="13"/>
  <c r="KU74" i="13"/>
  <c r="KV99" i="13"/>
  <c r="IW86" i="13"/>
  <c r="GX73" i="13"/>
  <c r="OS96" i="13"/>
  <c r="MT83" i="13"/>
  <c r="KU70" i="13"/>
  <c r="EY60" i="13"/>
  <c r="CZ47" i="13"/>
  <c r="BA39" i="13"/>
  <c r="T18" i="13" s="1"/>
  <c r="IV63" i="13"/>
  <c r="GW50" i="13"/>
  <c r="GW48" i="13"/>
  <c r="IV61" i="13"/>
  <c r="IV57" i="13"/>
  <c r="GW44" i="13"/>
  <c r="CC27" i="13"/>
  <c r="FZ58" i="13"/>
  <c r="EA45" i="13"/>
  <c r="EZ59" i="13"/>
  <c r="DA46" i="13"/>
  <c r="BB34" i="13"/>
  <c r="EY31" i="13"/>
  <c r="ACM187" i="13" l="1"/>
  <c r="AAN174" i="13"/>
  <c r="YO161" i="13"/>
  <c r="WP148" i="13"/>
  <c r="ZQ183" i="13"/>
  <c r="VS157" i="13"/>
  <c r="XR170" i="13"/>
  <c r="TT144" i="13"/>
  <c r="BB2" i="13"/>
  <c r="BB3" i="13"/>
  <c r="YP190" i="13"/>
  <c r="WQ177" i="13"/>
  <c r="SS151" i="13"/>
  <c r="UR164" i="13"/>
  <c r="YO195" i="13"/>
  <c r="WP182" i="13"/>
  <c r="UQ169" i="13"/>
  <c r="SR156" i="13"/>
  <c r="RU131" i="13"/>
  <c r="PV118" i="13"/>
  <c r="NW105" i="13"/>
  <c r="UQ135" i="13"/>
  <c r="SR122" i="13"/>
  <c r="QS109" i="13"/>
  <c r="QT138" i="13"/>
  <c r="OU125" i="13"/>
  <c r="MV112" i="13"/>
  <c r="S18" i="13"/>
  <c r="OT130" i="13"/>
  <c r="MU117" i="13"/>
  <c r="QS143" i="13"/>
  <c r="OT96" i="13"/>
  <c r="MU83" i="13"/>
  <c r="KV70" i="13"/>
  <c r="KW99" i="13"/>
  <c r="IX86" i="13"/>
  <c r="GY73" i="13"/>
  <c r="KV104" i="13"/>
  <c r="IW91" i="13"/>
  <c r="GX78" i="13"/>
  <c r="LX92" i="13"/>
  <c r="JY79" i="13"/>
  <c r="HZ66" i="13"/>
  <c r="CZ52" i="13"/>
  <c r="EY65" i="13"/>
  <c r="IW57" i="13"/>
  <c r="GX44" i="13"/>
  <c r="GA53" i="13"/>
  <c r="EB40" i="13"/>
  <c r="CC32" i="13"/>
  <c r="EZ60" i="13"/>
  <c r="BB39" i="13"/>
  <c r="DA47" i="13"/>
  <c r="BB36" i="13"/>
  <c r="ZQ188" i="13" l="1"/>
  <c r="XR175" i="13"/>
  <c r="VS162" i="13"/>
  <c r="TT149" i="13"/>
  <c r="YP195" i="13"/>
  <c r="WQ182" i="13"/>
  <c r="UR169" i="13"/>
  <c r="SS156" i="13"/>
  <c r="BB4" i="13"/>
  <c r="BB5" i="13" s="1"/>
  <c r="YP192" i="13"/>
  <c r="WQ179" i="13"/>
  <c r="UR166" i="13"/>
  <c r="SS153" i="13"/>
  <c r="QT140" i="13"/>
  <c r="OU127" i="13"/>
  <c r="MV114" i="13"/>
  <c r="RU136" i="13"/>
  <c r="PV123" i="13"/>
  <c r="NW110" i="13"/>
  <c r="OU130" i="13"/>
  <c r="QT143" i="13"/>
  <c r="MV117" i="13"/>
  <c r="KW101" i="13"/>
  <c r="IX88" i="13"/>
  <c r="GY75" i="13"/>
  <c r="KW104" i="13"/>
  <c r="IX91" i="13"/>
  <c r="GY78" i="13"/>
  <c r="LX97" i="13"/>
  <c r="JY84" i="13"/>
  <c r="HZ71" i="13"/>
  <c r="EZ62" i="13"/>
  <c r="BC33" i="13"/>
  <c r="DA49" i="13"/>
  <c r="CD27" i="13"/>
  <c r="GA58" i="13"/>
  <c r="EB45" i="13"/>
  <c r="DA52" i="13"/>
  <c r="EZ65" i="13"/>
  <c r="ZR183" i="13" l="1"/>
  <c r="XS170" i="13"/>
  <c r="VT157" i="13"/>
  <c r="TU144" i="13"/>
  <c r="BC6" i="13"/>
  <c r="YQ189" i="13"/>
  <c r="WR176" i="13"/>
  <c r="ST150" i="13"/>
  <c r="US163" i="13"/>
  <c r="BB7" i="13"/>
  <c r="BB8" i="13"/>
  <c r="BB11" i="13"/>
  <c r="QU137" i="13"/>
  <c r="OV124" i="13"/>
  <c r="MW111" i="13"/>
  <c r="RV131" i="13"/>
  <c r="PW118" i="13"/>
  <c r="NX105" i="13"/>
  <c r="KX98" i="13"/>
  <c r="IY85" i="13"/>
  <c r="GZ72" i="13"/>
  <c r="LY92" i="13"/>
  <c r="JZ79" i="13"/>
  <c r="IA66" i="13"/>
  <c r="FA59" i="13"/>
  <c r="DB46" i="13"/>
  <c r="BC34" i="13"/>
  <c r="GB53" i="13"/>
  <c r="EC40" i="13"/>
  <c r="CD32" i="13"/>
  <c r="ZR188" i="13" l="1"/>
  <c r="XS175" i="13"/>
  <c r="VT162" i="13"/>
  <c r="TU149" i="13"/>
  <c r="BB12" i="13"/>
  <c r="BB13" i="13"/>
  <c r="BB9" i="13"/>
  <c r="BB10" i="13"/>
  <c r="BC2" i="13"/>
  <c r="BC3" i="13"/>
  <c r="WR177" i="13"/>
  <c r="YQ190" i="13"/>
  <c r="US164" i="13"/>
  <c r="ST151" i="13"/>
  <c r="RV136" i="13"/>
  <c r="PW123" i="13"/>
  <c r="NX110" i="13"/>
  <c r="QU138" i="13"/>
  <c r="OV125" i="13"/>
  <c r="MW112" i="13"/>
  <c r="LY97" i="13"/>
  <c r="JZ84" i="13"/>
  <c r="IA71" i="13"/>
  <c r="KX99" i="13"/>
  <c r="IY86" i="13"/>
  <c r="GZ73" i="13"/>
  <c r="CE27" i="13"/>
  <c r="GB58" i="13"/>
  <c r="EC45" i="13"/>
  <c r="FA60" i="13"/>
  <c r="DB47" i="13"/>
  <c r="BC39" i="13"/>
  <c r="BC36" i="13"/>
  <c r="ZS183" i="13" l="1"/>
  <c r="XT170" i="13"/>
  <c r="VU157" i="13"/>
  <c r="TV144" i="13"/>
  <c r="YQ195" i="13"/>
  <c r="US169" i="13"/>
  <c r="WR182" i="13"/>
  <c r="ST156" i="13"/>
  <c r="BC4" i="13"/>
  <c r="BC5" i="13" s="1"/>
  <c r="YQ192" i="13"/>
  <c r="WR179" i="13"/>
  <c r="US166" i="13"/>
  <c r="ST153" i="13"/>
  <c r="RW131" i="13"/>
  <c r="PX118" i="13"/>
  <c r="NY105" i="13"/>
  <c r="QU140" i="13"/>
  <c r="OV127" i="13"/>
  <c r="MW114" i="13"/>
  <c r="QU143" i="13"/>
  <c r="MW117" i="13"/>
  <c r="OV130" i="13"/>
  <c r="LZ92" i="13"/>
  <c r="KA79" i="13"/>
  <c r="IB66" i="13"/>
  <c r="KX101" i="13"/>
  <c r="IY88" i="13"/>
  <c r="GZ75" i="13"/>
  <c r="KX104" i="13"/>
  <c r="IY91" i="13"/>
  <c r="GZ78" i="13"/>
  <c r="FA62" i="13"/>
  <c r="DB49" i="13"/>
  <c r="BD33" i="13"/>
  <c r="DB52" i="13"/>
  <c r="FA65" i="13"/>
  <c r="GC53" i="13"/>
  <c r="ED40" i="13"/>
  <c r="CE32" i="13"/>
  <c r="ZS188" i="13" l="1"/>
  <c r="XT175" i="13"/>
  <c r="TV149" i="13"/>
  <c r="VU162" i="13"/>
  <c r="BC8" i="13"/>
  <c r="BC7" i="13"/>
  <c r="BC11" i="13"/>
  <c r="BD6" i="13"/>
  <c r="YR189" i="13"/>
  <c r="WS176" i="13"/>
  <c r="UT163" i="13"/>
  <c r="SU150" i="13"/>
  <c r="RW136" i="13"/>
  <c r="PX123" i="13"/>
  <c r="NY110" i="13"/>
  <c r="QV137" i="13"/>
  <c r="OW124" i="13"/>
  <c r="MX111" i="13"/>
  <c r="KY98" i="13"/>
  <c r="IZ85" i="13"/>
  <c r="HA72" i="13"/>
  <c r="LZ97" i="13"/>
  <c r="KA84" i="13"/>
  <c r="IB71" i="13"/>
  <c r="FB59" i="13"/>
  <c r="BD34" i="13"/>
  <c r="DC46" i="13"/>
  <c r="CF27" i="13"/>
  <c r="GC58" i="13"/>
  <c r="ED45" i="13"/>
  <c r="ZT183" i="13" l="1"/>
  <c r="XU170" i="13"/>
  <c r="VV157" i="13"/>
  <c r="TW144" i="13"/>
  <c r="BD2" i="13"/>
  <c r="BD3" i="13"/>
  <c r="WS177" i="13"/>
  <c r="YR190" i="13"/>
  <c r="SU151" i="13"/>
  <c r="UT164" i="13"/>
  <c r="BC12" i="13"/>
  <c r="BC13" i="13"/>
  <c r="BC9" i="13"/>
  <c r="BC10" i="13"/>
  <c r="QV138" i="13"/>
  <c r="OW125" i="13"/>
  <c r="MX112" i="13"/>
  <c r="RX131" i="13"/>
  <c r="PY118" i="13"/>
  <c r="NZ105" i="13"/>
  <c r="KY99" i="13"/>
  <c r="IZ86" i="13"/>
  <c r="HA73" i="13"/>
  <c r="MA92" i="13"/>
  <c r="KB79" i="13"/>
  <c r="IC66" i="13"/>
  <c r="GD53" i="13"/>
  <c r="EE40" i="13"/>
  <c r="CF32" i="13"/>
  <c r="FB60" i="13"/>
  <c r="DC47" i="13"/>
  <c r="BD36" i="13"/>
  <c r="BD39" i="13"/>
  <c r="ZT188" i="13" l="1"/>
  <c r="XU175" i="13"/>
  <c r="VV162" i="13"/>
  <c r="TW149" i="13"/>
  <c r="WS182" i="13"/>
  <c r="UT169" i="13"/>
  <c r="YR195" i="13"/>
  <c r="SU156" i="13"/>
  <c r="BD4" i="13"/>
  <c r="BD5" i="13" s="1"/>
  <c r="UT166" i="13"/>
  <c r="YR192" i="13"/>
  <c r="WS179" i="13"/>
  <c r="SU153" i="13"/>
  <c r="RX136" i="13"/>
  <c r="PY123" i="13"/>
  <c r="NZ110" i="13"/>
  <c r="QV140" i="13"/>
  <c r="OW127" i="13"/>
  <c r="MX114" i="13"/>
  <c r="MX117" i="13"/>
  <c r="QV143" i="13"/>
  <c r="OW130" i="13"/>
  <c r="MA97" i="13"/>
  <c r="KB84" i="13"/>
  <c r="IC71" i="13"/>
  <c r="KY104" i="13"/>
  <c r="IZ91" i="13"/>
  <c r="HA78" i="13"/>
  <c r="KY101" i="13"/>
  <c r="IZ88" i="13"/>
  <c r="HA75" i="13"/>
  <c r="FB62" i="13"/>
  <c r="DC49" i="13"/>
  <c r="BE33" i="13"/>
  <c r="DC52" i="13"/>
  <c r="FB65" i="13"/>
  <c r="CG27" i="13"/>
  <c r="GD58" i="13"/>
  <c r="EE45" i="13"/>
  <c r="ZU183" i="13" l="1"/>
  <c r="XV170" i="13"/>
  <c r="TX144" i="13"/>
  <c r="VW157" i="13"/>
  <c r="BE6" i="13"/>
  <c r="YS189" i="13"/>
  <c r="WT176" i="13"/>
  <c r="UU163" i="13"/>
  <c r="SV150" i="13"/>
  <c r="BD7" i="13"/>
  <c r="BD8" i="13"/>
  <c r="BD11" i="13"/>
  <c r="QW137" i="13"/>
  <c r="OX124" i="13"/>
  <c r="MY111" i="13"/>
  <c r="RY131" i="13"/>
  <c r="PZ118" i="13"/>
  <c r="OA105" i="13"/>
  <c r="KZ98" i="13"/>
  <c r="JA85" i="13"/>
  <c r="HB72" i="13"/>
  <c r="MB92" i="13"/>
  <c r="KC79" i="13"/>
  <c r="ID66" i="13"/>
  <c r="GE53" i="13"/>
  <c r="EF40" i="13"/>
  <c r="CG32" i="13"/>
  <c r="FC59" i="13"/>
  <c r="BE34" i="13"/>
  <c r="DD46" i="13"/>
  <c r="XV175" i="13" l="1"/>
  <c r="ZU188" i="13"/>
  <c r="VW162" i="13"/>
  <c r="TX149" i="13"/>
  <c r="BD12" i="13"/>
  <c r="BD13" i="13"/>
  <c r="BD9" i="13"/>
  <c r="BD10" i="13"/>
  <c r="BE2" i="13"/>
  <c r="BE3" i="13"/>
  <c r="WT177" i="13"/>
  <c r="YS190" i="13"/>
  <c r="SV151" i="13"/>
  <c r="UU164" i="13"/>
  <c r="QW138" i="13"/>
  <c r="OX125" i="13"/>
  <c r="MY112" i="13"/>
  <c r="PZ123" i="13"/>
  <c r="RY136" i="13"/>
  <c r="OA110" i="13"/>
  <c r="MB97" i="13"/>
  <c r="KC84" i="13"/>
  <c r="ID71" i="13"/>
  <c r="KZ99" i="13"/>
  <c r="JA86" i="13"/>
  <c r="HB73" i="13"/>
  <c r="FC60" i="13"/>
  <c r="DD47" i="13"/>
  <c r="BE36" i="13"/>
  <c r="BE39" i="13"/>
  <c r="CH27" i="13"/>
  <c r="GE58" i="13"/>
  <c r="EF45" i="13"/>
  <c r="ZV183" i="13" l="1"/>
  <c r="XW170" i="13"/>
  <c r="VX157" i="13"/>
  <c r="TY144" i="13"/>
  <c r="WT182" i="13"/>
  <c r="UU169" i="13"/>
  <c r="SV156" i="13"/>
  <c r="YS195" i="13"/>
  <c r="BE4" i="13"/>
  <c r="BE5" i="13" s="1"/>
  <c r="WT179" i="13"/>
  <c r="YS192" i="13"/>
  <c r="SV153" i="13"/>
  <c r="UU166" i="13"/>
  <c r="RZ131" i="13"/>
  <c r="QA118" i="13"/>
  <c r="OB105" i="13"/>
  <c r="QW140" i="13"/>
  <c r="OX127" i="13"/>
  <c r="MY114" i="13"/>
  <c r="MY117" i="13"/>
  <c r="QW143" i="13"/>
  <c r="OX130" i="13"/>
  <c r="MC92" i="13"/>
  <c r="KD79" i="13"/>
  <c r="IE66" i="13"/>
  <c r="KZ104" i="13"/>
  <c r="JA91" i="13"/>
  <c r="HB78" i="13"/>
  <c r="KZ101" i="13"/>
  <c r="JA88" i="13"/>
  <c r="HB75" i="13"/>
  <c r="DD52" i="13"/>
  <c r="FC65" i="13"/>
  <c r="GF53" i="13"/>
  <c r="EG40" i="13"/>
  <c r="CH32" i="13"/>
  <c r="FC62" i="13"/>
  <c r="DD49" i="13"/>
  <c r="BF33" i="13"/>
  <c r="ZV188" i="13" l="1"/>
  <c r="XW175" i="13"/>
  <c r="VX162" i="13"/>
  <c r="TY149" i="13"/>
  <c r="BE8" i="13"/>
  <c r="BE11" i="13"/>
  <c r="BE7" i="13"/>
  <c r="BF6" i="13"/>
  <c r="YT189" i="13"/>
  <c r="WU176" i="13"/>
  <c r="UV163" i="13"/>
  <c r="SW150" i="13"/>
  <c r="QX137" i="13"/>
  <c r="OY124" i="13"/>
  <c r="MZ111" i="13"/>
  <c r="RZ136" i="13"/>
  <c r="QA123" i="13"/>
  <c r="OB110" i="13"/>
  <c r="MC97" i="13"/>
  <c r="KD84" i="13"/>
  <c r="IE71" i="13"/>
  <c r="LA98" i="13"/>
  <c r="JB85" i="13"/>
  <c r="HC72" i="13"/>
  <c r="FD59" i="13"/>
  <c r="BF34" i="13"/>
  <c r="DE46" i="13"/>
  <c r="CI27" i="13"/>
  <c r="GF58" i="13"/>
  <c r="EG45" i="13"/>
  <c r="ZW183" i="13" l="1"/>
  <c r="XX170" i="13"/>
  <c r="VY157" i="13"/>
  <c r="TZ144" i="13"/>
  <c r="BF2" i="13"/>
  <c r="BF3" i="13"/>
  <c r="YT190" i="13"/>
  <c r="UV164" i="13"/>
  <c r="WU177" i="13"/>
  <c r="SW151" i="13"/>
  <c r="BE12" i="13"/>
  <c r="BE13" i="13"/>
  <c r="BE10" i="13"/>
  <c r="BE9" i="13"/>
  <c r="QX138" i="13"/>
  <c r="MZ112" i="13"/>
  <c r="OY125" i="13"/>
  <c r="SA131" i="13"/>
  <c r="QB118" i="13"/>
  <c r="OC105" i="13"/>
  <c r="MD92" i="13"/>
  <c r="KE79" i="13"/>
  <c r="IF66" i="13"/>
  <c r="LA99" i="13"/>
  <c r="JB86" i="13"/>
  <c r="HC73" i="13"/>
  <c r="GG53" i="13"/>
  <c r="EH40" i="13"/>
  <c r="CI32" i="13"/>
  <c r="FD60" i="13"/>
  <c r="DE47" i="13"/>
  <c r="BF36" i="13"/>
  <c r="BF39" i="13"/>
  <c r="ZW188" i="13" l="1"/>
  <c r="XX175" i="13"/>
  <c r="VY162" i="13"/>
  <c r="TZ149" i="13"/>
  <c r="BF4" i="13"/>
  <c r="BF5" i="13" s="1"/>
  <c r="YT192" i="13"/>
  <c r="WU179" i="13"/>
  <c r="UV166" i="13"/>
  <c r="SW153" i="13"/>
  <c r="YT195" i="13"/>
  <c r="WU182" i="13"/>
  <c r="UV169" i="13"/>
  <c r="SW156" i="13"/>
  <c r="QX140" i="13"/>
  <c r="OY127" i="13"/>
  <c r="MZ114" i="13"/>
  <c r="SA136" i="13"/>
  <c r="OC110" i="13"/>
  <c r="QB123" i="13"/>
  <c r="OY130" i="13"/>
  <c r="MZ117" i="13"/>
  <c r="QX143" i="13"/>
  <c r="MD97" i="13"/>
  <c r="KE84" i="13"/>
  <c r="IF71" i="13"/>
  <c r="LA104" i="13"/>
  <c r="JB91" i="13"/>
  <c r="HC78" i="13"/>
  <c r="LA101" i="13"/>
  <c r="JB88" i="13"/>
  <c r="HC75" i="13"/>
  <c r="FD62" i="13"/>
  <c r="DE49" i="13"/>
  <c r="BG33" i="13"/>
  <c r="DE52" i="13"/>
  <c r="FD65" i="13"/>
  <c r="CJ27" i="13"/>
  <c r="GG58" i="13"/>
  <c r="EH45" i="13"/>
  <c r="ZX183" i="13" l="1"/>
  <c r="XY170" i="13"/>
  <c r="VZ157" i="13"/>
  <c r="UA144" i="13"/>
  <c r="BG6" i="13"/>
  <c r="YU189" i="13"/>
  <c r="WV176" i="13"/>
  <c r="UW163" i="13"/>
  <c r="SX150" i="13"/>
  <c r="BF7" i="13"/>
  <c r="BF8" i="13"/>
  <c r="BF11" i="13"/>
  <c r="QY137" i="13"/>
  <c r="OZ124" i="13"/>
  <c r="NA111" i="13"/>
  <c r="SB131" i="13"/>
  <c r="QC118" i="13"/>
  <c r="OD105" i="13"/>
  <c r="LB98" i="13"/>
  <c r="JC85" i="13"/>
  <c r="HD72" i="13"/>
  <c r="ME92" i="13"/>
  <c r="KF79" i="13"/>
  <c r="IG66" i="13"/>
  <c r="GH53" i="13"/>
  <c r="EI40" i="13"/>
  <c r="CJ32" i="13"/>
  <c r="FE59" i="13"/>
  <c r="BG34" i="13"/>
  <c r="DF46" i="13"/>
  <c r="ZX188" i="13" l="1"/>
  <c r="XY175" i="13"/>
  <c r="VZ162" i="13"/>
  <c r="UA149" i="13"/>
  <c r="BF12" i="13"/>
  <c r="BF13" i="13"/>
  <c r="BF10" i="13"/>
  <c r="BF9" i="13"/>
  <c r="BG2" i="13"/>
  <c r="BG3" i="13"/>
  <c r="YU190" i="13"/>
  <c r="WV177" i="13"/>
  <c r="SX151" i="13"/>
  <c r="UW164" i="13"/>
  <c r="QY138" i="13"/>
  <c r="OZ125" i="13"/>
  <c r="NA112" i="13"/>
  <c r="SB136" i="13"/>
  <c r="QC123" i="13"/>
  <c r="OD110" i="13"/>
  <c r="LB99" i="13"/>
  <c r="JC86" i="13"/>
  <c r="HD73" i="13"/>
  <c r="ME97" i="13"/>
  <c r="KF84" i="13"/>
  <c r="IG71" i="13"/>
  <c r="CK27" i="13"/>
  <c r="GH58" i="13"/>
  <c r="EI45" i="13"/>
  <c r="FE60" i="13"/>
  <c r="DF47" i="13"/>
  <c r="BG36" i="13"/>
  <c r="BG39" i="13"/>
  <c r="ZY183" i="13" l="1"/>
  <c r="WA157" i="13"/>
  <c r="XZ170" i="13"/>
  <c r="UB144" i="13"/>
  <c r="YU195" i="13"/>
  <c r="WV182" i="13"/>
  <c r="UW169" i="13"/>
  <c r="SX156" i="13"/>
  <c r="BG4" i="13"/>
  <c r="BG5" i="13" s="1"/>
  <c r="YU192" i="13"/>
  <c r="WV179" i="13"/>
  <c r="UW166" i="13"/>
  <c r="SX153" i="13"/>
  <c r="SC131" i="13"/>
  <c r="QD118" i="13"/>
  <c r="OE105" i="13"/>
  <c r="QY140" i="13"/>
  <c r="OZ127" i="13"/>
  <c r="NA114" i="13"/>
  <c r="OZ130" i="13"/>
  <c r="NA117" i="13"/>
  <c r="QY143" i="13"/>
  <c r="LB104" i="13"/>
  <c r="JC91" i="13"/>
  <c r="HD78" i="13"/>
  <c r="MF92" i="13"/>
  <c r="KG79" i="13"/>
  <c r="IH66" i="13"/>
  <c r="LB101" i="13"/>
  <c r="JC88" i="13"/>
  <c r="HD75" i="13"/>
  <c r="DF52" i="13"/>
  <c r="FE65" i="13"/>
  <c r="FE62" i="13"/>
  <c r="DF49" i="13"/>
  <c r="BH33" i="13"/>
  <c r="GI53" i="13"/>
  <c r="EJ40" i="13"/>
  <c r="CK32" i="13"/>
  <c r="ZY188" i="13" l="1"/>
  <c r="UB149" i="13"/>
  <c r="XZ175" i="13"/>
  <c r="WA162" i="13"/>
  <c r="BH6" i="13"/>
  <c r="YV189" i="13"/>
  <c r="WW176" i="13"/>
  <c r="SY150" i="13"/>
  <c r="UX163" i="13"/>
  <c r="BG7" i="13"/>
  <c r="BG8" i="13"/>
  <c r="BG11" i="13"/>
  <c r="SC136" i="13"/>
  <c r="QD123" i="13"/>
  <c r="OE110" i="13"/>
  <c r="QZ137" i="13"/>
  <c r="PA124" i="13"/>
  <c r="NB111" i="13"/>
  <c r="LC98" i="13"/>
  <c r="JD85" i="13"/>
  <c r="HE72" i="13"/>
  <c r="MF97" i="13"/>
  <c r="KG84" i="13"/>
  <c r="IH71" i="13"/>
  <c r="CL27" i="13"/>
  <c r="GI58" i="13"/>
  <c r="EJ45" i="13"/>
  <c r="FF59" i="13"/>
  <c r="BH34" i="13"/>
  <c r="DG46" i="13"/>
  <c r="ZZ183" i="13" l="1"/>
  <c r="YA170" i="13"/>
  <c r="WB157" i="13"/>
  <c r="UC144" i="13"/>
  <c r="BG12" i="13"/>
  <c r="BG13" i="13"/>
  <c r="BG10" i="13"/>
  <c r="BG9" i="13"/>
  <c r="BH2" i="13"/>
  <c r="BH3" i="13"/>
  <c r="YV190" i="13"/>
  <c r="WW177" i="13"/>
  <c r="SY151" i="13"/>
  <c r="UX164" i="13"/>
  <c r="SD131" i="13"/>
  <c r="QE118" i="13"/>
  <c r="OF105" i="13"/>
  <c r="PA125" i="13"/>
  <c r="QZ138" i="13"/>
  <c r="NB112" i="13"/>
  <c r="LC99" i="13"/>
  <c r="JD86" i="13"/>
  <c r="HE73" i="13"/>
  <c r="MG92" i="13"/>
  <c r="KH79" i="13"/>
  <c r="II66" i="13"/>
  <c r="FF60" i="13"/>
  <c r="DG47" i="13"/>
  <c r="BH39" i="13"/>
  <c r="BH36" i="13"/>
  <c r="GJ53" i="13"/>
  <c r="EK40" i="13"/>
  <c r="CL32" i="13"/>
  <c r="ZZ188" i="13" l="1"/>
  <c r="YA175" i="13"/>
  <c r="UC149" i="13"/>
  <c r="WB162" i="13"/>
  <c r="BH4" i="13"/>
  <c r="BH5" i="13" s="1"/>
  <c r="YV192" i="13"/>
  <c r="WW179" i="13"/>
  <c r="SY153" i="13"/>
  <c r="UX166" i="13"/>
  <c r="YV195" i="13"/>
  <c r="WW182" i="13"/>
  <c r="UX169" i="13"/>
  <c r="SY156" i="13"/>
  <c r="QZ140" i="13"/>
  <c r="PA127" i="13"/>
  <c r="NB114" i="13"/>
  <c r="SD136" i="13"/>
  <c r="QE123" i="13"/>
  <c r="OF110" i="13"/>
  <c r="PA130" i="13"/>
  <c r="NB117" i="13"/>
  <c r="QZ143" i="13"/>
  <c r="MG97" i="13"/>
  <c r="KH84" i="13"/>
  <c r="II71" i="13"/>
  <c r="LC101" i="13"/>
  <c r="JD88" i="13"/>
  <c r="HE75" i="13"/>
  <c r="LC104" i="13"/>
  <c r="JD91" i="13"/>
  <c r="HE78" i="13"/>
  <c r="FF62" i="13"/>
  <c r="DG49" i="13"/>
  <c r="BI33" i="13"/>
  <c r="CM27" i="13"/>
  <c r="GJ58" i="13"/>
  <c r="EK45" i="13"/>
  <c r="DG52" i="13"/>
  <c r="FF65" i="13"/>
  <c r="AAA183" i="13" l="1"/>
  <c r="WC157" i="13"/>
  <c r="YB170" i="13"/>
  <c r="UD144" i="13"/>
  <c r="BI6" i="13"/>
  <c r="YW189" i="13"/>
  <c r="WX176" i="13"/>
  <c r="UY163" i="13"/>
  <c r="SZ150" i="13"/>
  <c r="BH8" i="13"/>
  <c r="BH7" i="13"/>
  <c r="BH11" i="13"/>
  <c r="RA137" i="13"/>
  <c r="PB124" i="13"/>
  <c r="NC111" i="13"/>
  <c r="SE131" i="13"/>
  <c r="QF118" i="13"/>
  <c r="OG105" i="13"/>
  <c r="LD98" i="13"/>
  <c r="JE85" i="13"/>
  <c r="HF72" i="13"/>
  <c r="MH92" i="13"/>
  <c r="KI79" i="13"/>
  <c r="IJ66" i="13"/>
  <c r="FG59" i="13"/>
  <c r="BI34" i="13"/>
  <c r="DH46" i="13"/>
  <c r="GK53" i="13"/>
  <c r="EL40" i="13"/>
  <c r="CM32" i="13"/>
  <c r="AAA188" i="13" l="1"/>
  <c r="YB175" i="13"/>
  <c r="WC162" i="13"/>
  <c r="UD149" i="13"/>
  <c r="BH9" i="13"/>
  <c r="BH10" i="13"/>
  <c r="BH13" i="13"/>
  <c r="BH12" i="13"/>
  <c r="BI2" i="13"/>
  <c r="BI3" i="13"/>
  <c r="YW190" i="13"/>
  <c r="UY164" i="13"/>
  <c r="SZ151" i="13"/>
  <c r="WX177" i="13"/>
  <c r="RA138" i="13"/>
  <c r="PB125" i="13"/>
  <c r="NC112" i="13"/>
  <c r="SE136" i="13"/>
  <c r="QF123" i="13"/>
  <c r="OG110" i="13"/>
  <c r="JE86" i="13"/>
  <c r="LD99" i="13"/>
  <c r="HF73" i="13"/>
  <c r="MH97" i="13"/>
  <c r="KI84" i="13"/>
  <c r="IJ71" i="13"/>
  <c r="CN27" i="13"/>
  <c r="GK58" i="13"/>
  <c r="EL45" i="13"/>
  <c r="FG60" i="13"/>
  <c r="DH47" i="13"/>
  <c r="BI36" i="13"/>
  <c r="BI39" i="13"/>
  <c r="AAB183" i="13" l="1"/>
  <c r="YC170" i="13"/>
  <c r="WD157" i="13"/>
  <c r="UE144" i="13"/>
  <c r="BI4" i="13"/>
  <c r="BI5" i="13" s="1"/>
  <c r="YW192" i="13"/>
  <c r="WX179" i="13"/>
  <c r="UY166" i="13"/>
  <c r="SZ153" i="13"/>
  <c r="YW195" i="13"/>
  <c r="WX182" i="13"/>
  <c r="UY169" i="13"/>
  <c r="SZ156" i="13"/>
  <c r="RA140" i="13"/>
  <c r="NC114" i="13"/>
  <c r="PB127" i="13"/>
  <c r="SF131" i="13"/>
  <c r="QG118" i="13"/>
  <c r="OH105" i="13"/>
  <c r="PB130" i="13"/>
  <c r="NC117" i="13"/>
  <c r="RA143" i="13"/>
  <c r="MI92" i="13"/>
  <c r="KJ79" i="13"/>
  <c r="IK66" i="13"/>
  <c r="LD104" i="13"/>
  <c r="JE91" i="13"/>
  <c r="HF78" i="13"/>
  <c r="LD101" i="13"/>
  <c r="JE88" i="13"/>
  <c r="HF75" i="13"/>
  <c r="DH52" i="13"/>
  <c r="FG65" i="13"/>
  <c r="FG62" i="13"/>
  <c r="BJ33" i="13"/>
  <c r="DH49" i="13"/>
  <c r="GL53" i="13"/>
  <c r="EM40" i="13"/>
  <c r="CN32" i="13"/>
  <c r="AAB188" i="13" l="1"/>
  <c r="YC175" i="13"/>
  <c r="WD162" i="13"/>
  <c r="UE149" i="13"/>
  <c r="BJ6" i="13"/>
  <c r="YX189" i="13"/>
  <c r="WY176" i="13"/>
  <c r="TA150" i="13"/>
  <c r="UZ163" i="13"/>
  <c r="BI7" i="13"/>
  <c r="BI11" i="13"/>
  <c r="BI8" i="13"/>
  <c r="RB137" i="13"/>
  <c r="PC124" i="13"/>
  <c r="ND111" i="13"/>
  <c r="SF136" i="13"/>
  <c r="QG123" i="13"/>
  <c r="OH110" i="13"/>
  <c r="MI97" i="13"/>
  <c r="KJ84" i="13"/>
  <c r="IK71" i="13"/>
  <c r="JF85" i="13"/>
  <c r="LE98" i="13"/>
  <c r="HG72" i="13"/>
  <c r="CO27" i="13"/>
  <c r="GL58" i="13"/>
  <c r="EM45" i="13"/>
  <c r="FH59" i="13"/>
  <c r="BJ34" i="13"/>
  <c r="DI46" i="13"/>
  <c r="YD170" i="13" l="1"/>
  <c r="AAC183" i="13"/>
  <c r="UF144" i="13"/>
  <c r="WE157" i="13"/>
  <c r="BI12" i="13"/>
  <c r="BI13" i="13"/>
  <c r="BI9" i="13"/>
  <c r="BI10" i="13"/>
  <c r="BJ2" i="13"/>
  <c r="BJ3" i="13"/>
  <c r="YX190" i="13"/>
  <c r="UZ164" i="13"/>
  <c r="WY177" i="13"/>
  <c r="TA151" i="13"/>
  <c r="SG131" i="13"/>
  <c r="QH118" i="13"/>
  <c r="OI105" i="13"/>
  <c r="RB138" i="13"/>
  <c r="PC125" i="13"/>
  <c r="ND112" i="13"/>
  <c r="LE99" i="13"/>
  <c r="JF86" i="13"/>
  <c r="HG73" i="13"/>
  <c r="MJ92" i="13"/>
  <c r="KK79" i="13"/>
  <c r="IL66" i="13"/>
  <c r="FH60" i="13"/>
  <c r="DI47" i="13"/>
  <c r="BJ36" i="13"/>
  <c r="BJ39" i="13"/>
  <c r="GM53" i="13"/>
  <c r="EN40" i="13"/>
  <c r="CO32" i="13"/>
  <c r="YD175" i="13" l="1"/>
  <c r="AAC188" i="13"/>
  <c r="WE162" i="13"/>
  <c r="UF149" i="13"/>
  <c r="YX195" i="13"/>
  <c r="WY182" i="13"/>
  <c r="UZ169" i="13"/>
  <c r="TA156" i="13"/>
  <c r="BJ4" i="13"/>
  <c r="BJ5" i="13" s="1"/>
  <c r="YX192" i="13"/>
  <c r="WY179" i="13"/>
  <c r="TA153" i="13"/>
  <c r="UZ166" i="13"/>
  <c r="RB140" i="13"/>
  <c r="PC127" i="13"/>
  <c r="ND114" i="13"/>
  <c r="SG136" i="13"/>
  <c r="QH123" i="13"/>
  <c r="OI110" i="13"/>
  <c r="RB143" i="13"/>
  <c r="PC130" i="13"/>
  <c r="ND117" i="13"/>
  <c r="LE101" i="13"/>
  <c r="JF88" i="13"/>
  <c r="HG75" i="13"/>
  <c r="MJ97" i="13"/>
  <c r="KK84" i="13"/>
  <c r="IL71" i="13"/>
  <c r="LE104" i="13"/>
  <c r="JF91" i="13"/>
  <c r="HG78" i="13"/>
  <c r="FH62" i="13"/>
  <c r="DI49" i="13"/>
  <c r="BK33" i="13"/>
  <c r="CP27" i="13"/>
  <c r="GM58" i="13"/>
  <c r="EN45" i="13"/>
  <c r="DI52" i="13"/>
  <c r="FH65" i="13"/>
  <c r="AAD183" i="13" l="1"/>
  <c r="YE170" i="13"/>
  <c r="UG144" i="13"/>
  <c r="WF157" i="13"/>
  <c r="BJ7" i="13"/>
  <c r="BJ8" i="13"/>
  <c r="BJ11" i="13"/>
  <c r="BK6" i="13"/>
  <c r="YY189" i="13"/>
  <c r="WZ176" i="13"/>
  <c r="VA163" i="13"/>
  <c r="TB150" i="13"/>
  <c r="RC137" i="13"/>
  <c r="PD124" i="13"/>
  <c r="NE111" i="13"/>
  <c r="SH131" i="13"/>
  <c r="QI118" i="13"/>
  <c r="OJ105" i="13"/>
  <c r="MK92" i="13"/>
  <c r="KL79" i="13"/>
  <c r="IM66" i="13"/>
  <c r="LF98" i="13"/>
  <c r="JG85" i="13"/>
  <c r="HH72" i="13"/>
  <c r="GN53" i="13"/>
  <c r="EO40" i="13"/>
  <c r="CP32" i="13"/>
  <c r="FI59" i="13"/>
  <c r="BK34" i="13"/>
  <c r="DJ46" i="13"/>
  <c r="AAD188" i="13" l="1"/>
  <c r="YE175" i="13"/>
  <c r="WF162" i="13"/>
  <c r="UG149" i="13"/>
  <c r="BJ10" i="13"/>
  <c r="BJ9" i="13"/>
  <c r="BJ12" i="13"/>
  <c r="BJ13" i="13"/>
  <c r="BK2" i="13"/>
  <c r="BK3" i="13"/>
  <c r="WZ177" i="13"/>
  <c r="YY190" i="13"/>
  <c r="VA164" i="13"/>
  <c r="TB151" i="13"/>
  <c r="RC138" i="13"/>
  <c r="PD125" i="13"/>
  <c r="NE112" i="13"/>
  <c r="SH136" i="13"/>
  <c r="OJ110" i="13"/>
  <c r="QI123" i="13"/>
  <c r="MK97" i="13"/>
  <c r="KL84" i="13"/>
  <c r="IM71" i="13"/>
  <c r="LF99" i="13"/>
  <c r="JG86" i="13"/>
  <c r="HH73" i="13"/>
  <c r="FI60" i="13"/>
  <c r="DJ47" i="13"/>
  <c r="BK36" i="13"/>
  <c r="BK39" i="13"/>
  <c r="CQ27" i="13"/>
  <c r="GN58" i="13"/>
  <c r="EO45" i="13"/>
  <c r="AAE183" i="13" l="1"/>
  <c r="YF170" i="13"/>
  <c r="WG157" i="13"/>
  <c r="UH144" i="13"/>
  <c r="YY195" i="13"/>
  <c r="WZ182" i="13"/>
  <c r="TB156" i="13"/>
  <c r="VA169" i="13"/>
  <c r="BK4" i="13"/>
  <c r="BK5" i="13" s="1"/>
  <c r="YY192" i="13"/>
  <c r="WZ179" i="13"/>
  <c r="VA166" i="13"/>
  <c r="TB153" i="13"/>
  <c r="SI131" i="13"/>
  <c r="QJ118" i="13"/>
  <c r="OK105" i="13"/>
  <c r="RC140" i="13"/>
  <c r="NE114" i="13"/>
  <c r="PD127" i="13"/>
  <c r="RC143" i="13"/>
  <c r="NE117" i="13"/>
  <c r="PD130" i="13"/>
  <c r="LF104" i="13"/>
  <c r="JG91" i="13"/>
  <c r="HH78" i="13"/>
  <c r="ML92" i="13"/>
  <c r="KM79" i="13"/>
  <c r="IN66" i="13"/>
  <c r="LF101" i="13"/>
  <c r="JG88" i="13"/>
  <c r="HH75" i="13"/>
  <c r="FI62" i="13"/>
  <c r="DJ49" i="13"/>
  <c r="BL33" i="13"/>
  <c r="DJ52" i="13"/>
  <c r="FI65" i="13"/>
  <c r="GO53" i="13"/>
  <c r="EP40" i="13"/>
  <c r="CQ32" i="13"/>
  <c r="AAE188" i="13" l="1"/>
  <c r="YF175" i="13"/>
  <c r="UH149" i="13"/>
  <c r="WG162" i="13"/>
  <c r="BL6" i="13"/>
  <c r="YZ189" i="13"/>
  <c r="XA176" i="13"/>
  <c r="TC150" i="13"/>
  <c r="VB163" i="13"/>
  <c r="BK8" i="13"/>
  <c r="BK7" i="13"/>
  <c r="BK11" i="13"/>
  <c r="RD137" i="13"/>
  <c r="PE124" i="13"/>
  <c r="NF111" i="13"/>
  <c r="SI136" i="13"/>
  <c r="QJ123" i="13"/>
  <c r="OK110" i="13"/>
  <c r="ML97" i="13"/>
  <c r="KM84" i="13"/>
  <c r="IN71" i="13"/>
  <c r="LG98" i="13"/>
  <c r="JH85" i="13"/>
  <c r="HI72" i="13"/>
  <c r="CR27" i="13"/>
  <c r="GO58" i="13"/>
  <c r="EP45" i="13"/>
  <c r="FJ59" i="13"/>
  <c r="BL34" i="13"/>
  <c r="DK46" i="13"/>
  <c r="AAF183" i="13" l="1"/>
  <c r="YG170" i="13"/>
  <c r="WH157" i="13"/>
  <c r="UI144" i="13"/>
  <c r="BK9" i="13"/>
  <c r="BK10" i="13"/>
  <c r="BK12" i="13"/>
  <c r="BK13" i="13"/>
  <c r="BL2" i="13"/>
  <c r="BL3" i="13"/>
  <c r="XA177" i="13"/>
  <c r="TC151" i="13"/>
  <c r="YZ190" i="13"/>
  <c r="VB164" i="13"/>
  <c r="SJ131" i="13"/>
  <c r="QK118" i="13"/>
  <c r="OL105" i="13"/>
  <c r="RD138" i="13"/>
  <c r="PE125" i="13"/>
  <c r="NF112" i="13"/>
  <c r="LG99" i="13"/>
  <c r="JH86" i="13"/>
  <c r="HI73" i="13"/>
  <c r="MM92" i="13"/>
  <c r="KN79" i="13"/>
  <c r="IO66" i="13"/>
  <c r="FJ60" i="13"/>
  <c r="DK47" i="13"/>
  <c r="BL39" i="13"/>
  <c r="BL36" i="13"/>
  <c r="GP53" i="13"/>
  <c r="EQ40" i="13"/>
  <c r="CR32" i="13"/>
  <c r="AAF188" i="13" l="1"/>
  <c r="YG175" i="13"/>
  <c r="WH162" i="13"/>
  <c r="UI149" i="13"/>
  <c r="BL4" i="13"/>
  <c r="BL5" i="13" s="1"/>
  <c r="YZ192" i="13"/>
  <c r="XA179" i="13"/>
  <c r="TC153" i="13"/>
  <c r="VB166" i="13"/>
  <c r="XA182" i="13"/>
  <c r="VB169" i="13"/>
  <c r="YZ195" i="13"/>
  <c r="TC156" i="13"/>
  <c r="RD140" i="13"/>
  <c r="PE127" i="13"/>
  <c r="NF114" i="13"/>
  <c r="SJ136" i="13"/>
  <c r="QK123" i="13"/>
  <c r="OL110" i="13"/>
  <c r="NF117" i="13"/>
  <c r="RD143" i="13"/>
  <c r="PE130" i="13"/>
  <c r="LG104" i="13"/>
  <c r="JH91" i="13"/>
  <c r="HI78" i="13"/>
  <c r="LG101" i="13"/>
  <c r="JH88" i="13"/>
  <c r="HI75" i="13"/>
  <c r="MM97" i="13"/>
  <c r="KN84" i="13"/>
  <c r="IO71" i="13"/>
  <c r="CS27" i="13"/>
  <c r="GP58" i="13"/>
  <c r="EQ45" i="13"/>
  <c r="FJ62" i="13"/>
  <c r="BM33" i="13"/>
  <c r="DK49" i="13"/>
  <c r="DK52" i="13"/>
  <c r="FJ65" i="13"/>
  <c r="AAG183" i="13" l="1"/>
  <c r="WI157" i="13"/>
  <c r="YH170" i="13"/>
  <c r="UJ144" i="13"/>
  <c r="BM6" i="13"/>
  <c r="ZA189" i="13"/>
  <c r="XB176" i="13"/>
  <c r="TD150" i="13"/>
  <c r="VC163" i="13"/>
  <c r="BL8" i="13"/>
  <c r="BL7" i="13"/>
  <c r="BL11" i="13"/>
  <c r="SK131" i="13"/>
  <c r="QL118" i="13"/>
  <c r="OM105" i="13"/>
  <c r="RE137" i="13"/>
  <c r="PF124" i="13"/>
  <c r="NG111" i="13"/>
  <c r="MN92" i="13"/>
  <c r="KO79" i="13"/>
  <c r="IP66" i="13"/>
  <c r="LH98" i="13"/>
  <c r="JI85" i="13"/>
  <c r="HJ72" i="13"/>
  <c r="FK59" i="13"/>
  <c r="BM34" i="13"/>
  <c r="DL46" i="13"/>
  <c r="GQ53" i="13"/>
  <c r="ER40" i="13"/>
  <c r="CS32" i="13"/>
  <c r="AAG188" i="13" l="1"/>
  <c r="YH175" i="13"/>
  <c r="WI162" i="13"/>
  <c r="UJ149" i="13"/>
  <c r="BL12" i="13"/>
  <c r="BL13" i="13"/>
  <c r="BM2" i="13"/>
  <c r="BM3" i="13"/>
  <c r="XB177" i="13"/>
  <c r="VC164" i="13"/>
  <c r="ZA190" i="13"/>
  <c r="TD151" i="13"/>
  <c r="BL10" i="13"/>
  <c r="BL9" i="13"/>
  <c r="RE138" i="13"/>
  <c r="PF125" i="13"/>
  <c r="NG112" i="13"/>
  <c r="SK136" i="13"/>
  <c r="QL123" i="13"/>
  <c r="OM110" i="13"/>
  <c r="LH99" i="13"/>
  <c r="JI86" i="13"/>
  <c r="HJ73" i="13"/>
  <c r="MN97" i="13"/>
  <c r="KO84" i="13"/>
  <c r="IP71" i="13"/>
  <c r="CT27" i="13"/>
  <c r="GQ58" i="13"/>
  <c r="ER45" i="13"/>
  <c r="FK60" i="13"/>
  <c r="DL47" i="13"/>
  <c r="BM36" i="13"/>
  <c r="BM39" i="13"/>
  <c r="AAH183" i="13" l="1"/>
  <c r="YI170" i="13"/>
  <c r="WJ157" i="13"/>
  <c r="UK144" i="13"/>
  <c r="XB182" i="13"/>
  <c r="TD156" i="13"/>
  <c r="ZA195" i="13"/>
  <c r="VC169" i="13"/>
  <c r="BM4" i="13"/>
  <c r="BM5" i="13" s="1"/>
  <c r="XB179" i="13"/>
  <c r="ZA192" i="13"/>
  <c r="TD153" i="13"/>
  <c r="VC166" i="13"/>
  <c r="RE140" i="13"/>
  <c r="PF127" i="13"/>
  <c r="NG114" i="13"/>
  <c r="SL131" i="13"/>
  <c r="QM118" i="13"/>
  <c r="ON105" i="13"/>
  <c r="PF130" i="13"/>
  <c r="NG117" i="13"/>
  <c r="RE143" i="13"/>
  <c r="MO92" i="13"/>
  <c r="KP79" i="13"/>
  <c r="IQ66" i="13"/>
  <c r="LH104" i="13"/>
  <c r="JI91" i="13"/>
  <c r="HJ78" i="13"/>
  <c r="LH101" i="13"/>
  <c r="JI88" i="13"/>
  <c r="HJ75" i="13"/>
  <c r="FK62" i="13"/>
  <c r="BN33" i="13"/>
  <c r="DL49" i="13"/>
  <c r="DL52" i="13"/>
  <c r="FK65" i="13"/>
  <c r="GR53" i="13"/>
  <c r="ES40" i="13"/>
  <c r="CT32" i="13"/>
  <c r="AAH188" i="13" l="1"/>
  <c r="YI175" i="13"/>
  <c r="WJ162" i="13"/>
  <c r="UK149" i="13"/>
  <c r="BM8" i="13"/>
  <c r="BM11" i="13"/>
  <c r="BM7" i="13"/>
  <c r="BN6" i="13"/>
  <c r="ZB189" i="13"/>
  <c r="XC176" i="13"/>
  <c r="VD163" i="13"/>
  <c r="TE150" i="13"/>
  <c r="RF137" i="13"/>
  <c r="PG124" i="13"/>
  <c r="NH111" i="13"/>
  <c r="SL136" i="13"/>
  <c r="QM123" i="13"/>
  <c r="ON110" i="13"/>
  <c r="LI98" i="13"/>
  <c r="JJ85" i="13"/>
  <c r="HK72" i="13"/>
  <c r="MO97" i="13"/>
  <c r="KP84" i="13"/>
  <c r="IQ71" i="13"/>
  <c r="CU27" i="13"/>
  <c r="GR58" i="13"/>
  <c r="ES45" i="13"/>
  <c r="FL59" i="13"/>
  <c r="BN34" i="13"/>
  <c r="DM46" i="13"/>
  <c r="AAI183" i="13" l="1"/>
  <c r="WK157" i="13"/>
  <c r="YJ170" i="13"/>
  <c r="UL144" i="13"/>
  <c r="BM12" i="13"/>
  <c r="BM13" i="13"/>
  <c r="BN2" i="13"/>
  <c r="BN3" i="13"/>
  <c r="ZB190" i="13"/>
  <c r="VD164" i="13"/>
  <c r="XC177" i="13"/>
  <c r="TE151" i="13"/>
  <c r="BM9" i="13"/>
  <c r="BM10" i="13"/>
  <c r="SM131" i="13"/>
  <c r="QN118" i="13"/>
  <c r="OO105" i="13"/>
  <c r="RF138" i="13"/>
  <c r="NH112" i="13"/>
  <c r="PG125" i="13"/>
  <c r="LI99" i="13"/>
  <c r="JJ86" i="13"/>
  <c r="HK73" i="13"/>
  <c r="MP92" i="13"/>
  <c r="KQ79" i="13"/>
  <c r="IR66" i="13"/>
  <c r="FL60" i="13"/>
  <c r="DM47" i="13"/>
  <c r="BN36" i="13"/>
  <c r="BN39" i="13"/>
  <c r="GS53" i="13"/>
  <c r="ET40" i="13"/>
  <c r="CU32" i="13"/>
  <c r="AAI188" i="13" l="1"/>
  <c r="YJ175" i="13"/>
  <c r="UL149" i="13"/>
  <c r="WK162" i="13"/>
  <c r="ZB195" i="13"/>
  <c r="XC182" i="13"/>
  <c r="VD169" i="13"/>
  <c r="TE156" i="13"/>
  <c r="BN4" i="13"/>
  <c r="BN5" i="13" s="1"/>
  <c r="ZB192" i="13"/>
  <c r="XC179" i="13"/>
  <c r="VD166" i="13"/>
  <c r="TE153" i="13"/>
  <c r="RF140" i="13"/>
  <c r="PG127" i="13"/>
  <c r="NH114" i="13"/>
  <c r="SM136" i="13"/>
  <c r="QN123" i="13"/>
  <c r="OO110" i="13"/>
  <c r="PG130" i="13"/>
  <c r="NH117" i="13"/>
  <c r="RF143" i="13"/>
  <c r="JJ88" i="13"/>
  <c r="LI101" i="13"/>
  <c r="HK75" i="13"/>
  <c r="MP97" i="13"/>
  <c r="KQ84" i="13"/>
  <c r="IR71" i="13"/>
  <c r="JJ91" i="13"/>
  <c r="LI104" i="13"/>
  <c r="HK78" i="13"/>
  <c r="CV27" i="13"/>
  <c r="GS58" i="13"/>
  <c r="ET45" i="13"/>
  <c r="DM52" i="13"/>
  <c r="FL65" i="13"/>
  <c r="FL62" i="13"/>
  <c r="BO33" i="13"/>
  <c r="DM49" i="13"/>
  <c r="AAJ183" i="13" l="1"/>
  <c r="WL157" i="13"/>
  <c r="YK170" i="13"/>
  <c r="UM144" i="13"/>
  <c r="BN7" i="13"/>
  <c r="BN8" i="13"/>
  <c r="BN11" i="13"/>
  <c r="BO6" i="13"/>
  <c r="ZC189" i="13"/>
  <c r="XD176" i="13"/>
  <c r="TF150" i="13"/>
  <c r="VE163" i="13"/>
  <c r="SN131" i="13"/>
  <c r="QO118" i="13"/>
  <c r="OP105" i="13"/>
  <c r="RG137" i="13"/>
  <c r="PH124" i="13"/>
  <c r="NI111" i="13"/>
  <c r="MQ92" i="13"/>
  <c r="KR79" i="13"/>
  <c r="IS66" i="13"/>
  <c r="LJ98" i="13"/>
  <c r="JK85" i="13"/>
  <c r="HL72" i="13"/>
  <c r="FM59" i="13"/>
  <c r="BO34" i="13"/>
  <c r="DN46" i="13"/>
  <c r="GT53" i="13"/>
  <c r="EU40" i="13"/>
  <c r="CV32" i="13"/>
  <c r="AAJ188" i="13" l="1"/>
  <c r="YK175" i="13"/>
  <c r="WL162" i="13"/>
  <c r="UM149" i="13"/>
  <c r="BO2" i="13"/>
  <c r="BO3" i="13"/>
  <c r="ZC190" i="13"/>
  <c r="XD177" i="13"/>
  <c r="VE164" i="13"/>
  <c r="TF151" i="13"/>
  <c r="BN12" i="13"/>
  <c r="BN13" i="13"/>
  <c r="BN9" i="13"/>
  <c r="BN10" i="13"/>
  <c r="SN136" i="13"/>
  <c r="QO123" i="13"/>
  <c r="OP110" i="13"/>
  <c r="RG138" i="13"/>
  <c r="PH125" i="13"/>
  <c r="NI112" i="13"/>
  <c r="LJ99" i="13"/>
  <c r="JK86" i="13"/>
  <c r="HL73" i="13"/>
  <c r="MQ97" i="13"/>
  <c r="KR84" i="13"/>
  <c r="IS71" i="13"/>
  <c r="CW27" i="13"/>
  <c r="GT58" i="13"/>
  <c r="EU45" i="13"/>
  <c r="FM60" i="13"/>
  <c r="DN47" i="13"/>
  <c r="BO39" i="13"/>
  <c r="BO36" i="13"/>
  <c r="AAK183" i="13" l="1"/>
  <c r="YL170" i="13"/>
  <c r="WM157" i="13"/>
  <c r="UN144" i="13"/>
  <c r="BO4" i="13"/>
  <c r="BO5" i="13" s="1"/>
  <c r="ZC192" i="13"/>
  <c r="XD179" i="13"/>
  <c r="VE166" i="13"/>
  <c r="TF153" i="13"/>
  <c r="ZC195" i="13"/>
  <c r="XD182" i="13"/>
  <c r="VE169" i="13"/>
  <c r="TF156" i="13"/>
  <c r="SO131" i="13"/>
  <c r="QP118" i="13"/>
  <c r="OQ105" i="13"/>
  <c r="RG140" i="13"/>
  <c r="PH127" i="13"/>
  <c r="NI114" i="13"/>
  <c r="PH130" i="13"/>
  <c r="NI117" i="13"/>
  <c r="RG143" i="13"/>
  <c r="LJ101" i="13"/>
  <c r="JK88" i="13"/>
  <c r="HL75" i="13"/>
  <c r="MR92" i="13"/>
  <c r="KS79" i="13"/>
  <c r="IT66" i="13"/>
  <c r="LJ104" i="13"/>
  <c r="JK91" i="13"/>
  <c r="HL78" i="13"/>
  <c r="DN52" i="13"/>
  <c r="FM65" i="13"/>
  <c r="FM62" i="13"/>
  <c r="DN49" i="13"/>
  <c r="BP33" i="13"/>
  <c r="GU53" i="13"/>
  <c r="EV40" i="13"/>
  <c r="CW32" i="13"/>
  <c r="AAK188" i="13" l="1"/>
  <c r="YL175" i="13"/>
  <c r="UN149" i="13"/>
  <c r="WM162" i="13"/>
  <c r="BP6" i="13"/>
  <c r="ZD189" i="13"/>
  <c r="XE176" i="13"/>
  <c r="VF163" i="13"/>
  <c r="TG150" i="13"/>
  <c r="BO7" i="13"/>
  <c r="BO8" i="13"/>
  <c r="BO11" i="13"/>
  <c r="SO136" i="13"/>
  <c r="QP123" i="13"/>
  <c r="OQ110" i="13"/>
  <c r="RH137" i="13"/>
  <c r="PI124" i="13"/>
  <c r="NJ111" i="13"/>
  <c r="LK98" i="13"/>
  <c r="JL85" i="13"/>
  <c r="HM72" i="13"/>
  <c r="MR97" i="13"/>
  <c r="KS84" i="13"/>
  <c r="IT71" i="13"/>
  <c r="CX27" i="13"/>
  <c r="GU58" i="13"/>
  <c r="EV45" i="13"/>
  <c r="FN59" i="13"/>
  <c r="BP34" i="13"/>
  <c r="DO46" i="13"/>
  <c r="AAL183" i="13" l="1"/>
  <c r="YM170" i="13"/>
  <c r="WN157" i="13"/>
  <c r="UO144" i="13"/>
  <c r="BO9" i="13"/>
  <c r="BO10" i="13"/>
  <c r="BO12" i="13"/>
  <c r="BO13" i="13"/>
  <c r="BP2" i="13"/>
  <c r="BP3" i="13"/>
  <c r="ZD190" i="13"/>
  <c r="XE177" i="13"/>
  <c r="VF164" i="13"/>
  <c r="TG151" i="13"/>
  <c r="SP131" i="13"/>
  <c r="QQ118" i="13"/>
  <c r="OR105" i="13"/>
  <c r="RH138" i="13"/>
  <c r="PI125" i="13"/>
  <c r="NJ112" i="13"/>
  <c r="LK99" i="13"/>
  <c r="JL86" i="13"/>
  <c r="HM73" i="13"/>
  <c r="MS92" i="13"/>
  <c r="KT79" i="13"/>
  <c r="IU66" i="13"/>
  <c r="FN60" i="13"/>
  <c r="DO47" i="13"/>
  <c r="BP36" i="13"/>
  <c r="BP39" i="13"/>
  <c r="GV53" i="13"/>
  <c r="EW40" i="13"/>
  <c r="CX32" i="13"/>
  <c r="AAL188" i="13" l="1"/>
  <c r="YM175" i="13"/>
  <c r="WN162" i="13"/>
  <c r="UO149" i="13"/>
  <c r="ZD195" i="13"/>
  <c r="XE182" i="13"/>
  <c r="VF169" i="13"/>
  <c r="TG156" i="13"/>
  <c r="BP4" i="13"/>
  <c r="BP5" i="13" s="1"/>
  <c r="ZD192" i="13"/>
  <c r="XE179" i="13"/>
  <c r="TG153" i="13"/>
  <c r="VF166" i="13"/>
  <c r="RH140" i="13"/>
  <c r="PI127" i="13"/>
  <c r="NJ114" i="13"/>
  <c r="SP136" i="13"/>
  <c r="OR110" i="13"/>
  <c r="QQ123" i="13"/>
  <c r="PI130" i="13"/>
  <c r="NJ117" i="13"/>
  <c r="RH143" i="13"/>
  <c r="LK101" i="13"/>
  <c r="JL88" i="13"/>
  <c r="HM75" i="13"/>
  <c r="MS97" i="13"/>
  <c r="KT84" i="13"/>
  <c r="IU71" i="13"/>
  <c r="LK104" i="13"/>
  <c r="JL91" i="13"/>
  <c r="HM78" i="13"/>
  <c r="FN62" i="13"/>
  <c r="BQ33" i="13"/>
  <c r="DO49" i="13"/>
  <c r="CY27" i="13"/>
  <c r="GV58" i="13"/>
  <c r="EW45" i="13"/>
  <c r="DO52" i="13"/>
  <c r="FN65" i="13"/>
  <c r="YN170" i="13" l="1"/>
  <c r="WO157" i="13"/>
  <c r="AAM183" i="13"/>
  <c r="UP144" i="13"/>
  <c r="BQ6" i="13"/>
  <c r="ZE189" i="13"/>
  <c r="XF176" i="13"/>
  <c r="VG163" i="13"/>
  <c r="TH150" i="13"/>
  <c r="BP8" i="13"/>
  <c r="BP7" i="13"/>
  <c r="BP11" i="13"/>
  <c r="RI137" i="13"/>
  <c r="PJ124" i="13"/>
  <c r="NK111" i="13"/>
  <c r="SQ131" i="13"/>
  <c r="QR118" i="13"/>
  <c r="OS105" i="13"/>
  <c r="LL98" i="13"/>
  <c r="JM85" i="13"/>
  <c r="HN72" i="13"/>
  <c r="MT92" i="13"/>
  <c r="KU79" i="13"/>
  <c r="IV66" i="13"/>
  <c r="GW53" i="13"/>
  <c r="EX40" i="13"/>
  <c r="CY32" i="13"/>
  <c r="FO59" i="13"/>
  <c r="BQ34" i="13"/>
  <c r="DP46" i="13"/>
  <c r="AAM188" i="13" l="1"/>
  <c r="YN175" i="13"/>
  <c r="WO162" i="13"/>
  <c r="UP149" i="13"/>
  <c r="BP12" i="13"/>
  <c r="BP13" i="13"/>
  <c r="BP9" i="13"/>
  <c r="BP10" i="13"/>
  <c r="BQ2" i="13"/>
  <c r="BQ3" i="13"/>
  <c r="ZE190" i="13"/>
  <c r="VG164" i="13"/>
  <c r="XF177" i="13"/>
  <c r="TH151" i="13"/>
  <c r="RI138" i="13"/>
  <c r="PJ125" i="13"/>
  <c r="NK112" i="13"/>
  <c r="SQ136" i="13"/>
  <c r="QR123" i="13"/>
  <c r="OS110" i="13"/>
  <c r="LL99" i="13"/>
  <c r="JM86" i="13"/>
  <c r="HN73" i="13"/>
  <c r="MT97" i="13"/>
  <c r="KU84" i="13"/>
  <c r="IV71" i="13"/>
  <c r="CZ27" i="13"/>
  <c r="GW58" i="13"/>
  <c r="EX45" i="13"/>
  <c r="FO60" i="13"/>
  <c r="DP47" i="13"/>
  <c r="BQ36" i="13"/>
  <c r="BQ39" i="13"/>
  <c r="AAN183" i="13" l="1"/>
  <c r="YO170" i="13"/>
  <c r="UQ144" i="13"/>
  <c r="WP157" i="13"/>
  <c r="ZE195" i="13"/>
  <c r="XF182" i="13"/>
  <c r="VG169" i="13"/>
  <c r="TH156" i="13"/>
  <c r="BQ4" i="13"/>
  <c r="BQ5" i="13" s="1"/>
  <c r="ZE192" i="13"/>
  <c r="XF179" i="13"/>
  <c r="VG166" i="13"/>
  <c r="TH153" i="13"/>
  <c r="RI140" i="13"/>
  <c r="NK114" i="13"/>
  <c r="PJ127" i="13"/>
  <c r="SR131" i="13"/>
  <c r="QS118" i="13"/>
  <c r="OT105" i="13"/>
  <c r="PJ130" i="13"/>
  <c r="NK117" i="13"/>
  <c r="RI143" i="13"/>
  <c r="MU92" i="13"/>
  <c r="KV79" i="13"/>
  <c r="IW66" i="13"/>
  <c r="LL104" i="13"/>
  <c r="JM91" i="13"/>
  <c r="HN78" i="13"/>
  <c r="LL101" i="13"/>
  <c r="JM88" i="13"/>
  <c r="HN75" i="13"/>
  <c r="FO62" i="13"/>
  <c r="DP49" i="13"/>
  <c r="BR33" i="13"/>
  <c r="DP52" i="13"/>
  <c r="FO65" i="13"/>
  <c r="GX53" i="13"/>
  <c r="EY40" i="13"/>
  <c r="CZ32" i="13"/>
  <c r="AAN188" i="13" l="1"/>
  <c r="YO175" i="13"/>
  <c r="WP162" i="13"/>
  <c r="UQ149" i="13"/>
  <c r="BQ8" i="13"/>
  <c r="BQ7" i="13"/>
  <c r="BQ11" i="13"/>
  <c r="BR6" i="13"/>
  <c r="ZF189" i="13"/>
  <c r="XG176" i="13"/>
  <c r="TI150" i="13"/>
  <c r="VH163" i="13"/>
  <c r="SR136" i="13"/>
  <c r="QS123" i="13"/>
  <c r="OT110" i="13"/>
  <c r="RJ137" i="13"/>
  <c r="PK124" i="13"/>
  <c r="NL111" i="13"/>
  <c r="LM98" i="13"/>
  <c r="JN85" i="13"/>
  <c r="HO72" i="13"/>
  <c r="MU97" i="13"/>
  <c r="KV84" i="13"/>
  <c r="IW71" i="13"/>
  <c r="DA27" i="13"/>
  <c r="GX58" i="13"/>
  <c r="EY45" i="13"/>
  <c r="FP59" i="13"/>
  <c r="BR34" i="13"/>
  <c r="DQ46" i="13"/>
  <c r="AAO183" i="13" l="1"/>
  <c r="YP170" i="13"/>
  <c r="WQ157" i="13"/>
  <c r="UR144" i="13"/>
  <c r="BQ12" i="13"/>
  <c r="BQ13" i="13"/>
  <c r="BR2" i="13"/>
  <c r="BR3" i="13"/>
  <c r="ZF190" i="13"/>
  <c r="VH164" i="13"/>
  <c r="TI151" i="13"/>
  <c r="XG177" i="13"/>
  <c r="BQ9" i="13"/>
  <c r="BQ10" i="13"/>
  <c r="SS131" i="13"/>
  <c r="QT118" i="13"/>
  <c r="OU105" i="13"/>
  <c r="RJ138" i="13"/>
  <c r="PK125" i="13"/>
  <c r="NL112" i="13"/>
  <c r="LM99" i="13"/>
  <c r="JN86" i="13"/>
  <c r="HO73" i="13"/>
  <c r="MV92" i="13"/>
  <c r="KW79" i="13"/>
  <c r="IX66" i="13"/>
  <c r="FP60" i="13"/>
  <c r="DQ47" i="13"/>
  <c r="BR36" i="13"/>
  <c r="BR39" i="13"/>
  <c r="GY53" i="13"/>
  <c r="EZ40" i="13"/>
  <c r="DA32" i="13"/>
  <c r="AAO188" i="13" l="1"/>
  <c r="YP175" i="13"/>
  <c r="WQ162" i="13"/>
  <c r="UR149" i="13"/>
  <c r="ZF195" i="13"/>
  <c r="XG182" i="13"/>
  <c r="VH169" i="13"/>
  <c r="TI156" i="13"/>
  <c r="BR4" i="13"/>
  <c r="BR5" i="13" s="1"/>
  <c r="ZF192" i="13"/>
  <c r="XG179" i="13"/>
  <c r="VH166" i="13"/>
  <c r="TI153" i="13"/>
  <c r="RJ140" i="13"/>
  <c r="NL114" i="13"/>
  <c r="PK127" i="13"/>
  <c r="SS136" i="13"/>
  <c r="QT123" i="13"/>
  <c r="OU110" i="13"/>
  <c r="PK130" i="13"/>
  <c r="RJ143" i="13"/>
  <c r="NL117" i="13"/>
  <c r="LM104" i="13"/>
  <c r="JN91" i="13"/>
  <c r="HO78" i="13"/>
  <c r="MV97" i="13"/>
  <c r="KW84" i="13"/>
  <c r="IX71" i="13"/>
  <c r="LM101" i="13"/>
  <c r="JN88" i="13"/>
  <c r="HO75" i="13"/>
  <c r="DB27" i="13"/>
  <c r="GY58" i="13"/>
  <c r="EZ45" i="13"/>
  <c r="FP62" i="13"/>
  <c r="BS33" i="13"/>
  <c r="DQ49" i="13"/>
  <c r="DQ52" i="13"/>
  <c r="FP65" i="13"/>
  <c r="AAP183" i="13" l="1"/>
  <c r="YQ170" i="13"/>
  <c r="WR157" i="13"/>
  <c r="US144" i="13"/>
  <c r="BS6" i="13"/>
  <c r="ZG189" i="13"/>
  <c r="XH176" i="13"/>
  <c r="VI163" i="13"/>
  <c r="TJ150" i="13"/>
  <c r="BR7" i="13"/>
  <c r="BR11" i="13"/>
  <c r="BR8" i="13"/>
  <c r="ST131" i="13"/>
  <c r="QU118" i="13"/>
  <c r="OV105" i="13"/>
  <c r="RK137" i="13"/>
  <c r="PL124" i="13"/>
  <c r="NM111" i="13"/>
  <c r="LN98" i="13"/>
  <c r="JO85" i="13"/>
  <c r="HP72" i="13"/>
  <c r="MW92" i="13"/>
  <c r="KX79" i="13"/>
  <c r="IY66" i="13"/>
  <c r="FQ59" i="13"/>
  <c r="BS34" i="13"/>
  <c r="DR46" i="13"/>
  <c r="GZ53" i="13"/>
  <c r="FA40" i="13"/>
  <c r="DB32" i="13"/>
  <c r="EY49" i="13"/>
  <c r="AAP188" i="13" l="1"/>
  <c r="YQ175" i="13"/>
  <c r="WR162" i="13"/>
  <c r="US149" i="13"/>
  <c r="BR10" i="13"/>
  <c r="BR9" i="13"/>
  <c r="BR12" i="13"/>
  <c r="BR13" i="13"/>
  <c r="BS2" i="13"/>
  <c r="BS3" i="13"/>
  <c r="XH177" i="13"/>
  <c r="ZG190" i="13"/>
  <c r="VI164" i="13"/>
  <c r="TJ151" i="13"/>
  <c r="RK138" i="13"/>
  <c r="NM112" i="13"/>
  <c r="PL125" i="13"/>
  <c r="ST136" i="13"/>
  <c r="QU123" i="13"/>
  <c r="OV110" i="13"/>
  <c r="LN99" i="13"/>
  <c r="JO86" i="13"/>
  <c r="HP73" i="13"/>
  <c r="MW97" i="13"/>
  <c r="KX84" i="13"/>
  <c r="IY71" i="13"/>
  <c r="FQ60" i="13"/>
  <c r="DR47" i="13"/>
  <c r="BS39" i="13"/>
  <c r="BS36" i="13"/>
  <c r="DC27" i="13"/>
  <c r="GZ58" i="13"/>
  <c r="FA45" i="13"/>
  <c r="AAQ183" i="13" l="1"/>
  <c r="YR170" i="13"/>
  <c r="WS157" i="13"/>
  <c r="UT144" i="13"/>
  <c r="BS4" i="13"/>
  <c r="BS5" i="13" s="1"/>
  <c r="ZG192" i="13"/>
  <c r="XH179" i="13"/>
  <c r="TJ153" i="13"/>
  <c r="VI166" i="13"/>
  <c r="ZG195" i="13"/>
  <c r="XH182" i="13"/>
  <c r="VI169" i="13"/>
  <c r="TJ156" i="13"/>
  <c r="RK140" i="13"/>
  <c r="PL127" i="13"/>
  <c r="NM114" i="13"/>
  <c r="SU131" i="13"/>
  <c r="QV118" i="13"/>
  <c r="OW105" i="13"/>
  <c r="RK143" i="13"/>
  <c r="PL130" i="13"/>
  <c r="NM117" i="13"/>
  <c r="MX92" i="13"/>
  <c r="KY79" i="13"/>
  <c r="IZ66" i="13"/>
  <c r="LN104" i="13"/>
  <c r="JO91" i="13"/>
  <c r="HP78" i="13"/>
  <c r="LN101" i="13"/>
  <c r="JO88" i="13"/>
  <c r="HP75" i="13"/>
  <c r="DR52" i="13"/>
  <c r="FQ65" i="13"/>
  <c r="HA53" i="13"/>
  <c r="FB40" i="13"/>
  <c r="DC32" i="13"/>
  <c r="FQ62" i="13"/>
  <c r="BT33" i="13"/>
  <c r="DR49" i="13"/>
  <c r="AAQ188" i="13" l="1"/>
  <c r="YR175" i="13"/>
  <c r="UT149" i="13"/>
  <c r="WS162" i="13"/>
  <c r="BT6" i="13"/>
  <c r="ZH189" i="13"/>
  <c r="VJ163" i="13"/>
  <c r="TK150" i="13"/>
  <c r="XI176" i="13"/>
  <c r="BS7" i="13"/>
  <c r="BS8" i="13"/>
  <c r="BS11" i="13"/>
  <c r="RL137" i="13"/>
  <c r="PM124" i="13"/>
  <c r="NN111" i="13"/>
  <c r="SU136" i="13"/>
  <c r="QV123" i="13"/>
  <c r="OW110" i="13"/>
  <c r="KY84" i="13"/>
  <c r="MX97" i="13"/>
  <c r="IZ71" i="13"/>
  <c r="LO98" i="13"/>
  <c r="JP85" i="13"/>
  <c r="HQ72" i="13"/>
  <c r="FR59" i="13"/>
  <c r="BT34" i="13"/>
  <c r="DS46" i="13"/>
  <c r="DD27" i="13"/>
  <c r="HA58" i="13"/>
  <c r="FB45" i="13"/>
  <c r="AAR183" i="13" l="1"/>
  <c r="YS170" i="13"/>
  <c r="WT157" i="13"/>
  <c r="UU144" i="13"/>
  <c r="BS10" i="13"/>
  <c r="BS9" i="13"/>
  <c r="BS13" i="13"/>
  <c r="BS12" i="13"/>
  <c r="BT2" i="13"/>
  <c r="BT3" i="13"/>
  <c r="XI177" i="13"/>
  <c r="TK151" i="13"/>
  <c r="ZH190" i="13"/>
  <c r="VJ164" i="13"/>
  <c r="RL138" i="13"/>
  <c r="PM125" i="13"/>
  <c r="NN112" i="13"/>
  <c r="SV131" i="13"/>
  <c r="QW118" i="13"/>
  <c r="OX105" i="13"/>
  <c r="MY92" i="13"/>
  <c r="KZ79" i="13"/>
  <c r="JA66" i="13"/>
  <c r="LO99" i="13"/>
  <c r="JP86" i="13"/>
  <c r="HQ73" i="13"/>
  <c r="FR60" i="13"/>
  <c r="DS47" i="13"/>
  <c r="BT36" i="13"/>
  <c r="BT39" i="13"/>
  <c r="HB53" i="13"/>
  <c r="FC40" i="13"/>
  <c r="DD32" i="13"/>
  <c r="AAR188" i="13" l="1"/>
  <c r="YS175" i="13"/>
  <c r="WT162" i="13"/>
  <c r="UU149" i="13"/>
  <c r="XI182" i="13"/>
  <c r="VJ169" i="13"/>
  <c r="TK156" i="13"/>
  <c r="ZH195" i="13"/>
  <c r="BT4" i="13"/>
  <c r="BT5" i="13" s="1"/>
  <c r="ZH192" i="13"/>
  <c r="XI179" i="13"/>
  <c r="TK153" i="13"/>
  <c r="VJ166" i="13"/>
  <c r="RL140" i="13"/>
  <c r="PM127" i="13"/>
  <c r="NN114" i="13"/>
  <c r="SV136" i="13"/>
  <c r="QW123" i="13"/>
  <c r="OX110" i="13"/>
  <c r="NN117" i="13"/>
  <c r="RL143" i="13"/>
  <c r="PM130" i="13"/>
  <c r="LO101" i="13"/>
  <c r="JP88" i="13"/>
  <c r="HQ75" i="13"/>
  <c r="MY97" i="13"/>
  <c r="KZ84" i="13"/>
  <c r="JA71" i="13"/>
  <c r="JP91" i="13"/>
  <c r="LO104" i="13"/>
  <c r="HQ78" i="13"/>
  <c r="DE27" i="13"/>
  <c r="HB58" i="13"/>
  <c r="FC45" i="13"/>
  <c r="DS52" i="13"/>
  <c r="FR65" i="13"/>
  <c r="FR62" i="13"/>
  <c r="BU33" i="13"/>
  <c r="DS49" i="13"/>
  <c r="YT170" i="13" l="1"/>
  <c r="AAS183" i="13"/>
  <c r="WU157" i="13"/>
  <c r="UV144" i="13"/>
  <c r="BT7" i="13"/>
  <c r="BT11" i="13"/>
  <c r="BT8" i="13"/>
  <c r="BU6" i="13"/>
  <c r="ZI189" i="13"/>
  <c r="VK163" i="13"/>
  <c r="XJ176" i="13"/>
  <c r="TL150" i="13"/>
  <c r="SW131" i="13"/>
  <c r="QX118" i="13"/>
  <c r="OY105" i="13"/>
  <c r="RM137" i="13"/>
  <c r="PN124" i="13"/>
  <c r="NO111" i="13"/>
  <c r="MZ92" i="13"/>
  <c r="LA79" i="13"/>
  <c r="JB66" i="13"/>
  <c r="LP98" i="13"/>
  <c r="JQ85" i="13"/>
  <c r="HR72" i="13"/>
  <c r="FS59" i="13"/>
  <c r="BU34" i="13"/>
  <c r="DT46" i="13"/>
  <c r="HC53" i="13"/>
  <c r="FD40" i="13"/>
  <c r="DE32" i="13"/>
  <c r="AAS188" i="13" l="1"/>
  <c r="YT175" i="13"/>
  <c r="WU162" i="13"/>
  <c r="UV149" i="13"/>
  <c r="BT13" i="13"/>
  <c r="BT12" i="13"/>
  <c r="BU2" i="13"/>
  <c r="BU3" i="13"/>
  <c r="XJ177" i="13"/>
  <c r="ZI190" i="13"/>
  <c r="VK164" i="13"/>
  <c r="TL151" i="13"/>
  <c r="BT9" i="13"/>
  <c r="BT10" i="13"/>
  <c r="RM138" i="13"/>
  <c r="PN125" i="13"/>
  <c r="NO112" i="13"/>
  <c r="SW136" i="13"/>
  <c r="QX123" i="13"/>
  <c r="OY110" i="13"/>
  <c r="LP99" i="13"/>
  <c r="JQ86" i="13"/>
  <c r="HR73" i="13"/>
  <c r="MZ97" i="13"/>
  <c r="LA84" i="13"/>
  <c r="JB71" i="13"/>
  <c r="DF27" i="13"/>
  <c r="HC58" i="13"/>
  <c r="FD45" i="13"/>
  <c r="FS60" i="13"/>
  <c r="DT47" i="13"/>
  <c r="BU39" i="13"/>
  <c r="BU36" i="13"/>
  <c r="AAT183" i="13" l="1"/>
  <c r="YU170" i="13"/>
  <c r="WV157" i="13"/>
  <c r="UW144" i="13"/>
  <c r="BU4" i="13"/>
  <c r="BU5" i="13" s="1"/>
  <c r="XJ179" i="13"/>
  <c r="ZI192" i="13"/>
  <c r="VK166" i="13"/>
  <c r="TL153" i="13"/>
  <c r="XJ182" i="13"/>
  <c r="ZI195" i="13"/>
  <c r="TL156" i="13"/>
  <c r="VK169" i="13"/>
  <c r="SX131" i="13"/>
  <c r="QY118" i="13"/>
  <c r="OZ105" i="13"/>
  <c r="RM140" i="13"/>
  <c r="PN127" i="13"/>
  <c r="NO114" i="13"/>
  <c r="NO117" i="13"/>
  <c r="RM143" i="13"/>
  <c r="PN130" i="13"/>
  <c r="NA92" i="13"/>
  <c r="LB79" i="13"/>
  <c r="JC66" i="13"/>
  <c r="LP101" i="13"/>
  <c r="JQ88" i="13"/>
  <c r="HR75" i="13"/>
  <c r="JQ91" i="13"/>
  <c r="LP104" i="13"/>
  <c r="HR78" i="13"/>
  <c r="DT52" i="13"/>
  <c r="FS65" i="13"/>
  <c r="FS62" i="13"/>
  <c r="DT49" i="13"/>
  <c r="BV33" i="13"/>
  <c r="HD53" i="13"/>
  <c r="FE40" i="13"/>
  <c r="DF32" i="13"/>
  <c r="AAT188" i="13" l="1"/>
  <c r="YU175" i="13"/>
  <c r="WV162" i="13"/>
  <c r="UW149" i="13"/>
  <c r="BV6" i="13"/>
  <c r="ZJ189" i="13"/>
  <c r="XK176" i="13"/>
  <c r="VL163" i="13"/>
  <c r="TM150" i="13"/>
  <c r="BU7" i="13"/>
  <c r="BU8" i="13"/>
  <c r="BU11" i="13"/>
  <c r="SX136" i="13"/>
  <c r="QY123" i="13"/>
  <c r="OZ110" i="13"/>
  <c r="RN137" i="13"/>
  <c r="PO124" i="13"/>
  <c r="NP111" i="13"/>
  <c r="LQ98" i="13"/>
  <c r="JR85" i="13"/>
  <c r="HS72" i="13"/>
  <c r="NA97" i="13"/>
  <c r="LB84" i="13"/>
  <c r="JC71" i="13"/>
  <c r="DG27" i="13"/>
  <c r="HD58" i="13"/>
  <c r="FE45" i="13"/>
  <c r="FT59" i="13"/>
  <c r="BV34" i="13"/>
  <c r="DU46" i="13"/>
  <c r="YV170" i="13" l="1"/>
  <c r="AAU183" i="13"/>
  <c r="WW157" i="13"/>
  <c r="UX144" i="13"/>
  <c r="BU10" i="13"/>
  <c r="BU9" i="13"/>
  <c r="BU12" i="13"/>
  <c r="BU13" i="13"/>
  <c r="BV2" i="13"/>
  <c r="BV3" i="13"/>
  <c r="ZJ190" i="13"/>
  <c r="VL164" i="13"/>
  <c r="XK177" i="13"/>
  <c r="TM151" i="13"/>
  <c r="SY131" i="13"/>
  <c r="QZ118" i="13"/>
  <c r="PA105" i="13"/>
  <c r="RN138" i="13"/>
  <c r="PO125" i="13"/>
  <c r="NP112" i="13"/>
  <c r="LQ99" i="13"/>
  <c r="JR86" i="13"/>
  <c r="HS73" i="13"/>
  <c r="NB92" i="13"/>
  <c r="LC79" i="13"/>
  <c r="JD66" i="13"/>
  <c r="FT60" i="13"/>
  <c r="DU47" i="13"/>
  <c r="BV39" i="13"/>
  <c r="BV36" i="13"/>
  <c r="HE53" i="13"/>
  <c r="FF40" i="13"/>
  <c r="DG32" i="13"/>
  <c r="AAU188" i="13" l="1"/>
  <c r="YV175" i="13"/>
  <c r="UX149" i="13"/>
  <c r="WW162" i="13"/>
  <c r="BV4" i="13"/>
  <c r="BV5" i="13" s="1"/>
  <c r="ZJ192" i="13"/>
  <c r="XK179" i="13"/>
  <c r="VL166" i="13"/>
  <c r="TM153" i="13"/>
  <c r="ZJ195" i="13"/>
  <c r="XK182" i="13"/>
  <c r="TM156" i="13"/>
  <c r="VL169" i="13"/>
  <c r="RN140" i="13"/>
  <c r="PO127" i="13"/>
  <c r="NP114" i="13"/>
  <c r="SY136" i="13"/>
  <c r="QZ123" i="13"/>
  <c r="PA110" i="13"/>
  <c r="PO130" i="13"/>
  <c r="NP117" i="13"/>
  <c r="RN143" i="13"/>
  <c r="LQ101" i="13"/>
  <c r="JR88" i="13"/>
  <c r="HS75" i="13"/>
  <c r="NB97" i="13"/>
  <c r="LC84" i="13"/>
  <c r="JD71" i="13"/>
  <c r="LQ104" i="13"/>
  <c r="JR91" i="13"/>
  <c r="HS78" i="13"/>
  <c r="DH27" i="13"/>
  <c r="HE58" i="13"/>
  <c r="FF45" i="13"/>
  <c r="DU52" i="13"/>
  <c r="FT65" i="13"/>
  <c r="FT62" i="13"/>
  <c r="BW33" i="13"/>
  <c r="DU49" i="13"/>
  <c r="AAV183" i="13" l="1"/>
  <c r="YW170" i="13"/>
  <c r="WX157" i="13"/>
  <c r="UY144" i="13"/>
  <c r="BW6" i="13"/>
  <c r="ZK189" i="13"/>
  <c r="XL176" i="13"/>
  <c r="TN150" i="13"/>
  <c r="VM163" i="13"/>
  <c r="BV7" i="13"/>
  <c r="BV8" i="13"/>
  <c r="BV11" i="13"/>
  <c r="SZ131" i="13"/>
  <c r="RA118" i="13"/>
  <c r="PB105" i="13"/>
  <c r="RO137" i="13"/>
  <c r="PP124" i="13"/>
  <c r="NQ111" i="13"/>
  <c r="NC92" i="13"/>
  <c r="LD79" i="13"/>
  <c r="JE66" i="13"/>
  <c r="LR98" i="13"/>
  <c r="JS85" i="13"/>
  <c r="HT72" i="13"/>
  <c r="FU59" i="13"/>
  <c r="BW34" i="13"/>
  <c r="DV46" i="13"/>
  <c r="HF53" i="13"/>
  <c r="FG40" i="13"/>
  <c r="DH32" i="13"/>
  <c r="AAV188" i="13" l="1"/>
  <c r="YW175" i="13"/>
  <c r="WX162" i="13"/>
  <c r="UY149" i="13"/>
  <c r="BV9" i="13"/>
  <c r="BV10" i="13"/>
  <c r="BV12" i="13"/>
  <c r="BV13" i="13"/>
  <c r="BW2" i="13"/>
  <c r="BW3" i="13"/>
  <c r="ZK190" i="13"/>
  <c r="XL177" i="13"/>
  <c r="TN151" i="13"/>
  <c r="VM164" i="13"/>
  <c r="RO138" i="13"/>
  <c r="PP125" i="13"/>
  <c r="NQ112" i="13"/>
  <c r="SZ136" i="13"/>
  <c r="RA123" i="13"/>
  <c r="PB110" i="13"/>
  <c r="NC97" i="13"/>
  <c r="LD84" i="13"/>
  <c r="JE71" i="13"/>
  <c r="LR99" i="13"/>
  <c r="JS86" i="13"/>
  <c r="HT73" i="13"/>
  <c r="DI27" i="13"/>
  <c r="HF58" i="13"/>
  <c r="FG45" i="13"/>
  <c r="FU60" i="13"/>
  <c r="DV47" i="13"/>
  <c r="BW36" i="13"/>
  <c r="BW39" i="13"/>
  <c r="AAW183" i="13" l="1"/>
  <c r="UZ144" i="13"/>
  <c r="YX170" i="13"/>
  <c r="WY157" i="13"/>
  <c r="ZK195" i="13"/>
  <c r="XL182" i="13"/>
  <c r="TN156" i="13"/>
  <c r="VM169" i="13"/>
  <c r="BW4" i="13"/>
  <c r="BW5" i="13" s="1"/>
  <c r="ZK192" i="13"/>
  <c r="XL179" i="13"/>
  <c r="TN153" i="13"/>
  <c r="VM166" i="13"/>
  <c r="RO140" i="13"/>
  <c r="PP127" i="13"/>
  <c r="NQ114" i="13"/>
  <c r="TA131" i="13"/>
  <c r="RB118" i="13"/>
  <c r="PC105" i="13"/>
  <c r="PP130" i="13"/>
  <c r="NQ117" i="13"/>
  <c r="RO143" i="13"/>
  <c r="ND92" i="13"/>
  <c r="LE79" i="13"/>
  <c r="JF66" i="13"/>
  <c r="LR104" i="13"/>
  <c r="JS91" i="13"/>
  <c r="HT78" i="13"/>
  <c r="LR101" i="13"/>
  <c r="JS88" i="13"/>
  <c r="HT75" i="13"/>
  <c r="FU62" i="13"/>
  <c r="BX33" i="13"/>
  <c r="DV49" i="13"/>
  <c r="DV52" i="13"/>
  <c r="FU65" i="13"/>
  <c r="HG53" i="13"/>
  <c r="FH40" i="13"/>
  <c r="DI32" i="13"/>
  <c r="AAW188" i="13" l="1"/>
  <c r="YX175" i="13"/>
  <c r="WY162" i="13"/>
  <c r="UZ149" i="13"/>
  <c r="BX6" i="13"/>
  <c r="ZL189" i="13"/>
  <c r="XM176" i="13"/>
  <c r="VN163" i="13"/>
  <c r="TO150" i="13"/>
  <c r="BW8" i="13"/>
  <c r="BW11" i="13"/>
  <c r="BW7" i="13"/>
  <c r="RP137" i="13"/>
  <c r="PQ124" i="13"/>
  <c r="NR111" i="13"/>
  <c r="TA136" i="13"/>
  <c r="RB123" i="13"/>
  <c r="PC110" i="13"/>
  <c r="ND97" i="13"/>
  <c r="LE84" i="13"/>
  <c r="JF71" i="13"/>
  <c r="LS98" i="13"/>
  <c r="JT85" i="13"/>
  <c r="HU72" i="13"/>
  <c r="DJ27" i="13"/>
  <c r="HG58" i="13"/>
  <c r="FH45" i="13"/>
  <c r="FV59" i="13"/>
  <c r="BX34" i="13"/>
  <c r="DW46" i="13"/>
  <c r="AAX183" i="13" l="1"/>
  <c r="YY170" i="13"/>
  <c r="VA144" i="13"/>
  <c r="WZ157" i="13"/>
  <c r="BW10" i="13"/>
  <c r="BW9" i="13"/>
  <c r="BW12" i="13"/>
  <c r="BW13" i="13"/>
  <c r="BX2" i="13"/>
  <c r="BX3" i="13"/>
  <c r="ZL190" i="13"/>
  <c r="XM177" i="13"/>
  <c r="VN164" i="13"/>
  <c r="TO151" i="13"/>
  <c r="TB131" i="13"/>
  <c r="RC118" i="13"/>
  <c r="PD105" i="13"/>
  <c r="RP138" i="13"/>
  <c r="PQ125" i="13"/>
  <c r="NR112" i="13"/>
  <c r="LS99" i="13"/>
  <c r="JT86" i="13"/>
  <c r="HU73" i="13"/>
  <c r="NE92" i="13"/>
  <c r="LF79" i="13"/>
  <c r="JG66" i="13"/>
  <c r="FV60" i="13"/>
  <c r="DW47" i="13"/>
  <c r="BX36" i="13"/>
  <c r="BX39" i="13"/>
  <c r="HH53" i="13"/>
  <c r="FI40" i="13"/>
  <c r="DJ32" i="13"/>
  <c r="AAX188" i="13" l="1"/>
  <c r="YY175" i="13"/>
  <c r="WZ162" i="13"/>
  <c r="VA149" i="13"/>
  <c r="ZL195" i="13"/>
  <c r="XM182" i="13"/>
  <c r="VN169" i="13"/>
  <c r="TO156" i="13"/>
  <c r="BX4" i="13"/>
  <c r="BX5" i="13" s="1"/>
  <c r="ZL192" i="13"/>
  <c r="XM179" i="13"/>
  <c r="TO153" i="13"/>
  <c r="VN166" i="13"/>
  <c r="RP140" i="13"/>
  <c r="PQ127" i="13"/>
  <c r="NR114" i="13"/>
  <c r="TB136" i="13"/>
  <c r="RC123" i="13"/>
  <c r="PD110" i="13"/>
  <c r="PQ130" i="13"/>
  <c r="NR117" i="13"/>
  <c r="RP143" i="13"/>
  <c r="JT91" i="13"/>
  <c r="LS104" i="13"/>
  <c r="HU78" i="13"/>
  <c r="NE97" i="13"/>
  <c r="LF84" i="13"/>
  <c r="JG71" i="13"/>
  <c r="LS101" i="13"/>
  <c r="JT88" i="13"/>
  <c r="HU75" i="13"/>
  <c r="DK27" i="13"/>
  <c r="HH58" i="13"/>
  <c r="FI45" i="13"/>
  <c r="DW52" i="13"/>
  <c r="FV65" i="13"/>
  <c r="FV62" i="13"/>
  <c r="DW49" i="13"/>
  <c r="BY33" i="13"/>
  <c r="AAY183" i="13" l="1"/>
  <c r="YZ170" i="13"/>
  <c r="XA157" i="13"/>
  <c r="VB144" i="13"/>
  <c r="BX7" i="13"/>
  <c r="BX8" i="13"/>
  <c r="BX11" i="13"/>
  <c r="BY6" i="13"/>
  <c r="ZM189" i="13"/>
  <c r="XN176" i="13"/>
  <c r="VO163" i="13"/>
  <c r="TP150" i="13"/>
  <c r="RQ137" i="13"/>
  <c r="PR124" i="13"/>
  <c r="NS111" i="13"/>
  <c r="TC131" i="13"/>
  <c r="RD118" i="13"/>
  <c r="PE105" i="13"/>
  <c r="LT98" i="13"/>
  <c r="JU85" i="13"/>
  <c r="HV72" i="13"/>
  <c r="NF92" i="13"/>
  <c r="LG79" i="13"/>
  <c r="JH66" i="13"/>
  <c r="FW59" i="13"/>
  <c r="BY34" i="13"/>
  <c r="DX46" i="13"/>
  <c r="HI53" i="13"/>
  <c r="FJ40" i="13"/>
  <c r="DK32" i="13"/>
  <c r="AAY188" i="13" l="1"/>
  <c r="YZ175" i="13"/>
  <c r="VB149" i="13"/>
  <c r="XA162" i="13"/>
  <c r="BY2" i="13"/>
  <c r="BY3" i="13"/>
  <c r="ZM190" i="13"/>
  <c r="VO164" i="13"/>
  <c r="XN177" i="13"/>
  <c r="TP151" i="13"/>
  <c r="BX13" i="13"/>
  <c r="BX12" i="13"/>
  <c r="BX10" i="13"/>
  <c r="BX9" i="13"/>
  <c r="TC136" i="13"/>
  <c r="RD123" i="13"/>
  <c r="PE110" i="13"/>
  <c r="RQ138" i="13"/>
  <c r="PR125" i="13"/>
  <c r="NS112" i="13"/>
  <c r="LT99" i="13"/>
  <c r="JU86" i="13"/>
  <c r="HV73" i="13"/>
  <c r="LG84" i="13"/>
  <c r="NF97" i="13"/>
  <c r="JH71" i="13"/>
  <c r="DL27" i="13"/>
  <c r="HI58" i="13"/>
  <c r="FJ45" i="13"/>
  <c r="FW60" i="13"/>
  <c r="DX47" i="13"/>
  <c r="BY36" i="13"/>
  <c r="BY39" i="13"/>
  <c r="AAZ183" i="13" l="1"/>
  <c r="ZA170" i="13"/>
  <c r="XB157" i="13"/>
  <c r="VC144" i="13"/>
  <c r="ZM195" i="13"/>
  <c r="XN182" i="13"/>
  <c r="VO169" i="13"/>
  <c r="TP156" i="13"/>
  <c r="BY4" i="13"/>
  <c r="BY5" i="13" s="1"/>
  <c r="ZM192" i="13"/>
  <c r="XN179" i="13"/>
  <c r="VO166" i="13"/>
  <c r="TP153" i="13"/>
  <c r="TD131" i="13"/>
  <c r="RE118" i="13"/>
  <c r="PF105" i="13"/>
  <c r="RQ140" i="13"/>
  <c r="NS114" i="13"/>
  <c r="PR127" i="13"/>
  <c r="PR130" i="13"/>
  <c r="NS117" i="13"/>
  <c r="RQ143" i="13"/>
  <c r="LT104" i="13"/>
  <c r="JU91" i="13"/>
  <c r="HV78" i="13"/>
  <c r="NG92" i="13"/>
  <c r="LH79" i="13"/>
  <c r="JI66" i="13"/>
  <c r="LT101" i="13"/>
  <c r="JU88" i="13"/>
  <c r="HV75" i="13"/>
  <c r="FW62" i="13"/>
  <c r="DX49" i="13"/>
  <c r="BZ33" i="13"/>
  <c r="DX52" i="13"/>
  <c r="FW65" i="13"/>
  <c r="HJ53" i="13"/>
  <c r="FK40" i="13"/>
  <c r="DL32" i="13"/>
  <c r="AAZ188" i="13" l="1"/>
  <c r="ZA175" i="13"/>
  <c r="XB162" i="13"/>
  <c r="VC149" i="13"/>
  <c r="BY7" i="13"/>
  <c r="BY8" i="13"/>
  <c r="BY11" i="13"/>
  <c r="BZ6" i="13"/>
  <c r="ZN189" i="13"/>
  <c r="XO176" i="13"/>
  <c r="TQ150" i="13"/>
  <c r="VP163" i="13"/>
  <c r="RR137" i="13"/>
  <c r="NT111" i="13"/>
  <c r="PS124" i="13"/>
  <c r="TD136" i="13"/>
  <c r="RE123" i="13"/>
  <c r="PF110" i="13"/>
  <c r="LU98" i="13"/>
  <c r="JV85" i="13"/>
  <c r="HW72" i="13"/>
  <c r="NG97" i="13"/>
  <c r="LH84" i="13"/>
  <c r="JI71" i="13"/>
  <c r="FX59" i="13"/>
  <c r="BZ34" i="13"/>
  <c r="DY46" i="13"/>
  <c r="DM27" i="13"/>
  <c r="HJ58" i="13"/>
  <c r="FK45" i="13"/>
  <c r="ABA183" i="13" l="1"/>
  <c r="ZB170" i="13"/>
  <c r="XC157" i="13"/>
  <c r="VD144" i="13"/>
  <c r="BZ3" i="13"/>
  <c r="BZ2" i="13"/>
  <c r="ZN190" i="13"/>
  <c r="XO177" i="13"/>
  <c r="VP164" i="13"/>
  <c r="TQ151" i="13"/>
  <c r="BY9" i="13"/>
  <c r="BY10" i="13"/>
  <c r="BY12" i="13"/>
  <c r="BY13" i="13"/>
  <c r="RR138" i="13"/>
  <c r="PS125" i="13"/>
  <c r="NT112" i="13"/>
  <c r="TE131" i="13"/>
  <c r="PG105" i="13"/>
  <c r="RF118" i="13"/>
  <c r="LU99" i="13"/>
  <c r="JV86" i="13"/>
  <c r="HW73" i="13"/>
  <c r="NH92" i="13"/>
  <c r="LI79" i="13"/>
  <c r="JJ66" i="13"/>
  <c r="HK53" i="13"/>
  <c r="FL40" i="13"/>
  <c r="DM32" i="13"/>
  <c r="FX60" i="13"/>
  <c r="DY47" i="13"/>
  <c r="BZ36" i="13"/>
  <c r="BZ39" i="13"/>
  <c r="ABA188" i="13" l="1"/>
  <c r="ZB175" i="13"/>
  <c r="VD149" i="13"/>
  <c r="XC162" i="13"/>
  <c r="BZ4" i="13"/>
  <c r="BZ5" i="13" s="1"/>
  <c r="ZN192" i="13"/>
  <c r="XO179" i="13"/>
  <c r="VP166" i="13"/>
  <c r="TQ153" i="13"/>
  <c r="ZN195" i="13"/>
  <c r="VP169" i="13"/>
  <c r="XO182" i="13"/>
  <c r="TQ156" i="13"/>
  <c r="RR140" i="13"/>
  <c r="PS127" i="13"/>
  <c r="NT114" i="13"/>
  <c r="TE136" i="13"/>
  <c r="RF123" i="13"/>
  <c r="PG110" i="13"/>
  <c r="RR143" i="13"/>
  <c r="PS130" i="13"/>
  <c r="NT117" i="13"/>
  <c r="NH97" i="13"/>
  <c r="LI84" i="13"/>
  <c r="JJ71" i="13"/>
  <c r="LU104" i="13"/>
  <c r="JV91" i="13"/>
  <c r="HW78" i="13"/>
  <c r="LU101" i="13"/>
  <c r="JV88" i="13"/>
  <c r="HW75" i="13"/>
  <c r="DY52" i="13"/>
  <c r="FX65" i="13"/>
  <c r="FX62" i="13"/>
  <c r="DY49" i="13"/>
  <c r="CA33" i="13"/>
  <c r="DN27" i="13"/>
  <c r="HK58" i="13"/>
  <c r="FL45" i="13"/>
  <c r="ABB183" i="13" l="1"/>
  <c r="ZC170" i="13"/>
  <c r="VE144" i="13"/>
  <c r="XD157" i="13"/>
  <c r="CA6" i="13"/>
  <c r="ZO189" i="13"/>
  <c r="XP176" i="13"/>
  <c r="VQ163" i="13"/>
  <c r="TR150" i="13"/>
  <c r="BZ8" i="13"/>
  <c r="BZ7" i="13"/>
  <c r="BZ11" i="13"/>
  <c r="TF131" i="13"/>
  <c r="RG118" i="13"/>
  <c r="PH105" i="13"/>
  <c r="RS137" i="13"/>
  <c r="PT124" i="13"/>
  <c r="NU111" i="13"/>
  <c r="LV98" i="13"/>
  <c r="JW85" i="13"/>
  <c r="HX72" i="13"/>
  <c r="NI92" i="13"/>
  <c r="LJ79" i="13"/>
  <c r="JK66" i="13"/>
  <c r="HL53" i="13"/>
  <c r="FM40" i="13"/>
  <c r="DN32" i="13"/>
  <c r="FY59" i="13"/>
  <c r="CA34" i="13"/>
  <c r="DZ46" i="13"/>
  <c r="ABB188" i="13" l="1"/>
  <c r="ZC175" i="13"/>
  <c r="XD162" i="13"/>
  <c r="VE149" i="13"/>
  <c r="BZ9" i="13"/>
  <c r="BZ10" i="13"/>
  <c r="BZ12" i="13"/>
  <c r="BZ13" i="13"/>
  <c r="CA2" i="13"/>
  <c r="CA3" i="13"/>
  <c r="XP177" i="13"/>
  <c r="ZO190" i="13"/>
  <c r="VQ164" i="13"/>
  <c r="TR151" i="13"/>
  <c r="RS138" i="13"/>
  <c r="NU112" i="13"/>
  <c r="PT125" i="13"/>
  <c r="TF136" i="13"/>
  <c r="RG123" i="13"/>
  <c r="PH110" i="13"/>
  <c r="NI97" i="13"/>
  <c r="LJ84" i="13"/>
  <c r="JK71" i="13"/>
  <c r="LV99" i="13"/>
  <c r="JW86" i="13"/>
  <c r="HX73" i="13"/>
  <c r="FY60" i="13"/>
  <c r="DZ47" i="13"/>
  <c r="CA36" i="13"/>
  <c r="CA39" i="13"/>
  <c r="DO27" i="13"/>
  <c r="HL58" i="13"/>
  <c r="FM45" i="13"/>
  <c r="ABC183" i="13" l="1"/>
  <c r="ZD170" i="13"/>
  <c r="XE157" i="13"/>
  <c r="VF144" i="13"/>
  <c r="ZO195" i="13"/>
  <c r="VQ169" i="13"/>
  <c r="XP182" i="13"/>
  <c r="TR156" i="13"/>
  <c r="CA4" i="13"/>
  <c r="CA5" i="13" s="1"/>
  <c r="ZO192" i="13"/>
  <c r="XP179" i="13"/>
  <c r="TR153" i="13"/>
  <c r="VQ166" i="13"/>
  <c r="RS140" i="13"/>
  <c r="PT127" i="13"/>
  <c r="NU114" i="13"/>
  <c r="TG131" i="13"/>
  <c r="RH118" i="13"/>
  <c r="PI105" i="13"/>
  <c r="RS143" i="13"/>
  <c r="NU117" i="13"/>
  <c r="PT130" i="13"/>
  <c r="LV104" i="13"/>
  <c r="JW91" i="13"/>
  <c r="HX78" i="13"/>
  <c r="NJ92" i="13"/>
  <c r="LK79" i="13"/>
  <c r="JL66" i="13"/>
  <c r="LV101" i="13"/>
  <c r="JW88" i="13"/>
  <c r="HX75" i="13"/>
  <c r="DZ52" i="13"/>
  <c r="FY65" i="13"/>
  <c r="HM53" i="13"/>
  <c r="FN40" i="13"/>
  <c r="DO32" i="13"/>
  <c r="FY62" i="13"/>
  <c r="DZ49" i="13"/>
  <c r="CB33" i="13"/>
  <c r="ABC188" i="13" l="1"/>
  <c r="ZD175" i="13"/>
  <c r="XE162" i="13"/>
  <c r="VF149" i="13"/>
  <c r="CA7" i="13"/>
  <c r="CA11" i="13"/>
  <c r="CA8" i="13"/>
  <c r="CB6" i="13"/>
  <c r="ZP189" i="13"/>
  <c r="VR163" i="13"/>
  <c r="XQ176" i="13"/>
  <c r="TS150" i="13"/>
  <c r="RT137" i="13"/>
  <c r="PU124" i="13"/>
  <c r="NV111" i="13"/>
  <c r="TG136" i="13"/>
  <c r="RH123" i="13"/>
  <c r="PI110" i="13"/>
  <c r="LW98" i="13"/>
  <c r="JX85" i="13"/>
  <c r="HY72" i="13"/>
  <c r="NJ97" i="13"/>
  <c r="LK84" i="13"/>
  <c r="JL71" i="13"/>
  <c r="FZ59" i="13"/>
  <c r="CB34" i="13"/>
  <c r="EA46" i="13"/>
  <c r="DP27" i="13"/>
  <c r="HM58" i="13"/>
  <c r="FN45" i="13"/>
  <c r="ABD183" i="13" l="1"/>
  <c r="ZE170" i="13"/>
  <c r="XF157" i="13"/>
  <c r="VG144" i="13"/>
  <c r="CB2" i="13"/>
  <c r="CB3" i="13"/>
  <c r="XQ177" i="13"/>
  <c r="TS151" i="13"/>
  <c r="ZP190" i="13"/>
  <c r="VR164" i="13"/>
  <c r="CA12" i="13"/>
  <c r="CA13" i="13"/>
  <c r="CA9" i="13"/>
  <c r="CA10" i="13"/>
  <c r="RT138" i="13"/>
  <c r="PU125" i="13"/>
  <c r="NV112" i="13"/>
  <c r="TH131" i="13"/>
  <c r="RI118" i="13"/>
  <c r="PJ105" i="13"/>
  <c r="LW99" i="13"/>
  <c r="JX86" i="13"/>
  <c r="HY73" i="13"/>
  <c r="NK92" i="13"/>
  <c r="LL79" i="13"/>
  <c r="JM66" i="13"/>
  <c r="HN53" i="13"/>
  <c r="FO40" i="13"/>
  <c r="DP32" i="13"/>
  <c r="FZ60" i="13"/>
  <c r="EA47" i="13"/>
  <c r="CB36" i="13"/>
  <c r="CB39" i="13"/>
  <c r="ABD188" i="13" l="1"/>
  <c r="XF162" i="13"/>
  <c r="ZE175" i="13"/>
  <c r="VG149" i="13"/>
  <c r="XQ182" i="13"/>
  <c r="VR169" i="13"/>
  <c r="TS156" i="13"/>
  <c r="ZP195" i="13"/>
  <c r="CB4" i="13"/>
  <c r="CB5" i="13" s="1"/>
  <c r="XQ179" i="13"/>
  <c r="VR166" i="13"/>
  <c r="ZP192" i="13"/>
  <c r="TS153" i="13"/>
  <c r="RT140" i="13"/>
  <c r="PU127" i="13"/>
  <c r="NV114" i="13"/>
  <c r="TH136" i="13"/>
  <c r="RI123" i="13"/>
  <c r="PJ110" i="13"/>
  <c r="NV117" i="13"/>
  <c r="RT143" i="13"/>
  <c r="PU130" i="13"/>
  <c r="NK97" i="13"/>
  <c r="LL84" i="13"/>
  <c r="JM71" i="13"/>
  <c r="LW104" i="13"/>
  <c r="JX91" i="13"/>
  <c r="HY78" i="13"/>
  <c r="JX88" i="13"/>
  <c r="LW101" i="13"/>
  <c r="HY75" i="13"/>
  <c r="FZ62" i="13"/>
  <c r="EA49" i="13"/>
  <c r="CC33" i="13"/>
  <c r="EA52" i="13"/>
  <c r="FZ65" i="13"/>
  <c r="DQ27" i="13"/>
  <c r="HN58" i="13"/>
  <c r="FO45" i="13"/>
  <c r="ABE183" i="13" l="1"/>
  <c r="ZF170" i="13"/>
  <c r="XG157" i="13"/>
  <c r="VH144" i="13"/>
  <c r="CB7" i="13"/>
  <c r="CB8" i="13"/>
  <c r="CB11" i="13"/>
  <c r="CC6" i="13"/>
  <c r="ZQ189" i="13"/>
  <c r="TT150" i="13"/>
  <c r="XR176" i="13"/>
  <c r="VS163" i="13"/>
  <c r="RU137" i="13"/>
  <c r="PV124" i="13"/>
  <c r="NW111" i="13"/>
  <c r="TI131" i="13"/>
  <c r="RJ118" i="13"/>
  <c r="PK105" i="13"/>
  <c r="LX98" i="13"/>
  <c r="JY85" i="13"/>
  <c r="HZ72" i="13"/>
  <c r="NL92" i="13"/>
  <c r="LM79" i="13"/>
  <c r="JN66" i="13"/>
  <c r="GA59" i="13"/>
  <c r="CC34" i="13"/>
  <c r="EB46" i="13"/>
  <c r="HO53" i="13"/>
  <c r="FP40" i="13"/>
  <c r="DQ32" i="13"/>
  <c r="ABE188" i="13" l="1"/>
  <c r="ZF175" i="13"/>
  <c r="VH149" i="13"/>
  <c r="XG162" i="13"/>
  <c r="CC2" i="13"/>
  <c r="CC3" i="13"/>
  <c r="XR177" i="13"/>
  <c r="ZQ190" i="13"/>
  <c r="VS164" i="13"/>
  <c r="TT151" i="13"/>
  <c r="CB13" i="13"/>
  <c r="CB12" i="13"/>
  <c r="CB10" i="13"/>
  <c r="CB9" i="13"/>
  <c r="RU138" i="13"/>
  <c r="PV125" i="13"/>
  <c r="NW112" i="13"/>
  <c r="TI136" i="13"/>
  <c r="RJ123" i="13"/>
  <c r="PK110" i="13"/>
  <c r="JY86" i="13"/>
  <c r="LX99" i="13"/>
  <c r="HZ73" i="13"/>
  <c r="NL97" i="13"/>
  <c r="LM84" i="13"/>
  <c r="JN71" i="13"/>
  <c r="DR27" i="13"/>
  <c r="HO58" i="13"/>
  <c r="FP45" i="13"/>
  <c r="GA60" i="13"/>
  <c r="EB47" i="13"/>
  <c r="CC39" i="13"/>
  <c r="CC36" i="13"/>
  <c r="ABF183" i="13" l="1"/>
  <c r="ZG170" i="13"/>
  <c r="XH157" i="13"/>
  <c r="VI144" i="13"/>
  <c r="CC4" i="13"/>
  <c r="CC5" i="13" s="1"/>
  <c r="XR179" i="13"/>
  <c r="ZQ192" i="13"/>
  <c r="TT153" i="13"/>
  <c r="VS166" i="13"/>
  <c r="XR182" i="13"/>
  <c r="ZQ195" i="13"/>
  <c r="TT156" i="13"/>
  <c r="VS169" i="13"/>
  <c r="TJ131" i="13"/>
  <c r="RK118" i="13"/>
  <c r="PL105" i="13"/>
  <c r="RU140" i="13"/>
  <c r="PV127" i="13"/>
  <c r="NW114" i="13"/>
  <c r="NW117" i="13"/>
  <c r="RU143" i="13"/>
  <c r="PV130" i="13"/>
  <c r="LX101" i="13"/>
  <c r="JY88" i="13"/>
  <c r="HZ75" i="13"/>
  <c r="NM92" i="13"/>
  <c r="LN79" i="13"/>
  <c r="JO66" i="13"/>
  <c r="JY91" i="13"/>
  <c r="LX104" i="13"/>
  <c r="HZ78" i="13"/>
  <c r="EB52" i="13"/>
  <c r="GA65" i="13"/>
  <c r="GA62" i="13"/>
  <c r="CD33" i="13"/>
  <c r="EB49" i="13"/>
  <c r="HP53" i="13"/>
  <c r="FQ40" i="13"/>
  <c r="DR32" i="13"/>
  <c r="ABF188" i="13" l="1"/>
  <c r="ZG175" i="13"/>
  <c r="VI149" i="13"/>
  <c r="XH162" i="13"/>
  <c r="CD6" i="13"/>
  <c r="ZR189" i="13"/>
  <c r="XS176" i="13"/>
  <c r="VT163" i="13"/>
  <c r="TU150" i="13"/>
  <c r="CC7" i="13"/>
  <c r="CC11" i="13"/>
  <c r="CC8" i="13"/>
  <c r="TJ136" i="13"/>
  <c r="RK123" i="13"/>
  <c r="PL110" i="13"/>
  <c r="RV137" i="13"/>
  <c r="PW124" i="13"/>
  <c r="NX111" i="13"/>
  <c r="LY98" i="13"/>
  <c r="JZ85" i="13"/>
  <c r="IA72" i="13"/>
  <c r="NM97" i="13"/>
  <c r="LN84" i="13"/>
  <c r="JO71" i="13"/>
  <c r="GB59" i="13"/>
  <c r="CD34" i="13"/>
  <c r="EC46" i="13"/>
  <c r="DS27" i="13"/>
  <c r="HP58" i="13"/>
  <c r="FQ45" i="13"/>
  <c r="ABG183" i="13" l="1"/>
  <c r="ZH170" i="13"/>
  <c r="VJ144" i="13"/>
  <c r="XI157" i="13"/>
  <c r="CC10" i="13"/>
  <c r="CC9" i="13"/>
  <c r="CC12" i="13"/>
  <c r="CC13" i="13"/>
  <c r="CD2" i="13"/>
  <c r="CD3" i="13"/>
  <c r="ZR190" i="13"/>
  <c r="VT164" i="13"/>
  <c r="XS177" i="13"/>
  <c r="TU151" i="13"/>
  <c r="RV138" i="13"/>
  <c r="PW125" i="13"/>
  <c r="NX112" i="13"/>
  <c r="TK131" i="13"/>
  <c r="RL118" i="13"/>
  <c r="PM105" i="13"/>
  <c r="LY99" i="13"/>
  <c r="JZ86" i="13"/>
  <c r="IA73" i="13"/>
  <c r="NN92" i="13"/>
  <c r="LO79" i="13"/>
  <c r="JP66" i="13"/>
  <c r="HQ53" i="13"/>
  <c r="FR40" i="13"/>
  <c r="DS32" i="13"/>
  <c r="GB60" i="13"/>
  <c r="EC47" i="13"/>
  <c r="CD39" i="13"/>
  <c r="CD36" i="13"/>
  <c r="ABG188" i="13" l="1"/>
  <c r="ZH175" i="13"/>
  <c r="XI162" i="13"/>
  <c r="VJ149" i="13"/>
  <c r="CD4" i="13"/>
  <c r="CD5" i="13" s="1"/>
  <c r="ZR192" i="13"/>
  <c r="XS179" i="13"/>
  <c r="VT166" i="13"/>
  <c r="TU153" i="13"/>
  <c r="ZR195" i="13"/>
  <c r="XS182" i="13"/>
  <c r="TU156" i="13"/>
  <c r="VT169" i="13"/>
  <c r="TK136" i="13"/>
  <c r="RL123" i="13"/>
  <c r="PM110" i="13"/>
  <c r="RV140" i="13"/>
  <c r="PW127" i="13"/>
  <c r="NX114" i="13"/>
  <c r="PW130" i="13"/>
  <c r="NX117" i="13"/>
  <c r="RV143" i="13"/>
  <c r="LY101" i="13"/>
  <c r="JZ88" i="13"/>
  <c r="IA75" i="13"/>
  <c r="NN97" i="13"/>
  <c r="LO84" i="13"/>
  <c r="JP71" i="13"/>
  <c r="LY104" i="13"/>
  <c r="JZ91" i="13"/>
  <c r="IA78" i="13"/>
  <c r="EC52" i="13"/>
  <c r="GB65" i="13"/>
  <c r="GB62" i="13"/>
  <c r="EC49" i="13"/>
  <c r="CE33" i="13"/>
  <c r="DT27" i="13"/>
  <c r="HQ58" i="13"/>
  <c r="FR45" i="13"/>
  <c r="ABH183" i="13" l="1"/>
  <c r="ZI170" i="13"/>
  <c r="XJ157" i="13"/>
  <c r="VK144" i="13"/>
  <c r="CE6" i="13"/>
  <c r="ZS189" i="13"/>
  <c r="XT176" i="13"/>
  <c r="TV150" i="13"/>
  <c r="VU163" i="13"/>
  <c r="CD7" i="13"/>
  <c r="CD8" i="13"/>
  <c r="CD11" i="13"/>
  <c r="TL131" i="13"/>
  <c r="RM118" i="13"/>
  <c r="PN105" i="13"/>
  <c r="RW137" i="13"/>
  <c r="PX124" i="13"/>
  <c r="NY111" i="13"/>
  <c r="LZ98" i="13"/>
  <c r="KA85" i="13"/>
  <c r="IB72" i="13"/>
  <c r="NO92" i="13"/>
  <c r="LP79" i="13"/>
  <c r="JQ66" i="13"/>
  <c r="HR53" i="13"/>
  <c r="FS40" i="13"/>
  <c r="DT32" i="13"/>
  <c r="GC59" i="13"/>
  <c r="CE34" i="13"/>
  <c r="ED46" i="13"/>
  <c r="ABH188" i="13" l="1"/>
  <c r="ZI175" i="13"/>
  <c r="XJ162" i="13"/>
  <c r="VK149" i="13"/>
  <c r="CD13" i="13"/>
  <c r="CD12" i="13"/>
  <c r="CD10" i="13"/>
  <c r="CD9" i="13"/>
  <c r="CE2" i="13"/>
  <c r="CE3" i="13"/>
  <c r="ZS190" i="13"/>
  <c r="XT177" i="13"/>
  <c r="VU164" i="13"/>
  <c r="TV151" i="13"/>
  <c r="RW138" i="13"/>
  <c r="PX125" i="13"/>
  <c r="NY112" i="13"/>
  <c r="TL136" i="13"/>
  <c r="RM123" i="13"/>
  <c r="PN110" i="13"/>
  <c r="LZ99" i="13"/>
  <c r="KA86" i="13"/>
  <c r="IB73" i="13"/>
  <c r="NO97" i="13"/>
  <c r="LP84" i="13"/>
  <c r="JQ71" i="13"/>
  <c r="GC60" i="13"/>
  <c r="ED47" i="13"/>
  <c r="CE39" i="13"/>
  <c r="CE36" i="13"/>
  <c r="DU27" i="13"/>
  <c r="HR58" i="13"/>
  <c r="FS45" i="13"/>
  <c r="ZJ170" i="13" l="1"/>
  <c r="ABI183" i="13"/>
  <c r="XK157" i="13"/>
  <c r="VL144" i="13"/>
  <c r="CE4" i="13"/>
  <c r="CE5" i="13" s="1"/>
  <c r="ZS192" i="13"/>
  <c r="XT179" i="13"/>
  <c r="TV153" i="13"/>
  <c r="VU166" i="13"/>
  <c r="ZS195" i="13"/>
  <c r="XT182" i="13"/>
  <c r="TV156" i="13"/>
  <c r="VU169" i="13"/>
  <c r="RW140" i="13"/>
  <c r="PX127" i="13"/>
  <c r="NY114" i="13"/>
  <c r="TM131" i="13"/>
  <c r="RN118" i="13"/>
  <c r="PO105" i="13"/>
  <c r="PX130" i="13"/>
  <c r="NY117" i="13"/>
  <c r="RW143" i="13"/>
  <c r="NP92" i="13"/>
  <c r="LQ79" i="13"/>
  <c r="JR66" i="13"/>
  <c r="LZ104" i="13"/>
  <c r="KA91" i="13"/>
  <c r="IB78" i="13"/>
  <c r="LZ101" i="13"/>
  <c r="KA88" i="13"/>
  <c r="IB75" i="13"/>
  <c r="GC62" i="13"/>
  <c r="CF33" i="13"/>
  <c r="ED49" i="13"/>
  <c r="HS53" i="13"/>
  <c r="FT40" i="13"/>
  <c r="DU32" i="13"/>
  <c r="ED52" i="13"/>
  <c r="GC65" i="13"/>
  <c r="ZJ175" i="13" l="1"/>
  <c r="ABI188" i="13"/>
  <c r="XK162" i="13"/>
  <c r="VL149" i="13"/>
  <c r="CF6" i="13"/>
  <c r="ZT189" i="13"/>
  <c r="XU176" i="13"/>
  <c r="VV163" i="13"/>
  <c r="TW150" i="13"/>
  <c r="CE8" i="13"/>
  <c r="CE7" i="13"/>
  <c r="CE11" i="13"/>
  <c r="RX137" i="13"/>
  <c r="PY124" i="13"/>
  <c r="NZ111" i="13"/>
  <c r="TM136" i="13"/>
  <c r="RN123" i="13"/>
  <c r="PO110" i="13"/>
  <c r="NP97" i="13"/>
  <c r="LQ84" i="13"/>
  <c r="JR71" i="13"/>
  <c r="MA98" i="13"/>
  <c r="KB85" i="13"/>
  <c r="IC72" i="13"/>
  <c r="DV27" i="13"/>
  <c r="HS58" i="13"/>
  <c r="FT45" i="13"/>
  <c r="GD59" i="13"/>
  <c r="CF34" i="13"/>
  <c r="EE46" i="13"/>
  <c r="ABJ183" i="13" l="1"/>
  <c r="ZK170" i="13"/>
  <c r="VM144" i="13"/>
  <c r="XL157" i="13"/>
  <c r="CE13" i="13"/>
  <c r="CE12" i="13"/>
  <c r="CE10" i="13"/>
  <c r="CE9" i="13"/>
  <c r="CF2" i="13"/>
  <c r="CF3" i="13"/>
  <c r="ZT190" i="13"/>
  <c r="XU177" i="13"/>
  <c r="TW151" i="13"/>
  <c r="VV164" i="13"/>
  <c r="TN131" i="13"/>
  <c r="RO118" i="13"/>
  <c r="PP105" i="13"/>
  <c r="RX138" i="13"/>
  <c r="PY125" i="13"/>
  <c r="NZ112" i="13"/>
  <c r="MA99" i="13"/>
  <c r="KB86" i="13"/>
  <c r="IC73" i="13"/>
  <c r="NQ92" i="13"/>
  <c r="LR79" i="13"/>
  <c r="JS66" i="13"/>
  <c r="GD60" i="13"/>
  <c r="EE47" i="13"/>
  <c r="CF39" i="13"/>
  <c r="CF36" i="13"/>
  <c r="HT53" i="13"/>
  <c r="FU40" i="13"/>
  <c r="DV32" i="13"/>
  <c r="ABJ188" i="13" l="1"/>
  <c r="ZK175" i="13"/>
  <c r="XL162" i="13"/>
  <c r="VM149" i="13"/>
  <c r="CF4" i="13"/>
  <c r="CF5" i="13" s="1"/>
  <c r="ZT192" i="13"/>
  <c r="XU179" i="13"/>
  <c r="TW153" i="13"/>
  <c r="VV166" i="13"/>
  <c r="ZT195" i="13"/>
  <c r="XU182" i="13"/>
  <c r="TW156" i="13"/>
  <c r="VV169" i="13"/>
  <c r="RX140" i="13"/>
  <c r="PY127" i="13"/>
  <c r="NZ114" i="13"/>
  <c r="TN136" i="13"/>
  <c r="RO123" i="13"/>
  <c r="PP110" i="13"/>
  <c r="PY130" i="13"/>
  <c r="NZ117" i="13"/>
  <c r="RX143" i="13"/>
  <c r="NQ97" i="13"/>
  <c r="LR84" i="13"/>
  <c r="JS71" i="13"/>
  <c r="MA101" i="13"/>
  <c r="KB88" i="13"/>
  <c r="IC75" i="13"/>
  <c r="MA104" i="13"/>
  <c r="KB91" i="13"/>
  <c r="IC78" i="13"/>
  <c r="DW27" i="13"/>
  <c r="HT58" i="13"/>
  <c r="FU45" i="13"/>
  <c r="GD62" i="13"/>
  <c r="EE49" i="13"/>
  <c r="CG33" i="13"/>
  <c r="EE52" i="13"/>
  <c r="GD65" i="13"/>
  <c r="ABK183" i="13" l="1"/>
  <c r="ZL170" i="13"/>
  <c r="XM157" i="13"/>
  <c r="VN144" i="13"/>
  <c r="CG6" i="13"/>
  <c r="ZU189" i="13"/>
  <c r="XV176" i="13"/>
  <c r="VW163" i="13"/>
  <c r="TX150" i="13"/>
  <c r="CF7" i="13"/>
  <c r="CF8" i="13"/>
  <c r="CF11" i="13"/>
  <c r="TO131" i="13"/>
  <c r="RP118" i="13"/>
  <c r="PQ105" i="13"/>
  <c r="RY137" i="13"/>
  <c r="OA111" i="13"/>
  <c r="PZ124" i="13"/>
  <c r="NR92" i="13"/>
  <c r="LS79" i="13"/>
  <c r="JT66" i="13"/>
  <c r="MB98" i="13"/>
  <c r="KC85" i="13"/>
  <c r="ID72" i="13"/>
  <c r="GE59" i="13"/>
  <c r="CG34" i="13"/>
  <c r="EF46" i="13"/>
  <c r="HU53" i="13"/>
  <c r="FV40" i="13"/>
  <c r="DW32" i="13"/>
  <c r="ABK188" i="13" l="1"/>
  <c r="ZL175" i="13"/>
  <c r="XM162" i="13"/>
  <c r="VN149" i="13"/>
  <c r="CF12" i="13"/>
  <c r="CF13" i="13"/>
  <c r="CF10" i="13"/>
  <c r="CF9" i="13"/>
  <c r="CG2" i="13"/>
  <c r="CG3" i="13"/>
  <c r="ZU190" i="13"/>
  <c r="VW164" i="13"/>
  <c r="TX151" i="13"/>
  <c r="XV177" i="13"/>
  <c r="RY138" i="13"/>
  <c r="PZ125" i="13"/>
  <c r="OA112" i="13"/>
  <c r="TO136" i="13"/>
  <c r="RP123" i="13"/>
  <c r="PQ110" i="13"/>
  <c r="MB99" i="13"/>
  <c r="KC86" i="13"/>
  <c r="ID73" i="13"/>
  <c r="NR97" i="13"/>
  <c r="LS84" i="13"/>
  <c r="JT71" i="13"/>
  <c r="DX27" i="13"/>
  <c r="HU58" i="13"/>
  <c r="FV45" i="13"/>
  <c r="GE60" i="13"/>
  <c r="EF47" i="13"/>
  <c r="CG39" i="13"/>
  <c r="CG36" i="13"/>
  <c r="ABL183" i="13" l="1"/>
  <c r="ZM170" i="13"/>
  <c r="XN157" i="13"/>
  <c r="VO144" i="13"/>
  <c r="CG4" i="13"/>
  <c r="CG5" i="13" s="1"/>
  <c r="ZU192" i="13"/>
  <c r="XV179" i="13"/>
  <c r="VW166" i="13"/>
  <c r="TX153" i="13"/>
  <c r="ZU195" i="13"/>
  <c r="XV182" i="13"/>
  <c r="VW169" i="13"/>
  <c r="TX156" i="13"/>
  <c r="TP131" i="13"/>
  <c r="RQ118" i="13"/>
  <c r="PR105" i="13"/>
  <c r="RY140" i="13"/>
  <c r="OA114" i="13"/>
  <c r="PZ127" i="13"/>
  <c r="PZ130" i="13"/>
  <c r="OA117" i="13"/>
  <c r="RY143" i="13"/>
  <c r="NS92" i="13"/>
  <c r="LT79" i="13"/>
  <c r="JU66" i="13"/>
  <c r="MB101" i="13"/>
  <c r="KC88" i="13"/>
  <c r="ID75" i="13"/>
  <c r="MB104" i="13"/>
  <c r="KC91" i="13"/>
  <c r="ID78" i="13"/>
  <c r="EF52" i="13"/>
  <c r="GE65" i="13"/>
  <c r="GE62" i="13"/>
  <c r="CH33" i="13"/>
  <c r="EF49" i="13"/>
  <c r="HV53" i="13"/>
  <c r="FW40" i="13"/>
  <c r="DX32" i="13"/>
  <c r="ABL188" i="13" l="1"/>
  <c r="ZM175" i="13"/>
  <c r="XN162" i="13"/>
  <c r="VO149" i="13"/>
  <c r="CH6" i="13"/>
  <c r="ZV189" i="13"/>
  <c r="XW176" i="13"/>
  <c r="TY150" i="13"/>
  <c r="VX163" i="13"/>
  <c r="CG7" i="13"/>
  <c r="CG8" i="13"/>
  <c r="CG11" i="13"/>
  <c r="RZ137" i="13"/>
  <c r="QA124" i="13"/>
  <c r="OB111" i="13"/>
  <c r="TP136" i="13"/>
  <c r="RQ123" i="13"/>
  <c r="PR110" i="13"/>
  <c r="NS97" i="13"/>
  <c r="LT84" i="13"/>
  <c r="JU71" i="13"/>
  <c r="MC98" i="13"/>
  <c r="KD85" i="13"/>
  <c r="IE72" i="13"/>
  <c r="DY27" i="13"/>
  <c r="HV58" i="13"/>
  <c r="FW45" i="13"/>
  <c r="GF59" i="13"/>
  <c r="CH34" i="13"/>
  <c r="EG46" i="13"/>
  <c r="ABM183" i="13" l="1"/>
  <c r="ZN170" i="13"/>
  <c r="VP144" i="13"/>
  <c r="XO157" i="13"/>
  <c r="CG9" i="13"/>
  <c r="CG10" i="13"/>
  <c r="CG12" i="13"/>
  <c r="CG13" i="13"/>
  <c r="CH2" i="13"/>
  <c r="CH3" i="13"/>
  <c r="ZV190" i="13"/>
  <c r="XW177" i="13"/>
  <c r="TY151" i="13"/>
  <c r="VX164" i="13"/>
  <c r="TQ131" i="13"/>
  <c r="RR118" i="13"/>
  <c r="PS105" i="13"/>
  <c r="RZ138" i="13"/>
  <c r="QA125" i="13"/>
  <c r="OB112" i="13"/>
  <c r="MC99" i="13"/>
  <c r="KD86" i="13"/>
  <c r="IE73" i="13"/>
  <c r="NT92" i="13"/>
  <c r="LU79" i="13"/>
  <c r="JV66" i="13"/>
  <c r="GF60" i="13"/>
  <c r="EG47" i="13"/>
  <c r="CH36" i="13"/>
  <c r="CH39" i="13"/>
  <c r="HW53" i="13"/>
  <c r="FX40" i="13"/>
  <c r="DY32" i="13"/>
  <c r="ABM188" i="13" l="1"/>
  <c r="ZN175" i="13"/>
  <c r="XO162" i="13"/>
  <c r="VP149" i="13"/>
  <c r="ZV195" i="13"/>
  <c r="XW182" i="13"/>
  <c r="VX169" i="13"/>
  <c r="TY156" i="13"/>
  <c r="CH4" i="13"/>
  <c r="CH5" i="13" s="1"/>
  <c r="ZV192" i="13"/>
  <c r="XW179" i="13"/>
  <c r="VX166" i="13"/>
  <c r="TY153" i="13"/>
  <c r="RZ140" i="13"/>
  <c r="QA127" i="13"/>
  <c r="OB114" i="13"/>
  <c r="TQ136" i="13"/>
  <c r="PS110" i="13"/>
  <c r="RR123" i="13"/>
  <c r="QA130" i="13"/>
  <c r="OB117" i="13"/>
  <c r="RZ143" i="13"/>
  <c r="MC104" i="13"/>
  <c r="KD91" i="13"/>
  <c r="IE78" i="13"/>
  <c r="NT97" i="13"/>
  <c r="LU84" i="13"/>
  <c r="JV71" i="13"/>
  <c r="MC101" i="13"/>
  <c r="KD88" i="13"/>
  <c r="IE75" i="13"/>
  <c r="DZ27" i="13"/>
  <c r="HW58" i="13"/>
  <c r="FX45" i="13"/>
  <c r="EG52" i="13"/>
  <c r="GF65" i="13"/>
  <c r="GF62" i="13"/>
  <c r="CI33" i="13"/>
  <c r="EG49" i="13"/>
  <c r="ABN183" i="13" l="1"/>
  <c r="ZO170" i="13"/>
  <c r="VQ144" i="13"/>
  <c r="XP157" i="13"/>
  <c r="CH7" i="13"/>
  <c r="CH8" i="13"/>
  <c r="CH11" i="13"/>
  <c r="CI6" i="13"/>
  <c r="XX176" i="13"/>
  <c r="ZW189" i="13"/>
  <c r="VY163" i="13"/>
  <c r="TZ150" i="13"/>
  <c r="SA137" i="13"/>
  <c r="QB124" i="13"/>
  <c r="OC111" i="13"/>
  <c r="TR131" i="13"/>
  <c r="RS118" i="13"/>
  <c r="PT105" i="13"/>
  <c r="NU92" i="13"/>
  <c r="LV79" i="13"/>
  <c r="JW66" i="13"/>
  <c r="MD98" i="13"/>
  <c r="KE85" i="13"/>
  <c r="IF72" i="13"/>
  <c r="GG59" i="13"/>
  <c r="CI34" i="13"/>
  <c r="EH46" i="13"/>
  <c r="HX53" i="13"/>
  <c r="FY40" i="13"/>
  <c r="DZ32" i="13"/>
  <c r="ABN188" i="13" l="1"/>
  <c r="ZO175" i="13"/>
  <c r="XP162" i="13"/>
  <c r="VQ149" i="13"/>
  <c r="CI2" i="13"/>
  <c r="CI3" i="13"/>
  <c r="XX177" i="13"/>
  <c r="ZW190" i="13"/>
  <c r="VY164" i="13"/>
  <c r="TZ151" i="13"/>
  <c r="CH10" i="13"/>
  <c r="CH9" i="13"/>
  <c r="CH12" i="13"/>
  <c r="CH13" i="13"/>
  <c r="SA138" i="13"/>
  <c r="QB125" i="13"/>
  <c r="OC112" i="13"/>
  <c r="TR136" i="13"/>
  <c r="RS123" i="13"/>
  <c r="PT110" i="13"/>
  <c r="MD99" i="13"/>
  <c r="KE86" i="13"/>
  <c r="IF73" i="13"/>
  <c r="NU97" i="13"/>
  <c r="LV84" i="13"/>
  <c r="JW71" i="13"/>
  <c r="EA27" i="13"/>
  <c r="EB30" i="13" s="1"/>
  <c r="HX58" i="13"/>
  <c r="FY45" i="13"/>
  <c r="GG60" i="13"/>
  <c r="EH47" i="13"/>
  <c r="CI39" i="13"/>
  <c r="CI36" i="13"/>
  <c r="ABO183" i="13" l="1"/>
  <c r="ZP170" i="13"/>
  <c r="XQ157" i="13"/>
  <c r="VR144" i="13"/>
  <c r="ZW195" i="13"/>
  <c r="VY169" i="13"/>
  <c r="TZ156" i="13"/>
  <c r="XX182" i="13"/>
  <c r="CI4" i="13"/>
  <c r="CI5" i="13" s="1"/>
  <c r="ZW192" i="13"/>
  <c r="VY166" i="13"/>
  <c r="TZ153" i="13"/>
  <c r="XX179" i="13"/>
  <c r="TS131" i="13"/>
  <c r="RT118" i="13"/>
  <c r="PU105" i="13"/>
  <c r="SA140" i="13"/>
  <c r="QB127" i="13"/>
  <c r="OC114" i="13"/>
  <c r="SA143" i="13"/>
  <c r="QB130" i="13"/>
  <c r="OC117" i="13"/>
  <c r="MD101" i="13"/>
  <c r="KE88" i="13"/>
  <c r="IF75" i="13"/>
  <c r="NV92" i="13"/>
  <c r="LW79" i="13"/>
  <c r="JX66" i="13"/>
  <c r="MD104" i="13"/>
  <c r="KE91" i="13"/>
  <c r="IF78" i="13"/>
  <c r="EH52" i="13"/>
  <c r="GG65" i="13"/>
  <c r="GG62" i="13"/>
  <c r="EH49" i="13"/>
  <c r="CJ33" i="13"/>
  <c r="HY53" i="13"/>
  <c r="FZ40" i="13"/>
  <c r="EA32" i="13"/>
  <c r="ABO188" i="13" l="1"/>
  <c r="ZP175" i="13"/>
  <c r="VR149" i="13"/>
  <c r="XQ162" i="13"/>
  <c r="ABP186" i="13"/>
  <c r="ZQ173" i="13"/>
  <c r="XR160" i="13"/>
  <c r="VS147" i="13"/>
  <c r="CI8" i="13"/>
  <c r="CI7" i="13"/>
  <c r="CI11" i="13"/>
  <c r="CJ6" i="13"/>
  <c r="ZX189" i="13"/>
  <c r="XY176" i="13"/>
  <c r="VZ163" i="13"/>
  <c r="UA150" i="13"/>
  <c r="TT134" i="13"/>
  <c r="RU121" i="13"/>
  <c r="PV108" i="13"/>
  <c r="TS136" i="13"/>
  <c r="RT123" i="13"/>
  <c r="PU110" i="13"/>
  <c r="SB137" i="13"/>
  <c r="QC124" i="13"/>
  <c r="OD111" i="13"/>
  <c r="ME98" i="13"/>
  <c r="KF85" i="13"/>
  <c r="IG72" i="13"/>
  <c r="NW95" i="13"/>
  <c r="LX82" i="13"/>
  <c r="JY69" i="13"/>
  <c r="NV97" i="13"/>
  <c r="LW84" i="13"/>
  <c r="JX71" i="13"/>
  <c r="GH59" i="13"/>
  <c r="CJ34" i="13"/>
  <c r="EI46" i="13"/>
  <c r="HZ56" i="13"/>
  <c r="GA43" i="13"/>
  <c r="HY58" i="13"/>
  <c r="FZ45" i="13"/>
  <c r="CJ2" i="13" l="1"/>
  <c r="CJ3" i="13"/>
  <c r="XY177" i="13"/>
  <c r="ZX190" i="13"/>
  <c r="UA151" i="13"/>
  <c r="VZ164" i="13"/>
  <c r="CI12" i="13"/>
  <c r="CI13" i="13"/>
  <c r="CI9" i="13"/>
  <c r="CI10" i="13"/>
  <c r="SB138" i="13"/>
  <c r="QC125" i="13"/>
  <c r="OD112" i="13"/>
  <c r="ME99" i="13"/>
  <c r="KF86" i="13"/>
  <c r="IG73" i="13"/>
  <c r="GH60" i="13"/>
  <c r="CJ39" i="13"/>
  <c r="EI47" i="13"/>
  <c r="CJ36" i="13"/>
  <c r="CJ4" i="13" l="1"/>
  <c r="CJ5" i="13" s="1"/>
  <c r="VZ166" i="13"/>
  <c r="ZX192" i="13"/>
  <c r="UA153" i="13"/>
  <c r="XY179" i="13"/>
  <c r="XY182" i="13"/>
  <c r="VZ169" i="13"/>
  <c r="ZX195" i="13"/>
  <c r="UA156" i="13"/>
  <c r="SB140" i="13"/>
  <c r="OD114" i="13"/>
  <c r="QC127" i="13"/>
  <c r="OD117" i="13"/>
  <c r="SB143" i="13"/>
  <c r="QC130" i="13"/>
  <c r="ME104" i="13"/>
  <c r="KF91" i="13"/>
  <c r="IG78" i="13"/>
  <c r="KF88" i="13"/>
  <c r="ME101" i="13"/>
  <c r="IG75" i="13"/>
  <c r="EI52" i="13"/>
  <c r="GH65" i="13"/>
  <c r="GH62" i="13"/>
  <c r="CK33" i="13"/>
  <c r="EI49" i="13"/>
  <c r="CK6" i="13" l="1"/>
  <c r="ZY189" i="13"/>
  <c r="WA163" i="13"/>
  <c r="XZ176" i="13"/>
  <c r="UB150" i="13"/>
  <c r="CJ7" i="13"/>
  <c r="CJ8" i="13"/>
  <c r="CJ11" i="13"/>
  <c r="SC137" i="13"/>
  <c r="QD124" i="13"/>
  <c r="OE111" i="13"/>
  <c r="MF98" i="13"/>
  <c r="KG85" i="13"/>
  <c r="IH72" i="13"/>
  <c r="GI59" i="13"/>
  <c r="EJ46" i="13"/>
  <c r="CK34" i="13"/>
  <c r="CJ10" i="13" l="1"/>
  <c r="CJ9" i="13"/>
  <c r="CJ12" i="13"/>
  <c r="CJ13" i="13"/>
  <c r="CK2" i="13"/>
  <c r="CK3" i="13"/>
  <c r="XZ177" i="13"/>
  <c r="ZY190" i="13"/>
  <c r="UB151" i="13"/>
  <c r="WA164" i="13"/>
  <c r="SC138" i="13"/>
  <c r="QD125" i="13"/>
  <c r="OE112" i="13"/>
  <c r="MF99" i="13"/>
  <c r="KG86" i="13"/>
  <c r="IH73" i="13"/>
  <c r="GI60" i="13"/>
  <c r="CK36" i="13"/>
  <c r="EJ47" i="13"/>
  <c r="CK39" i="13"/>
  <c r="XZ182" i="13" l="1"/>
  <c r="WA169" i="13"/>
  <c r="UB156" i="13"/>
  <c r="ZY195" i="13"/>
  <c r="CK4" i="13"/>
  <c r="CK5" i="13" s="1"/>
  <c r="XZ179" i="13"/>
  <c r="ZY192" i="13"/>
  <c r="UB153" i="13"/>
  <c r="WA166" i="13"/>
  <c r="SC140" i="13"/>
  <c r="QD127" i="13"/>
  <c r="OE114" i="13"/>
  <c r="OE117" i="13"/>
  <c r="SC143" i="13"/>
  <c r="QD130" i="13"/>
  <c r="MF101" i="13"/>
  <c r="KG88" i="13"/>
  <c r="IH75" i="13"/>
  <c r="MF104" i="13"/>
  <c r="KG91" i="13"/>
  <c r="IH78" i="13"/>
  <c r="EJ52" i="13"/>
  <c r="GI65" i="13"/>
  <c r="GI62" i="13"/>
  <c r="CL33" i="13"/>
  <c r="EJ49" i="13"/>
  <c r="CK8" i="13" l="1"/>
  <c r="CK11" i="13"/>
  <c r="CK7" i="13"/>
  <c r="CL6" i="13"/>
  <c r="ZZ189" i="13"/>
  <c r="YA176" i="13"/>
  <c r="WB163" i="13"/>
  <c r="UC150" i="13"/>
  <c r="SD137" i="13"/>
  <c r="QE124" i="13"/>
  <c r="OF111" i="13"/>
  <c r="MG98" i="13"/>
  <c r="KH85" i="13"/>
  <c r="II72" i="13"/>
  <c r="GJ59" i="13"/>
  <c r="EK46" i="13"/>
  <c r="CL34" i="13"/>
  <c r="CK12" i="13" l="1"/>
  <c r="CK13" i="13"/>
  <c r="CL2" i="13"/>
  <c r="CL3" i="13"/>
  <c r="ZZ190" i="13"/>
  <c r="WB164" i="13"/>
  <c r="YA177" i="13"/>
  <c r="UC151" i="13"/>
  <c r="CK10" i="13"/>
  <c r="CK9" i="13"/>
  <c r="SD138" i="13"/>
  <c r="OF112" i="13"/>
  <c r="QE125" i="13"/>
  <c r="MG99" i="13"/>
  <c r="KH86" i="13"/>
  <c r="II73" i="13"/>
  <c r="GJ60" i="13"/>
  <c r="CL36" i="13"/>
  <c r="CL39" i="13"/>
  <c r="EK47" i="13"/>
  <c r="ZZ195" i="13" l="1"/>
  <c r="YA182" i="13"/>
  <c r="WB169" i="13"/>
  <c r="UC156" i="13"/>
  <c r="CL4" i="13"/>
  <c r="CL5" i="13" s="1"/>
  <c r="ZZ192" i="13"/>
  <c r="YA179" i="13"/>
  <c r="WB166" i="13"/>
  <c r="UC153" i="13"/>
  <c r="SD140" i="13"/>
  <c r="QE127" i="13"/>
  <c r="OF114" i="13"/>
  <c r="QE130" i="13"/>
  <c r="OF117" i="13"/>
  <c r="SD143" i="13"/>
  <c r="MG101" i="13"/>
  <c r="KH88" i="13"/>
  <c r="II75" i="13"/>
  <c r="MG104" i="13"/>
  <c r="KH91" i="13"/>
  <c r="II78" i="13"/>
  <c r="GJ62" i="13"/>
  <c r="CM33" i="13"/>
  <c r="EK49" i="13"/>
  <c r="EK52" i="13"/>
  <c r="GJ65" i="13"/>
  <c r="CM6" i="13" l="1"/>
  <c r="AAA189" i="13"/>
  <c r="YB176" i="13"/>
  <c r="WC163" i="13"/>
  <c r="UD150" i="13"/>
  <c r="CL7" i="13"/>
  <c r="CL8" i="13"/>
  <c r="CL11" i="13"/>
  <c r="SE137" i="13"/>
  <c r="QF124" i="13"/>
  <c r="OG111" i="13"/>
  <c r="MH98" i="13"/>
  <c r="KI85" i="13"/>
  <c r="IJ72" i="13"/>
  <c r="GK59" i="13"/>
  <c r="EL46" i="13"/>
  <c r="CM34" i="13"/>
  <c r="CL12" i="13" l="1"/>
  <c r="CL13" i="13"/>
  <c r="CL9" i="13"/>
  <c r="CL10" i="13"/>
  <c r="CM2" i="13"/>
  <c r="CM3" i="13"/>
  <c r="AAA190" i="13"/>
  <c r="YB177" i="13"/>
  <c r="WC164" i="13"/>
  <c r="UD151" i="13"/>
  <c r="SE138" i="13"/>
  <c r="QF125" i="13"/>
  <c r="OG112" i="13"/>
  <c r="MH99" i="13"/>
  <c r="KI86" i="13"/>
  <c r="IJ73" i="13"/>
  <c r="GK60" i="13"/>
  <c r="EL47" i="13"/>
  <c r="CM36" i="13"/>
  <c r="CM39" i="13"/>
  <c r="CM4" i="13" l="1"/>
  <c r="CM5" i="13" s="1"/>
  <c r="AAA192" i="13"/>
  <c r="YB179" i="13"/>
  <c r="WC166" i="13"/>
  <c r="UD153" i="13"/>
  <c r="AAA195" i="13"/>
  <c r="YB182" i="13"/>
  <c r="WC169" i="13"/>
  <c r="UD156" i="13"/>
  <c r="SE140" i="13"/>
  <c r="QF127" i="13"/>
  <c r="OG114" i="13"/>
  <c r="QF130" i="13"/>
  <c r="OG117" i="13"/>
  <c r="SE143" i="13"/>
  <c r="MH101" i="13"/>
  <c r="KI88" i="13"/>
  <c r="IJ75" i="13"/>
  <c r="MH104" i="13"/>
  <c r="KI91" i="13"/>
  <c r="IJ78" i="13"/>
  <c r="GK62" i="13"/>
  <c r="CN33" i="13"/>
  <c r="EL49" i="13"/>
  <c r="EL52" i="13"/>
  <c r="GK65" i="13"/>
  <c r="CN6" i="13" l="1"/>
  <c r="AAB189" i="13"/>
  <c r="YC176" i="13"/>
  <c r="UE150" i="13"/>
  <c r="WD163" i="13"/>
  <c r="CM8" i="13"/>
  <c r="CM7" i="13"/>
  <c r="CM11" i="13"/>
  <c r="SF137" i="13"/>
  <c r="QG124" i="13"/>
  <c r="OH111" i="13"/>
  <c r="MI98" i="13"/>
  <c r="KJ85" i="13"/>
  <c r="IK72" i="13"/>
  <c r="GL59" i="13"/>
  <c r="EM46" i="13"/>
  <c r="CN34" i="13"/>
  <c r="CM10" i="13" l="1"/>
  <c r="CM9" i="13"/>
  <c r="CM12" i="13"/>
  <c r="CM13" i="13"/>
  <c r="CN2" i="13"/>
  <c r="CN3" i="13"/>
  <c r="AAB190" i="13"/>
  <c r="YC177" i="13"/>
  <c r="WD164" i="13"/>
  <c r="UE151" i="13"/>
  <c r="SF138" i="13"/>
  <c r="QG125" i="13"/>
  <c r="OH112" i="13"/>
  <c r="MI99" i="13"/>
  <c r="KJ86" i="13"/>
  <c r="IK73" i="13"/>
  <c r="GL60" i="13"/>
  <c r="CN39" i="13"/>
  <c r="EM47" i="13"/>
  <c r="CN36" i="13"/>
  <c r="CN4" i="13" l="1"/>
  <c r="CN5" i="13" s="1"/>
  <c r="AAB192" i="13"/>
  <c r="YC179" i="13"/>
  <c r="UE153" i="13"/>
  <c r="WD166" i="13"/>
  <c r="AAB195" i="13"/>
  <c r="YC182" i="13"/>
  <c r="WD169" i="13"/>
  <c r="UE156" i="13"/>
  <c r="SF140" i="13"/>
  <c r="QG127" i="13"/>
  <c r="OH114" i="13"/>
  <c r="QG130" i="13"/>
  <c r="OH117" i="13"/>
  <c r="SF143" i="13"/>
  <c r="MI104" i="13"/>
  <c r="KJ91" i="13"/>
  <c r="IK78" i="13"/>
  <c r="MI101" i="13"/>
  <c r="KJ88" i="13"/>
  <c r="IK75" i="13"/>
  <c r="EM52" i="13"/>
  <c r="GL65" i="13"/>
  <c r="GL62" i="13"/>
  <c r="CO33" i="13"/>
  <c r="EM49" i="13"/>
  <c r="CO6" i="13" l="1"/>
  <c r="AAC189" i="13"/>
  <c r="YD176" i="13"/>
  <c r="WE163" i="13"/>
  <c r="UF150" i="13"/>
  <c r="CN8" i="13"/>
  <c r="CN7" i="13"/>
  <c r="CN11" i="13"/>
  <c r="SG137" i="13"/>
  <c r="QH124" i="13"/>
  <c r="OI111" i="13"/>
  <c r="MJ98" i="13"/>
  <c r="KK85" i="13"/>
  <c r="IL72" i="13"/>
  <c r="GM59" i="13"/>
  <c r="CO34" i="13"/>
  <c r="EN46" i="13"/>
  <c r="CN12" i="13" l="1"/>
  <c r="CN13" i="13"/>
  <c r="CO2" i="13"/>
  <c r="CO3" i="13"/>
  <c r="AAC190" i="13"/>
  <c r="WE164" i="13"/>
  <c r="UF151" i="13"/>
  <c r="YD177" i="13"/>
  <c r="CN9" i="13"/>
  <c r="CN10" i="13"/>
  <c r="SG138" i="13"/>
  <c r="OI112" i="13"/>
  <c r="QH125" i="13"/>
  <c r="MJ99" i="13"/>
  <c r="KK86" i="13"/>
  <c r="IL73" i="13"/>
  <c r="GM60" i="13"/>
  <c r="EN47" i="13"/>
  <c r="CO39" i="13"/>
  <c r="CO36" i="13"/>
  <c r="CO4" i="13" l="1"/>
  <c r="CO5" i="13" s="1"/>
  <c r="AAC192" i="13"/>
  <c r="YD179" i="13"/>
  <c r="WE166" i="13"/>
  <c r="UF153" i="13"/>
  <c r="AAC195" i="13"/>
  <c r="YD182" i="13"/>
  <c r="WE169" i="13"/>
  <c r="UF156" i="13"/>
  <c r="SG140" i="13"/>
  <c r="QH127" i="13"/>
  <c r="OI114" i="13"/>
  <c r="QH130" i="13"/>
  <c r="OI117" i="13"/>
  <c r="SG143" i="13"/>
  <c r="MJ104" i="13"/>
  <c r="KK91" i="13"/>
  <c r="IL78" i="13"/>
  <c r="MJ101" i="13"/>
  <c r="KK88" i="13"/>
  <c r="IL75" i="13"/>
  <c r="EN52" i="13"/>
  <c r="GM65" i="13"/>
  <c r="GM62" i="13"/>
  <c r="EN49" i="13"/>
  <c r="CP33" i="13"/>
  <c r="CP6" i="13" l="1"/>
  <c r="AAD189" i="13"/>
  <c r="YE176" i="13"/>
  <c r="UG150" i="13"/>
  <c r="WF163" i="13"/>
  <c r="CO8" i="13"/>
  <c r="CO7" i="13"/>
  <c r="CO11" i="13"/>
  <c r="SH137" i="13"/>
  <c r="QI124" i="13"/>
  <c r="OJ111" i="13"/>
  <c r="MK98" i="13"/>
  <c r="KL85" i="13"/>
  <c r="IM72" i="13"/>
  <c r="GN59" i="13"/>
  <c r="EO46" i="13"/>
  <c r="CP34" i="13"/>
  <c r="CO12" i="13" l="1"/>
  <c r="CO13" i="13"/>
  <c r="CO10" i="13"/>
  <c r="CO9" i="13"/>
  <c r="CP2" i="13"/>
  <c r="CP3" i="13"/>
  <c r="AAD190" i="13"/>
  <c r="WF164" i="13"/>
  <c r="YE177" i="13"/>
  <c r="UG151" i="13"/>
  <c r="SH138" i="13"/>
  <c r="QI125" i="13"/>
  <c r="OJ112" i="13"/>
  <c r="MK99" i="13"/>
  <c r="KL86" i="13"/>
  <c r="IM73" i="13"/>
  <c r="GN60" i="13"/>
  <c r="CP39" i="13"/>
  <c r="EO47" i="13"/>
  <c r="CP36" i="13"/>
  <c r="CP4" i="13" l="1"/>
  <c r="CP5" i="13" s="1"/>
  <c r="AAD192" i="13"/>
  <c r="YE179" i="13"/>
  <c r="WF166" i="13"/>
  <c r="UG153" i="13"/>
  <c r="AAD195" i="13"/>
  <c r="YE182" i="13"/>
  <c r="WF169" i="13"/>
  <c r="UG156" i="13"/>
  <c r="SH140" i="13"/>
  <c r="QI127" i="13"/>
  <c r="OJ114" i="13"/>
  <c r="SH143" i="13"/>
  <c r="QI130" i="13"/>
  <c r="OJ117" i="13"/>
  <c r="MK104" i="13"/>
  <c r="KL91" i="13"/>
  <c r="IM78" i="13"/>
  <c r="MK101" i="13"/>
  <c r="KL88" i="13"/>
  <c r="IM75" i="13"/>
  <c r="EO52" i="13"/>
  <c r="GN65" i="13"/>
  <c r="GN62" i="13"/>
  <c r="CQ33" i="13"/>
  <c r="EO49" i="13"/>
  <c r="CQ6" i="13" l="1"/>
  <c r="YF176" i="13"/>
  <c r="AAE189" i="13"/>
  <c r="WG163" i="13"/>
  <c r="UH150" i="13"/>
  <c r="CP7" i="13"/>
  <c r="CP8" i="13"/>
  <c r="CP11" i="13"/>
  <c r="SI137" i="13"/>
  <c r="QJ124" i="13"/>
  <c r="OK111" i="13"/>
  <c r="ML98" i="13"/>
  <c r="KM85" i="13"/>
  <c r="IN72" i="13"/>
  <c r="GO59" i="13"/>
  <c r="EP46" i="13"/>
  <c r="CQ34" i="13"/>
  <c r="CP12" i="13" l="1"/>
  <c r="CP13" i="13"/>
  <c r="CP10" i="13"/>
  <c r="CP9" i="13"/>
  <c r="CQ2" i="13"/>
  <c r="CQ3" i="13"/>
  <c r="YF177" i="13"/>
  <c r="AAE190" i="13"/>
  <c r="WG164" i="13"/>
  <c r="UH151" i="13"/>
  <c r="SI138" i="13"/>
  <c r="QJ125" i="13"/>
  <c r="OK112" i="13"/>
  <c r="ML99" i="13"/>
  <c r="KM86" i="13"/>
  <c r="IN73" i="13"/>
  <c r="GO60" i="13"/>
  <c r="CQ36" i="13"/>
  <c r="CQ39" i="13"/>
  <c r="EP47" i="13"/>
  <c r="AAE195" i="13" l="1"/>
  <c r="YF182" i="13"/>
  <c r="WG169" i="13"/>
  <c r="UH156" i="13"/>
  <c r="CQ4" i="13"/>
  <c r="CQ5" i="13" s="1"/>
  <c r="AAE192" i="13"/>
  <c r="YF179" i="13"/>
  <c r="WG166" i="13"/>
  <c r="UH153" i="13"/>
  <c r="SI140" i="13"/>
  <c r="QJ127" i="13"/>
  <c r="OK114" i="13"/>
  <c r="SI143" i="13"/>
  <c r="OK117" i="13"/>
  <c r="QJ130" i="13"/>
  <c r="ML104" i="13"/>
  <c r="KM91" i="13"/>
  <c r="IN78" i="13"/>
  <c r="ML101" i="13"/>
  <c r="KM88" i="13"/>
  <c r="IN75" i="13"/>
  <c r="EP52" i="13"/>
  <c r="GO65" i="13"/>
  <c r="GO62" i="13"/>
  <c r="CR33" i="13"/>
  <c r="EP49" i="13"/>
  <c r="CQ7" i="13" l="1"/>
  <c r="CQ8" i="13"/>
  <c r="CQ11" i="13"/>
  <c r="CR6" i="13"/>
  <c r="AAF189" i="13"/>
  <c r="YG176" i="13"/>
  <c r="UI150" i="13"/>
  <c r="WH163" i="13"/>
  <c r="SJ137" i="13"/>
  <c r="QK124" i="13"/>
  <c r="OL111" i="13"/>
  <c r="MM98" i="13"/>
  <c r="KN85" i="13"/>
  <c r="IO72" i="13"/>
  <c r="GP59" i="13"/>
  <c r="EQ46" i="13"/>
  <c r="CR34" i="13"/>
  <c r="CQ12" i="13" l="1"/>
  <c r="CQ13" i="13"/>
  <c r="CQ9" i="13"/>
  <c r="CQ10" i="13"/>
  <c r="CR2" i="13"/>
  <c r="CR3" i="13"/>
  <c r="YG177" i="13"/>
  <c r="UI151" i="13"/>
  <c r="AAF190" i="13"/>
  <c r="WH164" i="13"/>
  <c r="SJ138" i="13"/>
  <c r="QK125" i="13"/>
  <c r="OL112" i="13"/>
  <c r="MM99" i="13"/>
  <c r="KN86" i="13"/>
  <c r="IO73" i="13"/>
  <c r="GP60" i="13"/>
  <c r="CR39" i="13"/>
  <c r="CR36" i="13"/>
  <c r="EQ47" i="13"/>
  <c r="CR4" i="13" l="1"/>
  <c r="CR5" i="13" s="1"/>
  <c r="AAF192" i="13"/>
  <c r="WH166" i="13"/>
  <c r="UI153" i="13"/>
  <c r="YG179" i="13"/>
  <c r="YG182" i="13"/>
  <c r="WH169" i="13"/>
  <c r="AAF195" i="13"/>
  <c r="UI156" i="13"/>
  <c r="SJ140" i="13"/>
  <c r="QK127" i="13"/>
  <c r="OL114" i="13"/>
  <c r="OL117" i="13"/>
  <c r="SJ143" i="13"/>
  <c r="QK130" i="13"/>
  <c r="MM104" i="13"/>
  <c r="KN91" i="13"/>
  <c r="IO78" i="13"/>
  <c r="MM101" i="13"/>
  <c r="KN88" i="13"/>
  <c r="IO75" i="13"/>
  <c r="EQ52" i="13"/>
  <c r="GP65" i="13"/>
  <c r="GP62" i="13"/>
  <c r="CS33" i="13"/>
  <c r="EQ49" i="13"/>
  <c r="CS6" i="13" l="1"/>
  <c r="AAG189" i="13"/>
  <c r="YH176" i="13"/>
  <c r="WI163" i="13"/>
  <c r="UJ150" i="13"/>
  <c r="CR8" i="13"/>
  <c r="CR7" i="13"/>
  <c r="CR11" i="13"/>
  <c r="SK137" i="13"/>
  <c r="QL124" i="13"/>
  <c r="OM111" i="13"/>
  <c r="MN98" i="13"/>
  <c r="KO85" i="13"/>
  <c r="IP72" i="13"/>
  <c r="GQ59" i="13"/>
  <c r="ER46" i="13"/>
  <c r="CS34" i="13"/>
  <c r="CR12" i="13" l="1"/>
  <c r="CR13" i="13"/>
  <c r="CR10" i="13"/>
  <c r="CR9" i="13"/>
  <c r="CS2" i="13"/>
  <c r="CS3" i="13"/>
  <c r="YH177" i="13"/>
  <c r="WI164" i="13"/>
  <c r="AAG190" i="13"/>
  <c r="UJ151" i="13"/>
  <c r="SK138" i="13"/>
  <c r="QL125" i="13"/>
  <c r="OM112" i="13"/>
  <c r="MN99" i="13"/>
  <c r="KO86" i="13"/>
  <c r="IP73" i="13"/>
  <c r="GQ60" i="13"/>
  <c r="CS36" i="13"/>
  <c r="ER47" i="13"/>
  <c r="CS39" i="13"/>
  <c r="YH182" i="13" l="1"/>
  <c r="UJ156" i="13"/>
  <c r="AAG195" i="13"/>
  <c r="WI169" i="13"/>
  <c r="CS4" i="13"/>
  <c r="CS5" i="13" s="1"/>
  <c r="YH179" i="13"/>
  <c r="AAG192" i="13"/>
  <c r="UJ153" i="13"/>
  <c r="WI166" i="13"/>
  <c r="SK140" i="13"/>
  <c r="QL127" i="13"/>
  <c r="OM114" i="13"/>
  <c r="OM117" i="13"/>
  <c r="SK143" i="13"/>
  <c r="QL130" i="13"/>
  <c r="MN101" i="13"/>
  <c r="KO88" i="13"/>
  <c r="IP75" i="13"/>
  <c r="KO91" i="13"/>
  <c r="MN104" i="13"/>
  <c r="IP78" i="13"/>
  <c r="ER52" i="13"/>
  <c r="GQ65" i="13"/>
  <c r="GQ62" i="13"/>
  <c r="ER49" i="13"/>
  <c r="CT33" i="13"/>
  <c r="CS7" i="13" l="1"/>
  <c r="CS8" i="13"/>
  <c r="CS11" i="13"/>
  <c r="CT6" i="13"/>
  <c r="AAH189" i="13"/>
  <c r="YI176" i="13"/>
  <c r="WJ163" i="13"/>
  <c r="UK150" i="13"/>
  <c r="QM124" i="13"/>
  <c r="SL137" i="13"/>
  <c r="ON111" i="13"/>
  <c r="MO98" i="13"/>
  <c r="KP85" i="13"/>
  <c r="IQ72" i="13"/>
  <c r="GR59" i="13"/>
  <c r="ES46" i="13"/>
  <c r="CT34" i="13"/>
  <c r="CS13" i="13" l="1"/>
  <c r="CS12" i="13"/>
  <c r="CS10" i="13"/>
  <c r="CS9" i="13"/>
  <c r="CT3" i="13"/>
  <c r="CT2" i="13"/>
  <c r="AAH190" i="13"/>
  <c r="WJ164" i="13"/>
  <c r="YI177" i="13"/>
  <c r="UK151" i="13"/>
  <c r="SL138" i="13"/>
  <c r="QM125" i="13"/>
  <c r="ON112" i="13"/>
  <c r="MO99" i="13"/>
  <c r="KP86" i="13"/>
  <c r="IQ73" i="13"/>
  <c r="GR60" i="13"/>
  <c r="ES47" i="13"/>
  <c r="CT39" i="13"/>
  <c r="CT36" i="13"/>
  <c r="CT4" i="13" l="1"/>
  <c r="CT5" i="13" s="1"/>
  <c r="AAH192" i="13"/>
  <c r="YI179" i="13"/>
  <c r="WJ166" i="13"/>
  <c r="UK153" i="13"/>
  <c r="AAH195" i="13"/>
  <c r="YI182" i="13"/>
  <c r="WJ169" i="13"/>
  <c r="UK156" i="13"/>
  <c r="SL140" i="13"/>
  <c r="QM127" i="13"/>
  <c r="ON114" i="13"/>
  <c r="QM130" i="13"/>
  <c r="ON117" i="13"/>
  <c r="SL143" i="13"/>
  <c r="MO101" i="13"/>
  <c r="KP88" i="13"/>
  <c r="IQ75" i="13"/>
  <c r="MO104" i="13"/>
  <c r="KP91" i="13"/>
  <c r="IQ78" i="13"/>
  <c r="GR62" i="13"/>
  <c r="ES49" i="13"/>
  <c r="CU33" i="13"/>
  <c r="ES52" i="13"/>
  <c r="GR65" i="13"/>
  <c r="CU6" i="13" l="1"/>
  <c r="AAI189" i="13"/>
  <c r="YJ176" i="13"/>
  <c r="UL150" i="13"/>
  <c r="WK163" i="13"/>
  <c r="CT7" i="13"/>
  <c r="CT11" i="13"/>
  <c r="CT8" i="13"/>
  <c r="SM137" i="13"/>
  <c r="QN124" i="13"/>
  <c r="OO111" i="13"/>
  <c r="MP98" i="13"/>
  <c r="KQ85" i="13"/>
  <c r="IR72" i="13"/>
  <c r="GS59" i="13"/>
  <c r="ET46" i="13"/>
  <c r="CU34" i="13"/>
  <c r="CT12" i="13" l="1"/>
  <c r="CT13" i="13"/>
  <c r="CT9" i="13"/>
  <c r="CT10" i="13"/>
  <c r="CU2" i="13"/>
  <c r="CU3" i="13"/>
  <c r="AAI190" i="13"/>
  <c r="YJ177" i="13"/>
  <c r="UL151" i="13"/>
  <c r="WK164" i="13"/>
  <c r="SM138" i="13"/>
  <c r="QN125" i="13"/>
  <c r="OO112" i="13"/>
  <c r="MP99" i="13"/>
  <c r="KQ86" i="13"/>
  <c r="IR73" i="13"/>
  <c r="GS60" i="13"/>
  <c r="ET47" i="13"/>
  <c r="CU39" i="13"/>
  <c r="CU36" i="13"/>
  <c r="AAI195" i="13" l="1"/>
  <c r="YJ182" i="13"/>
  <c r="WK169" i="13"/>
  <c r="UL156" i="13"/>
  <c r="CU4" i="13"/>
  <c r="CU5" i="13" s="1"/>
  <c r="AAI192" i="13"/>
  <c r="YJ179" i="13"/>
  <c r="WK166" i="13"/>
  <c r="UL153" i="13"/>
  <c r="SM140" i="13"/>
  <c r="QN127" i="13"/>
  <c r="OO114" i="13"/>
  <c r="QN130" i="13"/>
  <c r="OO117" i="13"/>
  <c r="SM143" i="13"/>
  <c r="MP101" i="13"/>
  <c r="KQ88" i="13"/>
  <c r="IR75" i="13"/>
  <c r="MP104" i="13"/>
  <c r="KQ91" i="13"/>
  <c r="IR78" i="13"/>
  <c r="GS62" i="13"/>
  <c r="CV33" i="13"/>
  <c r="ET49" i="13"/>
  <c r="ET52" i="13"/>
  <c r="GS65" i="13"/>
  <c r="CV6" i="13" l="1"/>
  <c r="AAJ189" i="13"/>
  <c r="YK176" i="13"/>
  <c r="WL163" i="13"/>
  <c r="UM150" i="13"/>
  <c r="CU7" i="13"/>
  <c r="CU8" i="13"/>
  <c r="CU11" i="13"/>
  <c r="SN137" i="13"/>
  <c r="OP111" i="13"/>
  <c r="QO124" i="13"/>
  <c r="MQ98" i="13"/>
  <c r="KR85" i="13"/>
  <c r="IS72" i="13"/>
  <c r="GT59" i="13"/>
  <c r="EU46" i="13"/>
  <c r="CV34" i="13"/>
  <c r="CU12" i="13" l="1"/>
  <c r="CU13" i="13"/>
  <c r="CU10" i="13"/>
  <c r="CU9" i="13"/>
  <c r="CV3" i="13"/>
  <c r="CV2" i="13"/>
  <c r="AAJ190" i="13"/>
  <c r="YK177" i="13"/>
  <c r="UM151" i="13"/>
  <c r="WL164" i="13"/>
  <c r="SN138" i="13"/>
  <c r="QO125" i="13"/>
  <c r="OP112" i="13"/>
  <c r="MQ99" i="13"/>
  <c r="KR86" i="13"/>
  <c r="IS73" i="13"/>
  <c r="GT60" i="13"/>
  <c r="EU47" i="13"/>
  <c r="CV36" i="13"/>
  <c r="CV39" i="13"/>
  <c r="AAJ195" i="13" l="1"/>
  <c r="YK182" i="13"/>
  <c r="WL169" i="13"/>
  <c r="UM156" i="13"/>
  <c r="CV4" i="13"/>
  <c r="CV5" i="13" s="1"/>
  <c r="AAJ192" i="13"/>
  <c r="YK179" i="13"/>
  <c r="UM153" i="13"/>
  <c r="WL166" i="13"/>
  <c r="SN140" i="13"/>
  <c r="QO127" i="13"/>
  <c r="OP114" i="13"/>
  <c r="QO130" i="13"/>
  <c r="OP117" i="13"/>
  <c r="SN143" i="13"/>
  <c r="MQ104" i="13"/>
  <c r="KR91" i="13"/>
  <c r="IS78" i="13"/>
  <c r="MQ101" i="13"/>
  <c r="KR88" i="13"/>
  <c r="IS75" i="13"/>
  <c r="EU52" i="13"/>
  <c r="GT65" i="13"/>
  <c r="GT62" i="13"/>
  <c r="CW33" i="13"/>
  <c r="EU49" i="13"/>
  <c r="CV7" i="13" l="1"/>
  <c r="CV8" i="13"/>
  <c r="CV11" i="13"/>
  <c r="CW6" i="13"/>
  <c r="AAK189" i="13"/>
  <c r="YL176" i="13"/>
  <c r="WM163" i="13"/>
  <c r="UN150" i="13"/>
  <c r="SO137" i="13"/>
  <c r="QP124" i="13"/>
  <c r="OQ111" i="13"/>
  <c r="MR98" i="13"/>
  <c r="KS85" i="13"/>
  <c r="IT72" i="13"/>
  <c r="GU59" i="13"/>
  <c r="EV46" i="13"/>
  <c r="CW34" i="13"/>
  <c r="CV12" i="13" l="1"/>
  <c r="CV13" i="13"/>
  <c r="CV9" i="13"/>
  <c r="CV10" i="13"/>
  <c r="CW2" i="13"/>
  <c r="CW3" i="13"/>
  <c r="AAK190" i="13"/>
  <c r="WM164" i="13"/>
  <c r="YL177" i="13"/>
  <c r="UN151" i="13"/>
  <c r="SO138" i="13"/>
  <c r="QP125" i="13"/>
  <c r="OQ112" i="13"/>
  <c r="MR99" i="13"/>
  <c r="KS86" i="13"/>
  <c r="IT73" i="13"/>
  <c r="GU60" i="13"/>
  <c r="EV47" i="13"/>
  <c r="CW36" i="13"/>
  <c r="CW39" i="13"/>
  <c r="AAK195" i="13" l="1"/>
  <c r="YL182" i="13"/>
  <c r="WM169" i="13"/>
  <c r="UN156" i="13"/>
  <c r="CW4" i="13"/>
  <c r="CW5" i="13" s="1"/>
  <c r="AAK192" i="13"/>
  <c r="YL179" i="13"/>
  <c r="WM166" i="13"/>
  <c r="UN153" i="13"/>
  <c r="SO140" i="13"/>
  <c r="QP127" i="13"/>
  <c r="OQ114" i="13"/>
  <c r="QP130" i="13"/>
  <c r="OQ117" i="13"/>
  <c r="SO143" i="13"/>
  <c r="MR104" i="13"/>
  <c r="KS91" i="13"/>
  <c r="IT78" i="13"/>
  <c r="MR101" i="13"/>
  <c r="KS88" i="13"/>
  <c r="IT75" i="13"/>
  <c r="EV52" i="13"/>
  <c r="GU65" i="13"/>
  <c r="GU62" i="13"/>
  <c r="EV49" i="13"/>
  <c r="CX33" i="13"/>
  <c r="CW7" i="13" l="1"/>
  <c r="CW8" i="13"/>
  <c r="CW11" i="13"/>
  <c r="CX6" i="13"/>
  <c r="AAL189" i="13"/>
  <c r="YM176" i="13"/>
  <c r="UO150" i="13"/>
  <c r="WN163" i="13"/>
  <c r="SP137" i="13"/>
  <c r="QQ124" i="13"/>
  <c r="OR111" i="13"/>
  <c r="MS98" i="13"/>
  <c r="KT85" i="13"/>
  <c r="IU72" i="13"/>
  <c r="GV59" i="13"/>
  <c r="CX34" i="13"/>
  <c r="EW46" i="13"/>
  <c r="CX2" i="13" l="1"/>
  <c r="CX3" i="13"/>
  <c r="AAL190" i="13"/>
  <c r="YM177" i="13"/>
  <c r="UO151" i="13"/>
  <c r="WN164" i="13"/>
  <c r="CW12" i="13"/>
  <c r="CW13" i="13"/>
  <c r="CW9" i="13"/>
  <c r="CW10" i="13"/>
  <c r="SP138" i="13"/>
  <c r="QQ125" i="13"/>
  <c r="OR112" i="13"/>
  <c r="MS99" i="13"/>
  <c r="KT86" i="13"/>
  <c r="IU73" i="13"/>
  <c r="GV60" i="13"/>
  <c r="EW47" i="13"/>
  <c r="CX36" i="13"/>
  <c r="CX39" i="13"/>
  <c r="AAL195" i="13" l="1"/>
  <c r="YM182" i="13"/>
  <c r="WN169" i="13"/>
  <c r="UO156" i="13"/>
  <c r="CX4" i="13"/>
  <c r="CX5" i="13" s="1"/>
  <c r="AAL192" i="13"/>
  <c r="YM179" i="13"/>
  <c r="UO153" i="13"/>
  <c r="WN166" i="13"/>
  <c r="SP140" i="13"/>
  <c r="QQ127" i="13"/>
  <c r="OR114" i="13"/>
  <c r="SP143" i="13"/>
  <c r="QQ130" i="13"/>
  <c r="OR117" i="13"/>
  <c r="MS104" i="13"/>
  <c r="KT91" i="13"/>
  <c r="IU78" i="13"/>
  <c r="MS101" i="13"/>
  <c r="KT88" i="13"/>
  <c r="IU75" i="13"/>
  <c r="EW52" i="13"/>
  <c r="GV65" i="13"/>
  <c r="GV62" i="13"/>
  <c r="EW49" i="13"/>
  <c r="CY33" i="13"/>
  <c r="CX7" i="13" l="1"/>
  <c r="CX8" i="13"/>
  <c r="CX11" i="13"/>
  <c r="CY6" i="13"/>
  <c r="AAM189" i="13"/>
  <c r="YN176" i="13"/>
  <c r="UP150" i="13"/>
  <c r="WO163" i="13"/>
  <c r="SQ137" i="13"/>
  <c r="QR124" i="13"/>
  <c r="OS111" i="13"/>
  <c r="MT98" i="13"/>
  <c r="KU85" i="13"/>
  <c r="IV72" i="13"/>
  <c r="GW59" i="13"/>
  <c r="EX46" i="13"/>
  <c r="CY34" i="13"/>
  <c r="CX13" i="13" l="1"/>
  <c r="CX12" i="13"/>
  <c r="CX9" i="13"/>
  <c r="CX10" i="13"/>
  <c r="CY2" i="13"/>
  <c r="CY3" i="13"/>
  <c r="YN177" i="13"/>
  <c r="AAM190" i="13"/>
  <c r="WO164" i="13"/>
  <c r="UP151" i="13"/>
  <c r="SQ138" i="13"/>
  <c r="QR125" i="13"/>
  <c r="OS112" i="13"/>
  <c r="MT99" i="13"/>
  <c r="KU86" i="13"/>
  <c r="IV73" i="13"/>
  <c r="GW60" i="13"/>
  <c r="EX47" i="13"/>
  <c r="CY36" i="13"/>
  <c r="CY39" i="13"/>
  <c r="CY4" i="13" l="1"/>
  <c r="CY5" i="13" s="1"/>
  <c r="AAM192" i="13"/>
  <c r="YN179" i="13"/>
  <c r="UP153" i="13"/>
  <c r="WO166" i="13"/>
  <c r="AAM195" i="13"/>
  <c r="YN182" i="13"/>
  <c r="UP156" i="13"/>
  <c r="WO169" i="13"/>
  <c r="V19" i="13"/>
  <c r="SQ140" i="13"/>
  <c r="QR127" i="13"/>
  <c r="OS114" i="13"/>
  <c r="SQ143" i="13"/>
  <c r="OS117" i="13"/>
  <c r="QR130" i="13"/>
  <c r="MT104" i="13"/>
  <c r="KU91" i="13"/>
  <c r="IV78" i="13"/>
  <c r="MT101" i="13"/>
  <c r="KU88" i="13"/>
  <c r="IV75" i="13"/>
  <c r="EX52" i="13"/>
  <c r="GW65" i="13"/>
  <c r="GW62" i="13"/>
  <c r="EX49" i="13"/>
  <c r="CZ33" i="13"/>
  <c r="CZ6" i="13" l="1"/>
  <c r="AAN189" i="13"/>
  <c r="UQ150" i="13"/>
  <c r="WP163" i="13"/>
  <c r="YO176" i="13"/>
  <c r="CY7" i="13"/>
  <c r="CY8" i="13"/>
  <c r="CY11" i="13"/>
  <c r="SR137" i="13"/>
  <c r="QS124" i="13"/>
  <c r="OT111" i="13"/>
  <c r="MU98" i="13"/>
  <c r="KV85" i="13"/>
  <c r="IW72" i="13"/>
  <c r="GX59" i="13"/>
  <c r="EY46" i="13"/>
  <c r="DA33" i="13"/>
  <c r="CZ34" i="13"/>
  <c r="R19" i="13" s="1"/>
  <c r="CY9" i="13" l="1"/>
  <c r="CY10" i="13"/>
  <c r="CZ2" i="13"/>
  <c r="CZ5" i="13" s="1"/>
  <c r="CZ3" i="13"/>
  <c r="YO177" i="13"/>
  <c r="UQ151" i="13"/>
  <c r="AAN190" i="13"/>
  <c r="WP164" i="13"/>
  <c r="CY13" i="13"/>
  <c r="CY12" i="13"/>
  <c r="DA6" i="13"/>
  <c r="AAO189" i="13"/>
  <c r="AAO6" i="13" s="1"/>
  <c r="WQ163" i="13"/>
  <c r="WQ6" i="13" s="1"/>
  <c r="YP176" i="13"/>
  <c r="YP6" i="13" s="1"/>
  <c r="UR150" i="13"/>
  <c r="UR6" i="13" s="1"/>
  <c r="SR138" i="13"/>
  <c r="OT112" i="13"/>
  <c r="QS125" i="13"/>
  <c r="SS137" i="13"/>
  <c r="SS6" i="13" s="1"/>
  <c r="QT124" i="13"/>
  <c r="QT6" i="13" s="1"/>
  <c r="OU111" i="13"/>
  <c r="OU6" i="13" s="1"/>
  <c r="Q19" i="13"/>
  <c r="MV98" i="13"/>
  <c r="MV6" i="13" s="1"/>
  <c r="KW85" i="13"/>
  <c r="KW6" i="13" s="1"/>
  <c r="IX72" i="13"/>
  <c r="IX6" i="13" s="1"/>
  <c r="MU99" i="13"/>
  <c r="KV86" i="13"/>
  <c r="IW73" i="13"/>
  <c r="GX60" i="13"/>
  <c r="CZ39" i="13"/>
  <c r="EY47" i="13"/>
  <c r="GY59" i="13"/>
  <c r="GY6" i="13" s="1"/>
  <c r="DA34" i="13"/>
  <c r="EZ46" i="13"/>
  <c r="EZ6" i="13" s="1"/>
  <c r="S19" i="13" l="1"/>
  <c r="T19" i="13"/>
  <c r="YO182" i="13"/>
  <c r="WP169" i="13"/>
  <c r="AAN195" i="13"/>
  <c r="UQ156" i="13"/>
  <c r="DA2" i="13"/>
  <c r="DA3" i="13"/>
  <c r="YP177" i="13"/>
  <c r="WQ164" i="13"/>
  <c r="AAO190" i="13"/>
  <c r="UR151" i="13"/>
  <c r="SS138" i="13"/>
  <c r="QT125" i="13"/>
  <c r="OU112" i="13"/>
  <c r="OT117" i="13"/>
  <c r="SR143" i="13"/>
  <c r="QS130" i="13"/>
  <c r="MU104" i="13"/>
  <c r="KV91" i="13"/>
  <c r="IW78" i="13"/>
  <c r="MV99" i="13"/>
  <c r="KW86" i="13"/>
  <c r="IX73" i="13"/>
  <c r="GY60" i="13"/>
  <c r="DA36" i="13"/>
  <c r="EZ47" i="13"/>
  <c r="DA39" i="13"/>
  <c r="EY52" i="13"/>
  <c r="GX65" i="13"/>
  <c r="YP2" i="13" l="1"/>
  <c r="YP3" i="13"/>
  <c r="WQ2" i="13"/>
  <c r="WQ3" i="13"/>
  <c r="MV2" i="13"/>
  <c r="MV3" i="13"/>
  <c r="QT2" i="13"/>
  <c r="QT3" i="13"/>
  <c r="OU2" i="13"/>
  <c r="OU3" i="13"/>
  <c r="SS2" i="13"/>
  <c r="SS3" i="13"/>
  <c r="DA4" i="13"/>
  <c r="DA5" i="13" s="1"/>
  <c r="YP179" i="13"/>
  <c r="YP4" i="13" s="1"/>
  <c r="YP5" i="13" s="1"/>
  <c r="AAO192" i="13"/>
  <c r="AAO4" i="13" s="1"/>
  <c r="WQ166" i="13"/>
  <c r="WQ4" i="13" s="1"/>
  <c r="UR153" i="13"/>
  <c r="UR4" i="13" s="1"/>
  <c r="GY2" i="13"/>
  <c r="GY3" i="13"/>
  <c r="IX2" i="13"/>
  <c r="IX3" i="13"/>
  <c r="KW2" i="13"/>
  <c r="KW3" i="13"/>
  <c r="AAO195" i="13"/>
  <c r="YP182" i="13"/>
  <c r="UR156" i="13"/>
  <c r="WQ169" i="13"/>
  <c r="EZ2" i="13"/>
  <c r="EZ3" i="13"/>
  <c r="UR2" i="13"/>
  <c r="UR3" i="13"/>
  <c r="AAO3" i="13"/>
  <c r="AAO2" i="13"/>
  <c r="SS140" i="13"/>
  <c r="SS4" i="13" s="1"/>
  <c r="QT127" i="13"/>
  <c r="QT4" i="13" s="1"/>
  <c r="OU114" i="13"/>
  <c r="OU4" i="13" s="1"/>
  <c r="OU5" i="13" s="1"/>
  <c r="OU117" i="13"/>
  <c r="QT130" i="13"/>
  <c r="SS143" i="13"/>
  <c r="KW91" i="13"/>
  <c r="MV104" i="13"/>
  <c r="IX78" i="13"/>
  <c r="MV101" i="13"/>
  <c r="MV4" i="13" s="1"/>
  <c r="MV5" i="13" s="1"/>
  <c r="KW88" i="13"/>
  <c r="KW4" i="13" s="1"/>
  <c r="IX75" i="13"/>
  <c r="IX4" i="13" s="1"/>
  <c r="IX5" i="13" s="1"/>
  <c r="GY62" i="13"/>
  <c r="GY4" i="13" s="1"/>
  <c r="GY5" i="13" s="1"/>
  <c r="EZ49" i="13"/>
  <c r="EZ4" i="13" s="1"/>
  <c r="EZ5" i="13" s="1"/>
  <c r="DB33" i="13"/>
  <c r="EZ52" i="13"/>
  <c r="GY65" i="13"/>
  <c r="WQ5" i="13" l="1"/>
  <c r="SS5" i="13"/>
  <c r="QT5" i="13"/>
  <c r="KW5" i="13"/>
  <c r="AAO5" i="13"/>
  <c r="UR5" i="13"/>
  <c r="AAO8" i="13"/>
  <c r="AAO7" i="13"/>
  <c r="AAO11" i="13"/>
  <c r="WQ7" i="13"/>
  <c r="WQ11" i="13"/>
  <c r="WQ8" i="13"/>
  <c r="YP8" i="13"/>
  <c r="YP11" i="13"/>
  <c r="YP7" i="13"/>
  <c r="GY7" i="13"/>
  <c r="GY11" i="13"/>
  <c r="GY8" i="13"/>
  <c r="DA7" i="13"/>
  <c r="DA11" i="13"/>
  <c r="DA8" i="13"/>
  <c r="IX7" i="13"/>
  <c r="IX8" i="13"/>
  <c r="IX11" i="13"/>
  <c r="MV8" i="13"/>
  <c r="MV7" i="13"/>
  <c r="MV11" i="13"/>
  <c r="EZ8" i="13"/>
  <c r="EZ7" i="13"/>
  <c r="EZ11" i="13"/>
  <c r="KW7" i="13"/>
  <c r="KW8" i="13"/>
  <c r="KW11" i="13"/>
  <c r="QT8" i="13"/>
  <c r="QT7" i="13"/>
  <c r="QT11" i="13"/>
  <c r="DB6" i="13"/>
  <c r="AAP189" i="13"/>
  <c r="AAP6" i="13" s="1"/>
  <c r="YQ176" i="13"/>
  <c r="YQ6" i="13" s="1"/>
  <c r="WR163" i="13"/>
  <c r="WR6" i="13" s="1"/>
  <c r="US150" i="13"/>
  <c r="US6" i="13" s="1"/>
  <c r="OU7" i="13"/>
  <c r="OU8" i="13"/>
  <c r="OU11" i="13"/>
  <c r="SS7" i="13"/>
  <c r="SS8" i="13"/>
  <c r="SS11" i="13"/>
  <c r="UR7" i="13"/>
  <c r="UR8" i="13"/>
  <c r="UR11" i="13"/>
  <c r="ST137" i="13"/>
  <c r="ST6" i="13" s="1"/>
  <c r="QU124" i="13"/>
  <c r="QU6" i="13" s="1"/>
  <c r="OV111" i="13"/>
  <c r="OV6" i="13" s="1"/>
  <c r="MW98" i="13"/>
  <c r="MW6" i="13" s="1"/>
  <c r="KX85" i="13"/>
  <c r="KX6" i="13" s="1"/>
  <c r="IY72" i="13"/>
  <c r="IY6" i="13" s="1"/>
  <c r="GZ59" i="13"/>
  <c r="GZ6" i="13" s="1"/>
  <c r="FA46" i="13"/>
  <c r="FA6" i="13" s="1"/>
  <c r="DB34" i="13"/>
  <c r="DA10" i="13" l="1"/>
  <c r="DA9" i="13"/>
  <c r="YP9" i="13"/>
  <c r="YP10" i="13"/>
  <c r="OU13" i="13"/>
  <c r="OU12" i="13"/>
  <c r="QT13" i="13"/>
  <c r="QT12" i="13"/>
  <c r="EZ10" i="13"/>
  <c r="EZ9" i="13"/>
  <c r="DA12" i="13"/>
  <c r="DA13" i="13"/>
  <c r="WQ9" i="13"/>
  <c r="WQ10" i="13"/>
  <c r="OU9" i="13"/>
  <c r="OU10" i="13"/>
  <c r="MV12" i="13"/>
  <c r="MV13" i="13"/>
  <c r="WQ12" i="13"/>
  <c r="WQ13" i="13"/>
  <c r="UR13" i="13"/>
  <c r="UR12" i="13"/>
  <c r="QT9" i="13"/>
  <c r="QT10" i="13"/>
  <c r="GY10" i="13"/>
  <c r="GY9" i="13"/>
  <c r="SS10" i="13"/>
  <c r="SS9" i="13"/>
  <c r="EZ12" i="13"/>
  <c r="EZ13" i="13"/>
  <c r="KW12" i="13"/>
  <c r="KW13" i="13"/>
  <c r="MV9" i="13"/>
  <c r="MV10" i="13"/>
  <c r="GY12" i="13"/>
  <c r="GY13" i="13"/>
  <c r="AAO12" i="13"/>
  <c r="AAO13" i="13"/>
  <c r="YP12" i="13"/>
  <c r="YP13" i="13"/>
  <c r="UR9" i="13"/>
  <c r="UR10" i="13"/>
  <c r="KW10" i="13"/>
  <c r="KW9" i="13"/>
  <c r="IX12" i="13"/>
  <c r="IX13" i="13"/>
  <c r="DB2" i="13"/>
  <c r="DB3" i="13"/>
  <c r="AAP190" i="13"/>
  <c r="WR164" i="13"/>
  <c r="YQ177" i="13"/>
  <c r="US151" i="13"/>
  <c r="SS12" i="13"/>
  <c r="SS13" i="13"/>
  <c r="IX10" i="13"/>
  <c r="IX9" i="13"/>
  <c r="AAO9" i="13"/>
  <c r="AAO10" i="13"/>
  <c r="ST138" i="13"/>
  <c r="QU125" i="13"/>
  <c r="OV112" i="13"/>
  <c r="MW99" i="13"/>
  <c r="KX86" i="13"/>
  <c r="IY73" i="13"/>
  <c r="GZ60" i="13"/>
  <c r="FA47" i="13"/>
  <c r="DB39" i="13"/>
  <c r="DB36" i="13"/>
  <c r="KX2" i="13" l="1"/>
  <c r="KX3" i="13"/>
  <c r="QU2" i="13"/>
  <c r="QU3" i="13"/>
  <c r="IY2" i="13"/>
  <c r="IY3" i="13"/>
  <c r="MW2" i="13"/>
  <c r="MW3" i="13"/>
  <c r="OV3" i="13"/>
  <c r="OV2" i="13"/>
  <c r="AAP195" i="13"/>
  <c r="YQ182" i="13"/>
  <c r="US156" i="13"/>
  <c r="WR169" i="13"/>
  <c r="FA2" i="13"/>
  <c r="FA3" i="13"/>
  <c r="WR2" i="13"/>
  <c r="WR3" i="13"/>
  <c r="DB4" i="13"/>
  <c r="DB5" i="13" s="1"/>
  <c r="AAP192" i="13"/>
  <c r="AAP4" i="13" s="1"/>
  <c r="YQ179" i="13"/>
  <c r="YQ4" i="13" s="1"/>
  <c r="WR166" i="13"/>
  <c r="WR4" i="13" s="1"/>
  <c r="US153" i="13"/>
  <c r="US4" i="13" s="1"/>
  <c r="US2" i="13"/>
  <c r="US3" i="13"/>
  <c r="ST2" i="13"/>
  <c r="ST3" i="13"/>
  <c r="YQ2" i="13"/>
  <c r="YQ3" i="13"/>
  <c r="GZ2" i="13"/>
  <c r="GZ3" i="13"/>
  <c r="AAP2" i="13"/>
  <c r="AAP3" i="13"/>
  <c r="ST140" i="13"/>
  <c r="ST4" i="13" s="1"/>
  <c r="ST5" i="13" s="1"/>
  <c r="OV114" i="13"/>
  <c r="OV4" i="13" s="1"/>
  <c r="QU127" i="13"/>
  <c r="QU4" i="13" s="1"/>
  <c r="QU130" i="13"/>
  <c r="OV117" i="13"/>
  <c r="ST143" i="13"/>
  <c r="MW101" i="13"/>
  <c r="MW4" i="13" s="1"/>
  <c r="KX88" i="13"/>
  <c r="KX4" i="13" s="1"/>
  <c r="KX5" i="13" s="1"/>
  <c r="IY75" i="13"/>
  <c r="IY4" i="13" s="1"/>
  <c r="MW104" i="13"/>
  <c r="KX91" i="13"/>
  <c r="IY78" i="13"/>
  <c r="GZ62" i="13"/>
  <c r="GZ4" i="13" s="1"/>
  <c r="GZ5" i="13" s="1"/>
  <c r="FA49" i="13"/>
  <c r="FA4" i="13" s="1"/>
  <c r="FA5" i="13" s="1"/>
  <c r="DC33" i="13"/>
  <c r="FA52" i="13"/>
  <c r="GZ65" i="13"/>
  <c r="OV5" i="13" l="1"/>
  <c r="QU5" i="13"/>
  <c r="WR5" i="13"/>
  <c r="IY5" i="13"/>
  <c r="MW5" i="13"/>
  <c r="US5" i="13"/>
  <c r="YQ5" i="13"/>
  <c r="AAP5" i="13"/>
  <c r="US7" i="13"/>
  <c r="US8" i="13"/>
  <c r="US11" i="13"/>
  <c r="WR7" i="13"/>
  <c r="WR8" i="13"/>
  <c r="WR11" i="13"/>
  <c r="YQ7" i="13"/>
  <c r="YQ11" i="13"/>
  <c r="YQ8" i="13"/>
  <c r="MW11" i="13"/>
  <c r="MW7" i="13"/>
  <c r="MW8" i="13"/>
  <c r="GZ7" i="13"/>
  <c r="GZ8" i="13"/>
  <c r="GZ11" i="13"/>
  <c r="AAP11" i="13"/>
  <c r="AAP8" i="13"/>
  <c r="AAP7" i="13"/>
  <c r="FA7" i="13"/>
  <c r="FA8" i="13"/>
  <c r="FA11" i="13"/>
  <c r="OV7" i="13"/>
  <c r="OV8" i="13"/>
  <c r="OV11" i="13"/>
  <c r="DB8" i="13"/>
  <c r="DB7" i="13"/>
  <c r="DB11" i="13"/>
  <c r="DC6" i="13"/>
  <c r="AAQ189" i="13"/>
  <c r="AAQ6" i="13" s="1"/>
  <c r="YR176" i="13"/>
  <c r="YR6" i="13" s="1"/>
  <c r="UT150" i="13"/>
  <c r="UT6" i="13" s="1"/>
  <c r="WS163" i="13"/>
  <c r="WS6" i="13" s="1"/>
  <c r="IY7" i="13"/>
  <c r="IY8" i="13"/>
  <c r="IY11" i="13"/>
  <c r="ST7" i="13"/>
  <c r="ST8" i="13"/>
  <c r="ST11" i="13"/>
  <c r="QU7" i="13"/>
  <c r="QU8" i="13"/>
  <c r="QU11" i="13"/>
  <c r="KX7" i="13"/>
  <c r="KX8" i="13"/>
  <c r="KX11" i="13"/>
  <c r="SU137" i="13"/>
  <c r="SU6" i="13" s="1"/>
  <c r="QV124" i="13"/>
  <c r="QV6" i="13" s="1"/>
  <c r="OW111" i="13"/>
  <c r="OW6" i="13" s="1"/>
  <c r="MX98" i="13"/>
  <c r="MX6" i="13" s="1"/>
  <c r="KY85" i="13"/>
  <c r="KY6" i="13" s="1"/>
  <c r="IZ72" i="13"/>
  <c r="IZ6" i="13" s="1"/>
  <c r="HA59" i="13"/>
  <c r="HA6" i="13" s="1"/>
  <c r="FB46" i="13"/>
  <c r="FB6" i="13" s="1"/>
  <c r="DC34" i="13"/>
  <c r="QU9" i="13" l="1"/>
  <c r="QU10" i="13"/>
  <c r="OV13" i="13"/>
  <c r="OV12" i="13"/>
  <c r="YQ13" i="13"/>
  <c r="YQ12" i="13"/>
  <c r="OV9" i="13"/>
  <c r="OV10" i="13"/>
  <c r="GZ13" i="13"/>
  <c r="GZ12" i="13"/>
  <c r="FA12" i="13"/>
  <c r="FA13" i="13"/>
  <c r="WR10" i="13"/>
  <c r="WR9" i="13"/>
  <c r="KX12" i="13"/>
  <c r="KX13" i="13"/>
  <c r="FA9" i="13"/>
  <c r="FA10" i="13"/>
  <c r="AAP12" i="13"/>
  <c r="AAP13" i="13"/>
  <c r="ST13" i="13"/>
  <c r="ST12" i="13"/>
  <c r="WR12" i="13"/>
  <c r="WR13" i="13"/>
  <c r="ST10" i="13"/>
  <c r="ST9" i="13"/>
  <c r="KX9" i="13"/>
  <c r="KX10" i="13"/>
  <c r="IY13" i="13"/>
  <c r="IY12" i="13"/>
  <c r="DB12" i="13"/>
  <c r="DB13" i="13"/>
  <c r="US12" i="13"/>
  <c r="US13" i="13"/>
  <c r="GZ9" i="13"/>
  <c r="GZ10" i="13"/>
  <c r="DC2" i="13"/>
  <c r="DC3" i="13"/>
  <c r="AAQ190" i="13"/>
  <c r="YR177" i="13"/>
  <c r="UT151" i="13"/>
  <c r="WS164" i="13"/>
  <c r="MW9" i="13"/>
  <c r="MW10" i="13"/>
  <c r="IY10" i="13"/>
  <c r="IY9" i="13"/>
  <c r="MW12" i="13"/>
  <c r="MW13" i="13"/>
  <c r="US10" i="13"/>
  <c r="US9" i="13"/>
  <c r="QU12" i="13"/>
  <c r="QU13" i="13"/>
  <c r="DB10" i="13"/>
  <c r="DB9" i="13"/>
  <c r="AAP9" i="13"/>
  <c r="AAP10" i="13"/>
  <c r="YQ9" i="13"/>
  <c r="YQ10" i="13"/>
  <c r="SU138" i="13"/>
  <c r="QV125" i="13"/>
  <c r="OW112" i="13"/>
  <c r="MX99" i="13"/>
  <c r="KY86" i="13"/>
  <c r="IZ73" i="13"/>
  <c r="HA60" i="13"/>
  <c r="FB47" i="13"/>
  <c r="DC36" i="13"/>
  <c r="DC39" i="13"/>
  <c r="KY2" i="13" l="1"/>
  <c r="KY3" i="13"/>
  <c r="AAQ3" i="13"/>
  <c r="AAQ2" i="13"/>
  <c r="IZ3" i="13"/>
  <c r="IZ2" i="13"/>
  <c r="QV2" i="13"/>
  <c r="QV3" i="13"/>
  <c r="AAQ195" i="13"/>
  <c r="YR182" i="13"/>
  <c r="UT156" i="13"/>
  <c r="WS169" i="13"/>
  <c r="SU2" i="13"/>
  <c r="SU3" i="13"/>
  <c r="MX2" i="13"/>
  <c r="MX3" i="13"/>
  <c r="OW2" i="13"/>
  <c r="OW3" i="13"/>
  <c r="DC4" i="13"/>
  <c r="DC5" i="13" s="1"/>
  <c r="AAQ192" i="13"/>
  <c r="AAQ4" i="13" s="1"/>
  <c r="AAQ5" i="13" s="1"/>
  <c r="YR179" i="13"/>
  <c r="YR4" i="13" s="1"/>
  <c r="UT153" i="13"/>
  <c r="UT4" i="13" s="1"/>
  <c r="WS166" i="13"/>
  <c r="WS4" i="13" s="1"/>
  <c r="FB2" i="13"/>
  <c r="FB3" i="13"/>
  <c r="WS2" i="13"/>
  <c r="WS3" i="13"/>
  <c r="YR3" i="13"/>
  <c r="YR2" i="13"/>
  <c r="HA2" i="13"/>
  <c r="HA3" i="13"/>
  <c r="UT2" i="13"/>
  <c r="UT3" i="13"/>
  <c r="SU140" i="13"/>
  <c r="SU4" i="13" s="1"/>
  <c r="QV127" i="13"/>
  <c r="QV4" i="13" s="1"/>
  <c r="OW114" i="13"/>
  <c r="OW4" i="13" s="1"/>
  <c r="OW5" i="13" s="1"/>
  <c r="QV130" i="13"/>
  <c r="OW117" i="13"/>
  <c r="SU143" i="13"/>
  <c r="MX104" i="13"/>
  <c r="KY91" i="13"/>
  <c r="IZ78" i="13"/>
  <c r="MX101" i="13"/>
  <c r="MX4" i="13" s="1"/>
  <c r="KY88" i="13"/>
  <c r="KY4" i="13" s="1"/>
  <c r="KY5" i="13" s="1"/>
  <c r="IZ75" i="13"/>
  <c r="IZ4" i="13" s="1"/>
  <c r="FB52" i="13"/>
  <c r="HA65" i="13"/>
  <c r="HA62" i="13"/>
  <c r="HA4" i="13" s="1"/>
  <c r="DD33" i="13"/>
  <c r="FB49" i="13"/>
  <c r="FB4" i="13" s="1"/>
  <c r="WS5" i="13" l="1"/>
  <c r="IZ5" i="13"/>
  <c r="HA5" i="13"/>
  <c r="MX5" i="13"/>
  <c r="QV5" i="13"/>
  <c r="UT5" i="13"/>
  <c r="YR5" i="13"/>
  <c r="FB5" i="13"/>
  <c r="SU5" i="13"/>
  <c r="UT7" i="13"/>
  <c r="UT11" i="13"/>
  <c r="UT8" i="13"/>
  <c r="WS7" i="13"/>
  <c r="WS8" i="13"/>
  <c r="WS11" i="13"/>
  <c r="HA11" i="13"/>
  <c r="HA7" i="13"/>
  <c r="HA8" i="13"/>
  <c r="YR7" i="13"/>
  <c r="YR8" i="13"/>
  <c r="YR11" i="13"/>
  <c r="AAQ8" i="13"/>
  <c r="AAQ7" i="13"/>
  <c r="AAQ11" i="13"/>
  <c r="IZ7" i="13"/>
  <c r="IZ8" i="13"/>
  <c r="IZ11" i="13"/>
  <c r="KY8" i="13"/>
  <c r="KY7" i="13"/>
  <c r="KY11" i="13"/>
  <c r="MX8" i="13"/>
  <c r="MX7" i="13"/>
  <c r="MX11" i="13"/>
  <c r="QV7" i="13"/>
  <c r="QV11" i="13"/>
  <c r="QV8" i="13"/>
  <c r="DC7" i="13"/>
  <c r="DC11" i="13"/>
  <c r="DC8" i="13"/>
  <c r="OW7" i="13"/>
  <c r="OW8" i="13"/>
  <c r="OW11" i="13"/>
  <c r="FB7" i="13"/>
  <c r="FB11" i="13"/>
  <c r="FB8" i="13"/>
  <c r="SU7" i="13"/>
  <c r="SU11" i="13"/>
  <c r="SU8" i="13"/>
  <c r="DD6" i="13"/>
  <c r="AAR189" i="13"/>
  <c r="AAR6" i="13" s="1"/>
  <c r="YS176" i="13"/>
  <c r="YS6" i="13" s="1"/>
  <c r="UU150" i="13"/>
  <c r="UU6" i="13" s="1"/>
  <c r="WT163" i="13"/>
  <c r="WT6" i="13" s="1"/>
  <c r="SV137" i="13"/>
  <c r="SV6" i="13" s="1"/>
  <c r="QW124" i="13"/>
  <c r="QW6" i="13" s="1"/>
  <c r="OX111" i="13"/>
  <c r="OX6" i="13" s="1"/>
  <c r="MY98" i="13"/>
  <c r="MY6" i="13" s="1"/>
  <c r="KZ85" i="13"/>
  <c r="KZ6" i="13" s="1"/>
  <c r="JA72" i="13"/>
  <c r="JA6" i="13" s="1"/>
  <c r="HB59" i="13"/>
  <c r="HB6" i="13" s="1"/>
  <c r="DD34" i="13"/>
  <c r="FC46" i="13"/>
  <c r="FC6" i="13" s="1"/>
  <c r="HA10" i="13" l="1"/>
  <c r="HA9" i="13"/>
  <c r="OW9" i="13"/>
  <c r="OW10" i="13"/>
  <c r="MX12" i="13"/>
  <c r="MX13" i="13"/>
  <c r="AAQ12" i="13"/>
  <c r="AAQ13" i="13"/>
  <c r="HA12" i="13"/>
  <c r="HA13" i="13"/>
  <c r="SU13" i="13"/>
  <c r="SU12" i="13"/>
  <c r="DC9" i="13"/>
  <c r="DC10" i="13"/>
  <c r="MX9" i="13"/>
  <c r="MX10" i="13"/>
  <c r="WS13" i="13"/>
  <c r="WS12" i="13"/>
  <c r="OW12" i="13"/>
  <c r="OW13" i="13"/>
  <c r="IZ9" i="13"/>
  <c r="IZ10" i="13"/>
  <c r="DC13" i="13"/>
  <c r="DC12" i="13"/>
  <c r="KY13" i="13"/>
  <c r="KY12" i="13"/>
  <c r="AAQ9" i="13"/>
  <c r="AAQ10" i="13"/>
  <c r="WS9" i="13"/>
  <c r="WS10" i="13"/>
  <c r="DD2" i="13"/>
  <c r="DD3" i="13"/>
  <c r="AAR190" i="13"/>
  <c r="YS177" i="13"/>
  <c r="WT164" i="13"/>
  <c r="UU151" i="13"/>
  <c r="FB9" i="13"/>
  <c r="FB10" i="13"/>
  <c r="YR13" i="13"/>
  <c r="YR12" i="13"/>
  <c r="FB12" i="13"/>
  <c r="FB13" i="13"/>
  <c r="QV9" i="13"/>
  <c r="QV10" i="13"/>
  <c r="KY9" i="13"/>
  <c r="KY10" i="13"/>
  <c r="YR9" i="13"/>
  <c r="YR10" i="13"/>
  <c r="UT10" i="13"/>
  <c r="UT9" i="13"/>
  <c r="SU9" i="13"/>
  <c r="SU10" i="13"/>
  <c r="QV13" i="13"/>
  <c r="QV12" i="13"/>
  <c r="IZ13" i="13"/>
  <c r="IZ12" i="13"/>
  <c r="UT13" i="13"/>
  <c r="UT12" i="13"/>
  <c r="SV138" i="13"/>
  <c r="QW125" i="13"/>
  <c r="OX112" i="13"/>
  <c r="MY99" i="13"/>
  <c r="KZ86" i="13"/>
  <c r="JA73" i="13"/>
  <c r="HB60" i="13"/>
  <c r="DD36" i="13"/>
  <c r="FC47" i="13"/>
  <c r="DD39" i="13"/>
  <c r="KZ2" i="13" l="1"/>
  <c r="KZ3" i="13"/>
  <c r="MY2" i="13"/>
  <c r="MY3" i="13"/>
  <c r="HB2" i="13"/>
  <c r="HB3" i="13"/>
  <c r="OX2" i="13"/>
  <c r="OX3" i="13"/>
  <c r="QW2" i="13"/>
  <c r="QW3" i="13"/>
  <c r="UU2" i="13"/>
  <c r="UU3" i="13"/>
  <c r="AAR195" i="13"/>
  <c r="YS182" i="13"/>
  <c r="WT169" i="13"/>
  <c r="UU156" i="13"/>
  <c r="FC2" i="13"/>
  <c r="FC3" i="13"/>
  <c r="SV3" i="13"/>
  <c r="SV2" i="13"/>
  <c r="WT2" i="13"/>
  <c r="WT3" i="13"/>
  <c r="AAR2" i="13"/>
  <c r="AAR3" i="13"/>
  <c r="JA2" i="13"/>
  <c r="JA3" i="13"/>
  <c r="DD4" i="13"/>
  <c r="DD5" i="13" s="1"/>
  <c r="AAR192" i="13"/>
  <c r="AAR4" i="13" s="1"/>
  <c r="YS179" i="13"/>
  <c r="YS4" i="13" s="1"/>
  <c r="UU153" i="13"/>
  <c r="UU4" i="13" s="1"/>
  <c r="UU5" i="13" s="1"/>
  <c r="WT166" i="13"/>
  <c r="WT4" i="13" s="1"/>
  <c r="YS2" i="13"/>
  <c r="YS3" i="13"/>
  <c r="SV140" i="13"/>
  <c r="SV4" i="13" s="1"/>
  <c r="QW127" i="13"/>
  <c r="QW4" i="13" s="1"/>
  <c r="QW5" i="13" s="1"/>
  <c r="OX114" i="13"/>
  <c r="OX4" i="13" s="1"/>
  <c r="OX5" i="13" s="1"/>
  <c r="QW130" i="13"/>
  <c r="OX117" i="13"/>
  <c r="SV143" i="13"/>
  <c r="MY104" i="13"/>
  <c r="KZ91" i="13"/>
  <c r="JA78" i="13"/>
  <c r="MY101" i="13"/>
  <c r="MY4" i="13" s="1"/>
  <c r="MY5" i="13" s="1"/>
  <c r="KZ88" i="13"/>
  <c r="KZ4" i="13" s="1"/>
  <c r="KZ5" i="13" s="1"/>
  <c r="JA75" i="13"/>
  <c r="JA4" i="13" s="1"/>
  <c r="JA5" i="13" s="1"/>
  <c r="HB62" i="13"/>
  <c r="HB4" i="13" s="1"/>
  <c r="HB5" i="13" s="1"/>
  <c r="FC49" i="13"/>
  <c r="FC4" i="13" s="1"/>
  <c r="FC5" i="13" s="1"/>
  <c r="DE33" i="13"/>
  <c r="FC52" i="13"/>
  <c r="HB65" i="13"/>
  <c r="WT5" i="13" l="1"/>
  <c r="YS5" i="13"/>
  <c r="AAR5" i="13"/>
  <c r="SV5" i="13"/>
  <c r="DE6" i="13"/>
  <c r="AAS189" i="13"/>
  <c r="AAS6" i="13" s="1"/>
  <c r="YT176" i="13"/>
  <c r="YT6" i="13" s="1"/>
  <c r="WU163" i="13"/>
  <c r="WU6" i="13" s="1"/>
  <c r="UV150" i="13"/>
  <c r="UV6" i="13" s="1"/>
  <c r="WT8" i="13"/>
  <c r="WT7" i="13"/>
  <c r="WT11" i="13"/>
  <c r="UU8" i="13"/>
  <c r="UU7" i="13"/>
  <c r="UU11" i="13"/>
  <c r="YS8" i="13"/>
  <c r="YS11" i="13"/>
  <c r="YS7" i="13"/>
  <c r="FC7" i="13"/>
  <c r="FC8" i="13"/>
  <c r="FC11" i="13"/>
  <c r="OX7" i="13"/>
  <c r="OX11" i="13"/>
  <c r="OX8" i="13"/>
  <c r="AAR8" i="13"/>
  <c r="AAR7" i="13"/>
  <c r="AAR11" i="13"/>
  <c r="JA8" i="13"/>
  <c r="JA7" i="13"/>
  <c r="JA11" i="13"/>
  <c r="MY7" i="13"/>
  <c r="MY8" i="13"/>
  <c r="MY11" i="13"/>
  <c r="QW7" i="13"/>
  <c r="QW8" i="13"/>
  <c r="QW11" i="13"/>
  <c r="DD7" i="13"/>
  <c r="DD8" i="13"/>
  <c r="DD11" i="13"/>
  <c r="HB7" i="13"/>
  <c r="HB8" i="13"/>
  <c r="HB11" i="13"/>
  <c r="KZ7" i="13"/>
  <c r="KZ8" i="13"/>
  <c r="KZ11" i="13"/>
  <c r="SV7" i="13"/>
  <c r="SV8" i="13"/>
  <c r="SV11" i="13"/>
  <c r="SW137" i="13"/>
  <c r="SW6" i="13" s="1"/>
  <c r="QX124" i="13"/>
  <c r="QX6" i="13" s="1"/>
  <c r="OY111" i="13"/>
  <c r="OY6" i="13" s="1"/>
  <c r="MZ98" i="13"/>
  <c r="MZ6" i="13" s="1"/>
  <c r="LA85" i="13"/>
  <c r="LA6" i="13" s="1"/>
  <c r="JB72" i="13"/>
  <c r="JB6" i="13" s="1"/>
  <c r="HC59" i="13"/>
  <c r="HC6" i="13" s="1"/>
  <c r="FD46" i="13"/>
  <c r="FD6" i="13" s="1"/>
  <c r="DE34" i="13"/>
  <c r="KZ9" i="13" l="1"/>
  <c r="KZ10" i="13"/>
  <c r="QW13" i="13"/>
  <c r="QW12" i="13"/>
  <c r="JA9" i="13"/>
  <c r="JA10" i="13"/>
  <c r="FC9" i="13"/>
  <c r="FC10" i="13"/>
  <c r="WT12" i="13"/>
  <c r="WT13" i="13"/>
  <c r="QW9" i="13"/>
  <c r="QW10" i="13"/>
  <c r="AAR12" i="13"/>
  <c r="AAR13" i="13"/>
  <c r="HB13" i="13"/>
  <c r="HB12" i="13"/>
  <c r="WT9" i="13"/>
  <c r="WT10" i="13"/>
  <c r="HB10" i="13"/>
  <c r="HB9" i="13"/>
  <c r="MY12" i="13"/>
  <c r="MY13" i="13"/>
  <c r="AAR10" i="13"/>
  <c r="AAR9" i="13"/>
  <c r="SV13" i="13"/>
  <c r="SV12" i="13"/>
  <c r="MY10" i="13"/>
  <c r="MY9" i="13"/>
  <c r="OX9" i="13"/>
  <c r="OX10" i="13"/>
  <c r="YS9" i="13"/>
  <c r="YS10" i="13"/>
  <c r="DE2" i="13"/>
  <c r="DE3" i="13"/>
  <c r="AAS190" i="13"/>
  <c r="WU164" i="13"/>
  <c r="YT177" i="13"/>
  <c r="UV151" i="13"/>
  <c r="YS12" i="13"/>
  <c r="YS13" i="13"/>
  <c r="SV9" i="13"/>
  <c r="SV10" i="13"/>
  <c r="DD12" i="13"/>
  <c r="DD13" i="13"/>
  <c r="OX12" i="13"/>
  <c r="OX13" i="13"/>
  <c r="UU12" i="13"/>
  <c r="UU13" i="13"/>
  <c r="DD10" i="13"/>
  <c r="DD9" i="13"/>
  <c r="JA12" i="13"/>
  <c r="JA13" i="13"/>
  <c r="KZ12" i="13"/>
  <c r="KZ13" i="13"/>
  <c r="FC12" i="13"/>
  <c r="FC13" i="13"/>
  <c r="UU9" i="13"/>
  <c r="UU10" i="13"/>
  <c r="SW138" i="13"/>
  <c r="QX125" i="13"/>
  <c r="OY112" i="13"/>
  <c r="MZ99" i="13"/>
  <c r="LA86" i="13"/>
  <c r="JB73" i="13"/>
  <c r="HC60" i="13"/>
  <c r="FD47" i="13"/>
  <c r="DE39" i="13"/>
  <c r="DE36" i="13"/>
  <c r="MZ3" i="13" l="1"/>
  <c r="MZ2" i="13"/>
  <c r="UV2" i="13"/>
  <c r="UV3" i="13"/>
  <c r="HC2" i="13"/>
  <c r="HC3" i="13"/>
  <c r="DE4" i="13"/>
  <c r="DE5" i="13" s="1"/>
  <c r="AAS192" i="13"/>
  <c r="AAS4" i="13" s="1"/>
  <c r="YT179" i="13"/>
  <c r="YT4" i="13" s="1"/>
  <c r="WU166" i="13"/>
  <c r="WU4" i="13" s="1"/>
  <c r="UV153" i="13"/>
  <c r="UV4" i="13" s="1"/>
  <c r="UV5" i="13" s="1"/>
  <c r="QX2" i="13"/>
  <c r="QX3" i="13"/>
  <c r="WU3" i="13"/>
  <c r="WU2" i="13"/>
  <c r="LA2" i="13"/>
  <c r="LA3" i="13"/>
  <c r="AAS195" i="13"/>
  <c r="YT182" i="13"/>
  <c r="WU169" i="13"/>
  <c r="UV156" i="13"/>
  <c r="SW2" i="13"/>
  <c r="SW3" i="13"/>
  <c r="AAS2" i="13"/>
  <c r="AAS3" i="13"/>
  <c r="JB2" i="13"/>
  <c r="JB3" i="13"/>
  <c r="OY2" i="13"/>
  <c r="OY3" i="13"/>
  <c r="YT2" i="13"/>
  <c r="YT3" i="13"/>
  <c r="FD2" i="13"/>
  <c r="FD3" i="13"/>
  <c r="SW140" i="13"/>
  <c r="SW4" i="13" s="1"/>
  <c r="OY114" i="13"/>
  <c r="OY4" i="13" s="1"/>
  <c r="QX127" i="13"/>
  <c r="QX4" i="13" s="1"/>
  <c r="QX5" i="13" s="1"/>
  <c r="QX130" i="13"/>
  <c r="OY117" i="13"/>
  <c r="SW143" i="13"/>
  <c r="MZ101" i="13"/>
  <c r="MZ4" i="13" s="1"/>
  <c r="MZ5" i="13" s="1"/>
  <c r="LA88" i="13"/>
  <c r="LA4" i="13" s="1"/>
  <c r="JB75" i="13"/>
  <c r="JB4" i="13" s="1"/>
  <c r="JB5" i="13" s="1"/>
  <c r="MZ104" i="13"/>
  <c r="LA91" i="13"/>
  <c r="JB78" i="13"/>
  <c r="HC62" i="13"/>
  <c r="HC4" i="13" s="1"/>
  <c r="FD49" i="13"/>
  <c r="FD4" i="13" s="1"/>
  <c r="DF33" i="13"/>
  <c r="FD52" i="13"/>
  <c r="HC65" i="13"/>
  <c r="HC5" i="13" l="1"/>
  <c r="OY5" i="13"/>
  <c r="FD5" i="13"/>
  <c r="LA5" i="13"/>
  <c r="AAS5" i="13"/>
  <c r="SW5" i="13"/>
  <c r="WU5" i="13"/>
  <c r="YT5" i="13"/>
  <c r="AAS7" i="13"/>
  <c r="AAS8" i="13"/>
  <c r="AAS11" i="13"/>
  <c r="DE7" i="13"/>
  <c r="DE8" i="13"/>
  <c r="DE11" i="13"/>
  <c r="MZ7" i="13"/>
  <c r="MZ8" i="13"/>
  <c r="MZ11" i="13"/>
  <c r="DF6" i="13"/>
  <c r="AAT189" i="13"/>
  <c r="AAT6" i="13" s="1"/>
  <c r="YU176" i="13"/>
  <c r="YU6" i="13" s="1"/>
  <c r="UW150" i="13"/>
  <c r="UW6" i="13" s="1"/>
  <c r="WV163" i="13"/>
  <c r="WV6" i="13" s="1"/>
  <c r="LA7" i="13"/>
  <c r="LA8" i="13"/>
  <c r="LA11" i="13"/>
  <c r="QX7" i="13"/>
  <c r="QX8" i="13"/>
  <c r="QX11" i="13"/>
  <c r="HC7" i="13"/>
  <c r="HC8" i="13"/>
  <c r="HC11" i="13"/>
  <c r="OY7" i="13"/>
  <c r="OY8" i="13"/>
  <c r="OY11" i="13"/>
  <c r="UV7" i="13"/>
  <c r="UV11" i="13"/>
  <c r="UV8" i="13"/>
  <c r="FD8" i="13"/>
  <c r="FD7" i="13"/>
  <c r="FD11" i="13"/>
  <c r="JB11" i="13"/>
  <c r="JB8" i="13"/>
  <c r="JB7" i="13"/>
  <c r="SW8" i="13"/>
  <c r="SW7" i="13"/>
  <c r="SW11" i="13"/>
  <c r="WU7" i="13"/>
  <c r="WU8" i="13"/>
  <c r="WU11" i="13"/>
  <c r="YT7" i="13"/>
  <c r="YT8" i="13"/>
  <c r="YT11" i="13"/>
  <c r="SX137" i="13"/>
  <c r="SX6" i="13" s="1"/>
  <c r="QY124" i="13"/>
  <c r="QY6" i="13" s="1"/>
  <c r="OZ111" i="13"/>
  <c r="OZ6" i="13" s="1"/>
  <c r="NA98" i="13"/>
  <c r="NA6" i="13" s="1"/>
  <c r="LB85" i="13"/>
  <c r="LB6" i="13" s="1"/>
  <c r="JC72" i="13"/>
  <c r="JC6" i="13" s="1"/>
  <c r="HD59" i="13"/>
  <c r="HD6" i="13" s="1"/>
  <c r="DF34" i="13"/>
  <c r="FE46" i="13"/>
  <c r="FE6" i="13" s="1"/>
  <c r="WU9" i="13" l="1"/>
  <c r="WU10" i="13"/>
  <c r="FD12" i="13"/>
  <c r="FD13" i="13"/>
  <c r="LA9" i="13"/>
  <c r="LA10" i="13"/>
  <c r="MZ9" i="13"/>
  <c r="MZ10" i="13"/>
  <c r="HC13" i="13"/>
  <c r="HC12" i="13"/>
  <c r="SW13" i="13"/>
  <c r="SW12" i="13"/>
  <c r="FD10" i="13"/>
  <c r="FD9" i="13"/>
  <c r="HC9" i="13"/>
  <c r="HC10" i="13"/>
  <c r="DE12" i="13"/>
  <c r="DE13" i="13"/>
  <c r="LA12" i="13"/>
  <c r="LA13" i="13"/>
  <c r="UV10" i="13"/>
  <c r="UV9" i="13"/>
  <c r="DE9" i="13"/>
  <c r="DE10" i="13"/>
  <c r="DF2" i="13"/>
  <c r="DF3" i="13"/>
  <c r="AAT190" i="13"/>
  <c r="YU177" i="13"/>
  <c r="WV164" i="13"/>
  <c r="UW151" i="13"/>
  <c r="YT12" i="13"/>
  <c r="YT13" i="13"/>
  <c r="SW9" i="13"/>
  <c r="SW10" i="13"/>
  <c r="UV12" i="13"/>
  <c r="UV13" i="13"/>
  <c r="QX12" i="13"/>
  <c r="QX13" i="13"/>
  <c r="WU12" i="13"/>
  <c r="WU13" i="13"/>
  <c r="OY9" i="13"/>
  <c r="OY10" i="13"/>
  <c r="MZ12" i="13"/>
  <c r="MZ13" i="13"/>
  <c r="YT10" i="13"/>
  <c r="YT9" i="13"/>
  <c r="QX9" i="13"/>
  <c r="QX10" i="13"/>
  <c r="AAS13" i="13"/>
  <c r="AAS12" i="13"/>
  <c r="JB12" i="13"/>
  <c r="JB13" i="13"/>
  <c r="JB10" i="13"/>
  <c r="JB9" i="13"/>
  <c r="OY13" i="13"/>
  <c r="OY12" i="13"/>
  <c r="AAS9" i="13"/>
  <c r="AAS10" i="13"/>
  <c r="SX138" i="13"/>
  <c r="QY125" i="13"/>
  <c r="OZ112" i="13"/>
  <c r="NA99" i="13"/>
  <c r="LB86" i="13"/>
  <c r="JC73" i="13"/>
  <c r="HD60" i="13"/>
  <c r="FE47" i="13"/>
  <c r="DF36" i="13"/>
  <c r="DF39" i="13"/>
  <c r="LB2" i="13" l="1"/>
  <c r="LB3" i="13"/>
  <c r="UW2" i="13"/>
  <c r="UW3" i="13"/>
  <c r="JC2" i="13"/>
  <c r="JC3" i="13"/>
  <c r="WV3" i="13"/>
  <c r="WV2" i="13"/>
  <c r="HD2" i="13"/>
  <c r="HD3" i="13"/>
  <c r="AAT195" i="13"/>
  <c r="YU182" i="13"/>
  <c r="WV169" i="13"/>
  <c r="UW156" i="13"/>
  <c r="QY2" i="13"/>
  <c r="QY3" i="13"/>
  <c r="YU3" i="13"/>
  <c r="YU2" i="13"/>
  <c r="NA2" i="13"/>
  <c r="NA3" i="13"/>
  <c r="DF4" i="13"/>
  <c r="DF5" i="13" s="1"/>
  <c r="AAT192" i="13"/>
  <c r="AAT4" i="13" s="1"/>
  <c r="YU179" i="13"/>
  <c r="YU4" i="13" s="1"/>
  <c r="WV166" i="13"/>
  <c r="WV4" i="13" s="1"/>
  <c r="WV5" i="13" s="1"/>
  <c r="UW153" i="13"/>
  <c r="UW4" i="13" s="1"/>
  <c r="SX3" i="13"/>
  <c r="SX2" i="13"/>
  <c r="AAT2" i="13"/>
  <c r="AAT3" i="13"/>
  <c r="OZ2" i="13"/>
  <c r="OZ3" i="13"/>
  <c r="FE2" i="13"/>
  <c r="FE3" i="13"/>
  <c r="SX140" i="13"/>
  <c r="SX4" i="13" s="1"/>
  <c r="QY127" i="13"/>
  <c r="QY4" i="13" s="1"/>
  <c r="OZ114" i="13"/>
  <c r="OZ4" i="13" s="1"/>
  <c r="SX143" i="13"/>
  <c r="QY130" i="13"/>
  <c r="OZ117" i="13"/>
  <c r="NA101" i="13"/>
  <c r="NA4" i="13" s="1"/>
  <c r="NA5" i="13" s="1"/>
  <c r="LB88" i="13"/>
  <c r="LB4" i="13" s="1"/>
  <c r="LB5" i="13" s="1"/>
  <c r="JC75" i="13"/>
  <c r="JC4" i="13" s="1"/>
  <c r="NA104" i="13"/>
  <c r="LB91" i="13"/>
  <c r="JC78" i="13"/>
  <c r="FE52" i="13"/>
  <c r="HD65" i="13"/>
  <c r="HD62" i="13"/>
  <c r="HD4" i="13" s="1"/>
  <c r="HD5" i="13" s="1"/>
  <c r="FE49" i="13"/>
  <c r="FE4" i="13" s="1"/>
  <c r="DG33" i="13"/>
  <c r="YU5" i="13" l="1"/>
  <c r="SX5" i="13"/>
  <c r="UW5" i="13"/>
  <c r="JC5" i="13"/>
  <c r="AAT5" i="13"/>
  <c r="OZ5" i="13"/>
  <c r="QY5" i="13"/>
  <c r="FE5" i="13"/>
  <c r="WV7" i="13"/>
  <c r="WV8" i="13"/>
  <c r="WV11" i="13"/>
  <c r="LB7" i="13"/>
  <c r="LB8" i="13"/>
  <c r="LB11" i="13"/>
  <c r="NA7" i="13"/>
  <c r="NA11" i="13"/>
  <c r="NA8" i="13"/>
  <c r="AAT8" i="13"/>
  <c r="AAT7" i="13"/>
  <c r="AAT11" i="13"/>
  <c r="DF7" i="13"/>
  <c r="DF8" i="13"/>
  <c r="DF11" i="13"/>
  <c r="HD7" i="13"/>
  <c r="HD8" i="13"/>
  <c r="HD11" i="13"/>
  <c r="OZ8" i="13"/>
  <c r="OZ7" i="13"/>
  <c r="OZ11" i="13"/>
  <c r="YU8" i="13"/>
  <c r="YU11" i="13"/>
  <c r="YU7" i="13"/>
  <c r="QY7" i="13"/>
  <c r="QY8" i="13"/>
  <c r="QY11" i="13"/>
  <c r="FE7" i="13"/>
  <c r="FE8" i="13"/>
  <c r="FE11" i="13"/>
  <c r="DG6" i="13"/>
  <c r="AAU189" i="13"/>
  <c r="AAU6" i="13" s="1"/>
  <c r="YV176" i="13"/>
  <c r="YV6" i="13" s="1"/>
  <c r="UX150" i="13"/>
  <c r="UX6" i="13" s="1"/>
  <c r="WW163" i="13"/>
  <c r="WW6" i="13" s="1"/>
  <c r="JC7" i="13"/>
  <c r="JC8" i="13"/>
  <c r="JC11" i="13"/>
  <c r="SX8" i="13"/>
  <c r="SX7" i="13"/>
  <c r="SX11" i="13"/>
  <c r="UW7" i="13"/>
  <c r="UW8" i="13"/>
  <c r="UW11" i="13"/>
  <c r="SY137" i="13"/>
  <c r="SY6" i="13" s="1"/>
  <c r="QZ124" i="13"/>
  <c r="QZ6" i="13" s="1"/>
  <c r="PA111" i="13"/>
  <c r="PA6" i="13" s="1"/>
  <c r="NB98" i="13"/>
  <c r="NB6" i="13" s="1"/>
  <c r="LC85" i="13"/>
  <c r="LC6" i="13" s="1"/>
  <c r="JD72" i="13"/>
  <c r="JD6" i="13" s="1"/>
  <c r="HE59" i="13"/>
  <c r="HE6" i="13" s="1"/>
  <c r="FF46" i="13"/>
  <c r="FF6" i="13" s="1"/>
  <c r="DG34" i="13"/>
  <c r="NA12" i="13" l="1"/>
  <c r="NA13" i="13"/>
  <c r="YU12" i="13"/>
  <c r="YU13" i="13"/>
  <c r="DF13" i="13"/>
  <c r="DF12" i="13"/>
  <c r="NA10" i="13"/>
  <c r="NA9" i="13"/>
  <c r="JC12" i="13"/>
  <c r="JC13" i="13"/>
  <c r="FE12" i="13"/>
  <c r="FE13" i="13"/>
  <c r="YU10" i="13"/>
  <c r="YU9" i="13"/>
  <c r="DF10" i="13"/>
  <c r="DF9" i="13"/>
  <c r="LB13" i="13"/>
  <c r="LB12" i="13"/>
  <c r="SX13" i="13"/>
  <c r="SX12" i="13"/>
  <c r="HD9" i="13"/>
  <c r="HD10" i="13"/>
  <c r="SX10" i="13"/>
  <c r="SX9" i="13"/>
  <c r="JC10" i="13"/>
  <c r="JC9" i="13"/>
  <c r="OZ13" i="13"/>
  <c r="OZ12" i="13"/>
  <c r="LB9" i="13"/>
  <c r="LB10" i="13"/>
  <c r="UW12" i="13"/>
  <c r="UW13" i="13"/>
  <c r="AAT12" i="13"/>
  <c r="AAT13" i="13"/>
  <c r="DG2" i="13"/>
  <c r="DG3" i="13"/>
  <c r="YV177" i="13"/>
  <c r="AAU190" i="13"/>
  <c r="WW164" i="13"/>
  <c r="UX151" i="13"/>
  <c r="FE10" i="13"/>
  <c r="FE9" i="13"/>
  <c r="UW10" i="13"/>
  <c r="UW9" i="13"/>
  <c r="QY12" i="13"/>
  <c r="QY13" i="13"/>
  <c r="OZ10" i="13"/>
  <c r="OZ9" i="13"/>
  <c r="WV12" i="13"/>
  <c r="WV13" i="13"/>
  <c r="QY10" i="13"/>
  <c r="QY9" i="13"/>
  <c r="HD12" i="13"/>
  <c r="HD13" i="13"/>
  <c r="AAT9" i="13"/>
  <c r="AAT10" i="13"/>
  <c r="WV10" i="13"/>
  <c r="WV9" i="13"/>
  <c r="SY138" i="13"/>
  <c r="QZ125" i="13"/>
  <c r="PA112" i="13"/>
  <c r="LC86" i="13"/>
  <c r="NB99" i="13"/>
  <c r="JD73" i="13"/>
  <c r="HE60" i="13"/>
  <c r="DG36" i="13"/>
  <c r="FF47" i="13"/>
  <c r="DG39" i="13"/>
  <c r="UX2" i="13" l="1"/>
  <c r="UX3" i="13"/>
  <c r="WW2" i="13"/>
  <c r="WW3" i="13"/>
  <c r="NB2" i="13"/>
  <c r="NB3" i="13"/>
  <c r="LC2" i="13"/>
  <c r="LC3" i="13"/>
  <c r="PA2" i="13"/>
  <c r="PA3" i="13"/>
  <c r="AAU2" i="13"/>
  <c r="AAU3" i="13"/>
  <c r="AAU195" i="13"/>
  <c r="WW169" i="13"/>
  <c r="YV182" i="13"/>
  <c r="UX156" i="13"/>
  <c r="YV2" i="13"/>
  <c r="YV3" i="13"/>
  <c r="QZ3" i="13"/>
  <c r="QZ2" i="13"/>
  <c r="FF3" i="13"/>
  <c r="FF2" i="13"/>
  <c r="SY2" i="13"/>
  <c r="SY3" i="13"/>
  <c r="DG4" i="13"/>
  <c r="DG5" i="13" s="1"/>
  <c r="AAU192" i="13"/>
  <c r="AAU4" i="13" s="1"/>
  <c r="YV179" i="13"/>
  <c r="YV4" i="13" s="1"/>
  <c r="WW166" i="13"/>
  <c r="WW4" i="13" s="1"/>
  <c r="WW5" i="13" s="1"/>
  <c r="UX153" i="13"/>
  <c r="UX4" i="13" s="1"/>
  <c r="JD2" i="13"/>
  <c r="JD3" i="13"/>
  <c r="HE2" i="13"/>
  <c r="HE3" i="13"/>
  <c r="SY140" i="13"/>
  <c r="SY4" i="13" s="1"/>
  <c r="QZ127" i="13"/>
  <c r="QZ4" i="13" s="1"/>
  <c r="PA114" i="13"/>
  <c r="PA4" i="13" s="1"/>
  <c r="SY143" i="13"/>
  <c r="PA117" i="13"/>
  <c r="QZ130" i="13"/>
  <c r="NB104" i="13"/>
  <c r="LC91" i="13"/>
  <c r="JD78" i="13"/>
  <c r="NB101" i="13"/>
  <c r="NB4" i="13" s="1"/>
  <c r="NB5" i="13" s="1"/>
  <c r="LC88" i="13"/>
  <c r="LC4" i="13" s="1"/>
  <c r="JD75" i="13"/>
  <c r="JD4" i="13" s="1"/>
  <c r="HE62" i="13"/>
  <c r="HE4" i="13" s="1"/>
  <c r="FF49" i="13"/>
  <c r="FF4" i="13" s="1"/>
  <c r="DH33" i="13"/>
  <c r="FF52" i="13"/>
  <c r="HE65" i="13"/>
  <c r="UX5" i="13" l="1"/>
  <c r="PA5" i="13"/>
  <c r="YV5" i="13"/>
  <c r="AAU5" i="13"/>
  <c r="FF5" i="13"/>
  <c r="LC5" i="13"/>
  <c r="QZ5" i="13"/>
  <c r="JD5" i="13"/>
  <c r="HE5" i="13"/>
  <c r="SY5" i="13"/>
  <c r="DG8" i="13"/>
  <c r="DG7" i="13"/>
  <c r="DG11" i="13"/>
  <c r="DH6" i="13"/>
  <c r="AAV189" i="13"/>
  <c r="AAV6" i="13" s="1"/>
  <c r="WX163" i="13"/>
  <c r="WX6" i="13" s="1"/>
  <c r="YW176" i="13"/>
  <c r="YW6" i="13" s="1"/>
  <c r="UY150" i="13"/>
  <c r="UY6" i="13" s="1"/>
  <c r="FF7" i="13"/>
  <c r="FF8" i="13"/>
  <c r="FF11" i="13"/>
  <c r="HE7" i="13"/>
  <c r="HE8" i="13"/>
  <c r="HE11" i="13"/>
  <c r="PA7" i="13"/>
  <c r="PA8" i="13"/>
  <c r="PA11" i="13"/>
  <c r="WW7" i="13"/>
  <c r="WW11" i="13"/>
  <c r="WW8" i="13"/>
  <c r="JD8" i="13"/>
  <c r="JD7" i="13"/>
  <c r="JD11" i="13"/>
  <c r="NB8" i="13"/>
  <c r="NB7" i="13"/>
  <c r="NB11" i="13"/>
  <c r="QZ7" i="13"/>
  <c r="QZ8" i="13"/>
  <c r="QZ11" i="13"/>
  <c r="YV8" i="13"/>
  <c r="YV7" i="13"/>
  <c r="YV11" i="13"/>
  <c r="UX7" i="13"/>
  <c r="UX8" i="13"/>
  <c r="UX11" i="13"/>
  <c r="LC7" i="13"/>
  <c r="LC8" i="13"/>
  <c r="LC11" i="13"/>
  <c r="SY7" i="13"/>
  <c r="SY8" i="13"/>
  <c r="SY11" i="13"/>
  <c r="AAU8" i="13"/>
  <c r="AAU7" i="13"/>
  <c r="AAU11" i="13"/>
  <c r="SZ137" i="13"/>
  <c r="SZ6" i="13" s="1"/>
  <c r="RA124" i="13"/>
  <c r="RA6" i="13" s="1"/>
  <c r="PB111" i="13"/>
  <c r="PB6" i="13" s="1"/>
  <c r="NC98" i="13"/>
  <c r="NC6" i="13" s="1"/>
  <c r="LD85" i="13"/>
  <c r="LD6" i="13" s="1"/>
  <c r="JE72" i="13"/>
  <c r="JE6" i="13" s="1"/>
  <c r="HF59" i="13"/>
  <c r="HF6" i="13" s="1"/>
  <c r="FG46" i="13"/>
  <c r="FG6" i="13" s="1"/>
  <c r="DH34" i="13"/>
  <c r="PA10" i="13" l="1"/>
  <c r="PA9" i="13"/>
  <c r="JD12" i="13"/>
  <c r="JD13" i="13"/>
  <c r="LC12" i="13"/>
  <c r="LC13" i="13"/>
  <c r="HE12" i="13"/>
  <c r="HE13" i="13"/>
  <c r="SY9" i="13"/>
  <c r="SY10" i="13"/>
  <c r="NB10" i="13"/>
  <c r="NB9" i="13"/>
  <c r="JD9" i="13"/>
  <c r="JD10" i="13"/>
  <c r="WW9" i="13"/>
  <c r="WW10" i="13"/>
  <c r="YV12" i="13"/>
  <c r="YV13" i="13"/>
  <c r="YV9" i="13"/>
  <c r="YV10" i="13"/>
  <c r="UX13" i="13"/>
  <c r="UX12" i="13"/>
  <c r="WW12" i="13"/>
  <c r="WW13" i="13"/>
  <c r="FF12" i="13"/>
  <c r="FF13" i="13"/>
  <c r="DG12" i="13"/>
  <c r="DG13" i="13"/>
  <c r="DH2" i="13"/>
  <c r="DH3" i="13"/>
  <c r="YW177" i="13"/>
  <c r="UY151" i="13"/>
  <c r="AAV190" i="13"/>
  <c r="WX164" i="13"/>
  <c r="LC10" i="13"/>
  <c r="LC9" i="13"/>
  <c r="QZ12" i="13"/>
  <c r="QZ13" i="13"/>
  <c r="HE10" i="13"/>
  <c r="HE9" i="13"/>
  <c r="AAU13" i="13"/>
  <c r="AAU12" i="13"/>
  <c r="QZ9" i="13"/>
  <c r="QZ10" i="13"/>
  <c r="AAU9" i="13"/>
  <c r="AAU10" i="13"/>
  <c r="UX9" i="13"/>
  <c r="UX10" i="13"/>
  <c r="NB13" i="13"/>
  <c r="NB12" i="13"/>
  <c r="FF9" i="13"/>
  <c r="FF10" i="13"/>
  <c r="SY12" i="13"/>
  <c r="SY13" i="13"/>
  <c r="PA13" i="13"/>
  <c r="PA12" i="13"/>
  <c r="DG9" i="13"/>
  <c r="DG10" i="13"/>
  <c r="SZ138" i="13"/>
  <c r="RA125" i="13"/>
  <c r="PB112" i="13"/>
  <c r="NC99" i="13"/>
  <c r="LD86" i="13"/>
  <c r="JE73" i="13"/>
  <c r="HF60" i="13"/>
  <c r="DH36" i="13"/>
  <c r="FG47" i="13"/>
  <c r="DH39" i="13"/>
  <c r="JE2" i="13" l="1"/>
  <c r="JE3" i="13"/>
  <c r="YW3" i="13"/>
  <c r="YW2" i="13"/>
  <c r="UY2" i="13"/>
  <c r="UY3" i="13"/>
  <c r="LD2" i="13"/>
  <c r="LD3" i="13"/>
  <c r="NC2" i="13"/>
  <c r="NC3" i="13"/>
  <c r="PB3" i="13"/>
  <c r="PB2" i="13"/>
  <c r="WX169" i="13"/>
  <c r="YW182" i="13"/>
  <c r="UY156" i="13"/>
  <c r="AAV195" i="13"/>
  <c r="FG2" i="13"/>
  <c r="FG3" i="13"/>
  <c r="SZ2" i="13"/>
  <c r="SZ3" i="13"/>
  <c r="DH4" i="13"/>
  <c r="DH5" i="13" s="1"/>
  <c r="YW179" i="13"/>
  <c r="YW4" i="13" s="1"/>
  <c r="YW5" i="13" s="1"/>
  <c r="WX166" i="13"/>
  <c r="WX4" i="13" s="1"/>
  <c r="WX5" i="13" s="1"/>
  <c r="AAV192" i="13"/>
  <c r="AAV4" i="13" s="1"/>
  <c r="UY153" i="13"/>
  <c r="UY4" i="13" s="1"/>
  <c r="WX3" i="13"/>
  <c r="WX2" i="13"/>
  <c r="RA2" i="13"/>
  <c r="RA3" i="13"/>
  <c r="HF2" i="13"/>
  <c r="HF3" i="13"/>
  <c r="AAV3" i="13"/>
  <c r="AAV2" i="13"/>
  <c r="SZ140" i="13"/>
  <c r="SZ4" i="13" s="1"/>
  <c r="RA127" i="13"/>
  <c r="RA4" i="13" s="1"/>
  <c r="PB114" i="13"/>
  <c r="PB4" i="13" s="1"/>
  <c r="PB5" i="13" s="1"/>
  <c r="PB117" i="13"/>
  <c r="SZ143" i="13"/>
  <c r="RA130" i="13"/>
  <c r="NC101" i="13"/>
  <c r="NC4" i="13" s="1"/>
  <c r="NC5" i="13" s="1"/>
  <c r="LD88" i="13"/>
  <c r="LD4" i="13" s="1"/>
  <c r="JE75" i="13"/>
  <c r="JE4" i="13" s="1"/>
  <c r="JE5" i="13" s="1"/>
  <c r="NC104" i="13"/>
  <c r="LD91" i="13"/>
  <c r="JE78" i="13"/>
  <c r="HF62" i="13"/>
  <c r="HF4" i="13" s="1"/>
  <c r="HF5" i="13" s="1"/>
  <c r="FG49" i="13"/>
  <c r="FG4" i="13" s="1"/>
  <c r="FG5" i="13" s="1"/>
  <c r="DI33" i="13"/>
  <c r="FG52" i="13"/>
  <c r="HF65" i="13"/>
  <c r="AAV5" i="13" l="1"/>
  <c r="RA5" i="13"/>
  <c r="SZ5" i="13"/>
  <c r="LD5" i="13"/>
  <c r="UY5" i="13"/>
  <c r="UY7" i="13"/>
  <c r="UY8" i="13"/>
  <c r="UY11" i="13"/>
  <c r="DI6" i="13"/>
  <c r="AAW189" i="13"/>
  <c r="AAW6" i="13" s="1"/>
  <c r="YX176" i="13"/>
  <c r="YX6" i="13" s="1"/>
  <c r="WY163" i="13"/>
  <c r="WY6" i="13" s="1"/>
  <c r="UZ150" i="13"/>
  <c r="UZ6" i="13" s="1"/>
  <c r="AAV7" i="13"/>
  <c r="AAV8" i="13"/>
  <c r="AAV11" i="13"/>
  <c r="WX8" i="13"/>
  <c r="WX7" i="13"/>
  <c r="WX11" i="13"/>
  <c r="HF7" i="13"/>
  <c r="HF8" i="13"/>
  <c r="HF11" i="13"/>
  <c r="YW7" i="13"/>
  <c r="YW8" i="13"/>
  <c r="YW11" i="13"/>
  <c r="FG7" i="13"/>
  <c r="FG8" i="13"/>
  <c r="FG11" i="13"/>
  <c r="DH7" i="13"/>
  <c r="DH8" i="13"/>
  <c r="DH11" i="13"/>
  <c r="PB7" i="13"/>
  <c r="PB8" i="13"/>
  <c r="PB11" i="13"/>
  <c r="LD8" i="13"/>
  <c r="LD7" i="13"/>
  <c r="LD11" i="13"/>
  <c r="NC7" i="13"/>
  <c r="NC8" i="13"/>
  <c r="NC11" i="13"/>
  <c r="RA7" i="13"/>
  <c r="RA11" i="13"/>
  <c r="RA8" i="13"/>
  <c r="JE7" i="13"/>
  <c r="JE8" i="13"/>
  <c r="JE11" i="13"/>
  <c r="SZ7" i="13"/>
  <c r="SZ8" i="13"/>
  <c r="SZ11" i="13"/>
  <c r="TA137" i="13"/>
  <c r="TA6" i="13" s="1"/>
  <c r="RB124" i="13"/>
  <c r="RB6" i="13" s="1"/>
  <c r="PC111" i="13"/>
  <c r="PC6" i="13" s="1"/>
  <c r="ND98" i="13"/>
  <c r="ND6" i="13" s="1"/>
  <c r="LE85" i="13"/>
  <c r="LE6" i="13" s="1"/>
  <c r="JF72" i="13"/>
  <c r="JF6" i="13" s="1"/>
  <c r="HG59" i="13"/>
  <c r="HG6" i="13" s="1"/>
  <c r="DI34" i="13"/>
  <c r="FH46" i="13"/>
  <c r="FH6" i="13" s="1"/>
  <c r="LD12" i="13" l="1"/>
  <c r="LD13" i="13"/>
  <c r="HF9" i="13"/>
  <c r="HF10" i="13"/>
  <c r="RA9" i="13"/>
  <c r="RA10" i="13"/>
  <c r="FG12" i="13"/>
  <c r="FG13" i="13"/>
  <c r="RA12" i="13"/>
  <c r="RA13" i="13"/>
  <c r="LD10" i="13"/>
  <c r="LD9" i="13"/>
  <c r="FG9" i="13"/>
  <c r="FG10" i="13"/>
  <c r="WX13" i="13"/>
  <c r="WX12" i="13"/>
  <c r="DI2" i="13"/>
  <c r="DI3" i="13"/>
  <c r="YX177" i="13"/>
  <c r="AAW190" i="13"/>
  <c r="UZ151" i="13"/>
  <c r="WY164" i="13"/>
  <c r="JE10" i="13"/>
  <c r="JE9" i="13"/>
  <c r="SZ12" i="13"/>
  <c r="SZ13" i="13"/>
  <c r="PB13" i="13"/>
  <c r="PB12" i="13"/>
  <c r="YW13" i="13"/>
  <c r="YW12" i="13"/>
  <c r="WX9" i="13"/>
  <c r="WX10" i="13"/>
  <c r="NC13" i="13"/>
  <c r="NC12" i="13"/>
  <c r="YW9" i="13"/>
  <c r="YW10" i="13"/>
  <c r="AAV13" i="13"/>
  <c r="AAV12" i="13"/>
  <c r="UY12" i="13"/>
  <c r="UY13" i="13"/>
  <c r="SZ9" i="13"/>
  <c r="SZ10" i="13"/>
  <c r="PB10" i="13"/>
  <c r="PB9" i="13"/>
  <c r="JE12" i="13"/>
  <c r="JE13" i="13"/>
  <c r="NC9" i="13"/>
  <c r="NC10" i="13"/>
  <c r="DH12" i="13"/>
  <c r="DH13" i="13"/>
  <c r="AAV9" i="13"/>
  <c r="AAV10" i="13"/>
  <c r="UY10" i="13"/>
  <c r="UY9" i="13"/>
  <c r="DH9" i="13"/>
  <c r="DH10" i="13"/>
  <c r="HF12" i="13"/>
  <c r="HF13" i="13"/>
  <c r="TA138" i="13"/>
  <c r="RB125" i="13"/>
  <c r="PC112" i="13"/>
  <c r="ND99" i="13"/>
  <c r="LE86" i="13"/>
  <c r="JF73" i="13"/>
  <c r="HG60" i="13"/>
  <c r="DI39" i="13"/>
  <c r="FH47" i="13"/>
  <c r="DI36" i="13"/>
  <c r="PC2" i="13" l="1"/>
  <c r="PC3" i="13"/>
  <c r="RB2" i="13"/>
  <c r="RB3" i="13"/>
  <c r="DI4" i="13"/>
  <c r="DI5" i="13" s="1"/>
  <c r="YX179" i="13"/>
  <c r="YX4" i="13" s="1"/>
  <c r="AAW192" i="13"/>
  <c r="AAW4" i="13" s="1"/>
  <c r="UZ153" i="13"/>
  <c r="UZ4" i="13" s="1"/>
  <c r="WY166" i="13"/>
  <c r="WY4" i="13" s="1"/>
  <c r="TA3" i="13"/>
  <c r="TA2" i="13"/>
  <c r="WY2" i="13"/>
  <c r="WY3" i="13"/>
  <c r="ND2" i="13"/>
  <c r="ND3" i="13"/>
  <c r="FH3" i="13"/>
  <c r="FH2" i="13"/>
  <c r="HG2" i="13"/>
  <c r="HG3" i="13"/>
  <c r="AAW3" i="13"/>
  <c r="AAW2" i="13"/>
  <c r="AAW195" i="13"/>
  <c r="UZ156" i="13"/>
  <c r="WY169" i="13"/>
  <c r="YX182" i="13"/>
  <c r="UZ2" i="13"/>
  <c r="UZ3" i="13"/>
  <c r="JF2" i="13"/>
  <c r="JF3" i="13"/>
  <c r="YX3" i="13"/>
  <c r="YX2" i="13"/>
  <c r="LE2" i="13"/>
  <c r="LE3" i="13"/>
  <c r="TA140" i="13"/>
  <c r="TA4" i="13" s="1"/>
  <c r="TA5" i="13" s="1"/>
  <c r="RB127" i="13"/>
  <c r="RB4" i="13" s="1"/>
  <c r="RB5" i="13" s="1"/>
  <c r="PC114" i="13"/>
  <c r="PC4" i="13" s="1"/>
  <c r="PC5" i="13" s="1"/>
  <c r="PC117" i="13"/>
  <c r="TA143" i="13"/>
  <c r="RB130" i="13"/>
  <c r="ND104" i="13"/>
  <c r="LE91" i="13"/>
  <c r="JF78" i="13"/>
  <c r="ND101" i="13"/>
  <c r="ND4" i="13" s="1"/>
  <c r="LE88" i="13"/>
  <c r="LE4" i="13" s="1"/>
  <c r="JF75" i="13"/>
  <c r="JF4" i="13" s="1"/>
  <c r="JF5" i="13" s="1"/>
  <c r="FH52" i="13"/>
  <c r="HG65" i="13"/>
  <c r="HG62" i="13"/>
  <c r="HG4" i="13" s="1"/>
  <c r="HG5" i="13" s="1"/>
  <c r="FH49" i="13"/>
  <c r="FH4" i="13" s="1"/>
  <c r="FH5" i="13" s="1"/>
  <c r="DJ33" i="13"/>
  <c r="UZ5" i="13" l="1"/>
  <c r="ND5" i="13"/>
  <c r="AAW5" i="13"/>
  <c r="YX5" i="13"/>
  <c r="LE5" i="13"/>
  <c r="WY5" i="13"/>
  <c r="UZ8" i="13"/>
  <c r="UZ7" i="13"/>
  <c r="UZ11" i="13"/>
  <c r="WY7" i="13"/>
  <c r="WY8" i="13"/>
  <c r="WY11" i="13"/>
  <c r="AAW7" i="13"/>
  <c r="AAW11" i="13"/>
  <c r="AAW8" i="13"/>
  <c r="HG8" i="13"/>
  <c r="HG7" i="13"/>
  <c r="HG11" i="13"/>
  <c r="YX8" i="13"/>
  <c r="YX7" i="13"/>
  <c r="YX11" i="13"/>
  <c r="DI7" i="13"/>
  <c r="DI11" i="13"/>
  <c r="DI8" i="13"/>
  <c r="PC7" i="13"/>
  <c r="PC8" i="13"/>
  <c r="PC11" i="13"/>
  <c r="FH8" i="13"/>
  <c r="FH7" i="13"/>
  <c r="FH11" i="13"/>
  <c r="JF7" i="13"/>
  <c r="JF8" i="13"/>
  <c r="JF11" i="13"/>
  <c r="ND7" i="13"/>
  <c r="ND8" i="13"/>
  <c r="ND11" i="13"/>
  <c r="RB7" i="13"/>
  <c r="RB8" i="13"/>
  <c r="RB11" i="13"/>
  <c r="LE7" i="13"/>
  <c r="LE8" i="13"/>
  <c r="LE11" i="13"/>
  <c r="DJ6" i="13"/>
  <c r="AAX189" i="13"/>
  <c r="AAX6" i="13" s="1"/>
  <c r="YY176" i="13"/>
  <c r="YY6" i="13" s="1"/>
  <c r="WZ163" i="13"/>
  <c r="WZ6" i="13" s="1"/>
  <c r="VA150" i="13"/>
  <c r="VA6" i="13" s="1"/>
  <c r="TA7" i="13"/>
  <c r="TA8" i="13"/>
  <c r="TA11" i="13"/>
  <c r="TB137" i="13"/>
  <c r="TB6" i="13" s="1"/>
  <c r="RC124" i="13"/>
  <c r="RC6" i="13" s="1"/>
  <c r="PD111" i="13"/>
  <c r="PD6" i="13" s="1"/>
  <c r="NE98" i="13"/>
  <c r="NE6" i="13" s="1"/>
  <c r="LF85" i="13"/>
  <c r="LF6" i="13" s="1"/>
  <c r="JG72" i="13"/>
  <c r="JG6" i="13" s="1"/>
  <c r="HH59" i="13"/>
  <c r="HH6" i="13" s="1"/>
  <c r="FI46" i="13"/>
  <c r="FI6" i="13" s="1"/>
  <c r="DJ34" i="13"/>
  <c r="AAW12" i="13" l="1"/>
  <c r="AAW13" i="13"/>
  <c r="DJ2" i="13"/>
  <c r="DJ3" i="13"/>
  <c r="AAX190" i="13"/>
  <c r="WZ164" i="13"/>
  <c r="YY177" i="13"/>
  <c r="VA151" i="13"/>
  <c r="ND10" i="13"/>
  <c r="ND9" i="13"/>
  <c r="FH9" i="13"/>
  <c r="FH10" i="13"/>
  <c r="YX13" i="13"/>
  <c r="YX12" i="13"/>
  <c r="LE12" i="13"/>
  <c r="LE13" i="13"/>
  <c r="PC12" i="13"/>
  <c r="PC13" i="13"/>
  <c r="WY13" i="13"/>
  <c r="WY12" i="13"/>
  <c r="TA9" i="13"/>
  <c r="TA10" i="13"/>
  <c r="LE9" i="13"/>
  <c r="LE10" i="13"/>
  <c r="PC9" i="13"/>
  <c r="PC10" i="13"/>
  <c r="YX9" i="13"/>
  <c r="YX10" i="13"/>
  <c r="WY9" i="13"/>
  <c r="WY10" i="13"/>
  <c r="TA13" i="13"/>
  <c r="TA12" i="13"/>
  <c r="JF12" i="13"/>
  <c r="JF13" i="13"/>
  <c r="HG13" i="13"/>
  <c r="HG12" i="13"/>
  <c r="ND13" i="13"/>
  <c r="ND12" i="13"/>
  <c r="RB13" i="13"/>
  <c r="RB12" i="13"/>
  <c r="JF9" i="13"/>
  <c r="JF10" i="13"/>
  <c r="UZ12" i="13"/>
  <c r="UZ13" i="13"/>
  <c r="RB10" i="13"/>
  <c r="RB9" i="13"/>
  <c r="DI10" i="13"/>
  <c r="DI9" i="13"/>
  <c r="HG9" i="13"/>
  <c r="HG10" i="13"/>
  <c r="FH12" i="13"/>
  <c r="FH13" i="13"/>
  <c r="DI13" i="13"/>
  <c r="DI12" i="13"/>
  <c r="AAW9" i="13"/>
  <c r="AAW10" i="13"/>
  <c r="UZ10" i="13"/>
  <c r="UZ9" i="13"/>
  <c r="TB138" i="13"/>
  <c r="RC125" i="13"/>
  <c r="PD112" i="13"/>
  <c r="NE99" i="13"/>
  <c r="LF86" i="13"/>
  <c r="JG73" i="13"/>
  <c r="HH60" i="13"/>
  <c r="FI47" i="13"/>
  <c r="DJ36" i="13"/>
  <c r="DJ39" i="13"/>
  <c r="YY2" i="13" l="1"/>
  <c r="YY3" i="13"/>
  <c r="DJ4" i="13"/>
  <c r="DJ5" i="13" s="1"/>
  <c r="AAX192" i="13"/>
  <c r="AAX4" i="13" s="1"/>
  <c r="YY179" i="13"/>
  <c r="YY4" i="13" s="1"/>
  <c r="YY5" i="13" s="1"/>
  <c r="WZ166" i="13"/>
  <c r="WZ4" i="13" s="1"/>
  <c r="VA153" i="13"/>
  <c r="VA4" i="13" s="1"/>
  <c r="WZ2" i="13"/>
  <c r="WZ3" i="13"/>
  <c r="RC2" i="13"/>
  <c r="RC3" i="13"/>
  <c r="TB2" i="13"/>
  <c r="TB3" i="13"/>
  <c r="AAX2" i="13"/>
  <c r="AAX3" i="13"/>
  <c r="HH2" i="13"/>
  <c r="HH3" i="13"/>
  <c r="FI2" i="13"/>
  <c r="FI3" i="13"/>
  <c r="LF2" i="13"/>
  <c r="LF3" i="13"/>
  <c r="JG2" i="13"/>
  <c r="JG3" i="13"/>
  <c r="NE2" i="13"/>
  <c r="NE3" i="13"/>
  <c r="AAX195" i="13"/>
  <c r="YY182" i="13"/>
  <c r="VA156" i="13"/>
  <c r="WZ169" i="13"/>
  <c r="PD3" i="13"/>
  <c r="PD2" i="13"/>
  <c r="VA2" i="13"/>
  <c r="VA3" i="13"/>
  <c r="TB140" i="13"/>
  <c r="TB4" i="13" s="1"/>
  <c r="RC127" i="13"/>
  <c r="RC4" i="13" s="1"/>
  <c r="RC5" i="13" s="1"/>
  <c r="PD114" i="13"/>
  <c r="PD4" i="13" s="1"/>
  <c r="RC130" i="13"/>
  <c r="PD117" i="13"/>
  <c r="TB143" i="13"/>
  <c r="NE104" i="13"/>
  <c r="LF91" i="13"/>
  <c r="JG78" i="13"/>
  <c r="NE101" i="13"/>
  <c r="NE4" i="13" s="1"/>
  <c r="LF88" i="13"/>
  <c r="LF4" i="13" s="1"/>
  <c r="LF5" i="13" s="1"/>
  <c r="JG75" i="13"/>
  <c r="JG4" i="13" s="1"/>
  <c r="FI52" i="13"/>
  <c r="HH65" i="13"/>
  <c r="HH62" i="13"/>
  <c r="HH4" i="13" s="1"/>
  <c r="HH5" i="13" s="1"/>
  <c r="FI49" i="13"/>
  <c r="FI4" i="13" s="1"/>
  <c r="FI5" i="13" s="1"/>
  <c r="DK33" i="13"/>
  <c r="NE5" i="13" l="1"/>
  <c r="JG5" i="13"/>
  <c r="VA5" i="13"/>
  <c r="WZ5" i="13"/>
  <c r="PD5" i="13"/>
  <c r="AAX5" i="13"/>
  <c r="TB5" i="13"/>
  <c r="VA7" i="13"/>
  <c r="VA8" i="13"/>
  <c r="VA11" i="13"/>
  <c r="WZ7" i="13"/>
  <c r="WZ11" i="13"/>
  <c r="WZ8" i="13"/>
  <c r="YY7" i="13"/>
  <c r="YY8" i="13"/>
  <c r="YY11" i="13"/>
  <c r="LF7" i="13"/>
  <c r="LF8" i="13"/>
  <c r="LF11" i="13"/>
  <c r="PD7" i="13"/>
  <c r="PD8" i="13"/>
  <c r="PD11" i="13"/>
  <c r="AAX8" i="13"/>
  <c r="AAX7" i="13"/>
  <c r="AAX11" i="13"/>
  <c r="HH7" i="13"/>
  <c r="HH11" i="13"/>
  <c r="HH8" i="13"/>
  <c r="NE7" i="13"/>
  <c r="NE8" i="13"/>
  <c r="NE11" i="13"/>
  <c r="RC8" i="13"/>
  <c r="RC7" i="13"/>
  <c r="RC11" i="13"/>
  <c r="DJ8" i="13"/>
  <c r="DJ7" i="13"/>
  <c r="DJ11" i="13"/>
  <c r="JG7" i="13"/>
  <c r="JG8" i="13"/>
  <c r="JG11" i="13"/>
  <c r="DK6" i="13"/>
  <c r="AAY189" i="13"/>
  <c r="AAY6" i="13" s="1"/>
  <c r="YZ176" i="13"/>
  <c r="YZ6" i="13" s="1"/>
  <c r="VB150" i="13"/>
  <c r="VB6" i="13" s="1"/>
  <c r="XA163" i="13"/>
  <c r="XA6" i="13" s="1"/>
  <c r="TB7" i="13"/>
  <c r="TB8" i="13"/>
  <c r="TB11" i="13"/>
  <c r="FI8" i="13"/>
  <c r="FI11" i="13"/>
  <c r="FI7" i="13"/>
  <c r="TC137" i="13"/>
  <c r="TC6" i="13" s="1"/>
  <c r="RD124" i="13"/>
  <c r="RD6" i="13" s="1"/>
  <c r="PE111" i="13"/>
  <c r="PE6" i="13" s="1"/>
  <c r="NF98" i="13"/>
  <c r="NF6" i="13" s="1"/>
  <c r="LG85" i="13"/>
  <c r="LG6" i="13" s="1"/>
  <c r="JH72" i="13"/>
  <c r="JH6" i="13" s="1"/>
  <c r="HI59" i="13"/>
  <c r="HI6" i="13" s="1"/>
  <c r="FJ46" i="13"/>
  <c r="FJ6" i="13" s="1"/>
  <c r="DK34" i="13"/>
  <c r="NE13" i="13" l="1"/>
  <c r="NE12" i="13"/>
  <c r="AAX10" i="13"/>
  <c r="AAX9" i="13"/>
  <c r="YY9" i="13"/>
  <c r="YY10" i="13"/>
  <c r="YY13" i="13"/>
  <c r="YY12" i="13"/>
  <c r="DJ12" i="13"/>
  <c r="DJ13" i="13"/>
  <c r="NE10" i="13"/>
  <c r="NE9" i="13"/>
  <c r="PD13" i="13"/>
  <c r="PD12" i="13"/>
  <c r="PD9" i="13"/>
  <c r="PD10" i="13"/>
  <c r="WZ9" i="13"/>
  <c r="WZ10" i="13"/>
  <c r="DK2" i="13"/>
  <c r="DK3" i="13"/>
  <c r="AAY190" i="13"/>
  <c r="YZ177" i="13"/>
  <c r="XA164" i="13"/>
  <c r="VB151" i="13"/>
  <c r="DJ10" i="13"/>
  <c r="DJ9" i="13"/>
  <c r="HH10" i="13"/>
  <c r="HH9" i="13"/>
  <c r="WZ13" i="13"/>
  <c r="WZ12" i="13"/>
  <c r="FI10" i="13"/>
  <c r="FI9" i="13"/>
  <c r="RC12" i="13"/>
  <c r="RC13" i="13"/>
  <c r="HH12" i="13"/>
  <c r="HH13" i="13"/>
  <c r="LF13" i="13"/>
  <c r="LF12" i="13"/>
  <c r="TB12" i="13"/>
  <c r="TB13" i="13"/>
  <c r="JG12" i="13"/>
  <c r="JG13" i="13"/>
  <c r="LF9" i="13"/>
  <c r="LF10" i="13"/>
  <c r="VA12" i="13"/>
  <c r="VA13" i="13"/>
  <c r="FI12" i="13"/>
  <c r="FI13" i="13"/>
  <c r="TB9" i="13"/>
  <c r="TB10" i="13"/>
  <c r="JG9" i="13"/>
  <c r="JG10" i="13"/>
  <c r="RC9" i="13"/>
  <c r="RC10" i="13"/>
  <c r="AAX12" i="13"/>
  <c r="AAX13" i="13"/>
  <c r="VA9" i="13"/>
  <c r="VA10" i="13"/>
  <c r="TC138" i="13"/>
  <c r="RD125" i="13"/>
  <c r="PE112" i="13"/>
  <c r="NF99" i="13"/>
  <c r="LG86" i="13"/>
  <c r="JH73" i="13"/>
  <c r="HI60" i="13"/>
  <c r="FJ47" i="13"/>
  <c r="DK39" i="13"/>
  <c r="DK36" i="13"/>
  <c r="YZ3" i="13" l="1"/>
  <c r="YZ2" i="13"/>
  <c r="PE2" i="13"/>
  <c r="PE3" i="13"/>
  <c r="TC2" i="13"/>
  <c r="TC3" i="13"/>
  <c r="AAY195" i="13"/>
  <c r="VB156" i="13"/>
  <c r="YZ182" i="13"/>
  <c r="XA169" i="13"/>
  <c r="DK4" i="13"/>
  <c r="DK5" i="13" s="1"/>
  <c r="AAY192" i="13"/>
  <c r="AAY4" i="13" s="1"/>
  <c r="YZ179" i="13"/>
  <c r="YZ4" i="13" s="1"/>
  <c r="VB153" i="13"/>
  <c r="VB4" i="13" s="1"/>
  <c r="VB5" i="13" s="1"/>
  <c r="XA166" i="13"/>
  <c r="XA4" i="13" s="1"/>
  <c r="AAY3" i="13"/>
  <c r="AAY2" i="13"/>
  <c r="HI3" i="13"/>
  <c r="HI2" i="13"/>
  <c r="JH2" i="13"/>
  <c r="JH3" i="13"/>
  <c r="RD2" i="13"/>
  <c r="RD3" i="13"/>
  <c r="LG2" i="13"/>
  <c r="LG3" i="13"/>
  <c r="VB2" i="13"/>
  <c r="VB3" i="13"/>
  <c r="FJ2" i="13"/>
  <c r="FJ3" i="13"/>
  <c r="NF2" i="13"/>
  <c r="NF3" i="13"/>
  <c r="XA2" i="13"/>
  <c r="XA3" i="13"/>
  <c r="TC140" i="13"/>
  <c r="TC4" i="13" s="1"/>
  <c r="RD127" i="13"/>
  <c r="RD4" i="13" s="1"/>
  <c r="PE114" i="13"/>
  <c r="PE4" i="13" s="1"/>
  <c r="PE5" i="13" s="1"/>
  <c r="RD130" i="13"/>
  <c r="PE117" i="13"/>
  <c r="TC143" i="13"/>
  <c r="NF101" i="13"/>
  <c r="NF4" i="13" s="1"/>
  <c r="LG88" i="13"/>
  <c r="LG4" i="13" s="1"/>
  <c r="JH75" i="13"/>
  <c r="JH4" i="13" s="1"/>
  <c r="NF104" i="13"/>
  <c r="LG91" i="13"/>
  <c r="JH78" i="13"/>
  <c r="HI62" i="13"/>
  <c r="HI4" i="13" s="1"/>
  <c r="HI5" i="13" s="1"/>
  <c r="FJ49" i="13"/>
  <c r="FJ4" i="13" s="1"/>
  <c r="FJ5" i="13" s="1"/>
  <c r="DL33" i="13"/>
  <c r="FJ52" i="13"/>
  <c r="HI65" i="13"/>
  <c r="AAY5" i="13" l="1"/>
  <c r="YZ5" i="13"/>
  <c r="NF5" i="13"/>
  <c r="TC5" i="13"/>
  <c r="XA5" i="13"/>
  <c r="RD5" i="13"/>
  <c r="JH5" i="13"/>
  <c r="LG5" i="13"/>
  <c r="XA8" i="13"/>
  <c r="XA11" i="13"/>
  <c r="XA7" i="13"/>
  <c r="VB7" i="13"/>
  <c r="VB8" i="13"/>
  <c r="VB11" i="13"/>
  <c r="DL6" i="13"/>
  <c r="AAZ189" i="13"/>
  <c r="AAZ6" i="13" s="1"/>
  <c r="ZA176" i="13"/>
  <c r="ZA6" i="13" s="1"/>
  <c r="XB163" i="13"/>
  <c r="XB6" i="13" s="1"/>
  <c r="VC150" i="13"/>
  <c r="VC6" i="13" s="1"/>
  <c r="YZ7" i="13"/>
  <c r="YZ11" i="13"/>
  <c r="YZ8" i="13"/>
  <c r="NF7" i="13"/>
  <c r="NF8" i="13"/>
  <c r="NF11" i="13"/>
  <c r="PE8" i="13"/>
  <c r="PE7" i="13"/>
  <c r="PE11" i="13"/>
  <c r="AAY8" i="13"/>
  <c r="AAY7" i="13"/>
  <c r="AAY11" i="13"/>
  <c r="HI11" i="13"/>
  <c r="HI7" i="13"/>
  <c r="HI8" i="13"/>
  <c r="RD7" i="13"/>
  <c r="RD8" i="13"/>
  <c r="RD11" i="13"/>
  <c r="DK8" i="13"/>
  <c r="DK7" i="13"/>
  <c r="DK11" i="13"/>
  <c r="FJ8" i="13"/>
  <c r="FJ11" i="13"/>
  <c r="FJ7" i="13"/>
  <c r="JH7" i="13"/>
  <c r="JH11" i="13"/>
  <c r="JH8" i="13"/>
  <c r="TC7" i="13"/>
  <c r="TC8" i="13"/>
  <c r="TC11" i="13"/>
  <c r="LG7" i="13"/>
  <c r="LG8" i="13"/>
  <c r="LG11" i="13"/>
  <c r="TD137" i="13"/>
  <c r="TD6" i="13" s="1"/>
  <c r="RE124" i="13"/>
  <c r="RE6" i="13" s="1"/>
  <c r="PF111" i="13"/>
  <c r="PF6" i="13" s="1"/>
  <c r="NG98" i="13"/>
  <c r="NG6" i="13" s="1"/>
  <c r="LH85" i="13"/>
  <c r="LH6" i="13" s="1"/>
  <c r="JI72" i="13"/>
  <c r="JI6" i="13" s="1"/>
  <c r="HJ59" i="13"/>
  <c r="HJ6" i="13" s="1"/>
  <c r="DL34" i="13"/>
  <c r="FK46" i="13"/>
  <c r="FK6" i="13" s="1"/>
  <c r="AAY12" i="13" l="1"/>
  <c r="AAY13" i="13"/>
  <c r="JH13" i="13"/>
  <c r="JH12" i="13"/>
  <c r="AAY10" i="13"/>
  <c r="AAY9" i="13"/>
  <c r="YZ9" i="13"/>
  <c r="YZ10" i="13"/>
  <c r="VB12" i="13"/>
  <c r="VB13" i="13"/>
  <c r="RD9" i="13"/>
  <c r="RD10" i="13"/>
  <c r="PE13" i="13"/>
  <c r="PE12" i="13"/>
  <c r="YZ12" i="13"/>
  <c r="YZ13" i="13"/>
  <c r="VB10" i="13"/>
  <c r="VB9" i="13"/>
  <c r="JH9" i="13"/>
  <c r="JH10" i="13"/>
  <c r="NF9" i="13"/>
  <c r="NF10" i="13"/>
  <c r="LG13" i="13"/>
  <c r="LG12" i="13"/>
  <c r="FJ12" i="13"/>
  <c r="FJ13" i="13"/>
  <c r="DK9" i="13"/>
  <c r="DK10" i="13"/>
  <c r="DL2" i="13"/>
  <c r="DL3" i="13"/>
  <c r="AAZ190" i="13"/>
  <c r="ZA177" i="13"/>
  <c r="VC151" i="13"/>
  <c r="XB164" i="13"/>
  <c r="RD13" i="13"/>
  <c r="RD12" i="13"/>
  <c r="LG9" i="13"/>
  <c r="LG10" i="13"/>
  <c r="TC12" i="13"/>
  <c r="TC13" i="13"/>
  <c r="FJ10" i="13"/>
  <c r="FJ9" i="13"/>
  <c r="HI10" i="13"/>
  <c r="HI9" i="13"/>
  <c r="PE10" i="13"/>
  <c r="PE9" i="13"/>
  <c r="TC9" i="13"/>
  <c r="TC10" i="13"/>
  <c r="XA12" i="13"/>
  <c r="XA13" i="13"/>
  <c r="DK12" i="13"/>
  <c r="DK13" i="13"/>
  <c r="HI12" i="13"/>
  <c r="HI13" i="13"/>
  <c r="NF12" i="13"/>
  <c r="NF13" i="13"/>
  <c r="XA9" i="13"/>
  <c r="XA10" i="13"/>
  <c r="TD138" i="13"/>
  <c r="RE125" i="13"/>
  <c r="PF112" i="13"/>
  <c r="NG99" i="13"/>
  <c r="LH86" i="13"/>
  <c r="JI73" i="13"/>
  <c r="HJ60" i="13"/>
  <c r="DL39" i="13"/>
  <c r="FK47" i="13"/>
  <c r="DL36" i="13"/>
  <c r="AAZ2" i="13" l="1"/>
  <c r="AAZ3" i="13"/>
  <c r="NG3" i="13"/>
  <c r="NG2" i="13"/>
  <c r="RE2" i="13"/>
  <c r="RE3" i="13"/>
  <c r="TD3" i="13"/>
  <c r="TD2" i="13"/>
  <c r="DL4" i="13"/>
  <c r="DL5" i="13" s="1"/>
  <c r="AAZ192" i="13"/>
  <c r="AAZ4" i="13" s="1"/>
  <c r="AAZ5" i="13" s="1"/>
  <c r="ZA179" i="13"/>
  <c r="ZA4" i="13" s="1"/>
  <c r="VC153" i="13"/>
  <c r="VC4" i="13" s="1"/>
  <c r="XB166" i="13"/>
  <c r="XB4" i="13" s="1"/>
  <c r="FK2" i="13"/>
  <c r="FK3" i="13"/>
  <c r="LH2" i="13"/>
  <c r="LH3" i="13"/>
  <c r="ZA3" i="13"/>
  <c r="ZA2" i="13"/>
  <c r="PF2" i="13"/>
  <c r="PF3" i="13"/>
  <c r="HJ2" i="13"/>
  <c r="HJ3" i="13"/>
  <c r="XB2" i="13"/>
  <c r="XB3" i="13"/>
  <c r="AAZ195" i="13"/>
  <c r="ZA182" i="13"/>
  <c r="VC156" i="13"/>
  <c r="XB169" i="13"/>
  <c r="JI2" i="13"/>
  <c r="JI3" i="13"/>
  <c r="VC2" i="13"/>
  <c r="VC3" i="13"/>
  <c r="TD140" i="13"/>
  <c r="TD4" i="13" s="1"/>
  <c r="RE127" i="13"/>
  <c r="RE4" i="13" s="1"/>
  <c r="RE5" i="13" s="1"/>
  <c r="PF114" i="13"/>
  <c r="PF4" i="13" s="1"/>
  <c r="PF5" i="13" s="1"/>
  <c r="RE130" i="13"/>
  <c r="PF117" i="13"/>
  <c r="TD143" i="13"/>
  <c r="NG101" i="13"/>
  <c r="NG4" i="13" s="1"/>
  <c r="NG5" i="13" s="1"/>
  <c r="LH88" i="13"/>
  <c r="LH4" i="13" s="1"/>
  <c r="JI75" i="13"/>
  <c r="JI4" i="13" s="1"/>
  <c r="LH91" i="13"/>
  <c r="NG104" i="13"/>
  <c r="JI78" i="13"/>
  <c r="FK52" i="13"/>
  <c r="HJ65" i="13"/>
  <c r="HJ62" i="13"/>
  <c r="HJ4" i="13" s="1"/>
  <c r="HJ5" i="13" s="1"/>
  <c r="FK49" i="13"/>
  <c r="FK4" i="13" s="1"/>
  <c r="DM33" i="13"/>
  <c r="FK5" i="13" l="1"/>
  <c r="XB5" i="13"/>
  <c r="VC5" i="13"/>
  <c r="ZA5" i="13"/>
  <c r="JI5" i="13"/>
  <c r="TD5" i="13"/>
  <c r="LH5" i="13"/>
  <c r="NG8" i="13"/>
  <c r="NG7" i="13"/>
  <c r="NG11" i="13"/>
  <c r="XB7" i="13"/>
  <c r="XB8" i="13"/>
  <c r="XB11" i="13"/>
  <c r="PF7" i="13"/>
  <c r="PF8" i="13"/>
  <c r="PF11" i="13"/>
  <c r="VC7" i="13"/>
  <c r="VC8" i="13"/>
  <c r="VC11" i="13"/>
  <c r="HJ7" i="13"/>
  <c r="HJ8" i="13"/>
  <c r="HJ11" i="13"/>
  <c r="RE7" i="13"/>
  <c r="RE8" i="13"/>
  <c r="RE11" i="13"/>
  <c r="ZA7" i="13"/>
  <c r="ZA8" i="13"/>
  <c r="ZA11" i="13"/>
  <c r="DM6" i="13"/>
  <c r="ABA189" i="13"/>
  <c r="ABA6" i="13" s="1"/>
  <c r="ZB176" i="13"/>
  <c r="ZB6" i="13" s="1"/>
  <c r="XC163" i="13"/>
  <c r="XC6" i="13" s="1"/>
  <c r="VD150" i="13"/>
  <c r="VD6" i="13" s="1"/>
  <c r="JI8" i="13"/>
  <c r="JI7" i="13"/>
  <c r="JI11" i="13"/>
  <c r="TD7" i="13"/>
  <c r="TD11" i="13"/>
  <c r="TD8" i="13"/>
  <c r="AAZ8" i="13"/>
  <c r="AAZ7" i="13"/>
  <c r="AAZ11" i="13"/>
  <c r="FK7" i="13"/>
  <c r="FK8" i="13"/>
  <c r="FK11" i="13"/>
  <c r="LH7" i="13"/>
  <c r="LH8" i="13"/>
  <c r="LH11" i="13"/>
  <c r="DL7" i="13"/>
  <c r="DL11" i="13"/>
  <c r="DL8" i="13"/>
  <c r="TE137" i="13"/>
  <c r="TE6" i="13" s="1"/>
  <c r="PG111" i="13"/>
  <c r="PG6" i="13" s="1"/>
  <c r="RF124" i="13"/>
  <c r="RF6" i="13" s="1"/>
  <c r="NH98" i="13"/>
  <c r="NH6" i="13" s="1"/>
  <c r="LI85" i="13"/>
  <c r="LI6" i="13" s="1"/>
  <c r="JJ72" i="13"/>
  <c r="JJ6" i="13" s="1"/>
  <c r="HK59" i="13"/>
  <c r="HK6" i="13" s="1"/>
  <c r="FL46" i="13"/>
  <c r="FL6" i="13" s="1"/>
  <c r="DM34" i="13"/>
  <c r="HJ13" i="13" l="1"/>
  <c r="HJ12" i="13"/>
  <c r="FK12" i="13"/>
  <c r="FK13" i="13"/>
  <c r="XB12" i="13"/>
  <c r="XB13" i="13"/>
  <c r="ZA12" i="13"/>
  <c r="ZA13" i="13"/>
  <c r="XB9" i="13"/>
  <c r="XB10" i="13"/>
  <c r="FK9" i="13"/>
  <c r="FK10" i="13"/>
  <c r="DL10" i="13"/>
  <c r="DL9" i="13"/>
  <c r="ZA9" i="13"/>
  <c r="ZA10" i="13"/>
  <c r="VC12" i="13"/>
  <c r="VC13" i="13"/>
  <c r="DM2" i="13"/>
  <c r="DM3" i="13"/>
  <c r="ABA190" i="13"/>
  <c r="XC164" i="13"/>
  <c r="VD151" i="13"/>
  <c r="ZB177" i="13"/>
  <c r="HJ9" i="13"/>
  <c r="HJ10" i="13"/>
  <c r="DL12" i="13"/>
  <c r="DL13" i="13"/>
  <c r="AAZ12" i="13"/>
  <c r="AAZ13" i="13"/>
  <c r="JI10" i="13"/>
  <c r="JI9" i="13"/>
  <c r="VC9" i="13"/>
  <c r="VC10" i="13"/>
  <c r="RE12" i="13"/>
  <c r="RE13" i="13"/>
  <c r="NG12" i="13"/>
  <c r="NG13" i="13"/>
  <c r="JI12" i="13"/>
  <c r="JI13" i="13"/>
  <c r="LH12" i="13"/>
  <c r="LH13" i="13"/>
  <c r="AAZ10" i="13"/>
  <c r="AAZ9" i="13"/>
  <c r="RE9" i="13"/>
  <c r="RE10" i="13"/>
  <c r="PF12" i="13"/>
  <c r="PF13" i="13"/>
  <c r="TD13" i="13"/>
  <c r="TD12" i="13"/>
  <c r="LH10" i="13"/>
  <c r="LH9" i="13"/>
  <c r="TD10" i="13"/>
  <c r="TD9" i="13"/>
  <c r="PF9" i="13"/>
  <c r="PF10" i="13"/>
  <c r="NG9" i="13"/>
  <c r="NG10" i="13"/>
  <c r="TE138" i="13"/>
  <c r="RF125" i="13"/>
  <c r="PG112" i="13"/>
  <c r="NH99" i="13"/>
  <c r="LI86" i="13"/>
  <c r="JJ73" i="13"/>
  <c r="HK60" i="13"/>
  <c r="FL47" i="13"/>
  <c r="DM39" i="13"/>
  <c r="DM36" i="13"/>
  <c r="ZB3" i="13" l="1"/>
  <c r="ZB2" i="13"/>
  <c r="XC2" i="13"/>
  <c r="XC3" i="13"/>
  <c r="ABA3" i="13"/>
  <c r="ABA2" i="13"/>
  <c r="PG2" i="13"/>
  <c r="PG3" i="13"/>
  <c r="DM4" i="13"/>
  <c r="DM5" i="13" s="1"/>
  <c r="ABA192" i="13"/>
  <c r="ABA4" i="13" s="1"/>
  <c r="ZB179" i="13"/>
  <c r="ZB4" i="13" s="1"/>
  <c r="XC166" i="13"/>
  <c r="XC4" i="13" s="1"/>
  <c r="XC5" i="13" s="1"/>
  <c r="VD153" i="13"/>
  <c r="VD4" i="13" s="1"/>
  <c r="TE2" i="13"/>
  <c r="TE3" i="13"/>
  <c r="JJ3" i="13"/>
  <c r="JJ2" i="13"/>
  <c r="LI2" i="13"/>
  <c r="LI3" i="13"/>
  <c r="VD2" i="13"/>
  <c r="VD3" i="13"/>
  <c r="FL2" i="13"/>
  <c r="FL3" i="13"/>
  <c r="NH3" i="13"/>
  <c r="NH2" i="13"/>
  <c r="RF2" i="13"/>
  <c r="RF3" i="13"/>
  <c r="ABA195" i="13"/>
  <c r="ZB182" i="13"/>
  <c r="XC169" i="13"/>
  <c r="VD156" i="13"/>
  <c r="HK2" i="13"/>
  <c r="HK3" i="13"/>
  <c r="TE140" i="13"/>
  <c r="TE4" i="13" s="1"/>
  <c r="RF127" i="13"/>
  <c r="RF4" i="13" s="1"/>
  <c r="PG114" i="13"/>
  <c r="PG4" i="13" s="1"/>
  <c r="RF130" i="13"/>
  <c r="PG117" i="13"/>
  <c r="TE143" i="13"/>
  <c r="NH104" i="13"/>
  <c r="LI91" i="13"/>
  <c r="JJ78" i="13"/>
  <c r="NH101" i="13"/>
  <c r="NH4" i="13" s="1"/>
  <c r="LI88" i="13"/>
  <c r="LI4" i="13" s="1"/>
  <c r="LI5" i="13" s="1"/>
  <c r="JJ75" i="13"/>
  <c r="JJ4" i="13" s="1"/>
  <c r="JJ5" i="13" s="1"/>
  <c r="HK62" i="13"/>
  <c r="HK4" i="13" s="1"/>
  <c r="FL49" i="13"/>
  <c r="FL4" i="13" s="1"/>
  <c r="FL5" i="13" s="1"/>
  <c r="DN33" i="13"/>
  <c r="FL52" i="13"/>
  <c r="HK65" i="13"/>
  <c r="NH5" i="13" l="1"/>
  <c r="RF5" i="13"/>
  <c r="VD5" i="13"/>
  <c r="ZB5" i="13"/>
  <c r="PG5" i="13"/>
  <c r="TE5" i="13"/>
  <c r="HK5" i="13"/>
  <c r="ABA5" i="13"/>
  <c r="FL7" i="13"/>
  <c r="FL8" i="13"/>
  <c r="FL11" i="13"/>
  <c r="VD7" i="13"/>
  <c r="VD8" i="13"/>
  <c r="VD11" i="13"/>
  <c r="PG7" i="13"/>
  <c r="PG8" i="13"/>
  <c r="PG11" i="13"/>
  <c r="XC8" i="13"/>
  <c r="XC7" i="13"/>
  <c r="XC11" i="13"/>
  <c r="RF7" i="13"/>
  <c r="RF8" i="13"/>
  <c r="RF11" i="13"/>
  <c r="ZB11" i="13"/>
  <c r="ZB7" i="13"/>
  <c r="ZB8" i="13"/>
  <c r="JJ8" i="13"/>
  <c r="JJ7" i="13"/>
  <c r="JJ11" i="13"/>
  <c r="NH7" i="13"/>
  <c r="NH8" i="13"/>
  <c r="NH11" i="13"/>
  <c r="TE7" i="13"/>
  <c r="TE8" i="13"/>
  <c r="TE11" i="13"/>
  <c r="ABA8" i="13"/>
  <c r="ABA11" i="13"/>
  <c r="ABA7" i="13"/>
  <c r="DN6" i="13"/>
  <c r="ABB189" i="13"/>
  <c r="ABB6" i="13" s="1"/>
  <c r="ZC176" i="13"/>
  <c r="ZC6" i="13" s="1"/>
  <c r="VE150" i="13"/>
  <c r="VE6" i="13" s="1"/>
  <c r="XD163" i="13"/>
  <c r="XD6" i="13" s="1"/>
  <c r="HK7" i="13"/>
  <c r="HK11" i="13"/>
  <c r="HK8" i="13"/>
  <c r="LI7" i="13"/>
  <c r="LI8" i="13"/>
  <c r="LI11" i="13"/>
  <c r="DM7" i="13"/>
  <c r="DM8" i="13"/>
  <c r="DM11" i="13"/>
  <c r="TF137" i="13"/>
  <c r="TF6" i="13" s="1"/>
  <c r="RG124" i="13"/>
  <c r="RG6" i="13" s="1"/>
  <c r="PH111" i="13"/>
  <c r="PH6" i="13" s="1"/>
  <c r="NI98" i="13"/>
  <c r="NI6" i="13" s="1"/>
  <c r="LJ85" i="13"/>
  <c r="LJ6" i="13" s="1"/>
  <c r="JK72" i="13"/>
  <c r="JK6" i="13" s="1"/>
  <c r="HL59" i="13"/>
  <c r="HL6" i="13" s="1"/>
  <c r="FM46" i="13"/>
  <c r="FM6" i="13" s="1"/>
  <c r="DN34" i="13"/>
  <c r="NH12" i="13" l="1"/>
  <c r="NH13" i="13"/>
  <c r="ZB12" i="13"/>
  <c r="ZB13" i="13"/>
  <c r="PG9" i="13"/>
  <c r="PG10" i="13"/>
  <c r="NH10" i="13"/>
  <c r="NH9" i="13"/>
  <c r="HK9" i="13"/>
  <c r="HK10" i="13"/>
  <c r="DN2" i="13"/>
  <c r="DN3" i="13"/>
  <c r="ABB190" i="13"/>
  <c r="ZC177" i="13"/>
  <c r="VE151" i="13"/>
  <c r="XD164" i="13"/>
  <c r="ABA12" i="13"/>
  <c r="ABA13" i="13"/>
  <c r="RF9" i="13"/>
  <c r="RF10" i="13"/>
  <c r="VD12" i="13"/>
  <c r="VD13" i="13"/>
  <c r="DM12" i="13"/>
  <c r="DM13" i="13"/>
  <c r="ABA9" i="13"/>
  <c r="ABA10" i="13"/>
  <c r="JJ13" i="13"/>
  <c r="JJ12" i="13"/>
  <c r="VD9" i="13"/>
  <c r="VD10" i="13"/>
  <c r="DM9" i="13"/>
  <c r="DM10" i="13"/>
  <c r="TE12" i="13"/>
  <c r="TE13" i="13"/>
  <c r="XC12" i="13"/>
  <c r="XC13" i="13"/>
  <c r="RF13" i="13"/>
  <c r="RF12" i="13"/>
  <c r="TE10" i="13"/>
  <c r="TE9" i="13"/>
  <c r="JJ9" i="13"/>
  <c r="JJ10" i="13"/>
  <c r="FL12" i="13"/>
  <c r="FL13" i="13"/>
  <c r="LI12" i="13"/>
  <c r="LI13" i="13"/>
  <c r="ZB9" i="13"/>
  <c r="ZB10" i="13"/>
  <c r="XC10" i="13"/>
  <c r="XC9" i="13"/>
  <c r="FL9" i="13"/>
  <c r="FL10" i="13"/>
  <c r="HK13" i="13"/>
  <c r="HK12" i="13"/>
  <c r="LI9" i="13"/>
  <c r="LI10" i="13"/>
  <c r="PG12" i="13"/>
  <c r="PG13" i="13"/>
  <c r="TF138" i="13"/>
  <c r="PH112" i="13"/>
  <c r="RG125" i="13"/>
  <c r="NI99" i="13"/>
  <c r="LJ86" i="13"/>
  <c r="JK73" i="13"/>
  <c r="HL60" i="13"/>
  <c r="FM47" i="13"/>
  <c r="DN36" i="13"/>
  <c r="DN39" i="13"/>
  <c r="XD2" i="13" l="1"/>
  <c r="XD3" i="13"/>
  <c r="NI2" i="13"/>
  <c r="NI3" i="13"/>
  <c r="ZC3" i="13"/>
  <c r="ZC2" i="13"/>
  <c r="VE2" i="13"/>
  <c r="VE3" i="13"/>
  <c r="ABB2" i="13"/>
  <c r="ABB3" i="13"/>
  <c r="JK2" i="13"/>
  <c r="JK3" i="13"/>
  <c r="PH2" i="13"/>
  <c r="PH3" i="13"/>
  <c r="LJ2" i="13"/>
  <c r="LJ3" i="13"/>
  <c r="RG2" i="13"/>
  <c r="RG3" i="13"/>
  <c r="ABB195" i="13"/>
  <c r="XD169" i="13"/>
  <c r="ZC182" i="13"/>
  <c r="VE156" i="13"/>
  <c r="TF2" i="13"/>
  <c r="TF3" i="13"/>
  <c r="FM2" i="13"/>
  <c r="FM3" i="13"/>
  <c r="DN4" i="13"/>
  <c r="DN5" i="13" s="1"/>
  <c r="ABB192" i="13"/>
  <c r="ABB4" i="13" s="1"/>
  <c r="ABB5" i="13" s="1"/>
  <c r="ZC179" i="13"/>
  <c r="ZC4" i="13" s="1"/>
  <c r="VE153" i="13"/>
  <c r="VE4" i="13" s="1"/>
  <c r="XD166" i="13"/>
  <c r="XD4" i="13" s="1"/>
  <c r="XD5" i="13" s="1"/>
  <c r="HL2" i="13"/>
  <c r="HL3" i="13"/>
  <c r="TF140" i="13"/>
  <c r="TF4" i="13" s="1"/>
  <c r="RG127" i="13"/>
  <c r="RG4" i="13" s="1"/>
  <c r="RG5" i="13" s="1"/>
  <c r="PH114" i="13"/>
  <c r="PH4" i="13" s="1"/>
  <c r="RG130" i="13"/>
  <c r="TF143" i="13"/>
  <c r="PH117" i="13"/>
  <c r="NI104" i="13"/>
  <c r="LJ91" i="13"/>
  <c r="JK78" i="13"/>
  <c r="NI101" i="13"/>
  <c r="NI4" i="13" s="1"/>
  <c r="NI5" i="13" s="1"/>
  <c r="LJ88" i="13"/>
  <c r="LJ4" i="13" s="1"/>
  <c r="JK75" i="13"/>
  <c r="JK4" i="13" s="1"/>
  <c r="JK5" i="13" s="1"/>
  <c r="FM52" i="13"/>
  <c r="HL65" i="13"/>
  <c r="HL62" i="13"/>
  <c r="HL4" i="13" s="1"/>
  <c r="HL5" i="13" s="1"/>
  <c r="DO33" i="13"/>
  <c r="FM49" i="13"/>
  <c r="FM4" i="13" s="1"/>
  <c r="FM5" i="13" s="1"/>
  <c r="PH5" i="13" l="1"/>
  <c r="ZC5" i="13"/>
  <c r="VE5" i="13"/>
  <c r="LJ5" i="13"/>
  <c r="TF5" i="13"/>
  <c r="ABB11" i="13"/>
  <c r="ABB7" i="13"/>
  <c r="ABB8" i="13"/>
  <c r="XD7" i="13"/>
  <c r="XD8" i="13"/>
  <c r="XD11" i="13"/>
  <c r="ZC8" i="13"/>
  <c r="ZC7" i="13"/>
  <c r="ZC11" i="13"/>
  <c r="PH7" i="13"/>
  <c r="PH8" i="13"/>
  <c r="PH11" i="13"/>
  <c r="NI7" i="13"/>
  <c r="NI8" i="13"/>
  <c r="NI11" i="13"/>
  <c r="RG7" i="13"/>
  <c r="RG8" i="13"/>
  <c r="RG11" i="13"/>
  <c r="DN7" i="13"/>
  <c r="DN8" i="13"/>
  <c r="DN11" i="13"/>
  <c r="JK7" i="13"/>
  <c r="JK8" i="13"/>
  <c r="JK11" i="13"/>
  <c r="FM8" i="13"/>
  <c r="FM11" i="13"/>
  <c r="FM7" i="13"/>
  <c r="TF8" i="13"/>
  <c r="TF7" i="13"/>
  <c r="TF11" i="13"/>
  <c r="HL8" i="13"/>
  <c r="HL7" i="13"/>
  <c r="HL11" i="13"/>
  <c r="VE8" i="13"/>
  <c r="VE11" i="13"/>
  <c r="VE7" i="13"/>
  <c r="LJ8" i="13"/>
  <c r="LJ7" i="13"/>
  <c r="LJ11" i="13"/>
  <c r="DO6" i="13"/>
  <c r="ABC189" i="13"/>
  <c r="ABC6" i="13" s="1"/>
  <c r="ZD176" i="13"/>
  <c r="ZD6" i="13" s="1"/>
  <c r="XE163" i="13"/>
  <c r="XE6" i="13" s="1"/>
  <c r="VF150" i="13"/>
  <c r="VF6" i="13" s="1"/>
  <c r="TG137" i="13"/>
  <c r="TG6" i="13" s="1"/>
  <c r="RH124" i="13"/>
  <c r="RH6" i="13" s="1"/>
  <c r="PI111" i="13"/>
  <c r="PI6" i="13" s="1"/>
  <c r="NJ98" i="13"/>
  <c r="NJ6" i="13" s="1"/>
  <c r="LK85" i="13"/>
  <c r="LK6" i="13" s="1"/>
  <c r="JL72" i="13"/>
  <c r="JL6" i="13" s="1"/>
  <c r="HM59" i="13"/>
  <c r="HM6" i="13" s="1"/>
  <c r="FN46" i="13"/>
  <c r="FN6" i="13" s="1"/>
  <c r="DO34" i="13"/>
  <c r="JK9" i="13" l="1"/>
  <c r="JK10" i="13"/>
  <c r="ZC9" i="13"/>
  <c r="ZC10" i="13"/>
  <c r="NI9" i="13"/>
  <c r="NI10" i="13"/>
  <c r="XD12" i="13"/>
  <c r="XD13" i="13"/>
  <c r="JK12" i="13"/>
  <c r="JK13" i="13"/>
  <c r="HL9" i="13"/>
  <c r="HL10" i="13"/>
  <c r="DO2" i="13"/>
  <c r="DO3" i="13"/>
  <c r="ZD177" i="13"/>
  <c r="ABC190" i="13"/>
  <c r="XE164" i="13"/>
  <c r="VF151" i="13"/>
  <c r="LJ10" i="13"/>
  <c r="LJ9" i="13"/>
  <c r="DN12" i="13"/>
  <c r="DN13" i="13"/>
  <c r="XD10" i="13"/>
  <c r="XD9" i="13"/>
  <c r="NI12" i="13"/>
  <c r="NI13" i="13"/>
  <c r="TF9" i="13"/>
  <c r="TF10" i="13"/>
  <c r="DN9" i="13"/>
  <c r="DN10" i="13"/>
  <c r="PH12" i="13"/>
  <c r="PH13" i="13"/>
  <c r="LJ12" i="13"/>
  <c r="LJ13" i="13"/>
  <c r="TF13" i="13"/>
  <c r="TF12" i="13"/>
  <c r="VE13" i="13"/>
  <c r="VE12" i="13"/>
  <c r="PH9" i="13"/>
  <c r="PH10" i="13"/>
  <c r="ABB9" i="13"/>
  <c r="ABB10" i="13"/>
  <c r="VE10" i="13"/>
  <c r="VE9" i="13"/>
  <c r="FM13" i="13"/>
  <c r="FM12" i="13"/>
  <c r="RG13" i="13"/>
  <c r="RG12" i="13"/>
  <c r="HL12" i="13"/>
  <c r="HL13" i="13"/>
  <c r="FM10" i="13"/>
  <c r="FM9" i="13"/>
  <c r="RG9" i="13"/>
  <c r="RG10" i="13"/>
  <c r="ZC12" i="13"/>
  <c r="ZC13" i="13"/>
  <c r="ABB13" i="13"/>
  <c r="ABB12" i="13"/>
  <c r="TG138" i="13"/>
  <c r="RH125" i="13"/>
  <c r="PI112" i="13"/>
  <c r="NJ99" i="13"/>
  <c r="LK86" i="13"/>
  <c r="JL73" i="13"/>
  <c r="HM60" i="13"/>
  <c r="DO36" i="13"/>
  <c r="FN47" i="13"/>
  <c r="DO39" i="13"/>
  <c r="ABC2" i="13" l="1"/>
  <c r="ABC3" i="13"/>
  <c r="ZD2" i="13"/>
  <c r="ZD3" i="13"/>
  <c r="NJ2" i="13"/>
  <c r="NJ3" i="13"/>
  <c r="PI2" i="13"/>
  <c r="PI3" i="13"/>
  <c r="JL2" i="13"/>
  <c r="JL3" i="13"/>
  <c r="TG2" i="13"/>
  <c r="TG3" i="13"/>
  <c r="LK2" i="13"/>
  <c r="LK3" i="13"/>
  <c r="ABC195" i="13"/>
  <c r="XE169" i="13"/>
  <c r="VF156" i="13"/>
  <c r="ZD182" i="13"/>
  <c r="RH3" i="13"/>
  <c r="RH2" i="13"/>
  <c r="DO4" i="13"/>
  <c r="DO5" i="13" s="1"/>
  <c r="ABC192" i="13"/>
  <c r="ABC4" i="13" s="1"/>
  <c r="ZD179" i="13"/>
  <c r="ZD4" i="13" s="1"/>
  <c r="ZD5" i="13" s="1"/>
  <c r="VF153" i="13"/>
  <c r="VF4" i="13" s="1"/>
  <c r="XE166" i="13"/>
  <c r="XE4" i="13" s="1"/>
  <c r="VF2" i="13"/>
  <c r="VF3" i="13"/>
  <c r="FN2" i="13"/>
  <c r="FN3" i="13"/>
  <c r="HM2" i="13"/>
  <c r="HM3" i="13"/>
  <c r="XE2" i="13"/>
  <c r="XE3" i="13"/>
  <c r="TG140" i="13"/>
  <c r="TG4" i="13" s="1"/>
  <c r="RH127" i="13"/>
  <c r="RH4" i="13" s="1"/>
  <c r="PI114" i="13"/>
  <c r="PI4" i="13" s="1"/>
  <c r="TG143" i="13"/>
  <c r="PI117" i="13"/>
  <c r="RH130" i="13"/>
  <c r="NJ104" i="13"/>
  <c r="LK91" i="13"/>
  <c r="JL78" i="13"/>
  <c r="NJ101" i="13"/>
  <c r="NJ4" i="13" s="1"/>
  <c r="LK88" i="13"/>
  <c r="LK4" i="13" s="1"/>
  <c r="JL75" i="13"/>
  <c r="JL4" i="13" s="1"/>
  <c r="FN52" i="13"/>
  <c r="HM65" i="13"/>
  <c r="HM62" i="13"/>
  <c r="HM4" i="13" s="1"/>
  <c r="HM5" i="13" s="1"/>
  <c r="FN49" i="13"/>
  <c r="FN4" i="13" s="1"/>
  <c r="DP33" i="13"/>
  <c r="TG5" i="13" l="1"/>
  <c r="ABC5" i="13"/>
  <c r="JL5" i="13"/>
  <c r="VF5" i="13"/>
  <c r="LK5" i="13"/>
  <c r="NJ5" i="13"/>
  <c r="PI5" i="13"/>
  <c r="RH5" i="13"/>
  <c r="FN5" i="13"/>
  <c r="XE5" i="13"/>
  <c r="VF8" i="13"/>
  <c r="VF7" i="13"/>
  <c r="VF11" i="13"/>
  <c r="ZD8" i="13"/>
  <c r="ZD7" i="13"/>
  <c r="ZD11" i="13"/>
  <c r="JL7" i="13"/>
  <c r="JL8" i="13"/>
  <c r="JL11" i="13"/>
  <c r="DO8" i="13"/>
  <c r="DO11" i="13"/>
  <c r="DO7" i="13"/>
  <c r="PI11" i="13"/>
  <c r="PI7" i="13"/>
  <c r="PI8" i="13"/>
  <c r="HM7" i="13"/>
  <c r="HM8" i="13"/>
  <c r="HM11" i="13"/>
  <c r="NJ7" i="13"/>
  <c r="NJ8" i="13"/>
  <c r="NJ11" i="13"/>
  <c r="RH8" i="13"/>
  <c r="RH7" i="13"/>
  <c r="RH11" i="13"/>
  <c r="DP6" i="13"/>
  <c r="ABD189" i="13"/>
  <c r="ABD6" i="13" s="1"/>
  <c r="ZE176" i="13"/>
  <c r="ZE6" i="13" s="1"/>
  <c r="XF163" i="13"/>
  <c r="XF6" i="13" s="1"/>
  <c r="VG150" i="13"/>
  <c r="VG6" i="13" s="1"/>
  <c r="TG7" i="13"/>
  <c r="TG8" i="13"/>
  <c r="TG11" i="13"/>
  <c r="ABC7" i="13"/>
  <c r="ABC11" i="13"/>
  <c r="ABC8" i="13"/>
  <c r="LK7" i="13"/>
  <c r="LK8" i="13"/>
  <c r="LK11" i="13"/>
  <c r="FN8" i="13"/>
  <c r="FN7" i="13"/>
  <c r="FN11" i="13"/>
  <c r="XE7" i="13"/>
  <c r="XE8" i="13"/>
  <c r="XE11" i="13"/>
  <c r="TH137" i="13"/>
  <c r="TH6" i="13" s="1"/>
  <c r="PJ111" i="13"/>
  <c r="PJ6" i="13" s="1"/>
  <c r="RI124" i="13"/>
  <c r="RI6" i="13" s="1"/>
  <c r="NK98" i="13"/>
  <c r="NK6" i="13" s="1"/>
  <c r="LL85" i="13"/>
  <c r="LL6" i="13" s="1"/>
  <c r="JM72" i="13"/>
  <c r="JM6" i="13" s="1"/>
  <c r="HN59" i="13"/>
  <c r="HN6" i="13" s="1"/>
  <c r="FO46" i="13"/>
  <c r="FO6" i="13" s="1"/>
  <c r="DP34" i="13"/>
  <c r="RH13" i="13" l="1"/>
  <c r="RH12" i="13"/>
  <c r="JL10" i="13"/>
  <c r="JL9" i="13"/>
  <c r="TG9" i="13"/>
  <c r="TG10" i="13"/>
  <c r="RH10" i="13"/>
  <c r="RH9" i="13"/>
  <c r="ZD12" i="13"/>
  <c r="ZD13" i="13"/>
  <c r="TG12" i="13"/>
  <c r="TG13" i="13"/>
  <c r="NJ13" i="13"/>
  <c r="NJ12" i="13"/>
  <c r="PI12" i="13"/>
  <c r="PI13" i="13"/>
  <c r="DP2" i="13"/>
  <c r="DP3" i="13"/>
  <c r="ZE177" i="13"/>
  <c r="ABD190" i="13"/>
  <c r="VG151" i="13"/>
  <c r="XF164" i="13"/>
  <c r="XE12" i="13"/>
  <c r="XE13" i="13"/>
  <c r="NJ9" i="13"/>
  <c r="NJ10" i="13"/>
  <c r="ZD10" i="13"/>
  <c r="ZD9" i="13"/>
  <c r="PI10" i="13"/>
  <c r="PI9" i="13"/>
  <c r="LK13" i="13"/>
  <c r="LK12" i="13"/>
  <c r="XE9" i="13"/>
  <c r="XE10" i="13"/>
  <c r="ABC9" i="13"/>
  <c r="ABC10" i="13"/>
  <c r="DO13" i="13"/>
  <c r="DO12" i="13"/>
  <c r="VF13" i="13"/>
  <c r="VF12" i="13"/>
  <c r="FN10" i="13"/>
  <c r="FN9" i="13"/>
  <c r="ABC12" i="13"/>
  <c r="ABC13" i="13"/>
  <c r="HM12" i="13"/>
  <c r="HM13" i="13"/>
  <c r="DO9" i="13"/>
  <c r="DO10" i="13"/>
  <c r="LK10" i="13"/>
  <c r="LK9" i="13"/>
  <c r="FN12" i="13"/>
  <c r="FN13" i="13"/>
  <c r="HM9" i="13"/>
  <c r="HM10" i="13"/>
  <c r="JL13" i="13"/>
  <c r="JL12" i="13"/>
  <c r="VF9" i="13"/>
  <c r="VF10" i="13"/>
  <c r="TH138" i="13"/>
  <c r="RI125" i="13"/>
  <c r="PJ112" i="13"/>
  <c r="NK99" i="13"/>
  <c r="LL86" i="13"/>
  <c r="JM73" i="13"/>
  <c r="HN60" i="13"/>
  <c r="FO47" i="13"/>
  <c r="DP39" i="13"/>
  <c r="DP36" i="13"/>
  <c r="NK2" i="13" l="1"/>
  <c r="NK3" i="13"/>
  <c r="PJ2" i="13"/>
  <c r="PJ3" i="13"/>
  <c r="XF2" i="13"/>
  <c r="XF3" i="13"/>
  <c r="VG2" i="13"/>
  <c r="VG3" i="13"/>
  <c r="DP4" i="13"/>
  <c r="DP5" i="13" s="1"/>
  <c r="XF166" i="13"/>
  <c r="XF4" i="13" s="1"/>
  <c r="ZE179" i="13"/>
  <c r="ZE4" i="13" s="1"/>
  <c r="ABD192" i="13"/>
  <c r="ABD4" i="13" s="1"/>
  <c r="VG153" i="13"/>
  <c r="VG4" i="13" s="1"/>
  <c r="ABD3" i="13"/>
  <c r="ABD2" i="13"/>
  <c r="RI2" i="13"/>
  <c r="RI3" i="13"/>
  <c r="FO2" i="13"/>
  <c r="FO3" i="13"/>
  <c r="ZE2" i="13"/>
  <c r="ZE3" i="13"/>
  <c r="LL2" i="13"/>
  <c r="LL3" i="13"/>
  <c r="TH2" i="13"/>
  <c r="TH3" i="13"/>
  <c r="HN2" i="13"/>
  <c r="HN3" i="13"/>
  <c r="XF169" i="13"/>
  <c r="ABD195" i="13"/>
  <c r="ZE182" i="13"/>
  <c r="VG156" i="13"/>
  <c r="JM2" i="13"/>
  <c r="JM3" i="13"/>
  <c r="TH140" i="13"/>
  <c r="TH4" i="13" s="1"/>
  <c r="RI127" i="13"/>
  <c r="RI4" i="13" s="1"/>
  <c r="PJ114" i="13"/>
  <c r="PJ4" i="13" s="1"/>
  <c r="PJ5" i="13" s="1"/>
  <c r="PJ117" i="13"/>
  <c r="TH143" i="13"/>
  <c r="RI130" i="13"/>
  <c r="LL88" i="13"/>
  <c r="LL4" i="13" s="1"/>
  <c r="LL5" i="13" s="1"/>
  <c r="NK101" i="13"/>
  <c r="NK4" i="13" s="1"/>
  <c r="NK5" i="13" s="1"/>
  <c r="JM75" i="13"/>
  <c r="JM4" i="13" s="1"/>
  <c r="NK104" i="13"/>
  <c r="LL91" i="13"/>
  <c r="JM78" i="13"/>
  <c r="HN62" i="13"/>
  <c r="HN4" i="13" s="1"/>
  <c r="FO49" i="13"/>
  <c r="FO4" i="13" s="1"/>
  <c r="DQ33" i="13"/>
  <c r="FO52" i="13"/>
  <c r="HN65" i="13"/>
  <c r="FO5" i="13" l="1"/>
  <c r="HN5" i="13"/>
  <c r="VG5" i="13"/>
  <c r="ABD5" i="13"/>
  <c r="ZE5" i="13"/>
  <c r="RI5" i="13"/>
  <c r="TH5" i="13"/>
  <c r="XF5" i="13"/>
  <c r="JM5" i="13"/>
  <c r="DQ6" i="13"/>
  <c r="ABE189" i="13"/>
  <c r="ABE6" i="13" s="1"/>
  <c r="ZF176" i="13"/>
  <c r="ZF6" i="13" s="1"/>
  <c r="XG163" i="13"/>
  <c r="XG6" i="13" s="1"/>
  <c r="VH150" i="13"/>
  <c r="VH6" i="13" s="1"/>
  <c r="HN7" i="13"/>
  <c r="HN8" i="13"/>
  <c r="HN11" i="13"/>
  <c r="VG7" i="13"/>
  <c r="VG11" i="13"/>
  <c r="VG8" i="13"/>
  <c r="PJ8" i="13"/>
  <c r="PJ7" i="13"/>
  <c r="PJ11" i="13"/>
  <c r="ABD7" i="13"/>
  <c r="ABD8" i="13"/>
  <c r="ABD11" i="13"/>
  <c r="RI7" i="13"/>
  <c r="RI8" i="13"/>
  <c r="RI11" i="13"/>
  <c r="ZE8" i="13"/>
  <c r="ZE7" i="13"/>
  <c r="ZE11" i="13"/>
  <c r="FO7" i="13"/>
  <c r="FO11" i="13"/>
  <c r="FO8" i="13"/>
  <c r="JM7" i="13"/>
  <c r="JM8" i="13"/>
  <c r="JM11" i="13"/>
  <c r="TH7" i="13"/>
  <c r="TH8" i="13"/>
  <c r="TH11" i="13"/>
  <c r="XF7" i="13"/>
  <c r="XF8" i="13"/>
  <c r="XF11" i="13"/>
  <c r="LL8" i="13"/>
  <c r="LL7" i="13"/>
  <c r="LL11" i="13"/>
  <c r="NK7" i="13"/>
  <c r="NK8" i="13"/>
  <c r="NK11" i="13"/>
  <c r="DP8" i="13"/>
  <c r="DP11" i="13"/>
  <c r="DP7" i="13"/>
  <c r="TI137" i="13"/>
  <c r="TI6" i="13" s="1"/>
  <c r="RJ124" i="13"/>
  <c r="RJ6" i="13" s="1"/>
  <c r="PK111" i="13"/>
  <c r="PK6" i="13" s="1"/>
  <c r="NL98" i="13"/>
  <c r="NL6" i="13" s="1"/>
  <c r="LM85" i="13"/>
  <c r="LM6" i="13" s="1"/>
  <c r="JN72" i="13"/>
  <c r="JN6" i="13" s="1"/>
  <c r="HO59" i="13"/>
  <c r="HO6" i="13" s="1"/>
  <c r="DQ34" i="13"/>
  <c r="FP46" i="13"/>
  <c r="FP6" i="13" s="1"/>
  <c r="ZE13" i="13" l="1"/>
  <c r="ZE12" i="13"/>
  <c r="ABD9" i="13"/>
  <c r="ABD10" i="13"/>
  <c r="HN12" i="13"/>
  <c r="HN13" i="13"/>
  <c r="HN10" i="13"/>
  <c r="HN9" i="13"/>
  <c r="JM12" i="13"/>
  <c r="JM13" i="13"/>
  <c r="ZE9" i="13"/>
  <c r="ZE10" i="13"/>
  <c r="PJ13" i="13"/>
  <c r="PJ12" i="13"/>
  <c r="JM10" i="13"/>
  <c r="JM9" i="13"/>
  <c r="LL10" i="13"/>
  <c r="LL9" i="13"/>
  <c r="DP12" i="13"/>
  <c r="DP13" i="13"/>
  <c r="RI9" i="13"/>
  <c r="RI10" i="13"/>
  <c r="PJ9" i="13"/>
  <c r="PJ10" i="13"/>
  <c r="TH10" i="13"/>
  <c r="TH9" i="13"/>
  <c r="DP9" i="13"/>
  <c r="DP10" i="13"/>
  <c r="XF9" i="13"/>
  <c r="XF10" i="13"/>
  <c r="FO9" i="13"/>
  <c r="FO10" i="13"/>
  <c r="VG9" i="13"/>
  <c r="VG10" i="13"/>
  <c r="XF13" i="13"/>
  <c r="XF12" i="13"/>
  <c r="NK12" i="13"/>
  <c r="NK13" i="13"/>
  <c r="FO13" i="13"/>
  <c r="FO12" i="13"/>
  <c r="VG12" i="13"/>
  <c r="VG13" i="13"/>
  <c r="LL12" i="13"/>
  <c r="LL13" i="13"/>
  <c r="DQ2" i="13"/>
  <c r="DQ3" i="13"/>
  <c r="ZF177" i="13"/>
  <c r="ABE190" i="13"/>
  <c r="XG164" i="13"/>
  <c r="VH151" i="13"/>
  <c r="RI12" i="13"/>
  <c r="RI13" i="13"/>
  <c r="NK9" i="13"/>
  <c r="NK10" i="13"/>
  <c r="TH13" i="13"/>
  <c r="TH12" i="13"/>
  <c r="ABD12" i="13"/>
  <c r="ABD13" i="13"/>
  <c r="TI138" i="13"/>
  <c r="RJ125" i="13"/>
  <c r="PK112" i="13"/>
  <c r="NL99" i="13"/>
  <c r="LM86" i="13"/>
  <c r="JN73" i="13"/>
  <c r="HO60" i="13"/>
  <c r="DQ39" i="13"/>
  <c r="DQ36" i="13"/>
  <c r="FP47" i="13"/>
  <c r="NL2" i="13" l="1"/>
  <c r="NL3" i="13"/>
  <c r="PK2" i="13"/>
  <c r="PK3" i="13"/>
  <c r="ZF2" i="13"/>
  <c r="ZF3" i="13"/>
  <c r="TI2" i="13"/>
  <c r="TI3" i="13"/>
  <c r="HO2" i="13"/>
  <c r="HO3" i="13"/>
  <c r="VH3" i="13"/>
  <c r="VH2" i="13"/>
  <c r="FP2" i="13"/>
  <c r="FP3" i="13"/>
  <c r="RJ3" i="13"/>
  <c r="RJ2" i="13"/>
  <c r="DQ4" i="13"/>
  <c r="DQ5" i="13" s="1"/>
  <c r="ZF179" i="13"/>
  <c r="ZF4" i="13" s="1"/>
  <c r="ABE192" i="13"/>
  <c r="ABE4" i="13" s="1"/>
  <c r="VH153" i="13"/>
  <c r="VH4" i="13" s="1"/>
  <c r="VH5" i="13" s="1"/>
  <c r="XG166" i="13"/>
  <c r="XG4" i="13" s="1"/>
  <c r="ZF182" i="13"/>
  <c r="XG169" i="13"/>
  <c r="VH156" i="13"/>
  <c r="ABE195" i="13"/>
  <c r="JN2" i="13"/>
  <c r="JN3" i="13"/>
  <c r="XG2" i="13"/>
  <c r="XG3" i="13"/>
  <c r="LM2" i="13"/>
  <c r="LM3" i="13"/>
  <c r="ABE3" i="13"/>
  <c r="ABE2" i="13"/>
  <c r="TI140" i="13"/>
  <c r="TI4" i="13" s="1"/>
  <c r="RJ127" i="13"/>
  <c r="RJ4" i="13" s="1"/>
  <c r="PK114" i="13"/>
  <c r="PK4" i="13" s="1"/>
  <c r="PK5" i="13" s="1"/>
  <c r="RJ130" i="13"/>
  <c r="PK117" i="13"/>
  <c r="TI143" i="13"/>
  <c r="NL101" i="13"/>
  <c r="NL4" i="13" s="1"/>
  <c r="NL5" i="13" s="1"/>
  <c r="LM88" i="13"/>
  <c r="LM4" i="13" s="1"/>
  <c r="JN75" i="13"/>
  <c r="JN4" i="13" s="1"/>
  <c r="JN5" i="13" s="1"/>
  <c r="NL104" i="13"/>
  <c r="LM91" i="13"/>
  <c r="JN78" i="13"/>
  <c r="FP52" i="13"/>
  <c r="HO65" i="13"/>
  <c r="HO62" i="13"/>
  <c r="HO4" i="13" s="1"/>
  <c r="HO5" i="13" s="1"/>
  <c r="FP49" i="13"/>
  <c r="FP4" i="13" s="1"/>
  <c r="DR33" i="13"/>
  <c r="ABE5" i="13" l="1"/>
  <c r="TI5" i="13"/>
  <c r="XG5" i="13"/>
  <c r="RJ5" i="13"/>
  <c r="ZF5" i="13"/>
  <c r="FP5" i="13"/>
  <c r="LM5" i="13"/>
  <c r="NL7" i="13"/>
  <c r="NL8" i="13"/>
  <c r="NL11" i="13"/>
  <c r="XG7" i="13"/>
  <c r="XG8" i="13"/>
  <c r="XG11" i="13"/>
  <c r="PK7" i="13"/>
  <c r="PK11" i="13"/>
  <c r="PK8" i="13"/>
  <c r="VH7" i="13"/>
  <c r="VH8" i="13"/>
  <c r="VH11" i="13"/>
  <c r="RJ7" i="13"/>
  <c r="RJ11" i="13"/>
  <c r="RJ8" i="13"/>
  <c r="ABE8" i="13"/>
  <c r="ABE11" i="13"/>
  <c r="ABE7" i="13"/>
  <c r="HO7" i="13"/>
  <c r="HO8" i="13"/>
  <c r="HO11" i="13"/>
  <c r="DR6" i="13"/>
  <c r="ABF189" i="13"/>
  <c r="ABF6" i="13" s="1"/>
  <c r="ZG176" i="13"/>
  <c r="ZG6" i="13" s="1"/>
  <c r="XH163" i="13"/>
  <c r="XH6" i="13" s="1"/>
  <c r="VI150" i="13"/>
  <c r="VI6" i="13" s="1"/>
  <c r="JN7" i="13"/>
  <c r="JN8" i="13"/>
  <c r="JN11" i="13"/>
  <c r="TI8" i="13"/>
  <c r="TI11" i="13"/>
  <c r="TI7" i="13"/>
  <c r="ZF7" i="13"/>
  <c r="ZF8" i="13"/>
  <c r="ZF11" i="13"/>
  <c r="FP7" i="13"/>
  <c r="FP8" i="13"/>
  <c r="FP11" i="13"/>
  <c r="LM8" i="13"/>
  <c r="LM7" i="13"/>
  <c r="LM11" i="13"/>
  <c r="DQ7" i="13"/>
  <c r="DQ8" i="13"/>
  <c r="DQ11" i="13"/>
  <c r="TJ137" i="13"/>
  <c r="TJ6" i="13" s="1"/>
  <c r="RK124" i="13"/>
  <c r="RK6" i="13" s="1"/>
  <c r="PL111" i="13"/>
  <c r="PL6" i="13" s="1"/>
  <c r="NM98" i="13"/>
  <c r="NM6" i="13" s="1"/>
  <c r="LN85" i="13"/>
  <c r="LN6" i="13" s="1"/>
  <c r="JO72" i="13"/>
  <c r="JO6" i="13" s="1"/>
  <c r="HP59" i="13"/>
  <c r="HP6" i="13" s="1"/>
  <c r="FQ46" i="13"/>
  <c r="FQ6" i="13" s="1"/>
  <c r="DR34" i="13"/>
  <c r="RJ10" i="13" l="1"/>
  <c r="RJ9" i="13"/>
  <c r="XG12" i="13"/>
  <c r="XG13" i="13"/>
  <c r="XG9" i="13"/>
  <c r="XG10" i="13"/>
  <c r="DR2" i="13"/>
  <c r="DR3" i="13"/>
  <c r="ABF190" i="13"/>
  <c r="XH164" i="13"/>
  <c r="ZG177" i="13"/>
  <c r="VI151" i="13"/>
  <c r="HO12" i="13"/>
  <c r="HO13" i="13"/>
  <c r="DQ12" i="13"/>
  <c r="DQ13" i="13"/>
  <c r="JN10" i="13"/>
  <c r="JN9" i="13"/>
  <c r="HO9" i="13"/>
  <c r="HO10" i="13"/>
  <c r="VH13" i="13"/>
  <c r="VH12" i="13"/>
  <c r="TI12" i="13"/>
  <c r="TI13" i="13"/>
  <c r="DQ9" i="13"/>
  <c r="DQ10" i="13"/>
  <c r="ZF12" i="13"/>
  <c r="ZF13" i="13"/>
  <c r="VH9" i="13"/>
  <c r="VH10" i="13"/>
  <c r="LM9" i="13"/>
  <c r="LM10" i="13"/>
  <c r="FP12" i="13"/>
  <c r="FP13" i="13"/>
  <c r="TI10" i="13"/>
  <c r="TI9" i="13"/>
  <c r="FP9" i="13"/>
  <c r="FP10" i="13"/>
  <c r="ZF9" i="13"/>
  <c r="ZF10" i="13"/>
  <c r="NL13" i="13"/>
  <c r="NL12" i="13"/>
  <c r="LM12" i="13"/>
  <c r="LM13" i="13"/>
  <c r="ABE12" i="13"/>
  <c r="ABE13" i="13"/>
  <c r="PK9" i="13"/>
  <c r="PK10" i="13"/>
  <c r="NL10" i="13"/>
  <c r="NL9" i="13"/>
  <c r="RJ12" i="13"/>
  <c r="RJ13" i="13"/>
  <c r="JN12" i="13"/>
  <c r="JN13" i="13"/>
  <c r="ABE9" i="13"/>
  <c r="ABE10" i="13"/>
  <c r="PK13" i="13"/>
  <c r="PK12" i="13"/>
  <c r="TJ138" i="13"/>
  <c r="PL112" i="13"/>
  <c r="RK125" i="13"/>
  <c r="NM99" i="13"/>
  <c r="LN86" i="13"/>
  <c r="JO73" i="13"/>
  <c r="HP60" i="13"/>
  <c r="FQ47" i="13"/>
  <c r="DR39" i="13"/>
  <c r="DR36" i="13"/>
  <c r="NM2" i="13" l="1"/>
  <c r="NM3" i="13"/>
  <c r="RK2" i="13"/>
  <c r="RK3" i="13"/>
  <c r="DR4" i="13"/>
  <c r="DR5" i="13" s="1"/>
  <c r="ABF192" i="13"/>
  <c r="ABF4" i="13" s="1"/>
  <c r="ZG179" i="13"/>
  <c r="ZG4" i="13" s="1"/>
  <c r="XH166" i="13"/>
  <c r="XH4" i="13" s="1"/>
  <c r="VI153" i="13"/>
  <c r="VI4" i="13" s="1"/>
  <c r="ABF195" i="13"/>
  <c r="ZG182" i="13"/>
  <c r="XH169" i="13"/>
  <c r="VI156" i="13"/>
  <c r="PL3" i="13"/>
  <c r="PL2" i="13"/>
  <c r="TJ2" i="13"/>
  <c r="TJ3" i="13"/>
  <c r="FQ2" i="13"/>
  <c r="FQ3" i="13"/>
  <c r="VI2" i="13"/>
  <c r="VI3" i="13"/>
  <c r="ZG2" i="13"/>
  <c r="ZG3" i="13"/>
  <c r="JO2" i="13"/>
  <c r="JO3" i="13"/>
  <c r="XH2" i="13"/>
  <c r="XH3" i="13"/>
  <c r="HP2" i="13"/>
  <c r="HP3" i="13"/>
  <c r="LN2" i="13"/>
  <c r="LN3" i="13"/>
  <c r="ABF2" i="13"/>
  <c r="ABF3" i="13"/>
  <c r="TJ140" i="13"/>
  <c r="TJ4" i="13" s="1"/>
  <c r="RK127" i="13"/>
  <c r="RK4" i="13" s="1"/>
  <c r="RK5" i="13" s="1"/>
  <c r="PL114" i="13"/>
  <c r="PL4" i="13" s="1"/>
  <c r="RK130" i="13"/>
  <c r="PL117" i="13"/>
  <c r="TJ143" i="13"/>
  <c r="LN88" i="13"/>
  <c r="LN4" i="13" s="1"/>
  <c r="LN5" i="13" s="1"/>
  <c r="NM101" i="13"/>
  <c r="NM4" i="13" s="1"/>
  <c r="NM5" i="13" s="1"/>
  <c r="JO75" i="13"/>
  <c r="JO4" i="13" s="1"/>
  <c r="NM104" i="13"/>
  <c r="LN91" i="13"/>
  <c r="JO78" i="13"/>
  <c r="HP62" i="13"/>
  <c r="HP4" i="13" s="1"/>
  <c r="HP5" i="13" s="1"/>
  <c r="FQ49" i="13"/>
  <c r="FQ4" i="13" s="1"/>
  <c r="FQ5" i="13" s="1"/>
  <c r="DS33" i="13"/>
  <c r="FQ52" i="13"/>
  <c r="HP65" i="13"/>
  <c r="XH5" i="13" l="1"/>
  <c r="ZG5" i="13"/>
  <c r="ABF5" i="13"/>
  <c r="PL5" i="13"/>
  <c r="JO5" i="13"/>
  <c r="TJ5" i="13"/>
  <c r="VI5" i="13"/>
  <c r="DS6" i="13"/>
  <c r="ABG189" i="13"/>
  <c r="ABG6" i="13" s="1"/>
  <c r="ZH176" i="13"/>
  <c r="ZH6" i="13" s="1"/>
  <c r="XI163" i="13"/>
  <c r="XI6" i="13" s="1"/>
  <c r="VJ150" i="13"/>
  <c r="VJ6" i="13" s="1"/>
  <c r="XH7" i="13"/>
  <c r="XH8" i="13"/>
  <c r="XH11" i="13"/>
  <c r="ZG7" i="13"/>
  <c r="ZG11" i="13"/>
  <c r="ZG8" i="13"/>
  <c r="ABF7" i="13"/>
  <c r="ABF11" i="13"/>
  <c r="ABF8" i="13"/>
  <c r="LN7" i="13"/>
  <c r="LN8" i="13"/>
  <c r="LN11" i="13"/>
  <c r="HP8" i="13"/>
  <c r="HP7" i="13"/>
  <c r="HP11" i="13"/>
  <c r="DR7" i="13"/>
  <c r="DR8" i="13"/>
  <c r="DR11" i="13"/>
  <c r="PL7" i="13"/>
  <c r="PL8" i="13"/>
  <c r="PL11" i="13"/>
  <c r="RK7" i="13"/>
  <c r="RK8" i="13"/>
  <c r="RK11" i="13"/>
  <c r="FQ7" i="13"/>
  <c r="FQ8" i="13"/>
  <c r="FQ11" i="13"/>
  <c r="JO8" i="13"/>
  <c r="JO7" i="13"/>
  <c r="JO11" i="13"/>
  <c r="TJ7" i="13"/>
  <c r="TJ11" i="13"/>
  <c r="TJ8" i="13"/>
  <c r="NM8" i="13"/>
  <c r="NM11" i="13"/>
  <c r="NM7" i="13"/>
  <c r="VI8" i="13"/>
  <c r="VI7" i="13"/>
  <c r="VI11" i="13"/>
  <c r="TK137" i="13"/>
  <c r="TK6" i="13" s="1"/>
  <c r="RL124" i="13"/>
  <c r="RL6" i="13" s="1"/>
  <c r="PM111" i="13"/>
  <c r="PM6" i="13" s="1"/>
  <c r="NN98" i="13"/>
  <c r="NN6" i="13" s="1"/>
  <c r="LO85" i="13"/>
  <c r="LO6" i="13" s="1"/>
  <c r="JP72" i="13"/>
  <c r="JP6" i="13" s="1"/>
  <c r="HQ59" i="13"/>
  <c r="HQ6" i="13" s="1"/>
  <c r="DS34" i="13"/>
  <c r="FR46" i="13"/>
  <c r="FR6" i="13" s="1"/>
  <c r="NM13" i="13" l="1"/>
  <c r="NM12" i="13"/>
  <c r="FQ12" i="13"/>
  <c r="FQ13" i="13"/>
  <c r="LN9" i="13"/>
  <c r="LN10" i="13"/>
  <c r="XH13" i="13"/>
  <c r="XH12" i="13"/>
  <c r="XH10" i="13"/>
  <c r="XH9" i="13"/>
  <c r="FQ10" i="13"/>
  <c r="FQ9" i="13"/>
  <c r="TJ9" i="13"/>
  <c r="TJ10" i="13"/>
  <c r="DR9" i="13"/>
  <c r="DR10" i="13"/>
  <c r="ABF10" i="13"/>
  <c r="ABF9" i="13"/>
  <c r="NM10" i="13"/>
  <c r="NM9" i="13"/>
  <c r="TJ12" i="13"/>
  <c r="TJ13" i="13"/>
  <c r="RK9" i="13"/>
  <c r="RK10" i="13"/>
  <c r="HP12" i="13"/>
  <c r="HP13" i="13"/>
  <c r="RK12" i="13"/>
  <c r="RK13" i="13"/>
  <c r="VI9" i="13"/>
  <c r="VI10" i="13"/>
  <c r="JO13" i="13"/>
  <c r="JO12" i="13"/>
  <c r="ZG9" i="13"/>
  <c r="ZG10" i="13"/>
  <c r="VI13" i="13"/>
  <c r="VI12" i="13"/>
  <c r="ABF12" i="13"/>
  <c r="ABF13" i="13"/>
  <c r="PL13" i="13"/>
  <c r="PL12" i="13"/>
  <c r="HP9" i="13"/>
  <c r="HP10" i="13"/>
  <c r="ZG12" i="13"/>
  <c r="ZG13" i="13"/>
  <c r="DR12" i="13"/>
  <c r="DR13" i="13"/>
  <c r="DS2" i="13"/>
  <c r="DS3" i="13"/>
  <c r="ABG190" i="13"/>
  <c r="ZH177" i="13"/>
  <c r="XI164" i="13"/>
  <c r="VJ151" i="13"/>
  <c r="JO10" i="13"/>
  <c r="JO9" i="13"/>
  <c r="PL9" i="13"/>
  <c r="PL10" i="13"/>
  <c r="LN12" i="13"/>
  <c r="LN13" i="13"/>
  <c r="TK138" i="13"/>
  <c r="RL125" i="13"/>
  <c r="PM112" i="13"/>
  <c r="NN99" i="13"/>
  <c r="LO86" i="13"/>
  <c r="JP73" i="13"/>
  <c r="HQ60" i="13"/>
  <c r="DS39" i="13"/>
  <c r="FR47" i="13"/>
  <c r="DS36" i="13"/>
  <c r="NN2" i="13" l="1"/>
  <c r="NN3" i="13"/>
  <c r="RL2" i="13"/>
  <c r="RL3" i="13"/>
  <c r="VJ2" i="13"/>
  <c r="VJ3" i="13"/>
  <c r="DS4" i="13"/>
  <c r="DS5" i="13" s="1"/>
  <c r="ABG192" i="13"/>
  <c r="ABG4" i="13" s="1"/>
  <c r="ZH179" i="13"/>
  <c r="ZH4" i="13" s="1"/>
  <c r="XI166" i="13"/>
  <c r="XI4" i="13" s="1"/>
  <c r="VJ153" i="13"/>
  <c r="VJ4" i="13" s="1"/>
  <c r="TK2" i="13"/>
  <c r="TK3" i="13"/>
  <c r="XI2" i="13"/>
  <c r="XI3" i="13"/>
  <c r="PM2" i="13"/>
  <c r="PM3" i="13"/>
  <c r="ABG195" i="13"/>
  <c r="ZH182" i="13"/>
  <c r="XI169" i="13"/>
  <c r="VJ156" i="13"/>
  <c r="HQ2" i="13"/>
  <c r="HQ3" i="13"/>
  <c r="ZH3" i="13"/>
  <c r="ZH2" i="13"/>
  <c r="LO2" i="13"/>
  <c r="LO3" i="13"/>
  <c r="FR3" i="13"/>
  <c r="FR2" i="13"/>
  <c r="JP2" i="13"/>
  <c r="JP3" i="13"/>
  <c r="ABG3" i="13"/>
  <c r="ABG2" i="13"/>
  <c r="TK140" i="13"/>
  <c r="TK4" i="13" s="1"/>
  <c r="RL127" i="13"/>
  <c r="RL4" i="13" s="1"/>
  <c r="RL5" i="13" s="1"/>
  <c r="PM114" i="13"/>
  <c r="PM4" i="13" s="1"/>
  <c r="RL130" i="13"/>
  <c r="PM117" i="13"/>
  <c r="TK143" i="13"/>
  <c r="NN104" i="13"/>
  <c r="LO91" i="13"/>
  <c r="JP78" i="13"/>
  <c r="NN101" i="13"/>
  <c r="NN4" i="13" s="1"/>
  <c r="NN5" i="13" s="1"/>
  <c r="LO88" i="13"/>
  <c r="LO4" i="13" s="1"/>
  <c r="JP75" i="13"/>
  <c r="JP4" i="13" s="1"/>
  <c r="HQ62" i="13"/>
  <c r="HQ4" i="13" s="1"/>
  <c r="HQ5" i="13" s="1"/>
  <c r="DT33" i="13"/>
  <c r="FR49" i="13"/>
  <c r="FR4" i="13" s="1"/>
  <c r="FR5" i="13" s="1"/>
  <c r="FR52" i="13"/>
  <c r="HQ65" i="13"/>
  <c r="ABG5" i="13" l="1"/>
  <c r="LO5" i="13"/>
  <c r="TK5" i="13"/>
  <c r="JP5" i="13"/>
  <c r="PM5" i="13"/>
  <c r="VJ5" i="13"/>
  <c r="XI5" i="13"/>
  <c r="ZH5" i="13"/>
  <c r="ABG8" i="13"/>
  <c r="ABG7" i="13"/>
  <c r="ABG11" i="13"/>
  <c r="DS7" i="13"/>
  <c r="DS8" i="13"/>
  <c r="DS11" i="13"/>
  <c r="JP7" i="13"/>
  <c r="JP8" i="13"/>
  <c r="JP11" i="13"/>
  <c r="DT6" i="13"/>
  <c r="ABH189" i="13"/>
  <c r="ABH6" i="13" s="1"/>
  <c r="ZI176" i="13"/>
  <c r="ZI6" i="13" s="1"/>
  <c r="VK150" i="13"/>
  <c r="VK6" i="13" s="1"/>
  <c r="XJ163" i="13"/>
  <c r="XJ6" i="13" s="1"/>
  <c r="FR7" i="13"/>
  <c r="FR8" i="13"/>
  <c r="FR11" i="13"/>
  <c r="HQ7" i="13"/>
  <c r="HQ8" i="13"/>
  <c r="HQ11" i="13"/>
  <c r="LO7" i="13"/>
  <c r="LO8" i="13"/>
  <c r="LO11" i="13"/>
  <c r="RL8" i="13"/>
  <c r="RL7" i="13"/>
  <c r="RL11" i="13"/>
  <c r="VJ7" i="13"/>
  <c r="VJ8" i="13"/>
  <c r="VJ11" i="13"/>
  <c r="PM7" i="13"/>
  <c r="PM11" i="13"/>
  <c r="PM8" i="13"/>
  <c r="TK8" i="13"/>
  <c r="TK7" i="13"/>
  <c r="TK11" i="13"/>
  <c r="XI7" i="13"/>
  <c r="XI8" i="13"/>
  <c r="XI11" i="13"/>
  <c r="NN7" i="13"/>
  <c r="NN11" i="13"/>
  <c r="NN8" i="13"/>
  <c r="ZH8" i="13"/>
  <c r="ZH7" i="13"/>
  <c r="ZH11" i="13"/>
  <c r="TL137" i="13"/>
  <c r="TL6" i="13" s="1"/>
  <c r="RM124" i="13"/>
  <c r="RM6" i="13" s="1"/>
  <c r="PN111" i="13"/>
  <c r="PN6" i="13" s="1"/>
  <c r="NO98" i="13"/>
  <c r="NO6" i="13" s="1"/>
  <c r="LP85" i="13"/>
  <c r="LP6" i="13" s="1"/>
  <c r="JQ72" i="13"/>
  <c r="JQ6" i="13" s="1"/>
  <c r="HR59" i="13"/>
  <c r="HR6" i="13" s="1"/>
  <c r="FS46" i="13"/>
  <c r="FS6" i="13" s="1"/>
  <c r="DT34" i="13"/>
  <c r="NN13" i="13" l="1"/>
  <c r="NN12" i="13"/>
  <c r="PM9" i="13"/>
  <c r="PM10" i="13"/>
  <c r="RL9" i="13"/>
  <c r="RL10" i="13"/>
  <c r="FR9" i="13"/>
  <c r="FR10" i="13"/>
  <c r="JP10" i="13"/>
  <c r="JP9" i="13"/>
  <c r="LO12" i="13"/>
  <c r="LO13" i="13"/>
  <c r="DS13" i="13"/>
  <c r="DS12" i="13"/>
  <c r="DS10" i="13"/>
  <c r="DS9" i="13"/>
  <c r="HQ13" i="13"/>
  <c r="HQ12" i="13"/>
  <c r="ZH12" i="13"/>
  <c r="ZH13" i="13"/>
  <c r="ZH9" i="13"/>
  <c r="ZH10" i="13"/>
  <c r="TK12" i="13"/>
  <c r="TK13" i="13"/>
  <c r="HQ10" i="13"/>
  <c r="HQ9" i="13"/>
  <c r="ABG12" i="13"/>
  <c r="ABG13" i="13"/>
  <c r="PM12" i="13"/>
  <c r="PM13" i="13"/>
  <c r="DT2" i="13"/>
  <c r="DT3" i="13"/>
  <c r="ABH190" i="13"/>
  <c r="ZI177" i="13"/>
  <c r="XJ164" i="13"/>
  <c r="VK151" i="13"/>
  <c r="XI13" i="13"/>
  <c r="XI12" i="13"/>
  <c r="LO10" i="13"/>
  <c r="LO9" i="13"/>
  <c r="VJ13" i="13"/>
  <c r="VJ12" i="13"/>
  <c r="RL12" i="13"/>
  <c r="RL13" i="13"/>
  <c r="XI10" i="13"/>
  <c r="XI9" i="13"/>
  <c r="VJ10" i="13"/>
  <c r="VJ9" i="13"/>
  <c r="NN10" i="13"/>
  <c r="NN9" i="13"/>
  <c r="TK10" i="13"/>
  <c r="TK9" i="13"/>
  <c r="FR12" i="13"/>
  <c r="FR13" i="13"/>
  <c r="JP12" i="13"/>
  <c r="JP13" i="13"/>
  <c r="ABG10" i="13"/>
  <c r="ABG9" i="13"/>
  <c r="TL138" i="13"/>
  <c r="RM125" i="13"/>
  <c r="PN112" i="13"/>
  <c r="NO99" i="13"/>
  <c r="LP86" i="13"/>
  <c r="JQ73" i="13"/>
  <c r="HR60" i="13"/>
  <c r="DT36" i="13"/>
  <c r="FS47" i="13"/>
  <c r="DT39" i="13"/>
  <c r="NO2" i="13" l="1"/>
  <c r="NO3" i="13"/>
  <c r="VK2" i="13"/>
  <c r="VK3" i="13"/>
  <c r="PN2" i="13"/>
  <c r="PN3" i="13"/>
  <c r="TL2" i="13"/>
  <c r="TL3" i="13"/>
  <c r="XJ2" i="13"/>
  <c r="XJ3" i="13"/>
  <c r="LP2" i="13"/>
  <c r="LP3" i="13"/>
  <c r="ABH195" i="13"/>
  <c r="ZI182" i="13"/>
  <c r="XJ169" i="13"/>
  <c r="VK156" i="13"/>
  <c r="DT4" i="13"/>
  <c r="DT5" i="13" s="1"/>
  <c r="ABH192" i="13"/>
  <c r="ABH4" i="13" s="1"/>
  <c r="ZI179" i="13"/>
  <c r="ZI4" i="13" s="1"/>
  <c r="VK153" i="13"/>
  <c r="VK4" i="13" s="1"/>
  <c r="VK5" i="13" s="1"/>
  <c r="XJ166" i="13"/>
  <c r="XJ4" i="13" s="1"/>
  <c r="ZI2" i="13"/>
  <c r="ZI3" i="13"/>
  <c r="JQ2" i="13"/>
  <c r="JQ3" i="13"/>
  <c r="RM3" i="13"/>
  <c r="RM2" i="13"/>
  <c r="FS2" i="13"/>
  <c r="FS3" i="13"/>
  <c r="HR2" i="13"/>
  <c r="HR3" i="13"/>
  <c r="ABH2" i="13"/>
  <c r="ABH3" i="13"/>
  <c r="TL140" i="13"/>
  <c r="TL4" i="13" s="1"/>
  <c r="RM127" i="13"/>
  <c r="RM4" i="13" s="1"/>
  <c r="RM5" i="13" s="1"/>
  <c r="PN114" i="13"/>
  <c r="PN4" i="13" s="1"/>
  <c r="RM130" i="13"/>
  <c r="PN117" i="13"/>
  <c r="TL143" i="13"/>
  <c r="NO104" i="13"/>
  <c r="LP91" i="13"/>
  <c r="JQ78" i="13"/>
  <c r="NO101" i="13"/>
  <c r="NO4" i="13" s="1"/>
  <c r="NO5" i="13" s="1"/>
  <c r="LP88" i="13"/>
  <c r="LP4" i="13" s="1"/>
  <c r="LP5" i="13" s="1"/>
  <c r="JQ75" i="13"/>
  <c r="JQ4" i="13" s="1"/>
  <c r="HR62" i="13"/>
  <c r="HR4" i="13" s="1"/>
  <c r="HR5" i="13" s="1"/>
  <c r="FS49" i="13"/>
  <c r="FS4" i="13" s="1"/>
  <c r="FS5" i="13" s="1"/>
  <c r="DU33" i="13"/>
  <c r="FS52" i="13"/>
  <c r="HR65" i="13"/>
  <c r="XJ5" i="13" l="1"/>
  <c r="PN5" i="13"/>
  <c r="JQ5" i="13"/>
  <c r="TL5" i="13"/>
  <c r="ZI5" i="13"/>
  <c r="ABH5" i="13"/>
  <c r="XJ11" i="13"/>
  <c r="XJ7" i="13"/>
  <c r="XJ8" i="13"/>
  <c r="LP7" i="13"/>
  <c r="LP8" i="13"/>
  <c r="LP11" i="13"/>
  <c r="VK7" i="13"/>
  <c r="VK8" i="13"/>
  <c r="VK11" i="13"/>
  <c r="JQ7" i="13"/>
  <c r="JQ8" i="13"/>
  <c r="JQ11" i="13"/>
  <c r="NO7" i="13"/>
  <c r="NO8" i="13"/>
  <c r="NO11" i="13"/>
  <c r="RM7" i="13"/>
  <c r="RM8" i="13"/>
  <c r="RM11" i="13"/>
  <c r="ZI8" i="13"/>
  <c r="ZI11" i="13"/>
  <c r="ZI7" i="13"/>
  <c r="DU6" i="13"/>
  <c r="ABI189" i="13"/>
  <c r="ABI6" i="13" s="1"/>
  <c r="ZJ176" i="13"/>
  <c r="ZJ6" i="13" s="1"/>
  <c r="XK163" i="13"/>
  <c r="XK6" i="13" s="1"/>
  <c r="VL150" i="13"/>
  <c r="VL6" i="13" s="1"/>
  <c r="HR11" i="13"/>
  <c r="HR8" i="13"/>
  <c r="HR7" i="13"/>
  <c r="PN7" i="13"/>
  <c r="PN8" i="13"/>
  <c r="PN11" i="13"/>
  <c r="TL7" i="13"/>
  <c r="TL8" i="13"/>
  <c r="TL11" i="13"/>
  <c r="ABH8" i="13"/>
  <c r="ABH7" i="13"/>
  <c r="ABH11" i="13"/>
  <c r="FS7" i="13"/>
  <c r="FS8" i="13"/>
  <c r="FS11" i="13"/>
  <c r="DT7" i="13"/>
  <c r="DT8" i="13"/>
  <c r="DT11" i="13"/>
  <c r="TM137" i="13"/>
  <c r="TM6" i="13" s="1"/>
  <c r="RN124" i="13"/>
  <c r="RN6" i="13" s="1"/>
  <c r="PO111" i="13"/>
  <c r="PO6" i="13" s="1"/>
  <c r="NP98" i="13"/>
  <c r="NP6" i="13" s="1"/>
  <c r="LQ85" i="13"/>
  <c r="LQ6" i="13" s="1"/>
  <c r="JR72" i="13"/>
  <c r="JR6" i="13" s="1"/>
  <c r="HS59" i="13"/>
  <c r="HS6" i="13" s="1"/>
  <c r="DU34" i="13"/>
  <c r="FT46" i="13"/>
  <c r="FT6" i="13" s="1"/>
  <c r="VK10" i="13" l="1"/>
  <c r="VK9" i="13"/>
  <c r="NO9" i="13"/>
  <c r="NO10" i="13"/>
  <c r="LP12" i="13"/>
  <c r="LP13" i="13"/>
  <c r="PN10" i="13"/>
  <c r="PN9" i="13"/>
  <c r="DT12" i="13"/>
  <c r="DT13" i="13"/>
  <c r="HR9" i="13"/>
  <c r="HR10" i="13"/>
  <c r="ZI12" i="13"/>
  <c r="ZI13" i="13"/>
  <c r="LP9" i="13"/>
  <c r="LP10" i="13"/>
  <c r="DT10" i="13"/>
  <c r="DT9" i="13"/>
  <c r="TL12" i="13"/>
  <c r="TL13" i="13"/>
  <c r="HR12" i="13"/>
  <c r="HR13" i="13"/>
  <c r="ZI10" i="13"/>
  <c r="ZI9" i="13"/>
  <c r="JQ12" i="13"/>
  <c r="JQ13" i="13"/>
  <c r="ABH12" i="13"/>
  <c r="ABH13" i="13"/>
  <c r="TL9" i="13"/>
  <c r="TL10" i="13"/>
  <c r="RM12" i="13"/>
  <c r="RM13" i="13"/>
  <c r="JQ9" i="13"/>
  <c r="JQ10" i="13"/>
  <c r="XJ9" i="13"/>
  <c r="XJ10" i="13"/>
  <c r="DU2" i="13"/>
  <c r="DU3" i="13"/>
  <c r="ABI190" i="13"/>
  <c r="XK164" i="13"/>
  <c r="VL151" i="13"/>
  <c r="ZJ177" i="13"/>
  <c r="ABH9" i="13"/>
  <c r="ABH10" i="13"/>
  <c r="FS12" i="13"/>
  <c r="FS13" i="13"/>
  <c r="RM10" i="13"/>
  <c r="RM9" i="13"/>
  <c r="NO13" i="13"/>
  <c r="NO12" i="13"/>
  <c r="FS9" i="13"/>
  <c r="FS10" i="13"/>
  <c r="PN13" i="13"/>
  <c r="PN12" i="13"/>
  <c r="VK12" i="13"/>
  <c r="VK13" i="13"/>
  <c r="XJ13" i="13"/>
  <c r="XJ12" i="13"/>
  <c r="TM138" i="13"/>
  <c r="RN125" i="13"/>
  <c r="PO112" i="13"/>
  <c r="NP99" i="13"/>
  <c r="LQ86" i="13"/>
  <c r="JR73" i="13"/>
  <c r="HS60" i="13"/>
  <c r="DU39" i="13"/>
  <c r="FT47" i="13"/>
  <c r="DU36" i="13"/>
  <c r="JR2" i="13" l="1"/>
  <c r="JR3" i="13"/>
  <c r="XK2" i="13"/>
  <c r="XK3" i="13"/>
  <c r="DU4" i="13"/>
  <c r="DU5" i="13" s="1"/>
  <c r="ABI192" i="13"/>
  <c r="ABI4" i="13" s="1"/>
  <c r="ZJ179" i="13"/>
  <c r="ZJ4" i="13" s="1"/>
  <c r="XK166" i="13"/>
  <c r="XK4" i="13" s="1"/>
  <c r="VL153" i="13"/>
  <c r="VL4" i="13" s="1"/>
  <c r="ABI3" i="13"/>
  <c r="ABI2" i="13"/>
  <c r="PO2" i="13"/>
  <c r="PO3" i="13"/>
  <c r="FT2" i="13"/>
  <c r="FT3" i="13"/>
  <c r="RN2" i="13"/>
  <c r="RN3" i="13"/>
  <c r="ABI195" i="13"/>
  <c r="ZJ182" i="13"/>
  <c r="XK169" i="13"/>
  <c r="VL156" i="13"/>
  <c r="ZJ3" i="13"/>
  <c r="ZJ2" i="13"/>
  <c r="LQ3" i="13"/>
  <c r="LQ2" i="13"/>
  <c r="NP3" i="13"/>
  <c r="NP2" i="13"/>
  <c r="TM2" i="13"/>
  <c r="TM3" i="13"/>
  <c r="HS2" i="13"/>
  <c r="HS3" i="13"/>
  <c r="VL2" i="13"/>
  <c r="VL3" i="13"/>
  <c r="TM140" i="13"/>
  <c r="TM4" i="13" s="1"/>
  <c r="PO114" i="13"/>
  <c r="PO4" i="13" s="1"/>
  <c r="RN127" i="13"/>
  <c r="RN4" i="13" s="1"/>
  <c r="RN130" i="13"/>
  <c r="PO117" i="13"/>
  <c r="TM143" i="13"/>
  <c r="NP101" i="13"/>
  <c r="NP4" i="13" s="1"/>
  <c r="NP5" i="13" s="1"/>
  <c r="LQ88" i="13"/>
  <c r="LQ4" i="13" s="1"/>
  <c r="LQ5" i="13" s="1"/>
  <c r="JR75" i="13"/>
  <c r="JR4" i="13" s="1"/>
  <c r="NP104" i="13"/>
  <c r="LQ91" i="13"/>
  <c r="JR78" i="13"/>
  <c r="HS62" i="13"/>
  <c r="HS4" i="13" s="1"/>
  <c r="FT49" i="13"/>
  <c r="FT4" i="13" s="1"/>
  <c r="FT5" i="13" s="1"/>
  <c r="DV33" i="13"/>
  <c r="FT52" i="13"/>
  <c r="HS65" i="13"/>
  <c r="XK5" i="13" l="1"/>
  <c r="ABI5" i="13"/>
  <c r="JR5" i="13"/>
  <c r="HS5" i="13"/>
  <c r="PO5" i="13"/>
  <c r="ZJ5" i="13"/>
  <c r="RN5" i="13"/>
  <c r="TM5" i="13"/>
  <c r="VL5" i="13"/>
  <c r="XK7" i="13"/>
  <c r="XK8" i="13"/>
  <c r="XK11" i="13"/>
  <c r="ZJ7" i="13"/>
  <c r="ZJ11" i="13"/>
  <c r="ZJ8" i="13"/>
  <c r="HS7" i="13"/>
  <c r="HS8" i="13"/>
  <c r="HS11" i="13"/>
  <c r="ABI7" i="13"/>
  <c r="ABI8" i="13"/>
  <c r="ABI11" i="13"/>
  <c r="NP8" i="13"/>
  <c r="NP7" i="13"/>
  <c r="NP11" i="13"/>
  <c r="DU7" i="13"/>
  <c r="DU8" i="13"/>
  <c r="DU11" i="13"/>
  <c r="DV6" i="13"/>
  <c r="ABJ189" i="13"/>
  <c r="ABJ6" i="13" s="1"/>
  <c r="ZK176" i="13"/>
  <c r="ZK6" i="13" s="1"/>
  <c r="VM150" i="13"/>
  <c r="VM6" i="13" s="1"/>
  <c r="XL163" i="13"/>
  <c r="XL6" i="13" s="1"/>
  <c r="RN7" i="13"/>
  <c r="RN8" i="13"/>
  <c r="RN11" i="13"/>
  <c r="PO8" i="13"/>
  <c r="PO7" i="13"/>
  <c r="PO11" i="13"/>
  <c r="JR7" i="13"/>
  <c r="JR8" i="13"/>
  <c r="JR11" i="13"/>
  <c r="TM7" i="13"/>
  <c r="TM8" i="13"/>
  <c r="TM11" i="13"/>
  <c r="FT7" i="13"/>
  <c r="FT8" i="13"/>
  <c r="FT11" i="13"/>
  <c r="LQ7" i="13"/>
  <c r="LQ8" i="13"/>
  <c r="LQ11" i="13"/>
  <c r="VL7" i="13"/>
  <c r="VL8" i="13"/>
  <c r="VL11" i="13"/>
  <c r="TN137" i="13"/>
  <c r="TN6" i="13" s="1"/>
  <c r="PP111" i="13"/>
  <c r="PP6" i="13" s="1"/>
  <c r="RO124" i="13"/>
  <c r="RO6" i="13" s="1"/>
  <c r="NQ98" i="13"/>
  <c r="NQ6" i="13" s="1"/>
  <c r="LR85" i="13"/>
  <c r="LR6" i="13" s="1"/>
  <c r="JS72" i="13"/>
  <c r="JS6" i="13" s="1"/>
  <c r="HT59" i="13"/>
  <c r="HT6" i="13" s="1"/>
  <c r="FU46" i="13"/>
  <c r="FU6" i="13" s="1"/>
  <c r="DV34" i="13"/>
  <c r="LQ10" i="13" l="1"/>
  <c r="LQ9" i="13"/>
  <c r="HS10" i="13"/>
  <c r="HS9" i="13"/>
  <c r="ZJ9" i="13"/>
  <c r="ZJ10" i="13"/>
  <c r="PO13" i="13"/>
  <c r="PO12" i="13"/>
  <c r="NP10" i="13"/>
  <c r="NP9" i="13"/>
  <c r="ZJ12" i="13"/>
  <c r="ZJ13" i="13"/>
  <c r="FT9" i="13"/>
  <c r="FT10" i="13"/>
  <c r="ABI13" i="13"/>
  <c r="ABI12" i="13"/>
  <c r="VL13" i="13"/>
  <c r="VL12" i="13"/>
  <c r="VL10" i="13"/>
  <c r="VL9" i="13"/>
  <c r="TM12" i="13"/>
  <c r="TM13" i="13"/>
  <c r="PO9" i="13"/>
  <c r="PO10" i="13"/>
  <c r="ABI9" i="13"/>
  <c r="ABI10" i="13"/>
  <c r="XK12" i="13"/>
  <c r="XK13" i="13"/>
  <c r="NP12" i="13"/>
  <c r="NP13" i="13"/>
  <c r="TM9" i="13"/>
  <c r="TM10" i="13"/>
  <c r="RN12" i="13"/>
  <c r="RN13" i="13"/>
  <c r="DU12" i="13"/>
  <c r="DU13" i="13"/>
  <c r="XK10" i="13"/>
  <c r="XK9" i="13"/>
  <c r="JR12" i="13"/>
  <c r="JR13" i="13"/>
  <c r="JR9" i="13"/>
  <c r="JR10" i="13"/>
  <c r="FT12" i="13"/>
  <c r="FT13" i="13"/>
  <c r="DV2" i="13"/>
  <c r="DV3" i="13"/>
  <c r="ABJ190" i="13"/>
  <c r="XL164" i="13"/>
  <c r="ZK177" i="13"/>
  <c r="VM151" i="13"/>
  <c r="LQ12" i="13"/>
  <c r="LQ13" i="13"/>
  <c r="RN9" i="13"/>
  <c r="RN10" i="13"/>
  <c r="DU9" i="13"/>
  <c r="DU10" i="13"/>
  <c r="HS12" i="13"/>
  <c r="HS13" i="13"/>
  <c r="TN138" i="13"/>
  <c r="RO125" i="13"/>
  <c r="PP112" i="13"/>
  <c r="NQ99" i="13"/>
  <c r="LR86" i="13"/>
  <c r="JS73" i="13"/>
  <c r="HT60" i="13"/>
  <c r="DV39" i="13"/>
  <c r="FU47" i="13"/>
  <c r="DV36" i="13"/>
  <c r="ABJ3" i="13" l="1"/>
  <c r="ABJ2" i="13"/>
  <c r="RO2" i="13"/>
  <c r="RO3" i="13"/>
  <c r="JS2" i="13"/>
  <c r="JS3" i="13"/>
  <c r="NQ2" i="13"/>
  <c r="NQ3" i="13"/>
  <c r="PP2" i="13"/>
  <c r="PP3" i="13"/>
  <c r="LR2" i="13"/>
  <c r="LR3" i="13"/>
  <c r="DV4" i="13"/>
  <c r="DV5" i="13" s="1"/>
  <c r="ABJ192" i="13"/>
  <c r="ABJ4" i="13" s="1"/>
  <c r="ABJ5" i="13" s="1"/>
  <c r="ZK179" i="13"/>
  <c r="ZK4" i="13" s="1"/>
  <c r="VM153" i="13"/>
  <c r="VM4" i="13" s="1"/>
  <c r="XL166" i="13"/>
  <c r="XL4" i="13" s="1"/>
  <c r="FU2" i="13"/>
  <c r="FU3" i="13"/>
  <c r="ABJ195" i="13"/>
  <c r="ZK182" i="13"/>
  <c r="XL169" i="13"/>
  <c r="VM156" i="13"/>
  <c r="VM2" i="13"/>
  <c r="VM3" i="13"/>
  <c r="XL2" i="13"/>
  <c r="XL3" i="13"/>
  <c r="TN2" i="13"/>
  <c r="TN3" i="13"/>
  <c r="HT3" i="13"/>
  <c r="HT2" i="13"/>
  <c r="ZK3" i="13"/>
  <c r="ZK2" i="13"/>
  <c r="TN140" i="13"/>
  <c r="TN4" i="13" s="1"/>
  <c r="RO127" i="13"/>
  <c r="RO4" i="13" s="1"/>
  <c r="RO5" i="13" s="1"/>
  <c r="PP114" i="13"/>
  <c r="PP4" i="13" s="1"/>
  <c r="PP5" i="13" s="1"/>
  <c r="RO130" i="13"/>
  <c r="TN143" i="13"/>
  <c r="PP117" i="13"/>
  <c r="NQ104" i="13"/>
  <c r="LR91" i="13"/>
  <c r="JS78" i="13"/>
  <c r="NQ101" i="13"/>
  <c r="NQ4" i="13" s="1"/>
  <c r="LR88" i="13"/>
  <c r="LR4" i="13" s="1"/>
  <c r="LR5" i="13" s="1"/>
  <c r="JS75" i="13"/>
  <c r="JS4" i="13" s="1"/>
  <c r="JS5" i="13" s="1"/>
  <c r="FU52" i="13"/>
  <c r="HT65" i="13"/>
  <c r="HT62" i="13"/>
  <c r="HT4" i="13" s="1"/>
  <c r="HT5" i="13" s="1"/>
  <c r="FU49" i="13"/>
  <c r="FU4" i="13" s="1"/>
  <c r="DW33" i="13"/>
  <c r="ZK5" i="13" l="1"/>
  <c r="FU5" i="13"/>
  <c r="NQ5" i="13"/>
  <c r="VM5" i="13"/>
  <c r="TN5" i="13"/>
  <c r="XL5" i="13"/>
  <c r="VM7" i="13"/>
  <c r="VM8" i="13"/>
  <c r="VM11" i="13"/>
  <c r="ZK8" i="13"/>
  <c r="ZK7" i="13"/>
  <c r="ZK11" i="13"/>
  <c r="ABJ8" i="13"/>
  <c r="ABJ7" i="13"/>
  <c r="ABJ11" i="13"/>
  <c r="DV7" i="13"/>
  <c r="DV8" i="13"/>
  <c r="DV11" i="13"/>
  <c r="PP7" i="13"/>
  <c r="PP11" i="13"/>
  <c r="PP8" i="13"/>
  <c r="HT7" i="13"/>
  <c r="HT8" i="13"/>
  <c r="HT11" i="13"/>
  <c r="NQ7" i="13"/>
  <c r="NQ8" i="13"/>
  <c r="NQ11" i="13"/>
  <c r="RO7" i="13"/>
  <c r="RO8" i="13"/>
  <c r="RO11" i="13"/>
  <c r="JS8" i="13"/>
  <c r="JS7" i="13"/>
  <c r="JS11" i="13"/>
  <c r="DW6" i="13"/>
  <c r="ABK189" i="13"/>
  <c r="ABK6" i="13" s="1"/>
  <c r="ZL176" i="13"/>
  <c r="ZL6" i="13" s="1"/>
  <c r="XM163" i="13"/>
  <c r="XM6" i="13" s="1"/>
  <c r="VN150" i="13"/>
  <c r="VN6" i="13" s="1"/>
  <c r="TN7" i="13"/>
  <c r="TN8" i="13"/>
  <c r="TN11" i="13"/>
  <c r="LR8" i="13"/>
  <c r="LR7" i="13"/>
  <c r="LR11" i="13"/>
  <c r="FU7" i="13"/>
  <c r="FU8" i="13"/>
  <c r="FU11" i="13"/>
  <c r="XL8" i="13"/>
  <c r="XL7" i="13"/>
  <c r="XL11" i="13"/>
  <c r="TO137" i="13"/>
  <c r="TO6" i="13" s="1"/>
  <c r="RP124" i="13"/>
  <c r="RP6" i="13" s="1"/>
  <c r="PQ111" i="13"/>
  <c r="PQ6" i="13" s="1"/>
  <c r="NR98" i="13"/>
  <c r="NR6" i="13" s="1"/>
  <c r="LS85" i="13"/>
  <c r="LS6" i="13" s="1"/>
  <c r="JT72" i="13"/>
  <c r="JT6" i="13" s="1"/>
  <c r="HU59" i="13"/>
  <c r="HU6" i="13" s="1"/>
  <c r="FV46" i="13"/>
  <c r="FV6" i="13" s="1"/>
  <c r="DW34" i="13"/>
  <c r="RO10" i="13" l="1"/>
  <c r="RO9" i="13"/>
  <c r="ZK12" i="13"/>
  <c r="ZK13" i="13"/>
  <c r="NQ9" i="13"/>
  <c r="NQ10" i="13"/>
  <c r="DV12" i="13"/>
  <c r="DV13" i="13"/>
  <c r="ZK9" i="13"/>
  <c r="ZK10" i="13"/>
  <c r="FU10" i="13"/>
  <c r="FU9" i="13"/>
  <c r="PP9" i="13"/>
  <c r="PP10" i="13"/>
  <c r="LR12" i="13"/>
  <c r="LR13" i="13"/>
  <c r="PP13" i="13"/>
  <c r="PP12" i="13"/>
  <c r="DW2" i="13"/>
  <c r="DW3" i="13"/>
  <c r="ZL177" i="13"/>
  <c r="ABK190" i="13"/>
  <c r="VN151" i="13"/>
  <c r="XM164" i="13"/>
  <c r="TN13" i="13"/>
  <c r="TN12" i="13"/>
  <c r="JS12" i="13"/>
  <c r="JS13" i="13"/>
  <c r="DV9" i="13"/>
  <c r="DV10" i="13"/>
  <c r="VM12" i="13"/>
  <c r="VM13" i="13"/>
  <c r="ABJ9" i="13"/>
  <c r="ABJ10" i="13"/>
  <c r="XL12" i="13"/>
  <c r="XL13" i="13"/>
  <c r="XL9" i="13"/>
  <c r="XL10" i="13"/>
  <c r="TN9" i="13"/>
  <c r="TN10" i="13"/>
  <c r="HT13" i="13"/>
  <c r="HT12" i="13"/>
  <c r="VM10" i="13"/>
  <c r="VM9" i="13"/>
  <c r="RO12" i="13"/>
  <c r="RO13" i="13"/>
  <c r="NQ12" i="13"/>
  <c r="NQ13" i="13"/>
  <c r="LR9" i="13"/>
  <c r="LR10" i="13"/>
  <c r="FU12" i="13"/>
  <c r="FU13" i="13"/>
  <c r="JS9" i="13"/>
  <c r="JS10" i="13"/>
  <c r="HT10" i="13"/>
  <c r="HT9" i="13"/>
  <c r="ABJ13" i="13"/>
  <c r="ABJ12" i="13"/>
  <c r="TO138" i="13"/>
  <c r="RP125" i="13"/>
  <c r="PQ112" i="13"/>
  <c r="NR99" i="13"/>
  <c r="LS86" i="13"/>
  <c r="JT73" i="13"/>
  <c r="HU60" i="13"/>
  <c r="FV47" i="13"/>
  <c r="DW36" i="13"/>
  <c r="DW39" i="13"/>
  <c r="XM2" i="13" l="1"/>
  <c r="XM3" i="13"/>
  <c r="LS2" i="13"/>
  <c r="LS3" i="13"/>
  <c r="VN2" i="13"/>
  <c r="VN3" i="13"/>
  <c r="ABK2" i="13"/>
  <c r="ABK3" i="13"/>
  <c r="NR2" i="13"/>
  <c r="NR3" i="13"/>
  <c r="PQ2" i="13"/>
  <c r="PQ3" i="13"/>
  <c r="ZL2" i="13"/>
  <c r="ZL3" i="13"/>
  <c r="JT2" i="13"/>
  <c r="JT3" i="13"/>
  <c r="RP3" i="13"/>
  <c r="RP2" i="13"/>
  <c r="DW4" i="13"/>
  <c r="DW5" i="13" s="1"/>
  <c r="ABK192" i="13"/>
  <c r="ABK4" i="13" s="1"/>
  <c r="ZL179" i="13"/>
  <c r="ZL4" i="13" s="1"/>
  <c r="ZL5" i="13" s="1"/>
  <c r="XM166" i="13"/>
  <c r="XM4" i="13" s="1"/>
  <c r="XM5" i="13" s="1"/>
  <c r="VN153" i="13"/>
  <c r="VN4" i="13" s="1"/>
  <c r="VN5" i="13" s="1"/>
  <c r="FV2" i="13"/>
  <c r="FV3" i="13"/>
  <c r="ABK195" i="13"/>
  <c r="ZL182" i="13"/>
  <c r="VN156" i="13"/>
  <c r="XM169" i="13"/>
  <c r="TO2" i="13"/>
  <c r="TO3" i="13"/>
  <c r="HU2" i="13"/>
  <c r="HU3" i="13"/>
  <c r="TO140" i="13"/>
  <c r="TO4" i="13" s="1"/>
  <c r="PQ114" i="13"/>
  <c r="PQ4" i="13" s="1"/>
  <c r="PQ5" i="13" s="1"/>
  <c r="RP127" i="13"/>
  <c r="RP4" i="13" s="1"/>
  <c r="TO143" i="13"/>
  <c r="RP130" i="13"/>
  <c r="PQ117" i="13"/>
  <c r="NR104" i="13"/>
  <c r="LS91" i="13"/>
  <c r="JT78" i="13"/>
  <c r="NR101" i="13"/>
  <c r="NR4" i="13" s="1"/>
  <c r="NR5" i="13" s="1"/>
  <c r="LS88" i="13"/>
  <c r="LS4" i="13" s="1"/>
  <c r="LS5" i="13" s="1"/>
  <c r="JT75" i="13"/>
  <c r="JT4" i="13" s="1"/>
  <c r="FV52" i="13"/>
  <c r="HU65" i="13"/>
  <c r="HU62" i="13"/>
  <c r="HU4" i="13" s="1"/>
  <c r="HU5" i="13" s="1"/>
  <c r="FV49" i="13"/>
  <c r="FV4" i="13" s="1"/>
  <c r="DX33" i="13"/>
  <c r="RP5" i="13" l="1"/>
  <c r="JT5" i="13"/>
  <c r="ABK5" i="13"/>
  <c r="TO5" i="13"/>
  <c r="FV5" i="13"/>
  <c r="HU7" i="13"/>
  <c r="HU8" i="13"/>
  <c r="HU11" i="13"/>
  <c r="JT11" i="13"/>
  <c r="JT7" i="13"/>
  <c r="JT8" i="13"/>
  <c r="ZL8" i="13"/>
  <c r="ZL7" i="13"/>
  <c r="ZL11" i="13"/>
  <c r="VN8" i="13"/>
  <c r="VN7" i="13"/>
  <c r="VN11" i="13"/>
  <c r="RP7" i="13"/>
  <c r="RP8" i="13"/>
  <c r="RP11" i="13"/>
  <c r="ABK7" i="13"/>
  <c r="ABK8" i="13"/>
  <c r="ABK11" i="13"/>
  <c r="LS7" i="13"/>
  <c r="LS8" i="13"/>
  <c r="LS11" i="13"/>
  <c r="NR7" i="13"/>
  <c r="NR8" i="13"/>
  <c r="NR11" i="13"/>
  <c r="PQ7" i="13"/>
  <c r="PQ8" i="13"/>
  <c r="PQ11" i="13"/>
  <c r="DW7" i="13"/>
  <c r="DW8" i="13"/>
  <c r="DW11" i="13"/>
  <c r="XM7" i="13"/>
  <c r="XM8" i="13"/>
  <c r="XM11" i="13"/>
  <c r="DX6" i="13"/>
  <c r="ABL189" i="13"/>
  <c r="ABL6" i="13" s="1"/>
  <c r="ZM176" i="13"/>
  <c r="ZM6" i="13" s="1"/>
  <c r="XN163" i="13"/>
  <c r="XN6" i="13" s="1"/>
  <c r="VO150" i="13"/>
  <c r="VO6" i="13" s="1"/>
  <c r="TO8" i="13"/>
  <c r="TO7" i="13"/>
  <c r="TO11" i="13"/>
  <c r="FV7" i="13"/>
  <c r="FV8" i="13"/>
  <c r="FV11" i="13"/>
  <c r="TP137" i="13"/>
  <c r="TP6" i="13" s="1"/>
  <c r="RQ124" i="13"/>
  <c r="RQ6" i="13" s="1"/>
  <c r="PR111" i="13"/>
  <c r="PR6" i="13" s="1"/>
  <c r="NS98" i="13"/>
  <c r="NS6" i="13" s="1"/>
  <c r="LT85" i="13"/>
  <c r="LT6" i="13" s="1"/>
  <c r="JU72" i="13"/>
  <c r="JU6" i="13" s="1"/>
  <c r="HV59" i="13"/>
  <c r="HV6" i="13" s="1"/>
  <c r="FW46" i="13"/>
  <c r="FW6" i="13" s="1"/>
  <c r="DX34" i="13"/>
  <c r="NR12" i="13" l="1"/>
  <c r="NR13" i="13"/>
  <c r="ZL9" i="13"/>
  <c r="ZL10" i="13"/>
  <c r="XM10" i="13"/>
  <c r="XM9" i="13"/>
  <c r="NR10" i="13"/>
  <c r="NR9" i="13"/>
  <c r="DW12" i="13"/>
  <c r="DW13" i="13"/>
  <c r="RP9" i="13"/>
  <c r="RP10" i="13"/>
  <c r="JT10" i="13"/>
  <c r="JT9" i="13"/>
  <c r="LS12" i="13"/>
  <c r="LS13" i="13"/>
  <c r="LS9" i="13"/>
  <c r="LS10" i="13"/>
  <c r="VN12" i="13"/>
  <c r="VN13" i="13"/>
  <c r="JT12" i="13"/>
  <c r="JT13" i="13"/>
  <c r="RP13" i="13"/>
  <c r="RP12" i="13"/>
  <c r="DX2" i="13"/>
  <c r="DX3" i="13"/>
  <c r="ZM177" i="13"/>
  <c r="VO151" i="13"/>
  <c r="ABL190" i="13"/>
  <c r="XN164" i="13"/>
  <c r="PQ12" i="13"/>
  <c r="PQ13" i="13"/>
  <c r="HU12" i="13"/>
  <c r="HU13" i="13"/>
  <c r="TO9" i="13"/>
  <c r="TO10" i="13"/>
  <c r="DW9" i="13"/>
  <c r="DW10" i="13"/>
  <c r="PQ10" i="13"/>
  <c r="PQ9" i="13"/>
  <c r="ABK13" i="13"/>
  <c r="ABK12" i="13"/>
  <c r="VN9" i="13"/>
  <c r="VN10" i="13"/>
  <c r="HU9" i="13"/>
  <c r="HU10" i="13"/>
  <c r="FV12" i="13"/>
  <c r="FV13" i="13"/>
  <c r="FV10" i="13"/>
  <c r="FV9" i="13"/>
  <c r="TO12" i="13"/>
  <c r="TO13" i="13"/>
  <c r="XM12" i="13"/>
  <c r="XM13" i="13"/>
  <c r="ABK9" i="13"/>
  <c r="ABK10" i="13"/>
  <c r="ZL12" i="13"/>
  <c r="ZL13" i="13"/>
  <c r="TP138" i="13"/>
  <c r="RQ125" i="13"/>
  <c r="PR112" i="13"/>
  <c r="NS99" i="13"/>
  <c r="LT86" i="13"/>
  <c r="JU73" i="13"/>
  <c r="HV60" i="13"/>
  <c r="DX36" i="13"/>
  <c r="FW47" i="13"/>
  <c r="DX39" i="13"/>
  <c r="LT2" i="13" l="1"/>
  <c r="LT3" i="13"/>
  <c r="NS2" i="13"/>
  <c r="NS3" i="13"/>
  <c r="XN2" i="13"/>
  <c r="XN3" i="13"/>
  <c r="JU3" i="13"/>
  <c r="JU2" i="13"/>
  <c r="PR3" i="13"/>
  <c r="PR2" i="13"/>
  <c r="RQ2" i="13"/>
  <c r="RQ3" i="13"/>
  <c r="VO2" i="13"/>
  <c r="VO3" i="13"/>
  <c r="FW2" i="13"/>
  <c r="FW3" i="13"/>
  <c r="TP2" i="13"/>
  <c r="TP3" i="13"/>
  <c r="ZM2" i="13"/>
  <c r="ZM3" i="13"/>
  <c r="XN169" i="13"/>
  <c r="ABL195" i="13"/>
  <c r="VO156" i="13"/>
  <c r="ZM182" i="13"/>
  <c r="DX4" i="13"/>
  <c r="DX5" i="13" s="1"/>
  <c r="ABL192" i="13"/>
  <c r="ABL4" i="13" s="1"/>
  <c r="XN166" i="13"/>
  <c r="XN4" i="13" s="1"/>
  <c r="VO153" i="13"/>
  <c r="VO4" i="13" s="1"/>
  <c r="ZM179" i="13"/>
  <c r="ZM4" i="13" s="1"/>
  <c r="ZM5" i="13" s="1"/>
  <c r="ABL3" i="13"/>
  <c r="ABL2" i="13"/>
  <c r="HV2" i="13"/>
  <c r="HV3" i="13"/>
  <c r="TP140" i="13"/>
  <c r="TP4" i="13" s="1"/>
  <c r="TP5" i="13" s="1"/>
  <c r="RQ127" i="13"/>
  <c r="RQ4" i="13" s="1"/>
  <c r="RQ5" i="13" s="1"/>
  <c r="PR114" i="13"/>
  <c r="PR4" i="13" s="1"/>
  <c r="PR5" i="13" s="1"/>
  <c r="PR117" i="13"/>
  <c r="TP143" i="13"/>
  <c r="RQ130" i="13"/>
  <c r="NS104" i="13"/>
  <c r="LT91" i="13"/>
  <c r="JU78" i="13"/>
  <c r="NS101" i="13"/>
  <c r="NS4" i="13" s="1"/>
  <c r="NS5" i="13" s="1"/>
  <c r="LT88" i="13"/>
  <c r="LT4" i="13" s="1"/>
  <c r="LT5" i="13" s="1"/>
  <c r="JU75" i="13"/>
  <c r="JU4" i="13" s="1"/>
  <c r="HV62" i="13"/>
  <c r="HV4" i="13" s="1"/>
  <c r="FW49" i="13"/>
  <c r="FW4" i="13" s="1"/>
  <c r="FW5" i="13" s="1"/>
  <c r="DY33" i="13"/>
  <c r="FW52" i="13"/>
  <c r="HV65" i="13"/>
  <c r="VO5" i="13" l="1"/>
  <c r="XN5" i="13"/>
  <c r="HV5" i="13"/>
  <c r="JU5" i="13"/>
  <c r="ABL5" i="13"/>
  <c r="JU7" i="13"/>
  <c r="JU8" i="13"/>
  <c r="JU11" i="13"/>
  <c r="ZM8" i="13"/>
  <c r="ZM7" i="13"/>
  <c r="ZM11" i="13"/>
  <c r="HV7" i="13"/>
  <c r="HV8" i="13"/>
  <c r="HV11" i="13"/>
  <c r="VO7" i="13"/>
  <c r="VO8" i="13"/>
  <c r="VO11" i="13"/>
  <c r="DY6" i="13"/>
  <c r="ABM189" i="13"/>
  <c r="ABM6" i="13" s="1"/>
  <c r="ZN176" i="13"/>
  <c r="ZN6" i="13" s="1"/>
  <c r="XO163" i="13"/>
  <c r="XO6" i="13" s="1"/>
  <c r="VP150" i="13"/>
  <c r="VP6" i="13" s="1"/>
  <c r="NS8" i="13"/>
  <c r="NS11" i="13"/>
  <c r="NS7" i="13"/>
  <c r="RQ7" i="13"/>
  <c r="RQ8" i="13"/>
  <c r="RQ11" i="13"/>
  <c r="XN7" i="13"/>
  <c r="XN8" i="13"/>
  <c r="XN11" i="13"/>
  <c r="FW8" i="13"/>
  <c r="FW7" i="13"/>
  <c r="FW11" i="13"/>
  <c r="LT7" i="13"/>
  <c r="LT8" i="13"/>
  <c r="LT11" i="13"/>
  <c r="TP8" i="13"/>
  <c r="TP7" i="13"/>
  <c r="TP11" i="13"/>
  <c r="ABL7" i="13"/>
  <c r="ABL8" i="13"/>
  <c r="ABL11" i="13"/>
  <c r="PR7" i="13"/>
  <c r="PR8" i="13"/>
  <c r="PR11" i="13"/>
  <c r="DX8" i="13"/>
  <c r="DX7" i="13"/>
  <c r="DX11" i="13"/>
  <c r="TQ137" i="13"/>
  <c r="TQ6" i="13" s="1"/>
  <c r="RR124" i="13"/>
  <c r="RR6" i="13" s="1"/>
  <c r="PS111" i="13"/>
  <c r="PS6" i="13" s="1"/>
  <c r="NT98" i="13"/>
  <c r="NT6" i="13" s="1"/>
  <c r="LU85" i="13"/>
  <c r="LU6" i="13" s="1"/>
  <c r="JV72" i="13"/>
  <c r="JV6" i="13" s="1"/>
  <c r="HW59" i="13"/>
  <c r="HW6" i="13" s="1"/>
  <c r="DY34" i="13"/>
  <c r="FX46" i="13"/>
  <c r="FX6" i="13" s="1"/>
  <c r="HV9" i="13" l="1"/>
  <c r="HV10" i="13"/>
  <c r="ZM13" i="13"/>
  <c r="ZM12" i="13"/>
  <c r="LT10" i="13"/>
  <c r="LT9" i="13"/>
  <c r="PR9" i="13"/>
  <c r="PR10" i="13"/>
  <c r="DX12" i="13"/>
  <c r="DX13" i="13"/>
  <c r="VO13" i="13"/>
  <c r="VO12" i="13"/>
  <c r="ZM9" i="13"/>
  <c r="ZM10" i="13"/>
  <c r="TP12" i="13"/>
  <c r="TP13" i="13"/>
  <c r="FW9" i="13"/>
  <c r="FW10" i="13"/>
  <c r="NS12" i="13"/>
  <c r="NS13" i="13"/>
  <c r="VO10" i="13"/>
  <c r="VO9" i="13"/>
  <c r="JU12" i="13"/>
  <c r="JU13" i="13"/>
  <c r="FW13" i="13"/>
  <c r="FW12" i="13"/>
  <c r="DX10" i="13"/>
  <c r="DX9" i="13"/>
  <c r="XN12" i="13"/>
  <c r="XN13" i="13"/>
  <c r="NS9" i="13"/>
  <c r="NS10" i="13"/>
  <c r="JU10" i="13"/>
  <c r="JU9" i="13"/>
  <c r="LT12" i="13"/>
  <c r="LT13" i="13"/>
  <c r="RQ13" i="13"/>
  <c r="RQ12" i="13"/>
  <c r="ABL12" i="13"/>
  <c r="ABL13" i="13"/>
  <c r="RQ9" i="13"/>
  <c r="RQ10" i="13"/>
  <c r="ABL9" i="13"/>
  <c r="ABL10" i="13"/>
  <c r="DY2" i="13"/>
  <c r="DY3" i="13"/>
  <c r="ZN177" i="13"/>
  <c r="XO164" i="13"/>
  <c r="ABM190" i="13"/>
  <c r="VP151" i="13"/>
  <c r="PR12" i="13"/>
  <c r="PR13" i="13"/>
  <c r="TP10" i="13"/>
  <c r="TP9" i="13"/>
  <c r="XN9" i="13"/>
  <c r="XN10" i="13"/>
  <c r="HV12" i="13"/>
  <c r="HV13" i="13"/>
  <c r="TQ138" i="13"/>
  <c r="RR125" i="13"/>
  <c r="PS112" i="13"/>
  <c r="NT99" i="13"/>
  <c r="LU86" i="13"/>
  <c r="JV73" i="13"/>
  <c r="HW60" i="13"/>
  <c r="FX47" i="13"/>
  <c r="DY39" i="13"/>
  <c r="DY36" i="13"/>
  <c r="JV2" i="13" l="1"/>
  <c r="JV3" i="13"/>
  <c r="XO2" i="13"/>
  <c r="XO3" i="13"/>
  <c r="LU2" i="13"/>
  <c r="LU3" i="13"/>
  <c r="ZN3" i="13"/>
  <c r="ZN2" i="13"/>
  <c r="PS3" i="13"/>
  <c r="PS2" i="13"/>
  <c r="RR2" i="13"/>
  <c r="RR3" i="13"/>
  <c r="DY4" i="13"/>
  <c r="DY5" i="13" s="1"/>
  <c r="ZN179" i="13"/>
  <c r="ZN4" i="13" s="1"/>
  <c r="ABM192" i="13"/>
  <c r="ABM4" i="13" s="1"/>
  <c r="VP153" i="13"/>
  <c r="VP4" i="13" s="1"/>
  <c r="XO166" i="13"/>
  <c r="XO4" i="13" s="1"/>
  <c r="TQ2" i="13"/>
  <c r="TQ3" i="13"/>
  <c r="FX2" i="13"/>
  <c r="FX3" i="13"/>
  <c r="VP2" i="13"/>
  <c r="VP3" i="13"/>
  <c r="NT2" i="13"/>
  <c r="NT3" i="13"/>
  <c r="VP156" i="13"/>
  <c r="ABM195" i="13"/>
  <c r="ZN182" i="13"/>
  <c r="XO169" i="13"/>
  <c r="HW2" i="13"/>
  <c r="HW3" i="13"/>
  <c r="ABM3" i="13"/>
  <c r="ABM2" i="13"/>
  <c r="TQ140" i="13"/>
  <c r="TQ4" i="13" s="1"/>
  <c r="TQ5" i="13" s="1"/>
  <c r="RR127" i="13"/>
  <c r="RR4" i="13" s="1"/>
  <c r="RR5" i="13" s="1"/>
  <c r="PS114" i="13"/>
  <c r="PS4" i="13" s="1"/>
  <c r="PS117" i="13"/>
  <c r="TQ143" i="13"/>
  <c r="RR130" i="13"/>
  <c r="NT101" i="13"/>
  <c r="NT4" i="13" s="1"/>
  <c r="NT5" i="13" s="1"/>
  <c r="LU88" i="13"/>
  <c r="LU4" i="13" s="1"/>
  <c r="JV75" i="13"/>
  <c r="JV4" i="13" s="1"/>
  <c r="JV5" i="13" s="1"/>
  <c r="NT104" i="13"/>
  <c r="LU91" i="13"/>
  <c r="JV78" i="13"/>
  <c r="HW62" i="13"/>
  <c r="HW4" i="13" s="1"/>
  <c r="FX49" i="13"/>
  <c r="FX4" i="13" s="1"/>
  <c r="FX5" i="13" s="1"/>
  <c r="DZ33" i="13"/>
  <c r="FX52" i="13"/>
  <c r="HW65" i="13"/>
  <c r="HW5" i="13" l="1"/>
  <c r="ABM5" i="13"/>
  <c r="PS5" i="13"/>
  <c r="XO5" i="13"/>
  <c r="LU5" i="13"/>
  <c r="VP5" i="13"/>
  <c r="ZN5" i="13"/>
  <c r="VP7" i="13"/>
  <c r="VP11" i="13"/>
  <c r="VP8" i="13"/>
  <c r="ABM8" i="13"/>
  <c r="ABM11" i="13"/>
  <c r="ABM7" i="13"/>
  <c r="NT8" i="13"/>
  <c r="NT7" i="13"/>
  <c r="NT11" i="13"/>
  <c r="ZN7" i="13"/>
  <c r="ZN8" i="13"/>
  <c r="ZN11" i="13"/>
  <c r="DY7" i="13"/>
  <c r="DY11" i="13"/>
  <c r="DY8" i="13"/>
  <c r="PS8" i="13"/>
  <c r="PS7" i="13"/>
  <c r="PS11" i="13"/>
  <c r="FX7" i="13"/>
  <c r="FX11" i="13"/>
  <c r="FX8" i="13"/>
  <c r="RR7" i="13"/>
  <c r="RR8" i="13"/>
  <c r="RR11" i="13"/>
  <c r="JV7" i="13"/>
  <c r="JV8" i="13"/>
  <c r="JV11" i="13"/>
  <c r="TQ7" i="13"/>
  <c r="TQ11" i="13"/>
  <c r="TQ8" i="13"/>
  <c r="DZ6" i="13"/>
  <c r="ABN189" i="13"/>
  <c r="ABN6" i="13" s="1"/>
  <c r="ZO176" i="13"/>
  <c r="ZO6" i="13" s="1"/>
  <c r="XP163" i="13"/>
  <c r="XP6" i="13" s="1"/>
  <c r="VQ150" i="13"/>
  <c r="VQ6" i="13" s="1"/>
  <c r="HW7" i="13"/>
  <c r="HW11" i="13"/>
  <c r="HW8" i="13"/>
  <c r="LU7" i="13"/>
  <c r="LU8" i="13"/>
  <c r="LU11" i="13"/>
  <c r="XO7" i="13"/>
  <c r="XO11" i="13"/>
  <c r="XO8" i="13"/>
  <c r="TR137" i="13"/>
  <c r="TR6" i="13" s="1"/>
  <c r="RS124" i="13"/>
  <c r="RS6" i="13" s="1"/>
  <c r="PT111" i="13"/>
  <c r="PT6" i="13" s="1"/>
  <c r="NU98" i="13"/>
  <c r="NU6" i="13" s="1"/>
  <c r="LV85" i="13"/>
  <c r="LV6" i="13" s="1"/>
  <c r="JW72" i="13"/>
  <c r="JW6" i="13" s="1"/>
  <c r="HX59" i="13"/>
  <c r="HX6" i="13" s="1"/>
  <c r="DZ34" i="13"/>
  <c r="FY46" i="13"/>
  <c r="FY6" i="13" s="1"/>
  <c r="RR13" i="13" l="1"/>
  <c r="RR12" i="13"/>
  <c r="PS9" i="13"/>
  <c r="PS10" i="13"/>
  <c r="DY12" i="13"/>
  <c r="DY13" i="13"/>
  <c r="NT9" i="13"/>
  <c r="NT10" i="13"/>
  <c r="TQ10" i="13"/>
  <c r="TQ9" i="13"/>
  <c r="TQ12" i="13"/>
  <c r="TQ13" i="13"/>
  <c r="ABM13" i="13"/>
  <c r="ABM12" i="13"/>
  <c r="FX9" i="13"/>
  <c r="FX10" i="13"/>
  <c r="DZ3" i="13"/>
  <c r="DZ2" i="13"/>
  <c r="ABN190" i="13"/>
  <c r="XP164" i="13"/>
  <c r="ZO177" i="13"/>
  <c r="VQ151" i="13"/>
  <c r="XO9" i="13"/>
  <c r="XO10" i="13"/>
  <c r="FX13" i="13"/>
  <c r="FX12" i="13"/>
  <c r="ZN13" i="13"/>
  <c r="ZN12" i="13"/>
  <c r="ABM10" i="13"/>
  <c r="ABM9" i="13"/>
  <c r="LU10" i="13"/>
  <c r="LU9" i="13"/>
  <c r="DY10" i="13"/>
  <c r="DY9" i="13"/>
  <c r="HW10" i="13"/>
  <c r="HW9" i="13"/>
  <c r="XO12" i="13"/>
  <c r="XO13" i="13"/>
  <c r="JV12" i="13"/>
  <c r="JV13" i="13"/>
  <c r="ZN9" i="13"/>
  <c r="ZN10" i="13"/>
  <c r="VP9" i="13"/>
  <c r="VP10" i="13"/>
  <c r="RR10" i="13"/>
  <c r="RR9" i="13"/>
  <c r="JV9" i="13"/>
  <c r="JV10" i="13"/>
  <c r="PS13" i="13"/>
  <c r="PS12" i="13"/>
  <c r="VP12" i="13"/>
  <c r="VP13" i="13"/>
  <c r="HW12" i="13"/>
  <c r="HW13" i="13"/>
  <c r="LU12" i="13"/>
  <c r="LU13" i="13"/>
  <c r="NT12" i="13"/>
  <c r="NT13" i="13"/>
  <c r="TR138" i="13"/>
  <c r="PT112" i="13"/>
  <c r="RS125" i="13"/>
  <c r="NU99" i="13"/>
  <c r="LV86" i="13"/>
  <c r="JW73" i="13"/>
  <c r="HX60" i="13"/>
  <c r="FY47" i="13"/>
  <c r="DZ36" i="13"/>
  <c r="DZ39" i="13"/>
  <c r="JW2" i="13" l="1"/>
  <c r="JW3" i="13"/>
  <c r="VQ2" i="13"/>
  <c r="VQ3" i="13"/>
  <c r="ZO2" i="13"/>
  <c r="ZO3" i="13"/>
  <c r="LV2" i="13"/>
  <c r="LV3" i="13"/>
  <c r="XP2" i="13"/>
  <c r="XP3" i="13"/>
  <c r="PT3" i="13"/>
  <c r="PT2" i="13"/>
  <c r="DZ4" i="13"/>
  <c r="DZ5" i="13" s="1"/>
  <c r="ABN192" i="13"/>
  <c r="ABN4" i="13" s="1"/>
  <c r="ZO179" i="13"/>
  <c r="ZO4" i="13" s="1"/>
  <c r="ZO5" i="13" s="1"/>
  <c r="XP166" i="13"/>
  <c r="XP4" i="13" s="1"/>
  <c r="XP5" i="13" s="1"/>
  <c r="VQ153" i="13"/>
  <c r="VQ4" i="13" s="1"/>
  <c r="TR3" i="13"/>
  <c r="TR2" i="13"/>
  <c r="ABN3" i="13"/>
  <c r="ABN2" i="13"/>
  <c r="RS2" i="13"/>
  <c r="RS3" i="13"/>
  <c r="FY2" i="13"/>
  <c r="FY3" i="13"/>
  <c r="NU2" i="13"/>
  <c r="NU3" i="13"/>
  <c r="ABN195" i="13"/>
  <c r="ZO182" i="13"/>
  <c r="XP169" i="13"/>
  <c r="VQ156" i="13"/>
  <c r="HX2" i="13"/>
  <c r="HX3" i="13"/>
  <c r="TR140" i="13"/>
  <c r="TR4" i="13" s="1"/>
  <c r="RS127" i="13"/>
  <c r="RS4" i="13" s="1"/>
  <c r="PT114" i="13"/>
  <c r="PT4" i="13" s="1"/>
  <c r="PT5" i="13" s="1"/>
  <c r="RS130" i="13"/>
  <c r="PT117" i="13"/>
  <c r="TR143" i="13"/>
  <c r="NU104" i="13"/>
  <c r="LV91" i="13"/>
  <c r="JW78" i="13"/>
  <c r="NU101" i="13"/>
  <c r="NU4" i="13" s="1"/>
  <c r="LV88" i="13"/>
  <c r="LV4" i="13" s="1"/>
  <c r="JW75" i="13"/>
  <c r="JW4" i="13" s="1"/>
  <c r="JW5" i="13" s="1"/>
  <c r="FY52" i="13"/>
  <c r="HX65" i="13"/>
  <c r="HX62" i="13"/>
  <c r="HX4" i="13" s="1"/>
  <c r="HX5" i="13" s="1"/>
  <c r="EA33" i="13"/>
  <c r="FY49" i="13"/>
  <c r="FY4" i="13" s="1"/>
  <c r="NU5" i="13" l="1"/>
  <c r="TR5" i="13"/>
  <c r="LV5" i="13"/>
  <c r="ABN5" i="13"/>
  <c r="RS5" i="13"/>
  <c r="FY5" i="13"/>
  <c r="VQ5" i="13"/>
  <c r="XP7" i="13"/>
  <c r="XP8" i="13"/>
  <c r="XP11" i="13"/>
  <c r="ZO8" i="13"/>
  <c r="ZO7" i="13"/>
  <c r="ZO11" i="13"/>
  <c r="ABN11" i="13"/>
  <c r="ABN7" i="13"/>
  <c r="ABN8" i="13"/>
  <c r="DZ7" i="13"/>
  <c r="DZ8" i="13"/>
  <c r="DZ11" i="13"/>
  <c r="PT7" i="13"/>
  <c r="PT8" i="13"/>
  <c r="PT11" i="13"/>
  <c r="NU8" i="13"/>
  <c r="NU11" i="13"/>
  <c r="NU7" i="13"/>
  <c r="RS7" i="13"/>
  <c r="RS11" i="13"/>
  <c r="RS8" i="13"/>
  <c r="JW7" i="13"/>
  <c r="JW8" i="13"/>
  <c r="JW11" i="13"/>
  <c r="FY7" i="13"/>
  <c r="FY8" i="13"/>
  <c r="FY11" i="13"/>
  <c r="TR7" i="13"/>
  <c r="TR8" i="13"/>
  <c r="TR11" i="13"/>
  <c r="HX8" i="13"/>
  <c r="HX7" i="13"/>
  <c r="HX11" i="13"/>
  <c r="LV8" i="13"/>
  <c r="LV7" i="13"/>
  <c r="LV11" i="13"/>
  <c r="EA6" i="13"/>
  <c r="ABO189" i="13"/>
  <c r="ABO6" i="13" s="1"/>
  <c r="ZP176" i="13"/>
  <c r="ZP6" i="13" s="1"/>
  <c r="VR150" i="13"/>
  <c r="VR6" i="13" s="1"/>
  <c r="XQ163" i="13"/>
  <c r="XQ6" i="13" s="1"/>
  <c r="VQ7" i="13"/>
  <c r="VQ8" i="13"/>
  <c r="VQ11" i="13"/>
  <c r="TS137" i="13"/>
  <c r="TS6" i="13" s="1"/>
  <c r="RT124" i="13"/>
  <c r="RT6" i="13" s="1"/>
  <c r="PU111" i="13"/>
  <c r="PU6" i="13" s="1"/>
  <c r="NV98" i="13"/>
  <c r="NV6" i="13" s="1"/>
  <c r="LW85" i="13"/>
  <c r="LW6" i="13" s="1"/>
  <c r="JX72" i="13"/>
  <c r="JX6" i="13" s="1"/>
  <c r="HY59" i="13"/>
  <c r="HY6" i="13" s="1"/>
  <c r="FZ46" i="13"/>
  <c r="FZ6" i="13" s="1"/>
  <c r="EA34" i="13"/>
  <c r="JW12" i="13" l="1"/>
  <c r="JW13" i="13"/>
  <c r="NU10" i="13"/>
  <c r="NU9" i="13"/>
  <c r="PT13" i="13"/>
  <c r="PT12" i="13"/>
  <c r="JW10" i="13"/>
  <c r="JW9" i="13"/>
  <c r="PT10" i="13"/>
  <c r="PT9" i="13"/>
  <c r="RS9" i="13"/>
  <c r="RS10" i="13"/>
  <c r="LV13" i="13"/>
  <c r="LV12" i="13"/>
  <c r="RS13" i="13"/>
  <c r="RS12" i="13"/>
  <c r="DZ12" i="13"/>
  <c r="DZ13" i="13"/>
  <c r="ZO9" i="13"/>
  <c r="ZO10" i="13"/>
  <c r="ZO12" i="13"/>
  <c r="ZO13" i="13"/>
  <c r="TR9" i="13"/>
  <c r="TR10" i="13"/>
  <c r="VQ10" i="13"/>
  <c r="VQ9" i="13"/>
  <c r="FY12" i="13"/>
  <c r="FY13" i="13"/>
  <c r="DZ9" i="13"/>
  <c r="DZ10" i="13"/>
  <c r="XP12" i="13"/>
  <c r="XP13" i="13"/>
  <c r="VQ12" i="13"/>
  <c r="VQ13" i="13"/>
  <c r="LV10" i="13"/>
  <c r="LV9" i="13"/>
  <c r="FY10" i="13"/>
  <c r="FY9" i="13"/>
  <c r="XP10" i="13"/>
  <c r="XP9" i="13"/>
  <c r="HX9" i="13"/>
  <c r="HX10" i="13"/>
  <c r="ABN12" i="13"/>
  <c r="ABN13" i="13"/>
  <c r="TR13" i="13"/>
  <c r="TR12" i="13"/>
  <c r="EA2" i="13"/>
  <c r="EA3" i="13"/>
  <c r="ABO190" i="13"/>
  <c r="ZP177" i="13"/>
  <c r="VR151" i="13"/>
  <c r="XQ164" i="13"/>
  <c r="HX12" i="13"/>
  <c r="HX13" i="13"/>
  <c r="NU12" i="13"/>
  <c r="NU13" i="13"/>
  <c r="ABN9" i="13"/>
  <c r="ABN10" i="13"/>
  <c r="TS138" i="13"/>
  <c r="RT125" i="13"/>
  <c r="PU112" i="13"/>
  <c r="NV99" i="13"/>
  <c r="LW86" i="13"/>
  <c r="JX73" i="13"/>
  <c r="HY60" i="13"/>
  <c r="EA39" i="13"/>
  <c r="FZ47" i="13"/>
  <c r="EA36" i="13"/>
  <c r="NV2" i="13" l="1"/>
  <c r="NV3" i="13"/>
  <c r="PU2" i="13"/>
  <c r="PU3" i="13"/>
  <c r="RT2" i="13"/>
  <c r="RT3" i="13"/>
  <c r="LW2" i="13"/>
  <c r="LW3" i="13"/>
  <c r="EA4" i="13"/>
  <c r="EA5" i="13" s="1"/>
  <c r="ABO192" i="13"/>
  <c r="ABO4" i="13" s="1"/>
  <c r="ZP179" i="13"/>
  <c r="ZP4" i="13" s="1"/>
  <c r="XQ166" i="13"/>
  <c r="XQ4" i="13" s="1"/>
  <c r="VR153" i="13"/>
  <c r="VR4" i="13" s="1"/>
  <c r="TS2" i="13"/>
  <c r="TS3" i="13"/>
  <c r="VR2" i="13"/>
  <c r="VR3" i="13"/>
  <c r="JX2" i="13"/>
  <c r="JX3" i="13"/>
  <c r="XQ2" i="13"/>
  <c r="XQ3" i="13"/>
  <c r="ABO195" i="13"/>
  <c r="ZP182" i="13"/>
  <c r="XQ169" i="13"/>
  <c r="VR156" i="13"/>
  <c r="ZP3" i="13"/>
  <c r="ZP2" i="13"/>
  <c r="FZ2" i="13"/>
  <c r="FZ3" i="13"/>
  <c r="HY2" i="13"/>
  <c r="HY3" i="13"/>
  <c r="ABO3" i="13"/>
  <c r="ABO2" i="13"/>
  <c r="TS140" i="13"/>
  <c r="TS4" i="13" s="1"/>
  <c r="RT127" i="13"/>
  <c r="RT4" i="13" s="1"/>
  <c r="PU114" i="13"/>
  <c r="PU4" i="13" s="1"/>
  <c r="PU5" i="13" s="1"/>
  <c r="RT130" i="13"/>
  <c r="PU117" i="13"/>
  <c r="TS143" i="13"/>
  <c r="NV101" i="13"/>
  <c r="NV4" i="13" s="1"/>
  <c r="NV5" i="13" s="1"/>
  <c r="LW88" i="13"/>
  <c r="LW4" i="13" s="1"/>
  <c r="JX75" i="13"/>
  <c r="JX4" i="13" s="1"/>
  <c r="JX5" i="13" s="1"/>
  <c r="NV104" i="13"/>
  <c r="LW91" i="13"/>
  <c r="JX78" i="13"/>
  <c r="FZ52" i="13"/>
  <c r="HY65" i="13"/>
  <c r="FZ49" i="13"/>
  <c r="FZ4" i="13" s="1"/>
  <c r="HY62" i="13"/>
  <c r="HY4" i="13" s="1"/>
  <c r="RT5" i="13" l="1"/>
  <c r="FZ5" i="13"/>
  <c r="TS5" i="13"/>
  <c r="LW5" i="13"/>
  <c r="VR5" i="13"/>
  <c r="XQ5" i="13"/>
  <c r="ZP5" i="13"/>
  <c r="ABO5" i="13"/>
  <c r="HY5" i="13"/>
  <c r="FZ7" i="13"/>
  <c r="FZ11" i="13"/>
  <c r="FZ8" i="13"/>
  <c r="VR8" i="13"/>
  <c r="VR7" i="13"/>
  <c r="VR11" i="13"/>
  <c r="NV7" i="13"/>
  <c r="NV8" i="13"/>
  <c r="NV11" i="13"/>
  <c r="XQ7" i="13"/>
  <c r="XQ8" i="13"/>
  <c r="XQ11" i="13"/>
  <c r="PU7" i="13"/>
  <c r="PU8" i="13"/>
  <c r="PU11" i="13"/>
  <c r="RT7" i="13"/>
  <c r="RT8" i="13"/>
  <c r="RT11" i="13"/>
  <c r="ZP7" i="13"/>
  <c r="ZP8" i="13"/>
  <c r="ZP11" i="13"/>
  <c r="JX7" i="13"/>
  <c r="JX8" i="13"/>
  <c r="JX11" i="13"/>
  <c r="TS7" i="13"/>
  <c r="TS8" i="13"/>
  <c r="TS11" i="13"/>
  <c r="ABO8" i="13"/>
  <c r="ABO7" i="13"/>
  <c r="ABO11" i="13"/>
  <c r="HY11" i="13"/>
  <c r="HY7" i="13"/>
  <c r="HY8" i="13"/>
  <c r="LW8" i="13"/>
  <c r="LW7" i="13"/>
  <c r="LW11" i="13"/>
  <c r="EA7" i="13"/>
  <c r="EA8" i="13"/>
  <c r="EA11" i="13"/>
  <c r="NV10" i="13" l="1"/>
  <c r="NV9" i="13"/>
  <c r="EA10" i="13"/>
  <c r="EA9" i="13"/>
  <c r="ZP9" i="13"/>
  <c r="ZP10" i="13"/>
  <c r="JX12" i="13"/>
  <c r="JX13" i="13"/>
  <c r="HY12" i="13"/>
  <c r="HY13" i="13"/>
  <c r="ABO9" i="13"/>
  <c r="ABO10" i="13"/>
  <c r="XQ9" i="13"/>
  <c r="XQ10" i="13"/>
  <c r="FZ9" i="13"/>
  <c r="FZ10" i="13"/>
  <c r="PU12" i="13"/>
  <c r="PU13" i="13"/>
  <c r="ABO12" i="13"/>
  <c r="ABO13" i="13"/>
  <c r="VR12" i="13"/>
  <c r="VR13" i="13"/>
  <c r="ZP13" i="13"/>
  <c r="ZP12" i="13"/>
  <c r="LW12" i="13"/>
  <c r="LW13" i="13"/>
  <c r="VR9" i="13"/>
  <c r="VR10" i="13"/>
  <c r="TS13" i="13"/>
  <c r="TS12" i="13"/>
  <c r="LW9" i="13"/>
  <c r="LW10" i="13"/>
  <c r="TS10" i="13"/>
  <c r="TS9" i="13"/>
  <c r="RT12" i="13"/>
  <c r="RT13" i="13"/>
  <c r="FZ12" i="13"/>
  <c r="FZ13" i="13"/>
  <c r="EA13" i="13"/>
  <c r="EA12" i="13"/>
  <c r="JX9" i="13"/>
  <c r="JX10" i="13"/>
  <c r="PU9" i="13"/>
  <c r="PU10" i="13"/>
  <c r="XQ12" i="13"/>
  <c r="XQ13" i="13"/>
  <c r="HY10" i="13"/>
  <c r="HY9" i="13"/>
  <c r="RT10" i="13"/>
  <c r="RT9" i="13"/>
  <c r="NV12" i="13"/>
  <c r="NV13" i="13"/>
  <c r="EB27" i="13" l="1"/>
  <c r="ABP183" i="13" l="1"/>
  <c r="ZQ170" i="13"/>
  <c r="XR157" i="13"/>
  <c r="VS144" i="13"/>
  <c r="TT131" i="13"/>
  <c r="RU118" i="13"/>
  <c r="PV105" i="13"/>
  <c r="NW92" i="13"/>
  <c r="LX79" i="13"/>
  <c r="JY66" i="13"/>
  <c r="HZ53" i="13"/>
  <c r="GA40" i="13"/>
  <c r="EB32" i="13"/>
  <c r="EB33" i="13"/>
  <c r="ABP188" i="13" l="1"/>
  <c r="XR162" i="13"/>
  <c r="ZQ175" i="13"/>
  <c r="VS149" i="13"/>
  <c r="EB6" i="13"/>
  <c r="ABP189" i="13"/>
  <c r="ABP6" i="13" s="1"/>
  <c r="ZQ176" i="13"/>
  <c r="ZQ6" i="13" s="1"/>
  <c r="XR163" i="13"/>
  <c r="XR6" i="13" s="1"/>
  <c r="VS150" i="13"/>
  <c r="VS6" i="13" s="1"/>
  <c r="TT137" i="13"/>
  <c r="TT6" i="13" s="1"/>
  <c r="RU124" i="13"/>
  <c r="RU6" i="13" s="1"/>
  <c r="PV111" i="13"/>
  <c r="PV6" i="13" s="1"/>
  <c r="TT136" i="13"/>
  <c r="RU123" i="13"/>
  <c r="PV110" i="13"/>
  <c r="HZ59" i="13"/>
  <c r="HZ6" i="13" s="1"/>
  <c r="NW98" i="13"/>
  <c r="NW6" i="13" s="1"/>
  <c r="LX85" i="13"/>
  <c r="LX6" i="13" s="1"/>
  <c r="JY72" i="13"/>
  <c r="JY6" i="13" s="1"/>
  <c r="NW97" i="13"/>
  <c r="LX84" i="13"/>
  <c r="JY71" i="13"/>
  <c r="HZ58" i="13"/>
  <c r="GA45" i="13"/>
  <c r="EB34" i="13"/>
  <c r="GA46" i="13"/>
  <c r="GA6" i="13" s="1"/>
  <c r="EC27" i="13"/>
  <c r="ABQ183" i="13" l="1"/>
  <c r="ZR170" i="13"/>
  <c r="XS157" i="13"/>
  <c r="VT144" i="13"/>
  <c r="EB3" i="13"/>
  <c r="EB2" i="13"/>
  <c r="ABP190" i="13"/>
  <c r="ZQ177" i="13"/>
  <c r="VS151" i="13"/>
  <c r="XR164" i="13"/>
  <c r="TU131" i="13"/>
  <c r="RV118" i="13"/>
  <c r="PW105" i="13"/>
  <c r="TT138" i="13"/>
  <c r="RU125" i="13"/>
  <c r="PV112" i="13"/>
  <c r="NX92" i="13"/>
  <c r="LY79" i="13"/>
  <c r="JZ66" i="13"/>
  <c r="EB36" i="13"/>
  <c r="NW99" i="13"/>
  <c r="LX86" i="13"/>
  <c r="JY73" i="13"/>
  <c r="EB39" i="13"/>
  <c r="ED30" i="13"/>
  <c r="IA53" i="13"/>
  <c r="GB40" i="13"/>
  <c r="GA47" i="13"/>
  <c r="HZ60" i="13"/>
  <c r="EC32" i="13"/>
  <c r="ABQ188" i="13" l="1"/>
  <c r="ZR175" i="13"/>
  <c r="XS162" i="13"/>
  <c r="VT149" i="13"/>
  <c r="ABR186" i="13"/>
  <c r="ZS173" i="13"/>
  <c r="VU147" i="13"/>
  <c r="XT160" i="13"/>
  <c r="HZ65" i="13"/>
  <c r="ABP195" i="13"/>
  <c r="XR169" i="13"/>
  <c r="VS156" i="13"/>
  <c r="ZQ182" i="13"/>
  <c r="ZQ2" i="13"/>
  <c r="ZQ3" i="13"/>
  <c r="EB4" i="13"/>
  <c r="EB5" i="13" s="1"/>
  <c r="ABP192" i="13"/>
  <c r="ABP4" i="13" s="1"/>
  <c r="ZQ179" i="13"/>
  <c r="ZQ4" i="13" s="1"/>
  <c r="VS153" i="13"/>
  <c r="VS4" i="13" s="1"/>
  <c r="XR166" i="13"/>
  <c r="XR4" i="13" s="1"/>
  <c r="XR2" i="13"/>
  <c r="XR3" i="13"/>
  <c r="JY2" i="13"/>
  <c r="JY3" i="13"/>
  <c r="RU2" i="13"/>
  <c r="RU3" i="13"/>
  <c r="ABP2" i="13"/>
  <c r="ABP3" i="13"/>
  <c r="VS2" i="13"/>
  <c r="VS3" i="13"/>
  <c r="LX2" i="13"/>
  <c r="LX3" i="13"/>
  <c r="TT2" i="13"/>
  <c r="TT3" i="13"/>
  <c r="GA2" i="13"/>
  <c r="GA3" i="13"/>
  <c r="PV2" i="13"/>
  <c r="PV3" i="13"/>
  <c r="HZ2" i="13"/>
  <c r="HZ3" i="13"/>
  <c r="NW2" i="13"/>
  <c r="NW3" i="13"/>
  <c r="TU136" i="13"/>
  <c r="RV123" i="13"/>
  <c r="PW110" i="13"/>
  <c r="EC33" i="13"/>
  <c r="TT140" i="13"/>
  <c r="TT4" i="13" s="1"/>
  <c r="TT5" i="13" s="1"/>
  <c r="RU127" i="13"/>
  <c r="RU4" i="13" s="1"/>
  <c r="RU5" i="13" s="1"/>
  <c r="PV114" i="13"/>
  <c r="PV4" i="13" s="1"/>
  <c r="TV134" i="13"/>
  <c r="RW121" i="13"/>
  <c r="PX108" i="13"/>
  <c r="GA52" i="13"/>
  <c r="RU130" i="13"/>
  <c r="PV117" i="13"/>
  <c r="TT143" i="13"/>
  <c r="LX88" i="13"/>
  <c r="LX4" i="13" s="1"/>
  <c r="NW101" i="13"/>
  <c r="NW4" i="13" s="1"/>
  <c r="NW5" i="13" s="1"/>
  <c r="JY75" i="13"/>
  <c r="JY4" i="13" s="1"/>
  <c r="NY95" i="13"/>
  <c r="LZ82" i="13"/>
  <c r="KA69" i="13"/>
  <c r="ED27" i="13"/>
  <c r="NX97" i="13"/>
  <c r="LY84" i="13"/>
  <c r="JZ71" i="13"/>
  <c r="HZ62" i="13"/>
  <c r="HZ4" i="13" s="1"/>
  <c r="GA49" i="13"/>
  <c r="GA4" i="13" s="1"/>
  <c r="GA5" i="13" s="1"/>
  <c r="NW104" i="13"/>
  <c r="LX91" i="13"/>
  <c r="JY78" i="13"/>
  <c r="IB56" i="13"/>
  <c r="GC43" i="13"/>
  <c r="IA58" i="13"/>
  <c r="GB45" i="13"/>
  <c r="JY5" i="13" l="1"/>
  <c r="HZ5" i="13"/>
  <c r="XR5" i="13"/>
  <c r="VS5" i="13"/>
  <c r="ZQ5" i="13"/>
  <c r="LX5" i="13"/>
  <c r="PV5" i="13"/>
  <c r="ABP5" i="13"/>
  <c r="GC40" i="13"/>
  <c r="ABR183" i="13"/>
  <c r="ZS170" i="13"/>
  <c r="XT157" i="13"/>
  <c r="VU144" i="13"/>
  <c r="EB7" i="13"/>
  <c r="EB8" i="13"/>
  <c r="EB11" i="13"/>
  <c r="RU8" i="13"/>
  <c r="RU11" i="13"/>
  <c r="RU7" i="13"/>
  <c r="NX98" i="13"/>
  <c r="NX6" i="13" s="1"/>
  <c r="EC6" i="13"/>
  <c r="ABQ189" i="13"/>
  <c r="ABQ6" i="13" s="1"/>
  <c r="ZR176" i="13"/>
  <c r="ZR6" i="13" s="1"/>
  <c r="XS163" i="13"/>
  <c r="XS6" i="13" s="1"/>
  <c r="VT150" i="13"/>
  <c r="VT6" i="13" s="1"/>
  <c r="GA8" i="13"/>
  <c r="GA7" i="13"/>
  <c r="GA11" i="13"/>
  <c r="XR7" i="13"/>
  <c r="XR8" i="13"/>
  <c r="XR11" i="13"/>
  <c r="HZ8" i="13"/>
  <c r="HZ7" i="13"/>
  <c r="HZ11" i="13"/>
  <c r="JY8" i="13"/>
  <c r="JY11" i="13"/>
  <c r="JY7" i="13"/>
  <c r="VS7" i="13"/>
  <c r="VS8" i="13"/>
  <c r="VS11" i="13"/>
  <c r="GB46" i="13"/>
  <c r="GB6" i="13" s="1"/>
  <c r="NW7" i="13"/>
  <c r="NW8" i="13"/>
  <c r="NW11" i="13"/>
  <c r="ZQ11" i="13"/>
  <c r="ZQ8" i="13"/>
  <c r="ZQ7" i="13"/>
  <c r="TT7" i="13"/>
  <c r="TT8" i="13"/>
  <c r="TT11" i="13"/>
  <c r="LX7" i="13"/>
  <c r="LX8" i="13"/>
  <c r="LX11" i="13"/>
  <c r="PV7" i="13"/>
  <c r="PV8" i="13"/>
  <c r="PV11" i="13"/>
  <c r="ABP8" i="13"/>
  <c r="ABP7" i="13"/>
  <c r="ABP11" i="13"/>
  <c r="JZ72" i="13"/>
  <c r="JZ6" i="13" s="1"/>
  <c r="LY85" i="13"/>
  <c r="LY6" i="13" s="1"/>
  <c r="EC34" i="13"/>
  <c r="LY86" i="13" s="1"/>
  <c r="IB53" i="13"/>
  <c r="TV131" i="13"/>
  <c r="RW118" i="13"/>
  <c r="PX105" i="13"/>
  <c r="TU137" i="13"/>
  <c r="TU6" i="13" s="1"/>
  <c r="RV124" i="13"/>
  <c r="RV6" i="13" s="1"/>
  <c r="PW111" i="13"/>
  <c r="PW6" i="13" s="1"/>
  <c r="IA59" i="13"/>
  <c r="IA6" i="13" s="1"/>
  <c r="ED32" i="13"/>
  <c r="NY92" i="13"/>
  <c r="LZ79" i="13"/>
  <c r="KA66" i="13"/>
  <c r="NX99" i="13" l="1"/>
  <c r="IA60" i="13"/>
  <c r="GB47" i="13"/>
  <c r="GB3" i="13" s="1"/>
  <c r="NY97" i="13"/>
  <c r="ABR188" i="13"/>
  <c r="ZS175" i="13"/>
  <c r="XT162" i="13"/>
  <c r="VU149" i="13"/>
  <c r="JZ73" i="13"/>
  <c r="JZ2" i="13" s="1"/>
  <c r="ZQ12" i="13"/>
  <c r="ZQ13" i="13"/>
  <c r="LX13" i="13"/>
  <c r="LX12" i="13"/>
  <c r="IA2" i="13"/>
  <c r="IA3" i="13"/>
  <c r="LX9" i="13"/>
  <c r="LX10" i="13"/>
  <c r="NX3" i="13"/>
  <c r="NX2" i="13"/>
  <c r="NW9" i="13"/>
  <c r="NW10" i="13"/>
  <c r="JY10" i="13"/>
  <c r="JY9" i="13"/>
  <c r="TT13" i="13"/>
  <c r="TT12" i="13"/>
  <c r="HZ12" i="13"/>
  <c r="HZ13" i="13"/>
  <c r="GA9" i="13"/>
  <c r="GA10" i="13"/>
  <c r="RU12" i="13"/>
  <c r="RU13" i="13"/>
  <c r="RU9" i="13"/>
  <c r="RU10" i="13"/>
  <c r="LY2" i="13"/>
  <c r="LY3" i="13"/>
  <c r="JY12" i="13"/>
  <c r="JY13" i="13"/>
  <c r="PV13" i="13"/>
  <c r="PV12" i="13"/>
  <c r="VS12" i="13"/>
  <c r="VS13" i="13"/>
  <c r="HZ10" i="13"/>
  <c r="HZ9" i="13"/>
  <c r="EB13" i="13"/>
  <c r="EB12" i="13"/>
  <c r="NW13" i="13"/>
  <c r="NW12" i="13"/>
  <c r="GB2" i="13"/>
  <c r="ABP12" i="13"/>
  <c r="ABP13" i="13"/>
  <c r="ABP9" i="13"/>
  <c r="ABP10" i="13"/>
  <c r="TT9" i="13"/>
  <c r="TT10" i="13"/>
  <c r="PV9" i="13"/>
  <c r="PV10" i="13"/>
  <c r="VS9" i="13"/>
  <c r="VS10" i="13"/>
  <c r="XR13" i="13"/>
  <c r="XR12" i="13"/>
  <c r="EB10" i="13"/>
  <c r="EB9" i="13"/>
  <c r="GA13" i="13"/>
  <c r="GA12" i="13"/>
  <c r="EC36" i="13"/>
  <c r="EC2" i="13"/>
  <c r="EC3" i="13"/>
  <c r="ABQ190" i="13"/>
  <c r="XS164" i="13"/>
  <c r="ZR177" i="13"/>
  <c r="VT151" i="13"/>
  <c r="ZQ9" i="13"/>
  <c r="ZQ10" i="13"/>
  <c r="XR9" i="13"/>
  <c r="XR10" i="13"/>
  <c r="EC39" i="13"/>
  <c r="PW117" i="13" s="1"/>
  <c r="GB49" i="13"/>
  <c r="GB4" i="13" s="1"/>
  <c r="JZ75" i="13"/>
  <c r="JZ4" i="13" s="1"/>
  <c r="JZ5" i="13" s="1"/>
  <c r="PW112" i="13"/>
  <c r="GC45" i="13"/>
  <c r="LZ84" i="13"/>
  <c r="RV125" i="13"/>
  <c r="KA71" i="13"/>
  <c r="IB58" i="13"/>
  <c r="EE27" i="13"/>
  <c r="TU138" i="13"/>
  <c r="TV136" i="13"/>
  <c r="RW123" i="13"/>
  <c r="PX110" i="13"/>
  <c r="GB5" i="13" l="1"/>
  <c r="JZ3" i="13"/>
  <c r="TW131" i="13"/>
  <c r="ZT170" i="13"/>
  <c r="ABS183" i="13"/>
  <c r="XU157" i="13"/>
  <c r="VV144" i="13"/>
  <c r="RV130" i="13"/>
  <c r="TU2" i="13"/>
  <c r="TU3" i="13"/>
  <c r="JZ7" i="13"/>
  <c r="JZ8" i="13"/>
  <c r="JZ11" i="13"/>
  <c r="ABQ195" i="13"/>
  <c r="ZR182" i="13"/>
  <c r="XS169" i="13"/>
  <c r="VT156" i="13"/>
  <c r="ABQ2" i="13"/>
  <c r="ABQ3" i="13"/>
  <c r="RV2" i="13"/>
  <c r="RV3" i="13"/>
  <c r="ZR2" i="13"/>
  <c r="ZR3" i="13"/>
  <c r="XS2" i="13"/>
  <c r="XS3" i="13"/>
  <c r="JZ78" i="13"/>
  <c r="LY91" i="13"/>
  <c r="LY88" i="13"/>
  <c r="LY4" i="13" s="1"/>
  <c r="LY5" i="13" s="1"/>
  <c r="EC4" i="13"/>
  <c r="EC5" i="13" s="1"/>
  <c r="ABQ192" i="13"/>
  <c r="ABQ4" i="13" s="1"/>
  <c r="ABQ5" i="13" s="1"/>
  <c r="ZR179" i="13"/>
  <c r="ZR4" i="13" s="1"/>
  <c r="XS166" i="13"/>
  <c r="XS4" i="13" s="1"/>
  <c r="XS5" i="13" s="1"/>
  <c r="VT153" i="13"/>
  <c r="VT4" i="13" s="1"/>
  <c r="IA62" i="13"/>
  <c r="IA4" i="13" s="1"/>
  <c r="IA5" i="13" s="1"/>
  <c r="TU140" i="13"/>
  <c r="TU4" i="13" s="1"/>
  <c r="NX101" i="13"/>
  <c r="NX4" i="13" s="1"/>
  <c r="NX5" i="13" s="1"/>
  <c r="PW114" i="13"/>
  <c r="PW4" i="13" s="1"/>
  <c r="RV127" i="13"/>
  <c r="RV4" i="13" s="1"/>
  <c r="RV5" i="13" s="1"/>
  <c r="ED33" i="13"/>
  <c r="GB52" i="13"/>
  <c r="NX104" i="13"/>
  <c r="GB7" i="13"/>
  <c r="GB8" i="13"/>
  <c r="GB11" i="13"/>
  <c r="IA65" i="13"/>
  <c r="TU143" i="13"/>
  <c r="PW2" i="13"/>
  <c r="PW3" i="13"/>
  <c r="VT2" i="13"/>
  <c r="VT3" i="13"/>
  <c r="MA79" i="13"/>
  <c r="NZ92" i="13"/>
  <c r="EE32" i="13"/>
  <c r="GD45" i="13" s="1"/>
  <c r="GD40" i="13"/>
  <c r="IC53" i="13"/>
  <c r="PY105" i="13"/>
  <c r="RX118" i="13"/>
  <c r="KB66" i="13"/>
  <c r="ZR5" i="13" l="1"/>
  <c r="VT5" i="13"/>
  <c r="TU5" i="13"/>
  <c r="PW5" i="13"/>
  <c r="PY110" i="13"/>
  <c r="ABS188" i="13"/>
  <c r="XU162" i="13"/>
  <c r="VV149" i="13"/>
  <c r="ZT175" i="13"/>
  <c r="IC58" i="13"/>
  <c r="NZ97" i="13"/>
  <c r="EF27" i="13"/>
  <c r="TX131" i="13" s="1"/>
  <c r="XS7" i="13"/>
  <c r="XS8" i="13"/>
  <c r="XS11" i="13"/>
  <c r="RV8" i="13"/>
  <c r="RV7" i="13"/>
  <c r="RV11" i="13"/>
  <c r="ABQ8" i="13"/>
  <c r="ABQ7" i="13"/>
  <c r="ABQ11" i="13"/>
  <c r="PW8" i="13"/>
  <c r="PW7" i="13"/>
  <c r="PW11" i="13"/>
  <c r="EC8" i="13"/>
  <c r="EC7" i="13"/>
  <c r="EC11" i="13"/>
  <c r="JZ12" i="13"/>
  <c r="JZ13" i="13"/>
  <c r="GB12" i="13"/>
  <c r="GB13" i="13"/>
  <c r="NX7" i="13"/>
  <c r="NX8" i="13"/>
  <c r="NX11" i="13"/>
  <c r="LY7" i="13"/>
  <c r="LY8" i="13"/>
  <c r="LY11" i="13"/>
  <c r="JZ10" i="13"/>
  <c r="JZ9" i="13"/>
  <c r="ZR8" i="13"/>
  <c r="ZR11" i="13"/>
  <c r="ZR7" i="13"/>
  <c r="GB10" i="13"/>
  <c r="GB9" i="13"/>
  <c r="TU7" i="13"/>
  <c r="TU8" i="13"/>
  <c r="TU11" i="13"/>
  <c r="ED6" i="13"/>
  <c r="ABR189" i="13"/>
  <c r="ABR6" i="13" s="1"/>
  <c r="ZS176" i="13"/>
  <c r="ZS6" i="13" s="1"/>
  <c r="VU150" i="13"/>
  <c r="VU6" i="13" s="1"/>
  <c r="XT163" i="13"/>
  <c r="XT6" i="13" s="1"/>
  <c r="TV137" i="13"/>
  <c r="TV6" i="13" s="1"/>
  <c r="IB59" i="13"/>
  <c r="IB6" i="13" s="1"/>
  <c r="LZ85" i="13"/>
  <c r="LZ6" i="13" s="1"/>
  <c r="RW124" i="13"/>
  <c r="RW6" i="13" s="1"/>
  <c r="ED34" i="13"/>
  <c r="PX111" i="13"/>
  <c r="PX6" i="13" s="1"/>
  <c r="NY98" i="13"/>
  <c r="NY6" i="13" s="1"/>
  <c r="KA72" i="13"/>
  <c r="KA6" i="13" s="1"/>
  <c r="GC46" i="13"/>
  <c r="GC6" i="13" s="1"/>
  <c r="IA7" i="13"/>
  <c r="IA8" i="13"/>
  <c r="IA11" i="13"/>
  <c r="VT7" i="13"/>
  <c r="VT11" i="13"/>
  <c r="VT8" i="13"/>
  <c r="KB71" i="13"/>
  <c r="MA84" i="13"/>
  <c r="TW136" i="13"/>
  <c r="RX123" i="13"/>
  <c r="RY118" i="13" l="1"/>
  <c r="EF32" i="13"/>
  <c r="ABT188" i="13" s="1"/>
  <c r="PZ105" i="13"/>
  <c r="ABT183" i="13"/>
  <c r="ZU170" i="13"/>
  <c r="XV157" i="13"/>
  <c r="VW144" i="13"/>
  <c r="GE40" i="13"/>
  <c r="ID53" i="13"/>
  <c r="MB79" i="13"/>
  <c r="KC66" i="13"/>
  <c r="OA92" i="13"/>
  <c r="LY10" i="13"/>
  <c r="LY9" i="13"/>
  <c r="EC12" i="13"/>
  <c r="EC13" i="13"/>
  <c r="ABQ10" i="13"/>
  <c r="ABQ9" i="13"/>
  <c r="NX13" i="13"/>
  <c r="NX12" i="13"/>
  <c r="RV12" i="13"/>
  <c r="RV13" i="13"/>
  <c r="VT10" i="13"/>
  <c r="VT9" i="13"/>
  <c r="ED39" i="13"/>
  <c r="ED2" i="13"/>
  <c r="ED3" i="13"/>
  <c r="ABR190" i="13"/>
  <c r="XT164" i="13"/>
  <c r="VU151" i="13"/>
  <c r="ZS177" i="13"/>
  <c r="RW125" i="13"/>
  <c r="PX112" i="13"/>
  <c r="KA73" i="13"/>
  <c r="GC47" i="13"/>
  <c r="NY99" i="13"/>
  <c r="TV138" i="13"/>
  <c r="IB60" i="13"/>
  <c r="LZ86" i="13"/>
  <c r="ED36" i="13"/>
  <c r="ZR12" i="13"/>
  <c r="ZR13" i="13"/>
  <c r="NX9" i="13"/>
  <c r="NX10" i="13"/>
  <c r="EC10" i="13"/>
  <c r="EC9" i="13"/>
  <c r="ZR9" i="13"/>
  <c r="ZR10" i="13"/>
  <c r="PW12" i="13"/>
  <c r="PW13" i="13"/>
  <c r="RV9" i="13"/>
  <c r="RV10" i="13"/>
  <c r="IA10" i="13"/>
  <c r="IA9" i="13"/>
  <c r="TU12" i="13"/>
  <c r="TU13" i="13"/>
  <c r="XS13" i="13"/>
  <c r="XS12" i="13"/>
  <c r="IA12" i="13"/>
  <c r="IA13" i="13"/>
  <c r="TU10" i="13"/>
  <c r="TU9" i="13"/>
  <c r="PW9" i="13"/>
  <c r="PW10" i="13"/>
  <c r="XS10" i="13"/>
  <c r="XS9" i="13"/>
  <c r="VT13" i="13"/>
  <c r="VT12" i="13"/>
  <c r="LY12" i="13"/>
  <c r="LY13" i="13"/>
  <c r="ABQ13" i="13"/>
  <c r="ABQ12" i="13"/>
  <c r="OA97" i="13"/>
  <c r="TX136" i="13"/>
  <c r="PZ110" i="13"/>
  <c r="RY123" i="13"/>
  <c r="KC71" i="13"/>
  <c r="GE45" i="13"/>
  <c r="MB84" i="13"/>
  <c r="ID58" i="13"/>
  <c r="EG27" i="13"/>
  <c r="VW149" i="13" l="1"/>
  <c r="XV162" i="13"/>
  <c r="ZU175" i="13"/>
  <c r="ABU183" i="13"/>
  <c r="ZV170" i="13"/>
  <c r="VX144" i="13"/>
  <c r="XW157" i="13"/>
  <c r="NY2" i="13"/>
  <c r="NY3" i="13"/>
  <c r="ABR2" i="13"/>
  <c r="ABR3" i="13"/>
  <c r="ABR195" i="13"/>
  <c r="ZS182" i="13"/>
  <c r="XT169" i="13"/>
  <c r="VU156" i="13"/>
  <c r="NY104" i="13"/>
  <c r="PX117" i="13"/>
  <c r="IB65" i="13"/>
  <c r="LZ91" i="13"/>
  <c r="RW130" i="13"/>
  <c r="KA78" i="13"/>
  <c r="GC52" i="13"/>
  <c r="TV143" i="13"/>
  <c r="KA2" i="13"/>
  <c r="KA3" i="13"/>
  <c r="ED4" i="13"/>
  <c r="ED5" i="13" s="1"/>
  <c r="ABR192" i="13"/>
  <c r="ABR4" i="13" s="1"/>
  <c r="ZS179" i="13"/>
  <c r="ZS4" i="13" s="1"/>
  <c r="XT166" i="13"/>
  <c r="XT4" i="13" s="1"/>
  <c r="VU153" i="13"/>
  <c r="VU4" i="13" s="1"/>
  <c r="EE33" i="13"/>
  <c r="TV140" i="13"/>
  <c r="TV4" i="13" s="1"/>
  <c r="NY101" i="13"/>
  <c r="NY4" i="13" s="1"/>
  <c r="RW127" i="13"/>
  <c r="RW4" i="13" s="1"/>
  <c r="LZ88" i="13"/>
  <c r="LZ4" i="13" s="1"/>
  <c r="GC49" i="13"/>
  <c r="GC4" i="13" s="1"/>
  <c r="KA75" i="13"/>
  <c r="KA4" i="13" s="1"/>
  <c r="IB62" i="13"/>
  <c r="IB4" i="13" s="1"/>
  <c r="PX114" i="13"/>
  <c r="PX4" i="13" s="1"/>
  <c r="RW2" i="13"/>
  <c r="RW3" i="13"/>
  <c r="GC2" i="13"/>
  <c r="GC3" i="13"/>
  <c r="LZ2" i="13"/>
  <c r="LZ3" i="13"/>
  <c r="ZS3" i="13"/>
  <c r="ZS2" i="13"/>
  <c r="PX2" i="13"/>
  <c r="PX3" i="13"/>
  <c r="IB2" i="13"/>
  <c r="IB3" i="13"/>
  <c r="VU2" i="13"/>
  <c r="VU3" i="13"/>
  <c r="TV2" i="13"/>
  <c r="TV3" i="13"/>
  <c r="XT3" i="13"/>
  <c r="XT2" i="13"/>
  <c r="IE53" i="13"/>
  <c r="TY131" i="13"/>
  <c r="RZ118" i="13"/>
  <c r="QA105" i="13"/>
  <c r="GF40" i="13"/>
  <c r="EG32" i="13"/>
  <c r="EH27" i="13"/>
  <c r="KD66" i="13"/>
  <c r="OB92" i="13"/>
  <c r="MC79" i="13"/>
  <c r="ABR5" i="13" l="1"/>
  <c r="IB5" i="13"/>
  <c r="GC5" i="13"/>
  <c r="TV5" i="13"/>
  <c r="PX5" i="13"/>
  <c r="VU5" i="13"/>
  <c r="KA5" i="13"/>
  <c r="XT5" i="13"/>
  <c r="ZS5" i="13"/>
  <c r="LZ5" i="13"/>
  <c r="RW5" i="13"/>
  <c r="NY5" i="13"/>
  <c r="ABV183" i="13"/>
  <c r="ZW170" i="13"/>
  <c r="VY144" i="13"/>
  <c r="XX157" i="13"/>
  <c r="IE58" i="13"/>
  <c r="ABU188" i="13"/>
  <c r="ZV175" i="13"/>
  <c r="XW162" i="13"/>
  <c r="VX149" i="13"/>
  <c r="PX7" i="13"/>
  <c r="PX8" i="13"/>
  <c r="PX11" i="13"/>
  <c r="EE6" i="13"/>
  <c r="ABS189" i="13"/>
  <c r="ABS6" i="13" s="1"/>
  <c r="ZT176" i="13"/>
  <c r="ZT6" i="13" s="1"/>
  <c r="VV150" i="13"/>
  <c r="VV6" i="13" s="1"/>
  <c r="XU163" i="13"/>
  <c r="XU6" i="13" s="1"/>
  <c r="NZ98" i="13"/>
  <c r="NZ6" i="13" s="1"/>
  <c r="GD46" i="13"/>
  <c r="GD6" i="13" s="1"/>
  <c r="KB72" i="13"/>
  <c r="KB6" i="13" s="1"/>
  <c r="PY111" i="13"/>
  <c r="PY6" i="13" s="1"/>
  <c r="RX124" i="13"/>
  <c r="RX6" i="13" s="1"/>
  <c r="TW137" i="13"/>
  <c r="TW6" i="13" s="1"/>
  <c r="MA85" i="13"/>
  <c r="MA6" i="13" s="1"/>
  <c r="EE34" i="13"/>
  <c r="IC59" i="13"/>
  <c r="IC6" i="13" s="1"/>
  <c r="IB7" i="13"/>
  <c r="IB8" i="13"/>
  <c r="IB11" i="13"/>
  <c r="VU7" i="13"/>
  <c r="VU11" i="13"/>
  <c r="VU8" i="13"/>
  <c r="KA7" i="13"/>
  <c r="KA8" i="13"/>
  <c r="KA11" i="13"/>
  <c r="XT7" i="13"/>
  <c r="XT8" i="13"/>
  <c r="XT11" i="13"/>
  <c r="GC7" i="13"/>
  <c r="GC8" i="13"/>
  <c r="GC11" i="13"/>
  <c r="ZS8" i="13"/>
  <c r="ZS7" i="13"/>
  <c r="ZS11" i="13"/>
  <c r="LZ7" i="13"/>
  <c r="LZ8" i="13"/>
  <c r="LZ11" i="13"/>
  <c r="ABR7" i="13"/>
  <c r="ABR11" i="13"/>
  <c r="ABR8" i="13"/>
  <c r="RW7" i="13"/>
  <c r="RW8" i="13"/>
  <c r="RW11" i="13"/>
  <c r="ED7" i="13"/>
  <c r="ED11" i="13"/>
  <c r="ED8" i="13"/>
  <c r="NY8" i="13"/>
  <c r="NY7" i="13"/>
  <c r="NY11" i="13"/>
  <c r="TV7" i="13"/>
  <c r="TV11" i="13"/>
  <c r="TV8" i="13"/>
  <c r="KE66" i="13"/>
  <c r="TZ131" i="13"/>
  <c r="SA118" i="13"/>
  <c r="QB105" i="13"/>
  <c r="GF45" i="13"/>
  <c r="TY136" i="13"/>
  <c r="RZ123" i="13"/>
  <c r="QA110" i="13"/>
  <c r="KD71" i="13"/>
  <c r="OC92" i="13"/>
  <c r="MC84" i="13"/>
  <c r="EH32" i="13"/>
  <c r="MD79" i="13"/>
  <c r="GG40" i="13"/>
  <c r="IF53" i="13"/>
  <c r="OB97" i="13"/>
  <c r="EI30" i="13"/>
  <c r="ME82" i="13" l="1"/>
  <c r="ABW186" i="13"/>
  <c r="ZX173" i="13"/>
  <c r="VZ147" i="13"/>
  <c r="XY160" i="13"/>
  <c r="KE71" i="13"/>
  <c r="ABV188" i="13"/>
  <c r="ZW175" i="13"/>
  <c r="XX162" i="13"/>
  <c r="VY149" i="13"/>
  <c r="GC12" i="13"/>
  <c r="GC13" i="13"/>
  <c r="EE39" i="13"/>
  <c r="EE2" i="13"/>
  <c r="EE3" i="13"/>
  <c r="ZT177" i="13"/>
  <c r="ABS190" i="13"/>
  <c r="XU164" i="13"/>
  <c r="VV151" i="13"/>
  <c r="KB73" i="13"/>
  <c r="GD47" i="13"/>
  <c r="IC60" i="13"/>
  <c r="NZ99" i="13"/>
  <c r="MA86" i="13"/>
  <c r="RX125" i="13"/>
  <c r="EE36" i="13"/>
  <c r="TW138" i="13"/>
  <c r="PY112" i="13"/>
  <c r="ABR12" i="13"/>
  <c r="ABR13" i="13"/>
  <c r="ED9" i="13"/>
  <c r="ED10" i="13"/>
  <c r="XT9" i="13"/>
  <c r="XT10" i="13"/>
  <c r="IB12" i="13"/>
  <c r="IB13" i="13"/>
  <c r="GC10" i="13"/>
  <c r="GC9" i="13"/>
  <c r="LZ12" i="13"/>
  <c r="LZ13" i="13"/>
  <c r="XT13" i="13"/>
  <c r="XT12" i="13"/>
  <c r="TV12" i="13"/>
  <c r="TV13" i="13"/>
  <c r="RW9" i="13"/>
  <c r="RW10" i="13"/>
  <c r="ZS12" i="13"/>
  <c r="ZS13" i="13"/>
  <c r="IB9" i="13"/>
  <c r="IB10" i="13"/>
  <c r="PX12" i="13"/>
  <c r="PX13" i="13"/>
  <c r="NY9" i="13"/>
  <c r="NY10" i="13"/>
  <c r="VU10" i="13"/>
  <c r="VU9" i="13"/>
  <c r="VU12" i="13"/>
  <c r="VU13" i="13"/>
  <c r="LZ9" i="13"/>
  <c r="LZ10" i="13"/>
  <c r="RW12" i="13"/>
  <c r="RW13" i="13"/>
  <c r="NY13" i="13"/>
  <c r="NY12" i="13"/>
  <c r="KA12" i="13"/>
  <c r="KA13" i="13"/>
  <c r="PX9" i="13"/>
  <c r="PX10" i="13"/>
  <c r="ED12" i="13"/>
  <c r="ED13" i="13"/>
  <c r="TV9" i="13"/>
  <c r="TV10" i="13"/>
  <c r="ABR9" i="13"/>
  <c r="ABR10" i="13"/>
  <c r="ZS10" i="13"/>
  <c r="ZS9" i="13"/>
  <c r="KA9" i="13"/>
  <c r="KA10" i="13"/>
  <c r="OD95" i="13"/>
  <c r="EI27" i="13"/>
  <c r="OD92" i="13" s="1"/>
  <c r="TZ136" i="13"/>
  <c r="SA123" i="13"/>
  <c r="QB110" i="13"/>
  <c r="OC97" i="13"/>
  <c r="GG45" i="13"/>
  <c r="IF58" i="13"/>
  <c r="MD84" i="13"/>
  <c r="IG56" i="13"/>
  <c r="UA134" i="13"/>
  <c r="QC108" i="13"/>
  <c r="SB121" i="13"/>
  <c r="GH43" i="13"/>
  <c r="KF69" i="13"/>
  <c r="QC105" i="13" l="1"/>
  <c r="UA131" i="13"/>
  <c r="ME79" i="13"/>
  <c r="IG53" i="13"/>
  <c r="ABW183" i="13"/>
  <c r="ZX170" i="13"/>
  <c r="VZ144" i="13"/>
  <c r="XY157" i="13"/>
  <c r="SB118" i="13"/>
  <c r="EI32" i="13"/>
  <c r="SB123" i="13" s="1"/>
  <c r="EE4" i="13"/>
  <c r="EE5" i="13" s="1"/>
  <c r="ABS192" i="13"/>
  <c r="ABS4" i="13" s="1"/>
  <c r="ZT179" i="13"/>
  <c r="ZT4" i="13" s="1"/>
  <c r="ZT5" i="13" s="1"/>
  <c r="VV153" i="13"/>
  <c r="VV4" i="13" s="1"/>
  <c r="XU166" i="13"/>
  <c r="XU4" i="13" s="1"/>
  <c r="XU5" i="13" s="1"/>
  <c r="MA88" i="13"/>
  <c r="MA4" i="13" s="1"/>
  <c r="NZ101" i="13"/>
  <c r="NZ4" i="13" s="1"/>
  <c r="GD49" i="13"/>
  <c r="GD4" i="13" s="1"/>
  <c r="IC62" i="13"/>
  <c r="IC4" i="13" s="1"/>
  <c r="EF33" i="13"/>
  <c r="TW140" i="13"/>
  <c r="TW4" i="13" s="1"/>
  <c r="TW5" i="13" s="1"/>
  <c r="PY114" i="13"/>
  <c r="PY4" i="13" s="1"/>
  <c r="RX127" i="13"/>
  <c r="RX4" i="13" s="1"/>
  <c r="RX5" i="13" s="1"/>
  <c r="KB75" i="13"/>
  <c r="KB4" i="13" s="1"/>
  <c r="XU2" i="13"/>
  <c r="XU3" i="13"/>
  <c r="RX3" i="13"/>
  <c r="RX2" i="13"/>
  <c r="ABS2" i="13"/>
  <c r="ABS3" i="13"/>
  <c r="MA2" i="13"/>
  <c r="MA3" i="13"/>
  <c r="ZT2" i="13"/>
  <c r="ZT3" i="13"/>
  <c r="NZ3" i="13"/>
  <c r="NZ2" i="13"/>
  <c r="IC2" i="13"/>
  <c r="IC3" i="13"/>
  <c r="GD2" i="13"/>
  <c r="GD3" i="13"/>
  <c r="ABS195" i="13"/>
  <c r="XU169" i="13"/>
  <c r="ZT182" i="13"/>
  <c r="VV156" i="13"/>
  <c r="GD52" i="13"/>
  <c r="TW143" i="13"/>
  <c r="IC65" i="13"/>
  <c r="NZ104" i="13"/>
  <c r="PY117" i="13"/>
  <c r="KB78" i="13"/>
  <c r="RX130" i="13"/>
  <c r="MA91" i="13"/>
  <c r="PY2" i="13"/>
  <c r="PY3" i="13"/>
  <c r="KB3" i="13"/>
  <c r="KB2" i="13"/>
  <c r="TW2" i="13"/>
  <c r="TW3" i="13"/>
  <c r="VV2" i="13"/>
  <c r="VV3" i="13"/>
  <c r="GH40" i="13"/>
  <c r="KF66" i="13"/>
  <c r="GH45" i="13"/>
  <c r="UA136" i="13"/>
  <c r="EJ27" i="13"/>
  <c r="OD97" i="13"/>
  <c r="ME84" i="13"/>
  <c r="KF71" i="13"/>
  <c r="IG58" i="13"/>
  <c r="QC110" i="13" l="1"/>
  <c r="KB5" i="13"/>
  <c r="MA5" i="13"/>
  <c r="PY5" i="13"/>
  <c r="VV5" i="13"/>
  <c r="ABS5" i="13"/>
  <c r="IC5" i="13"/>
  <c r="GD5" i="13"/>
  <c r="NZ5" i="13"/>
  <c r="ABX183" i="13"/>
  <c r="XZ157" i="13"/>
  <c r="ZY170" i="13"/>
  <c r="WA144" i="13"/>
  <c r="ABW188" i="13"/>
  <c r="ZX175" i="13"/>
  <c r="XY162" i="13"/>
  <c r="VZ149" i="13"/>
  <c r="GD7" i="13"/>
  <c r="GD8" i="13"/>
  <c r="GD11" i="13"/>
  <c r="NZ7" i="13"/>
  <c r="NZ8" i="13"/>
  <c r="NZ11" i="13"/>
  <c r="KB8" i="13"/>
  <c r="KB7" i="13"/>
  <c r="KB11" i="13"/>
  <c r="MA7" i="13"/>
  <c r="MA8" i="13"/>
  <c r="MA11" i="13"/>
  <c r="RX7" i="13"/>
  <c r="RX8" i="13"/>
  <c r="RX11" i="13"/>
  <c r="XU8" i="13"/>
  <c r="XU7" i="13"/>
  <c r="XU11" i="13"/>
  <c r="PY7" i="13"/>
  <c r="PY8" i="13"/>
  <c r="PY11" i="13"/>
  <c r="VV8" i="13"/>
  <c r="VV7" i="13"/>
  <c r="VV11" i="13"/>
  <c r="TW7" i="13"/>
  <c r="TW8" i="13"/>
  <c r="TW11" i="13"/>
  <c r="ZT8" i="13"/>
  <c r="ZT7" i="13"/>
  <c r="ZT11" i="13"/>
  <c r="KC72" i="13"/>
  <c r="KC6" i="13" s="1"/>
  <c r="EF6" i="13"/>
  <c r="ABT189" i="13"/>
  <c r="ABT6" i="13" s="1"/>
  <c r="VW150" i="13"/>
  <c r="VW6" i="13" s="1"/>
  <c r="ZU176" i="13"/>
  <c r="ZU6" i="13" s="1"/>
  <c r="XV163" i="13"/>
  <c r="XV6" i="13" s="1"/>
  <c r="TX137" i="13"/>
  <c r="TX6" i="13" s="1"/>
  <c r="OA98" i="13"/>
  <c r="OA6" i="13" s="1"/>
  <c r="RY124" i="13"/>
  <c r="RY6" i="13" s="1"/>
  <c r="MB85" i="13"/>
  <c r="MB6" i="13" s="1"/>
  <c r="PZ111" i="13"/>
  <c r="PZ6" i="13" s="1"/>
  <c r="GE46" i="13"/>
  <c r="GE6" i="13" s="1"/>
  <c r="ID59" i="13"/>
  <c r="ID6" i="13" s="1"/>
  <c r="EF34" i="13"/>
  <c r="ABS7" i="13"/>
  <c r="ABS11" i="13"/>
  <c r="ABS8" i="13"/>
  <c r="IC7" i="13"/>
  <c r="IC8" i="13"/>
  <c r="IC11" i="13"/>
  <c r="EE7" i="13"/>
  <c r="EE8" i="13"/>
  <c r="EE11" i="13"/>
  <c r="EK30" i="13"/>
  <c r="UB131" i="13"/>
  <c r="SC118" i="13"/>
  <c r="QD105" i="13"/>
  <c r="GI40" i="13"/>
  <c r="IH53" i="13"/>
  <c r="OE92" i="13"/>
  <c r="MF79" i="13"/>
  <c r="KG66" i="13"/>
  <c r="EJ32" i="13"/>
  <c r="KH69" i="13" l="1"/>
  <c r="ABY186" i="13"/>
  <c r="ZZ173" i="13"/>
  <c r="YA160" i="13"/>
  <c r="WB147" i="13"/>
  <c r="ABX188" i="13"/>
  <c r="ZY175" i="13"/>
  <c r="XZ162" i="13"/>
  <c r="WA149" i="13"/>
  <c r="VV12" i="13"/>
  <c r="VV13" i="13"/>
  <c r="XU10" i="13"/>
  <c r="XU9" i="13"/>
  <c r="KB10" i="13"/>
  <c r="KB9" i="13"/>
  <c r="ZT12" i="13"/>
  <c r="ZT13" i="13"/>
  <c r="VV9" i="13"/>
  <c r="VV10" i="13"/>
  <c r="RX9" i="13"/>
  <c r="RX10" i="13"/>
  <c r="NZ12" i="13"/>
  <c r="NZ13" i="13"/>
  <c r="PY12" i="13"/>
  <c r="PY13" i="13"/>
  <c r="NZ10" i="13"/>
  <c r="NZ9" i="13"/>
  <c r="ABS13" i="13"/>
  <c r="ABS12" i="13"/>
  <c r="EE10" i="13"/>
  <c r="EE9" i="13"/>
  <c r="EF2" i="13"/>
  <c r="EF3" i="13"/>
  <c r="ZU177" i="13"/>
  <c r="VW151" i="13"/>
  <c r="ABT190" i="13"/>
  <c r="XV164" i="13"/>
  <c r="GE47" i="13"/>
  <c r="RY125" i="13"/>
  <c r="ID60" i="13"/>
  <c r="TX138" i="13"/>
  <c r="EF39" i="13"/>
  <c r="MB86" i="13"/>
  <c r="OA99" i="13"/>
  <c r="EF36" i="13"/>
  <c r="KC73" i="13"/>
  <c r="PZ112" i="13"/>
  <c r="ZT10" i="13"/>
  <c r="ZT9" i="13"/>
  <c r="PY10" i="13"/>
  <c r="PY9" i="13"/>
  <c r="MA12" i="13"/>
  <c r="MA13" i="13"/>
  <c r="ABS9" i="13"/>
  <c r="ABS10" i="13"/>
  <c r="RX13" i="13"/>
  <c r="RX12" i="13"/>
  <c r="TW13" i="13"/>
  <c r="TW12" i="13"/>
  <c r="MA10" i="13"/>
  <c r="MA9" i="13"/>
  <c r="GD12" i="13"/>
  <c r="GD13" i="13"/>
  <c r="IC12" i="13"/>
  <c r="IC13" i="13"/>
  <c r="TW9" i="13"/>
  <c r="TW10" i="13"/>
  <c r="XU13" i="13"/>
  <c r="XU12" i="13"/>
  <c r="GD10" i="13"/>
  <c r="GD9" i="13"/>
  <c r="EE13" i="13"/>
  <c r="EE12" i="13"/>
  <c r="IC9" i="13"/>
  <c r="IC10" i="13"/>
  <c r="KB12" i="13"/>
  <c r="KB13" i="13"/>
  <c r="EK27" i="13"/>
  <c r="UB136" i="13"/>
  <c r="SC123" i="13"/>
  <c r="QD110" i="13"/>
  <c r="UC134" i="13"/>
  <c r="QE108" i="13"/>
  <c r="SD121" i="13"/>
  <c r="GJ43" i="13"/>
  <c r="MG82" i="13"/>
  <c r="II56" i="13"/>
  <c r="OF95" i="13"/>
  <c r="OE97" i="13"/>
  <c r="MF84" i="13"/>
  <c r="KG71" i="13"/>
  <c r="IH58" i="13"/>
  <c r="GI45" i="13"/>
  <c r="ZZ170" i="13" l="1"/>
  <c r="ABY183" i="13"/>
  <c r="YA157" i="13"/>
  <c r="WB144" i="13"/>
  <c r="EK32" i="13"/>
  <c r="OF97" i="13" s="1"/>
  <c r="KH66" i="13"/>
  <c r="GJ40" i="13"/>
  <c r="MG79" i="13"/>
  <c r="II53" i="13"/>
  <c r="OF92" i="13"/>
  <c r="TX2" i="13"/>
  <c r="TX3" i="13"/>
  <c r="RY2" i="13"/>
  <c r="RY3" i="13"/>
  <c r="KC2" i="13"/>
  <c r="KC3" i="13"/>
  <c r="GE2" i="13"/>
  <c r="GE3" i="13"/>
  <c r="EF4" i="13"/>
  <c r="EF5" i="13" s="1"/>
  <c r="ABT192" i="13"/>
  <c r="ABT4" i="13" s="1"/>
  <c r="ZU179" i="13"/>
  <c r="ZU4" i="13" s="1"/>
  <c r="XV166" i="13"/>
  <c r="XV4" i="13" s="1"/>
  <c r="XV5" i="13" s="1"/>
  <c r="VW153" i="13"/>
  <c r="VW4" i="13" s="1"/>
  <c r="OA101" i="13"/>
  <c r="OA4" i="13" s="1"/>
  <c r="OA5" i="13" s="1"/>
  <c r="GE49" i="13"/>
  <c r="GE4" i="13" s="1"/>
  <c r="GE5" i="13" s="1"/>
  <c r="TX140" i="13"/>
  <c r="TX4" i="13" s="1"/>
  <c r="TX5" i="13" s="1"/>
  <c r="KC75" i="13"/>
  <c r="KC4" i="13" s="1"/>
  <c r="ID62" i="13"/>
  <c r="ID4" i="13" s="1"/>
  <c r="MB88" i="13"/>
  <c r="MB4" i="13" s="1"/>
  <c r="MB5" i="13" s="1"/>
  <c r="PZ114" i="13"/>
  <c r="PZ4" i="13" s="1"/>
  <c r="EG33" i="13"/>
  <c r="RY127" i="13"/>
  <c r="RY4" i="13" s="1"/>
  <c r="RY5" i="13" s="1"/>
  <c r="XV2" i="13"/>
  <c r="XV3" i="13"/>
  <c r="OA2" i="13"/>
  <c r="OA3" i="13"/>
  <c r="ABT3" i="13"/>
  <c r="ABT2" i="13"/>
  <c r="PZ2" i="13"/>
  <c r="PZ3" i="13"/>
  <c r="MB2" i="13"/>
  <c r="MB3" i="13"/>
  <c r="VW2" i="13"/>
  <c r="VW3" i="13"/>
  <c r="ID2" i="13"/>
  <c r="ID3" i="13"/>
  <c r="XV169" i="13"/>
  <c r="VW156" i="13"/>
  <c r="ZU182" i="13"/>
  <c r="ABT195" i="13"/>
  <c r="MB91" i="13"/>
  <c r="GE52" i="13"/>
  <c r="ID65" i="13"/>
  <c r="PZ117" i="13"/>
  <c r="RY130" i="13"/>
  <c r="OA104" i="13"/>
  <c r="TX143" i="13"/>
  <c r="KC78" i="13"/>
  <c r="ZU2" i="13"/>
  <c r="ZU3" i="13"/>
  <c r="UC136" i="13"/>
  <c r="QE110" i="13"/>
  <c r="SD123" i="13"/>
  <c r="UC131" i="13"/>
  <c r="SD118" i="13"/>
  <c r="QE105" i="13"/>
  <c r="KH71" i="13"/>
  <c r="EL27" i="13"/>
  <c r="II58" i="13"/>
  <c r="GJ45" i="13"/>
  <c r="VW5" i="13" l="1"/>
  <c r="MG84" i="13"/>
  <c r="PZ5" i="13"/>
  <c r="ZU5" i="13"/>
  <c r="ID5" i="13"/>
  <c r="ABT5" i="13"/>
  <c r="KC5" i="13"/>
  <c r="ABY188" i="13"/>
  <c r="ZZ175" i="13"/>
  <c r="YA162" i="13"/>
  <c r="WB149" i="13"/>
  <c r="ABZ183" i="13"/>
  <c r="AAA170" i="13"/>
  <c r="YB157" i="13"/>
  <c r="WC144" i="13"/>
  <c r="TX8" i="13"/>
  <c r="TX7" i="13"/>
  <c r="TX11" i="13"/>
  <c r="GE7" i="13"/>
  <c r="GE8" i="13"/>
  <c r="GE11" i="13"/>
  <c r="RY7" i="13"/>
  <c r="RY8" i="13"/>
  <c r="RY11" i="13"/>
  <c r="OA7" i="13"/>
  <c r="OA8" i="13"/>
  <c r="OA11" i="13"/>
  <c r="EG6" i="13"/>
  <c r="ABU189" i="13"/>
  <c r="ABU6" i="13" s="1"/>
  <c r="XW163" i="13"/>
  <c r="XW6" i="13" s="1"/>
  <c r="ZV176" i="13"/>
  <c r="ZV6" i="13" s="1"/>
  <c r="VX150" i="13"/>
  <c r="VX6" i="13" s="1"/>
  <c r="KD72" i="13"/>
  <c r="KD6" i="13" s="1"/>
  <c r="TY137" i="13"/>
  <c r="TY6" i="13" s="1"/>
  <c r="RZ124" i="13"/>
  <c r="RZ6" i="13" s="1"/>
  <c r="GF46" i="13"/>
  <c r="GF6" i="13" s="1"/>
  <c r="OB98" i="13"/>
  <c r="OB6" i="13" s="1"/>
  <c r="MC85" i="13"/>
  <c r="MC6" i="13" s="1"/>
  <c r="IE59" i="13"/>
  <c r="IE6" i="13" s="1"/>
  <c r="QA111" i="13"/>
  <c r="QA6" i="13" s="1"/>
  <c r="EG34" i="13"/>
  <c r="VW7" i="13"/>
  <c r="VW8" i="13"/>
  <c r="VW11" i="13"/>
  <c r="PZ7" i="13"/>
  <c r="PZ11" i="13"/>
  <c r="PZ8" i="13"/>
  <c r="XV7" i="13"/>
  <c r="XV8" i="13"/>
  <c r="XV11" i="13"/>
  <c r="MB7" i="13"/>
  <c r="MB8" i="13"/>
  <c r="MB11" i="13"/>
  <c r="ZU8" i="13"/>
  <c r="ZU11" i="13"/>
  <c r="ZU7" i="13"/>
  <c r="ID8" i="13"/>
  <c r="ID7" i="13"/>
  <c r="ID11" i="13"/>
  <c r="ABT7" i="13"/>
  <c r="ABT8" i="13"/>
  <c r="ABT11" i="13"/>
  <c r="KC8" i="13"/>
  <c r="KC11" i="13"/>
  <c r="KC7" i="13"/>
  <c r="EF8" i="13"/>
  <c r="EF7" i="13"/>
  <c r="EF11" i="13"/>
  <c r="UD131" i="13"/>
  <c r="SE118" i="13"/>
  <c r="QF105" i="13"/>
  <c r="OG92" i="13"/>
  <c r="MH79" i="13"/>
  <c r="KI66" i="13"/>
  <c r="IJ53" i="13"/>
  <c r="GK40" i="13"/>
  <c r="EL32" i="13"/>
  <c r="ABZ188" i="13" l="1"/>
  <c r="AAA175" i="13"/>
  <c r="YB162" i="13"/>
  <c r="WC149" i="13"/>
  <c r="RY10" i="13"/>
  <c r="RY9" i="13"/>
  <c r="ZU12" i="13"/>
  <c r="ZU13" i="13"/>
  <c r="GE12" i="13"/>
  <c r="GE13" i="13"/>
  <c r="GE10" i="13"/>
  <c r="GE9" i="13"/>
  <c r="VW10" i="13"/>
  <c r="VW9" i="13"/>
  <c r="OA12" i="13"/>
  <c r="OA13" i="13"/>
  <c r="PZ9" i="13"/>
  <c r="PZ10" i="13"/>
  <c r="ZU10" i="13"/>
  <c r="ZU9" i="13"/>
  <c r="EF12" i="13"/>
  <c r="EF13" i="13"/>
  <c r="MB10" i="13"/>
  <c r="MB9" i="13"/>
  <c r="EF9" i="13"/>
  <c r="EF10" i="13"/>
  <c r="XV13" i="13"/>
  <c r="XV12" i="13"/>
  <c r="OA10" i="13"/>
  <c r="OA9" i="13"/>
  <c r="TX13" i="13"/>
  <c r="TX12" i="13"/>
  <c r="KC9" i="13"/>
  <c r="KC10" i="13"/>
  <c r="ABT13" i="13"/>
  <c r="ABT12" i="13"/>
  <c r="PZ13" i="13"/>
  <c r="PZ12" i="13"/>
  <c r="ABT9" i="13"/>
  <c r="ABT10" i="13"/>
  <c r="ID10" i="13"/>
  <c r="ID9" i="13"/>
  <c r="XV10" i="13"/>
  <c r="XV9" i="13"/>
  <c r="EG2" i="13"/>
  <c r="EG3" i="13"/>
  <c r="ZV177" i="13"/>
  <c r="XW164" i="13"/>
  <c r="ABU190" i="13"/>
  <c r="VX151" i="13"/>
  <c r="GF47" i="13"/>
  <c r="OB99" i="13"/>
  <c r="IE60" i="13"/>
  <c r="EG36" i="13"/>
  <c r="KD73" i="13"/>
  <c r="EG39" i="13"/>
  <c r="RZ125" i="13"/>
  <c r="TY138" i="13"/>
  <c r="MC86" i="13"/>
  <c r="QA112" i="13"/>
  <c r="MB12" i="13"/>
  <c r="MB13" i="13"/>
  <c r="VW12" i="13"/>
  <c r="VW13" i="13"/>
  <c r="ID12" i="13"/>
  <c r="ID13" i="13"/>
  <c r="KC12" i="13"/>
  <c r="KC13" i="13"/>
  <c r="RY12" i="13"/>
  <c r="RY13" i="13"/>
  <c r="TX9" i="13"/>
  <c r="TX10" i="13"/>
  <c r="SE123" i="13"/>
  <c r="UD136" i="13"/>
  <c r="QF110" i="13"/>
  <c r="OG97" i="13"/>
  <c r="MH84" i="13"/>
  <c r="KI71" i="13"/>
  <c r="EM27" i="13"/>
  <c r="IJ58" i="13"/>
  <c r="GK45" i="13"/>
  <c r="AAB170" i="13" l="1"/>
  <c r="ACA183" i="13"/>
  <c r="YC157" i="13"/>
  <c r="WD144" i="13"/>
  <c r="QA2" i="13"/>
  <c r="QA3" i="13"/>
  <c r="GF2" i="13"/>
  <c r="GF3" i="13"/>
  <c r="VX2" i="13"/>
  <c r="VX3" i="13"/>
  <c r="ABU195" i="13"/>
  <c r="ZV182" i="13"/>
  <c r="VX156" i="13"/>
  <c r="XW169" i="13"/>
  <c r="GF52" i="13"/>
  <c r="TY143" i="13"/>
  <c r="OB104" i="13"/>
  <c r="MC91" i="13"/>
  <c r="IE65" i="13"/>
  <c r="QA117" i="13"/>
  <c r="RZ130" i="13"/>
  <c r="KD78" i="13"/>
  <c r="XW2" i="13"/>
  <c r="XW3" i="13"/>
  <c r="OB2" i="13"/>
  <c r="OB3" i="13"/>
  <c r="TY2" i="13"/>
  <c r="TY3" i="13"/>
  <c r="RZ2" i="13"/>
  <c r="RZ3" i="13"/>
  <c r="KD2" i="13"/>
  <c r="KD3" i="13"/>
  <c r="ZV2" i="13"/>
  <c r="ZV3" i="13"/>
  <c r="MC2" i="13"/>
  <c r="MC3" i="13"/>
  <c r="ABU2" i="13"/>
  <c r="ABU3" i="13"/>
  <c r="EG4" i="13"/>
  <c r="EG5" i="13" s="1"/>
  <c r="ZV179" i="13"/>
  <c r="ZV4" i="13" s="1"/>
  <c r="ZV5" i="13" s="1"/>
  <c r="ABU192" i="13"/>
  <c r="ABU4" i="13" s="1"/>
  <c r="XW166" i="13"/>
  <c r="XW4" i="13" s="1"/>
  <c r="VX153" i="13"/>
  <c r="VX4" i="13" s="1"/>
  <c r="VX5" i="13" s="1"/>
  <c r="IE62" i="13"/>
  <c r="IE4" i="13" s="1"/>
  <c r="QA114" i="13"/>
  <c r="QA4" i="13" s="1"/>
  <c r="QA5" i="13" s="1"/>
  <c r="OB101" i="13"/>
  <c r="OB4" i="13" s="1"/>
  <c r="OB5" i="13" s="1"/>
  <c r="KD75" i="13"/>
  <c r="KD4" i="13" s="1"/>
  <c r="RZ127" i="13"/>
  <c r="RZ4" i="13" s="1"/>
  <c r="RZ5" i="13" s="1"/>
  <c r="GF49" i="13"/>
  <c r="GF4" i="13" s="1"/>
  <c r="MC88" i="13"/>
  <c r="MC4" i="13" s="1"/>
  <c r="MC5" i="13" s="1"/>
  <c r="TY140" i="13"/>
  <c r="TY4" i="13" s="1"/>
  <c r="TY5" i="13" s="1"/>
  <c r="EH33" i="13"/>
  <c r="IE2" i="13"/>
  <c r="IE3" i="13"/>
  <c r="UE131" i="13"/>
  <c r="SF118" i="13"/>
  <c r="QG105" i="13"/>
  <c r="OH92" i="13"/>
  <c r="MI79" i="13"/>
  <c r="KJ66" i="13"/>
  <c r="IK53" i="13"/>
  <c r="GL40" i="13"/>
  <c r="EM32" i="13"/>
  <c r="KD5" i="13" l="1"/>
  <c r="IE5" i="13"/>
  <c r="XW5" i="13"/>
  <c r="GF5" i="13"/>
  <c r="ABU5" i="13"/>
  <c r="ACA188" i="13"/>
  <c r="AAB175" i="13"/>
  <c r="YC162" i="13"/>
  <c r="WD149" i="13"/>
  <c r="XW7" i="13"/>
  <c r="XW11" i="13"/>
  <c r="XW8" i="13"/>
  <c r="TY8" i="13"/>
  <c r="TY11" i="13"/>
  <c r="TY7" i="13"/>
  <c r="ABU8" i="13"/>
  <c r="ABU11" i="13"/>
  <c r="ABU7" i="13"/>
  <c r="EH6" i="13"/>
  <c r="ABV189" i="13"/>
  <c r="ABV6" i="13" s="1"/>
  <c r="ZW176" i="13"/>
  <c r="ZW6" i="13" s="1"/>
  <c r="XX163" i="13"/>
  <c r="XX6" i="13" s="1"/>
  <c r="VY150" i="13"/>
  <c r="VY6" i="13" s="1"/>
  <c r="TZ137" i="13"/>
  <c r="TZ6" i="13" s="1"/>
  <c r="MD85" i="13"/>
  <c r="MD6" i="13" s="1"/>
  <c r="KE72" i="13"/>
  <c r="KE6" i="13" s="1"/>
  <c r="SA124" i="13"/>
  <c r="SA6" i="13" s="1"/>
  <c r="QB111" i="13"/>
  <c r="QB6" i="13" s="1"/>
  <c r="GG46" i="13"/>
  <c r="GG6" i="13" s="1"/>
  <c r="IF59" i="13"/>
  <c r="IF6" i="13" s="1"/>
  <c r="OC98" i="13"/>
  <c r="OC6" i="13" s="1"/>
  <c r="EH34" i="13"/>
  <c r="MC7" i="13"/>
  <c r="MC11" i="13"/>
  <c r="MC8" i="13"/>
  <c r="ZV7" i="13"/>
  <c r="ZV11" i="13"/>
  <c r="ZV8" i="13"/>
  <c r="KD7" i="13"/>
  <c r="KD11" i="13"/>
  <c r="KD8" i="13"/>
  <c r="EG7" i="13"/>
  <c r="EG8" i="13"/>
  <c r="EG11" i="13"/>
  <c r="IE8" i="13"/>
  <c r="IE7" i="13"/>
  <c r="IE11" i="13"/>
  <c r="GF8" i="13"/>
  <c r="GF7" i="13"/>
  <c r="GF11" i="13"/>
  <c r="OB7" i="13"/>
  <c r="OB11" i="13"/>
  <c r="OB8" i="13"/>
  <c r="VX8" i="13"/>
  <c r="VX7" i="13"/>
  <c r="VX11" i="13"/>
  <c r="RZ8" i="13"/>
  <c r="RZ7" i="13"/>
  <c r="RZ11" i="13"/>
  <c r="QA7" i="13"/>
  <c r="QA8" i="13"/>
  <c r="QA11" i="13"/>
  <c r="UE136" i="13"/>
  <c r="QG110" i="13"/>
  <c r="SF123" i="13"/>
  <c r="OH97" i="13"/>
  <c r="MI84" i="13"/>
  <c r="KJ71" i="13"/>
  <c r="EN27" i="13"/>
  <c r="IK58" i="13"/>
  <c r="GL45" i="13"/>
  <c r="ACB183" i="13" l="1"/>
  <c r="AAC170" i="13"/>
  <c r="WE144" i="13"/>
  <c r="YD157" i="13"/>
  <c r="ABU13" i="13"/>
  <c r="ABU12" i="13"/>
  <c r="ABU10" i="13"/>
  <c r="ABU9" i="13"/>
  <c r="VX12" i="13"/>
  <c r="VX13" i="13"/>
  <c r="QA12" i="13"/>
  <c r="QA13" i="13"/>
  <c r="TY12" i="13"/>
  <c r="TY13" i="13"/>
  <c r="EG12" i="13"/>
  <c r="EG13" i="13"/>
  <c r="ZV12" i="13"/>
  <c r="ZV13" i="13"/>
  <c r="TY10" i="13"/>
  <c r="TY9" i="13"/>
  <c r="GF9" i="13"/>
  <c r="GF10" i="13"/>
  <c r="IE13" i="13"/>
  <c r="IE12" i="13"/>
  <c r="OB9" i="13"/>
  <c r="OB10" i="13"/>
  <c r="XW9" i="13"/>
  <c r="XW10" i="13"/>
  <c r="EH2" i="13"/>
  <c r="EH3" i="13"/>
  <c r="ABV190" i="13"/>
  <c r="XX164" i="13"/>
  <c r="ZW177" i="13"/>
  <c r="VY151" i="13"/>
  <c r="GG47" i="13"/>
  <c r="QB112" i="13"/>
  <c r="IF60" i="13"/>
  <c r="OC99" i="13"/>
  <c r="KE73" i="13"/>
  <c r="EH39" i="13"/>
  <c r="EH36" i="13"/>
  <c r="MD86" i="13"/>
  <c r="SA125" i="13"/>
  <c r="TZ138" i="13"/>
  <c r="IE10" i="13"/>
  <c r="IE9" i="13"/>
  <c r="OB12" i="13"/>
  <c r="OB13" i="13"/>
  <c r="RZ13" i="13"/>
  <c r="RZ12" i="13"/>
  <c r="GF12" i="13"/>
  <c r="GF13" i="13"/>
  <c r="MC9" i="13"/>
  <c r="MC10" i="13"/>
  <c r="XW12" i="13"/>
  <c r="XW13" i="13"/>
  <c r="KD13" i="13"/>
  <c r="KD12" i="13"/>
  <c r="VX10" i="13"/>
  <c r="VX9" i="13"/>
  <c r="QA10" i="13"/>
  <c r="QA9" i="13"/>
  <c r="ZV9" i="13"/>
  <c r="ZV10" i="13"/>
  <c r="EG10" i="13"/>
  <c r="EG9" i="13"/>
  <c r="RZ10" i="13"/>
  <c r="RZ9" i="13"/>
  <c r="KD9" i="13"/>
  <c r="KD10" i="13"/>
  <c r="MC12" i="13"/>
  <c r="MC13" i="13"/>
  <c r="UF131" i="13"/>
  <c r="SG118" i="13"/>
  <c r="QH105" i="13"/>
  <c r="OI92" i="13"/>
  <c r="MJ79" i="13"/>
  <c r="KK66" i="13"/>
  <c r="IL53" i="13"/>
  <c r="GM40" i="13"/>
  <c r="EN32" i="13"/>
  <c r="EO27" i="13" l="1"/>
  <c r="ACB188" i="13"/>
  <c r="YD162" i="13"/>
  <c r="AAC175" i="13"/>
  <c r="WE149" i="13"/>
  <c r="QB2" i="13"/>
  <c r="QB3" i="13"/>
  <c r="GG2" i="13"/>
  <c r="GG3" i="13"/>
  <c r="MD2" i="13"/>
  <c r="MD3" i="13"/>
  <c r="VY2" i="13"/>
  <c r="VY3" i="13"/>
  <c r="SA2" i="13"/>
  <c r="SA3" i="13"/>
  <c r="EH4" i="13"/>
  <c r="EH5" i="13" s="1"/>
  <c r="ABV192" i="13"/>
  <c r="ABV4" i="13" s="1"/>
  <c r="ZW179" i="13"/>
  <c r="ZW4" i="13" s="1"/>
  <c r="XX166" i="13"/>
  <c r="XX4" i="13" s="1"/>
  <c r="VY153" i="13"/>
  <c r="VY4" i="13" s="1"/>
  <c r="VY5" i="13" s="1"/>
  <c r="OC101" i="13"/>
  <c r="OC4" i="13" s="1"/>
  <c r="GG49" i="13"/>
  <c r="GG4" i="13" s="1"/>
  <c r="TZ140" i="13"/>
  <c r="TZ4" i="13" s="1"/>
  <c r="MD88" i="13"/>
  <c r="MD4" i="13" s="1"/>
  <c r="MD5" i="13" s="1"/>
  <c r="IF62" i="13"/>
  <c r="IF4" i="13" s="1"/>
  <c r="SA127" i="13"/>
  <c r="SA4" i="13" s="1"/>
  <c r="QB114" i="13"/>
  <c r="QB4" i="13" s="1"/>
  <c r="KE75" i="13"/>
  <c r="KE4" i="13" s="1"/>
  <c r="EI33" i="13"/>
  <c r="ZW2" i="13"/>
  <c r="ZW3" i="13"/>
  <c r="TZ2" i="13"/>
  <c r="TZ3" i="13"/>
  <c r="ABV195" i="13"/>
  <c r="ZW182" i="13"/>
  <c r="VY156" i="13"/>
  <c r="XX169" i="13"/>
  <c r="SA130" i="13"/>
  <c r="TZ143" i="13"/>
  <c r="IF65" i="13"/>
  <c r="OC104" i="13"/>
  <c r="QB117" i="13"/>
  <c r="GG52" i="13"/>
  <c r="MD91" i="13"/>
  <c r="KE78" i="13"/>
  <c r="XX2" i="13"/>
  <c r="XX3" i="13"/>
  <c r="KE2" i="13"/>
  <c r="KE3" i="13"/>
  <c r="ABV3" i="13"/>
  <c r="ABV2" i="13"/>
  <c r="OC2" i="13"/>
  <c r="OC3" i="13"/>
  <c r="IF2" i="13"/>
  <c r="IF3" i="13"/>
  <c r="UG131" i="13"/>
  <c r="SH118" i="13"/>
  <c r="QI105" i="13"/>
  <c r="UF136" i="13"/>
  <c r="QH110" i="13"/>
  <c r="SG123" i="13"/>
  <c r="OI97" i="13"/>
  <c r="MJ84" i="13"/>
  <c r="KK71" i="13"/>
  <c r="OJ92" i="13"/>
  <c r="MK79" i="13"/>
  <c r="KL66" i="13"/>
  <c r="IM53" i="13"/>
  <c r="GN40" i="13"/>
  <c r="EP30" i="13"/>
  <c r="EO32" i="13"/>
  <c r="IL58" i="13"/>
  <c r="GM45" i="13"/>
  <c r="QB5" i="13" l="1"/>
  <c r="TZ5" i="13"/>
  <c r="GG5" i="13"/>
  <c r="OC5" i="13"/>
  <c r="KE5" i="13"/>
  <c r="XX5" i="13"/>
  <c r="SA5" i="13"/>
  <c r="ZW5" i="13"/>
  <c r="IF5" i="13"/>
  <c r="ABV5" i="13"/>
  <c r="ACD186" i="13"/>
  <c r="YF160" i="13"/>
  <c r="AAE173" i="13"/>
  <c r="WG147" i="13"/>
  <c r="ACC188" i="13"/>
  <c r="YE162" i="13"/>
  <c r="AAD175" i="13"/>
  <c r="WF149" i="13"/>
  <c r="ACC183" i="13"/>
  <c r="YE157" i="13"/>
  <c r="AAD170" i="13"/>
  <c r="WF144" i="13"/>
  <c r="EI6" i="13"/>
  <c r="ABW189" i="13"/>
  <c r="ABW6" i="13" s="1"/>
  <c r="ZX176" i="13"/>
  <c r="ZX6" i="13" s="1"/>
  <c r="VZ150" i="13"/>
  <c r="VZ6" i="13" s="1"/>
  <c r="XY163" i="13"/>
  <c r="XY6" i="13" s="1"/>
  <c r="ME85" i="13"/>
  <c r="ME6" i="13" s="1"/>
  <c r="UA137" i="13"/>
  <c r="UA6" i="13" s="1"/>
  <c r="GH46" i="13"/>
  <c r="GH6" i="13" s="1"/>
  <c r="EI34" i="13"/>
  <c r="KF72" i="13"/>
  <c r="KF6" i="13" s="1"/>
  <c r="IG59" i="13"/>
  <c r="IG6" i="13" s="1"/>
  <c r="OD98" i="13"/>
  <c r="OD6" i="13" s="1"/>
  <c r="SB124" i="13"/>
  <c r="SB6" i="13" s="1"/>
  <c r="QC111" i="13"/>
  <c r="QC6" i="13" s="1"/>
  <c r="OC8" i="13"/>
  <c r="OC11" i="13"/>
  <c r="OC7" i="13"/>
  <c r="KE7" i="13"/>
  <c r="KE8" i="13"/>
  <c r="KE11" i="13"/>
  <c r="VY7" i="13"/>
  <c r="VY11" i="13"/>
  <c r="VY8" i="13"/>
  <c r="QB8" i="13"/>
  <c r="QB7" i="13"/>
  <c r="QB11" i="13"/>
  <c r="XX8" i="13"/>
  <c r="XX7" i="13"/>
  <c r="XX11" i="13"/>
  <c r="SA7" i="13"/>
  <c r="SA8" i="13"/>
  <c r="SA11" i="13"/>
  <c r="ZW7" i="13"/>
  <c r="ZW8" i="13"/>
  <c r="ZW11" i="13"/>
  <c r="IF7" i="13"/>
  <c r="IF8" i="13"/>
  <c r="IF11" i="13"/>
  <c r="ABV11" i="13"/>
  <c r="ABV7" i="13"/>
  <c r="ABV8" i="13"/>
  <c r="MD8" i="13"/>
  <c r="MD7" i="13"/>
  <c r="MD11" i="13"/>
  <c r="EH8" i="13"/>
  <c r="EH7" i="13"/>
  <c r="EH11" i="13"/>
  <c r="TZ7" i="13"/>
  <c r="TZ8" i="13"/>
  <c r="TZ11" i="13"/>
  <c r="GG7" i="13"/>
  <c r="GG11" i="13"/>
  <c r="GG8" i="13"/>
  <c r="UH134" i="13"/>
  <c r="SI121" i="13"/>
  <c r="QJ108" i="13"/>
  <c r="UG136" i="13"/>
  <c r="SH123" i="13"/>
  <c r="QI110" i="13"/>
  <c r="OK95" i="13"/>
  <c r="ML82" i="13"/>
  <c r="KM69" i="13"/>
  <c r="EP27" i="13"/>
  <c r="IN53" i="13" s="1"/>
  <c r="OJ97" i="13"/>
  <c r="MK84" i="13"/>
  <c r="KL71" i="13"/>
  <c r="IN56" i="13"/>
  <c r="GO43" i="13"/>
  <c r="IM58" i="13"/>
  <c r="GN45" i="13"/>
  <c r="ACD183" i="13" l="1"/>
  <c r="AAE170" i="13"/>
  <c r="YF157" i="13"/>
  <c r="WG144" i="13"/>
  <c r="EH12" i="13"/>
  <c r="EH13" i="13"/>
  <c r="QB10" i="13"/>
  <c r="QB9" i="13"/>
  <c r="OC12" i="13"/>
  <c r="OC13" i="13"/>
  <c r="IF12" i="13"/>
  <c r="IF13" i="13"/>
  <c r="OC10" i="13"/>
  <c r="OC9" i="13"/>
  <c r="SA9" i="13"/>
  <c r="SA10" i="13"/>
  <c r="SA13" i="13"/>
  <c r="SA12" i="13"/>
  <c r="ABV12" i="13"/>
  <c r="ABV13" i="13"/>
  <c r="EH10" i="13"/>
  <c r="EH9" i="13"/>
  <c r="MD12" i="13"/>
  <c r="MD13" i="13"/>
  <c r="XX12" i="13"/>
  <c r="XX13" i="13"/>
  <c r="MD9" i="13"/>
  <c r="MD10" i="13"/>
  <c r="ZW12" i="13"/>
  <c r="ZW13" i="13"/>
  <c r="XX10" i="13"/>
  <c r="XX9" i="13"/>
  <c r="KE9" i="13"/>
  <c r="KE10" i="13"/>
  <c r="VY9" i="13"/>
  <c r="VY10" i="13"/>
  <c r="IF9" i="13"/>
  <c r="IF10" i="13"/>
  <c r="GG12" i="13"/>
  <c r="GG13" i="13"/>
  <c r="KE12" i="13"/>
  <c r="KE13" i="13"/>
  <c r="TZ9" i="13"/>
  <c r="TZ10" i="13"/>
  <c r="ABV9" i="13"/>
  <c r="ABV10" i="13"/>
  <c r="ZW9" i="13"/>
  <c r="ZW10" i="13"/>
  <c r="QB12" i="13"/>
  <c r="QB13" i="13"/>
  <c r="GG9" i="13"/>
  <c r="GG10" i="13"/>
  <c r="VY12" i="13"/>
  <c r="VY13" i="13"/>
  <c r="TZ13" i="13"/>
  <c r="TZ12" i="13"/>
  <c r="EI2" i="13"/>
  <c r="EI3" i="13"/>
  <c r="ABW190" i="13"/>
  <c r="ZX177" i="13"/>
  <c r="VZ151" i="13"/>
  <c r="XY164" i="13"/>
  <c r="IG60" i="13"/>
  <c r="EI39" i="13"/>
  <c r="ME86" i="13"/>
  <c r="UA138" i="13"/>
  <c r="EI36" i="13"/>
  <c r="OD99" i="13"/>
  <c r="QC112" i="13"/>
  <c r="GH47" i="13"/>
  <c r="KF73" i="13"/>
  <c r="SB125" i="13"/>
  <c r="UH131" i="13"/>
  <c r="SI118" i="13"/>
  <c r="QJ105" i="13"/>
  <c r="OK92" i="13"/>
  <c r="ML79" i="13"/>
  <c r="KM66" i="13"/>
  <c r="EP32" i="13"/>
  <c r="GO40" i="13"/>
  <c r="ACD188" i="13" l="1"/>
  <c r="AAE175" i="13"/>
  <c r="YF162" i="13"/>
  <c r="WG149" i="13"/>
  <c r="OD2" i="13"/>
  <c r="OD3" i="13"/>
  <c r="EI4" i="13"/>
  <c r="EI5" i="13" s="1"/>
  <c r="ABW192" i="13"/>
  <c r="ABW4" i="13" s="1"/>
  <c r="ZX179" i="13"/>
  <c r="ZX4" i="13" s="1"/>
  <c r="XY166" i="13"/>
  <c r="XY4" i="13" s="1"/>
  <c r="VZ153" i="13"/>
  <c r="VZ4" i="13" s="1"/>
  <c r="KF75" i="13"/>
  <c r="KF4" i="13" s="1"/>
  <c r="QC114" i="13"/>
  <c r="QC4" i="13" s="1"/>
  <c r="IG62" i="13"/>
  <c r="IG4" i="13" s="1"/>
  <c r="OD101" i="13"/>
  <c r="OD4" i="13" s="1"/>
  <c r="OD5" i="13" s="1"/>
  <c r="UA140" i="13"/>
  <c r="UA4" i="13" s="1"/>
  <c r="GH49" i="13"/>
  <c r="GH4" i="13" s="1"/>
  <c r="SB127" i="13"/>
  <c r="SB4" i="13" s="1"/>
  <c r="ME88" i="13"/>
  <c r="ME4" i="13" s="1"/>
  <c r="EJ33" i="13"/>
  <c r="ABW3" i="13"/>
  <c r="ABW2" i="13"/>
  <c r="ZX3" i="13"/>
  <c r="ZX2" i="13"/>
  <c r="SB2" i="13"/>
  <c r="SB3" i="13"/>
  <c r="KF2" i="13"/>
  <c r="KF3" i="13"/>
  <c r="IG2" i="13"/>
  <c r="IG3" i="13"/>
  <c r="ABW195" i="13"/>
  <c r="ZX182" i="13"/>
  <c r="VZ156" i="13"/>
  <c r="XY169" i="13"/>
  <c r="GH52" i="13"/>
  <c r="OD104" i="13"/>
  <c r="IG65" i="13"/>
  <c r="SB130" i="13"/>
  <c r="KF78" i="13"/>
  <c r="UA143" i="13"/>
  <c r="ME91" i="13"/>
  <c r="QC117" i="13"/>
  <c r="GH2" i="13"/>
  <c r="GH3" i="13"/>
  <c r="XY2" i="13"/>
  <c r="XY3" i="13"/>
  <c r="UA2" i="13"/>
  <c r="UA3" i="13"/>
  <c r="ME2" i="13"/>
  <c r="ME3" i="13"/>
  <c r="QC2" i="13"/>
  <c r="QC3" i="13"/>
  <c r="VZ2" i="13"/>
  <c r="VZ3" i="13"/>
  <c r="UH136" i="13"/>
  <c r="SI123" i="13"/>
  <c r="QJ110" i="13"/>
  <c r="OK97" i="13"/>
  <c r="ML84" i="13"/>
  <c r="KM71" i="13"/>
  <c r="EQ27" i="13"/>
  <c r="IN58" i="13"/>
  <c r="GO45" i="13"/>
  <c r="UA5" i="13" l="1"/>
  <c r="ABW5" i="13"/>
  <c r="ME5" i="13"/>
  <c r="SB5" i="13"/>
  <c r="IG5" i="13"/>
  <c r="QC5" i="13"/>
  <c r="KF5" i="13"/>
  <c r="VZ5" i="13"/>
  <c r="XY5" i="13"/>
  <c r="GH5" i="13"/>
  <c r="ZX5" i="13"/>
  <c r="ACE183" i="13"/>
  <c r="AAF170" i="13"/>
  <c r="YG157" i="13"/>
  <c r="WH144" i="13"/>
  <c r="EJ6" i="13"/>
  <c r="ABX189" i="13"/>
  <c r="ABX6" i="13" s="1"/>
  <c r="ZY176" i="13"/>
  <c r="ZY6" i="13" s="1"/>
  <c r="XZ163" i="13"/>
  <c r="XZ6" i="13" s="1"/>
  <c r="WA150" i="13"/>
  <c r="WA6" i="13" s="1"/>
  <c r="QD111" i="13"/>
  <c r="QD6" i="13" s="1"/>
  <c r="EJ34" i="13"/>
  <c r="UB137" i="13"/>
  <c r="UB6" i="13" s="1"/>
  <c r="OE98" i="13"/>
  <c r="OE6" i="13" s="1"/>
  <c r="GI46" i="13"/>
  <c r="GI6" i="13" s="1"/>
  <c r="IH59" i="13"/>
  <c r="IH6" i="13" s="1"/>
  <c r="MF85" i="13"/>
  <c r="MF6" i="13" s="1"/>
  <c r="KG72" i="13"/>
  <c r="KG6" i="13" s="1"/>
  <c r="SC124" i="13"/>
  <c r="SC6" i="13" s="1"/>
  <c r="KF7" i="13"/>
  <c r="KF11" i="13"/>
  <c r="KF8" i="13"/>
  <c r="ME8" i="13"/>
  <c r="ME7" i="13"/>
  <c r="ME11" i="13"/>
  <c r="VZ7" i="13"/>
  <c r="VZ8" i="13"/>
  <c r="VZ11" i="13"/>
  <c r="SB7" i="13"/>
  <c r="SB8" i="13"/>
  <c r="SB11" i="13"/>
  <c r="XY11" i="13"/>
  <c r="XY7" i="13"/>
  <c r="XY8" i="13"/>
  <c r="GH7" i="13"/>
  <c r="GH8" i="13"/>
  <c r="GH11" i="13"/>
  <c r="ZX7" i="13"/>
  <c r="ZX8" i="13"/>
  <c r="ZX11" i="13"/>
  <c r="UA7" i="13"/>
  <c r="UA8" i="13"/>
  <c r="UA11" i="13"/>
  <c r="ABW8" i="13"/>
  <c r="ABW7" i="13"/>
  <c r="ABW11" i="13"/>
  <c r="OD7" i="13"/>
  <c r="OD8" i="13"/>
  <c r="OD11" i="13"/>
  <c r="EI7" i="13"/>
  <c r="EI8" i="13"/>
  <c r="EI11" i="13"/>
  <c r="IG11" i="13"/>
  <c r="IG7" i="13"/>
  <c r="IG8" i="13"/>
  <c r="QC7" i="13"/>
  <c r="QC11" i="13"/>
  <c r="QC8" i="13"/>
  <c r="UI131" i="13"/>
  <c r="SJ118" i="13"/>
  <c r="QK105" i="13"/>
  <c r="OL92" i="13"/>
  <c r="MM79" i="13"/>
  <c r="KN66" i="13"/>
  <c r="EQ32" i="13"/>
  <c r="IO53" i="13"/>
  <c r="ER30" i="13"/>
  <c r="GP40" i="13"/>
  <c r="ACE188" i="13" l="1"/>
  <c r="AAF175" i="13"/>
  <c r="YG162" i="13"/>
  <c r="WH149" i="13"/>
  <c r="ACF186" i="13"/>
  <c r="AAG173" i="13"/>
  <c r="YH160" i="13"/>
  <c r="WI147" i="13"/>
  <c r="EI13" i="13"/>
  <c r="EI12" i="13"/>
  <c r="EI9" i="13"/>
  <c r="EI10" i="13"/>
  <c r="UA12" i="13"/>
  <c r="UA13" i="13"/>
  <c r="GH10" i="13"/>
  <c r="GH9" i="13"/>
  <c r="VZ13" i="13"/>
  <c r="VZ12" i="13"/>
  <c r="EJ2" i="13"/>
  <c r="EJ3" i="13"/>
  <c r="ABX190" i="13"/>
  <c r="ZY177" i="13"/>
  <c r="XZ164" i="13"/>
  <c r="WA151" i="13"/>
  <c r="EJ39" i="13"/>
  <c r="OE99" i="13"/>
  <c r="MF86" i="13"/>
  <c r="GI47" i="13"/>
  <c r="UB138" i="13"/>
  <c r="KG73" i="13"/>
  <c r="IH60" i="13"/>
  <c r="SC125" i="13"/>
  <c r="EJ36" i="13"/>
  <c r="QD112" i="13"/>
  <c r="GH12" i="13"/>
  <c r="GH13" i="13"/>
  <c r="KF12" i="13"/>
  <c r="KF13" i="13"/>
  <c r="QC12" i="13"/>
  <c r="QC13" i="13"/>
  <c r="ZX12" i="13"/>
  <c r="ZX13" i="13"/>
  <c r="XY12" i="13"/>
  <c r="XY13" i="13"/>
  <c r="QC9" i="13"/>
  <c r="QC10" i="13"/>
  <c r="UA10" i="13"/>
  <c r="UA9" i="13"/>
  <c r="OD9" i="13"/>
  <c r="OD10" i="13"/>
  <c r="ME12" i="13"/>
  <c r="ME13" i="13"/>
  <c r="IG10" i="13"/>
  <c r="IG9" i="13"/>
  <c r="ABW12" i="13"/>
  <c r="ABW13" i="13"/>
  <c r="ZX9" i="13"/>
  <c r="ZX10" i="13"/>
  <c r="SB13" i="13"/>
  <c r="SB12" i="13"/>
  <c r="ME9" i="13"/>
  <c r="ME10" i="13"/>
  <c r="ABW9" i="13"/>
  <c r="ABW10" i="13"/>
  <c r="VZ9" i="13"/>
  <c r="VZ10" i="13"/>
  <c r="OD12" i="13"/>
  <c r="OD13" i="13"/>
  <c r="XY9" i="13"/>
  <c r="XY10" i="13"/>
  <c r="IG12" i="13"/>
  <c r="IG13" i="13"/>
  <c r="SB9" i="13"/>
  <c r="SB10" i="13"/>
  <c r="KF10" i="13"/>
  <c r="KF9" i="13"/>
  <c r="UJ134" i="13"/>
  <c r="SK121" i="13"/>
  <c r="QL108" i="13"/>
  <c r="UI136" i="13"/>
  <c r="SJ123" i="13"/>
  <c r="QK110" i="13"/>
  <c r="OM95" i="13"/>
  <c r="MN82" i="13"/>
  <c r="KO69" i="13"/>
  <c r="IP56" i="13"/>
  <c r="GQ43" i="13"/>
  <c r="ER27" i="13"/>
  <c r="OL97" i="13"/>
  <c r="MM84" i="13"/>
  <c r="KN71" i="13"/>
  <c r="IO58" i="13"/>
  <c r="GP45" i="13"/>
  <c r="ACF183" i="13" l="1"/>
  <c r="AAG170" i="13"/>
  <c r="YH157" i="13"/>
  <c r="WI144" i="13"/>
  <c r="SC2" i="13"/>
  <c r="SC3" i="13"/>
  <c r="WA2" i="13"/>
  <c r="WA3" i="13"/>
  <c r="IH2" i="13"/>
  <c r="IH3" i="13"/>
  <c r="XZ2" i="13"/>
  <c r="XZ3" i="13"/>
  <c r="KG2" i="13"/>
  <c r="KG3" i="13"/>
  <c r="ZY2" i="13"/>
  <c r="ZY3" i="13"/>
  <c r="UB2" i="13"/>
  <c r="UB3" i="13"/>
  <c r="ABX2" i="13"/>
  <c r="ABX3" i="13"/>
  <c r="GI2" i="13"/>
  <c r="GI3" i="13"/>
  <c r="MF2" i="13"/>
  <c r="MF3" i="13"/>
  <c r="QD2" i="13"/>
  <c r="QD3" i="13"/>
  <c r="OE2" i="13"/>
  <c r="OE3" i="13"/>
  <c r="EJ4" i="13"/>
  <c r="EJ5" i="13" s="1"/>
  <c r="ABX192" i="13"/>
  <c r="ABX4" i="13" s="1"/>
  <c r="ABX5" i="13" s="1"/>
  <c r="ZY179" i="13"/>
  <c r="ZY4" i="13" s="1"/>
  <c r="ZY5" i="13" s="1"/>
  <c r="WA153" i="13"/>
  <c r="WA4" i="13" s="1"/>
  <c r="WA5" i="13" s="1"/>
  <c r="XZ166" i="13"/>
  <c r="XZ4" i="13" s="1"/>
  <c r="XZ5" i="13" s="1"/>
  <c r="OE101" i="13"/>
  <c r="OE4" i="13" s="1"/>
  <c r="GI49" i="13"/>
  <c r="GI4" i="13" s="1"/>
  <c r="MF88" i="13"/>
  <c r="MF4" i="13" s="1"/>
  <c r="UB140" i="13"/>
  <c r="UB4" i="13" s="1"/>
  <c r="UB5" i="13" s="1"/>
  <c r="IH62" i="13"/>
  <c r="IH4" i="13" s="1"/>
  <c r="IH5" i="13" s="1"/>
  <c r="SC127" i="13"/>
  <c r="SC4" i="13" s="1"/>
  <c r="SC5" i="13" s="1"/>
  <c r="KG75" i="13"/>
  <c r="KG4" i="13" s="1"/>
  <c r="KG5" i="13" s="1"/>
  <c r="QD114" i="13"/>
  <c r="QD4" i="13" s="1"/>
  <c r="QD5" i="13" s="1"/>
  <c r="EK33" i="13"/>
  <c r="ABX195" i="13"/>
  <c r="ZY182" i="13"/>
  <c r="WA156" i="13"/>
  <c r="XZ169" i="13"/>
  <c r="SC130" i="13"/>
  <c r="MF91" i="13"/>
  <c r="IH65" i="13"/>
  <c r="OE104" i="13"/>
  <c r="UB143" i="13"/>
  <c r="QD117" i="13"/>
  <c r="KG78" i="13"/>
  <c r="GI52" i="13"/>
  <c r="UJ131" i="13"/>
  <c r="SK118" i="13"/>
  <c r="QL105" i="13"/>
  <c r="OM92" i="13"/>
  <c r="MN79" i="13"/>
  <c r="KO66" i="13"/>
  <c r="GQ40" i="13"/>
  <c r="ER32" i="13"/>
  <c r="IP53" i="13"/>
  <c r="OE5" i="13" l="1"/>
  <c r="MF5" i="13"/>
  <c r="GI5" i="13"/>
  <c r="ACF188" i="13"/>
  <c r="AAG175" i="13"/>
  <c r="YH162" i="13"/>
  <c r="WI149" i="13"/>
  <c r="MF7" i="13"/>
  <c r="MF8" i="13"/>
  <c r="MF11" i="13"/>
  <c r="GI7" i="13"/>
  <c r="GI8" i="13"/>
  <c r="GI11" i="13"/>
  <c r="XZ7" i="13"/>
  <c r="XZ8" i="13"/>
  <c r="XZ11" i="13"/>
  <c r="KG8" i="13"/>
  <c r="KG7" i="13"/>
  <c r="KG11" i="13"/>
  <c r="WA8" i="13"/>
  <c r="WA7" i="13"/>
  <c r="WA11" i="13"/>
  <c r="EK6" i="13"/>
  <c r="ABY189" i="13"/>
  <c r="ABY6" i="13" s="1"/>
  <c r="YA163" i="13"/>
  <c r="YA6" i="13" s="1"/>
  <c r="ZZ176" i="13"/>
  <c r="ZZ6" i="13" s="1"/>
  <c r="WB150" i="13"/>
  <c r="WB6" i="13" s="1"/>
  <c r="EK34" i="13"/>
  <c r="QE111" i="13"/>
  <c r="QE6" i="13" s="1"/>
  <c r="KH72" i="13"/>
  <c r="KH6" i="13" s="1"/>
  <c r="UC137" i="13"/>
  <c r="UC6" i="13" s="1"/>
  <c r="MG85" i="13"/>
  <c r="MG6" i="13" s="1"/>
  <c r="SD124" i="13"/>
  <c r="SD6" i="13" s="1"/>
  <c r="OF98" i="13"/>
  <c r="OF6" i="13" s="1"/>
  <c r="GJ46" i="13"/>
  <c r="GJ6" i="13" s="1"/>
  <c r="II59" i="13"/>
  <c r="II6" i="13" s="1"/>
  <c r="SC8" i="13"/>
  <c r="SC11" i="13"/>
  <c r="SC7" i="13"/>
  <c r="ZY8" i="13"/>
  <c r="ZY7" i="13"/>
  <c r="ZY11" i="13"/>
  <c r="OE8" i="13"/>
  <c r="OE7" i="13"/>
  <c r="OE11" i="13"/>
  <c r="IH7" i="13"/>
  <c r="IH8" i="13"/>
  <c r="IH11" i="13"/>
  <c r="ABX8" i="13"/>
  <c r="ABX7" i="13"/>
  <c r="ABX11" i="13"/>
  <c r="QD7" i="13"/>
  <c r="QD8" i="13"/>
  <c r="QD11" i="13"/>
  <c r="UB7" i="13"/>
  <c r="UB11" i="13"/>
  <c r="UB8" i="13"/>
  <c r="EJ7" i="13"/>
  <c r="EJ8" i="13"/>
  <c r="EJ11" i="13"/>
  <c r="UJ136" i="13"/>
  <c r="SK123" i="13"/>
  <c r="QL110" i="13"/>
  <c r="ES27" i="13"/>
  <c r="OM97" i="13"/>
  <c r="MN84" i="13"/>
  <c r="KO71" i="13"/>
  <c r="IP58" i="13"/>
  <c r="GQ45" i="13"/>
  <c r="ON92" i="13" l="1"/>
  <c r="ACG183" i="13"/>
  <c r="AAH170" i="13"/>
  <c r="YI157" i="13"/>
  <c r="WJ144" i="13"/>
  <c r="XZ9" i="13"/>
  <c r="XZ10" i="13"/>
  <c r="WA12" i="13"/>
  <c r="WA13" i="13"/>
  <c r="GI12" i="13"/>
  <c r="GI13" i="13"/>
  <c r="SC13" i="13"/>
  <c r="SC12" i="13"/>
  <c r="EK2" i="13"/>
  <c r="EK3" i="13"/>
  <c r="ABY190" i="13"/>
  <c r="ZZ177" i="13"/>
  <c r="YA164" i="13"/>
  <c r="WB151" i="13"/>
  <c r="UC138" i="13"/>
  <c r="KH73" i="13"/>
  <c r="QE112" i="13"/>
  <c r="OF99" i="13"/>
  <c r="GJ47" i="13"/>
  <c r="EK39" i="13"/>
  <c r="SD125" i="13"/>
  <c r="II60" i="13"/>
  <c r="MG86" i="13"/>
  <c r="EK36" i="13"/>
  <c r="WA9" i="13"/>
  <c r="WA10" i="13"/>
  <c r="GI9" i="13"/>
  <c r="GI10" i="13"/>
  <c r="EJ12" i="13"/>
  <c r="EJ13" i="13"/>
  <c r="OE9" i="13"/>
  <c r="OE10" i="13"/>
  <c r="KG12" i="13"/>
  <c r="KG13" i="13"/>
  <c r="SC10" i="13"/>
  <c r="SC9" i="13"/>
  <c r="ABX12" i="13"/>
  <c r="ABX13" i="13"/>
  <c r="UB10" i="13"/>
  <c r="UB9" i="13"/>
  <c r="ABX9" i="13"/>
  <c r="ABX10" i="13"/>
  <c r="ZY13" i="13"/>
  <c r="ZY12" i="13"/>
  <c r="MF12" i="13"/>
  <c r="MF13" i="13"/>
  <c r="QD12" i="13"/>
  <c r="QD13" i="13"/>
  <c r="QD9" i="13"/>
  <c r="QD10" i="13"/>
  <c r="EJ10" i="13"/>
  <c r="EJ9" i="13"/>
  <c r="UB13" i="13"/>
  <c r="UB12" i="13"/>
  <c r="IH12" i="13"/>
  <c r="IH13" i="13"/>
  <c r="KG9" i="13"/>
  <c r="KG10" i="13"/>
  <c r="MF10" i="13"/>
  <c r="MF9" i="13"/>
  <c r="OE13" i="13"/>
  <c r="OE12" i="13"/>
  <c r="IH10" i="13"/>
  <c r="IH9" i="13"/>
  <c r="ZY9" i="13"/>
  <c r="ZY10" i="13"/>
  <c r="XZ12" i="13"/>
  <c r="XZ13" i="13"/>
  <c r="UK131" i="13"/>
  <c r="SL118" i="13"/>
  <c r="QM105" i="13"/>
  <c r="ES32" i="13"/>
  <c r="IQ53" i="13"/>
  <c r="KP66" i="13"/>
  <c r="GR40" i="13"/>
  <c r="MO79" i="13"/>
  <c r="MO84" i="13" l="1"/>
  <c r="AAH175" i="13"/>
  <c r="ACG188" i="13"/>
  <c r="WJ149" i="13"/>
  <c r="YI162" i="13"/>
  <c r="EK4" i="13"/>
  <c r="EK5" i="13" s="1"/>
  <c r="ABY192" i="13"/>
  <c r="ABY4" i="13" s="1"/>
  <c r="ZZ179" i="13"/>
  <c r="ZZ4" i="13" s="1"/>
  <c r="YA166" i="13"/>
  <c r="YA4" i="13" s="1"/>
  <c r="WB153" i="13"/>
  <c r="WB4" i="13" s="1"/>
  <c r="OF101" i="13"/>
  <c r="OF4" i="13" s="1"/>
  <c r="GJ49" i="13"/>
  <c r="GJ4" i="13" s="1"/>
  <c r="QE114" i="13"/>
  <c r="QE4" i="13" s="1"/>
  <c r="UC140" i="13"/>
  <c r="UC4" i="13" s="1"/>
  <c r="II62" i="13"/>
  <c r="II4" i="13" s="1"/>
  <c r="II5" i="13" s="1"/>
  <c r="MG88" i="13"/>
  <c r="MG4" i="13" s="1"/>
  <c r="KH75" i="13"/>
  <c r="KH4" i="13" s="1"/>
  <c r="SD127" i="13"/>
  <c r="SD4" i="13" s="1"/>
  <c r="EL33" i="13"/>
  <c r="KH2" i="13"/>
  <c r="KH3" i="13"/>
  <c r="MG2" i="13"/>
  <c r="MG3" i="13"/>
  <c r="UC2" i="13"/>
  <c r="UC3" i="13"/>
  <c r="II2" i="13"/>
  <c r="II3" i="13"/>
  <c r="WB2" i="13"/>
  <c r="WB3" i="13"/>
  <c r="SD3" i="13"/>
  <c r="SD2" i="13"/>
  <c r="YA2" i="13"/>
  <c r="YA3" i="13"/>
  <c r="ABY195" i="13"/>
  <c r="ZZ182" i="13"/>
  <c r="YA169" i="13"/>
  <c r="WB156" i="13"/>
  <c r="QE117" i="13"/>
  <c r="KH78" i="13"/>
  <c r="II65" i="13"/>
  <c r="SD130" i="13"/>
  <c r="MG91" i="13"/>
  <c r="UC143" i="13"/>
  <c r="OF104" i="13"/>
  <c r="GJ52" i="13"/>
  <c r="ZZ3" i="13"/>
  <c r="ZZ2" i="13"/>
  <c r="GJ2" i="13"/>
  <c r="GJ3" i="13"/>
  <c r="ABY3" i="13"/>
  <c r="ABY2" i="13"/>
  <c r="OF3" i="13"/>
  <c r="OF2" i="13"/>
  <c r="QE2" i="13"/>
  <c r="QE3" i="13"/>
  <c r="UK136" i="13"/>
  <c r="SL123" i="13"/>
  <c r="QM110" i="13"/>
  <c r="ON97" i="13"/>
  <c r="GR45" i="13"/>
  <c r="ET27" i="13"/>
  <c r="IQ58" i="13"/>
  <c r="KP71" i="13"/>
  <c r="MG5" i="13" l="1"/>
  <c r="ZZ5" i="13"/>
  <c r="ABY5" i="13"/>
  <c r="UC5" i="13"/>
  <c r="QE5" i="13"/>
  <c r="GJ5" i="13"/>
  <c r="OF5" i="13"/>
  <c r="SD5" i="13"/>
  <c r="WB5" i="13"/>
  <c r="KH5" i="13"/>
  <c r="YA5" i="13"/>
  <c r="OO92" i="13"/>
  <c r="ACH183" i="13"/>
  <c r="AAI170" i="13"/>
  <c r="YJ157" i="13"/>
  <c r="WK144" i="13"/>
  <c r="QE7" i="13"/>
  <c r="QE8" i="13"/>
  <c r="QE11" i="13"/>
  <c r="GJ7" i="13"/>
  <c r="GJ8" i="13"/>
  <c r="GJ11" i="13"/>
  <c r="EL6" i="13"/>
  <c r="ABZ189" i="13"/>
  <c r="ABZ6" i="13" s="1"/>
  <c r="AAA176" i="13"/>
  <c r="AAA6" i="13" s="1"/>
  <c r="WC150" i="13"/>
  <c r="WC6" i="13" s="1"/>
  <c r="YB163" i="13"/>
  <c r="YB6" i="13" s="1"/>
  <c r="OG98" i="13"/>
  <c r="OG6" i="13" s="1"/>
  <c r="GK46" i="13"/>
  <c r="GK6" i="13" s="1"/>
  <c r="UD137" i="13"/>
  <c r="UD6" i="13" s="1"/>
  <c r="KI72" i="13"/>
  <c r="KI6" i="13" s="1"/>
  <c r="SE124" i="13"/>
  <c r="SE6" i="13" s="1"/>
  <c r="QF111" i="13"/>
  <c r="QF6" i="13" s="1"/>
  <c r="MH85" i="13"/>
  <c r="MH6" i="13" s="1"/>
  <c r="IJ59" i="13"/>
  <c r="IJ6" i="13" s="1"/>
  <c r="EL34" i="13"/>
  <c r="OF7" i="13"/>
  <c r="OF8" i="13"/>
  <c r="OF11" i="13"/>
  <c r="SD7" i="13"/>
  <c r="SD8" i="13"/>
  <c r="SD11" i="13"/>
  <c r="WB7" i="13"/>
  <c r="WB8" i="13"/>
  <c r="WB11" i="13"/>
  <c r="KH7" i="13"/>
  <c r="KH8" i="13"/>
  <c r="KH11" i="13"/>
  <c r="YA7" i="13"/>
  <c r="YA8" i="13"/>
  <c r="YA11" i="13"/>
  <c r="MG7" i="13"/>
  <c r="MG8" i="13"/>
  <c r="MG11" i="13"/>
  <c r="ZZ11" i="13"/>
  <c r="ZZ7" i="13"/>
  <c r="ZZ8" i="13"/>
  <c r="II8" i="13"/>
  <c r="II7" i="13"/>
  <c r="II11" i="13"/>
  <c r="ABY8" i="13"/>
  <c r="ABY7" i="13"/>
  <c r="ABY11" i="13"/>
  <c r="UC8" i="13"/>
  <c r="UC7" i="13"/>
  <c r="UC11" i="13"/>
  <c r="EK8" i="13"/>
  <c r="EK7" i="13"/>
  <c r="EK11" i="13"/>
  <c r="KQ66" i="13"/>
  <c r="MP79" i="13"/>
  <c r="UL131" i="13"/>
  <c r="SM118" i="13"/>
  <c r="QN105" i="13"/>
  <c r="GS40" i="13"/>
  <c r="ET32" i="13"/>
  <c r="IR53" i="13"/>
  <c r="MP84" i="13" l="1"/>
  <c r="ACH188" i="13"/>
  <c r="AAI175" i="13"/>
  <c r="YJ162" i="13"/>
  <c r="WK149" i="13"/>
  <c r="ZZ12" i="13"/>
  <c r="ZZ13" i="13"/>
  <c r="GJ12" i="13"/>
  <c r="GJ13" i="13"/>
  <c r="GJ10" i="13"/>
  <c r="GJ9" i="13"/>
  <c r="OF9" i="13"/>
  <c r="OF10" i="13"/>
  <c r="WB10" i="13"/>
  <c r="WB9" i="13"/>
  <c r="EL3" i="13"/>
  <c r="EL2" i="13"/>
  <c r="ABZ190" i="13"/>
  <c r="AAA177" i="13"/>
  <c r="YB164" i="13"/>
  <c r="WC151" i="13"/>
  <c r="MH86" i="13"/>
  <c r="UD138" i="13"/>
  <c r="KI73" i="13"/>
  <c r="IJ60" i="13"/>
  <c r="EL39" i="13"/>
  <c r="EL36" i="13"/>
  <c r="GK47" i="13"/>
  <c r="OG99" i="13"/>
  <c r="SE125" i="13"/>
  <c r="QF112" i="13"/>
  <c r="KH9" i="13"/>
  <c r="KH10" i="13"/>
  <c r="EK12" i="13"/>
  <c r="EK13" i="13"/>
  <c r="YA13" i="13"/>
  <c r="YA12" i="13"/>
  <c r="QE12" i="13"/>
  <c r="QE13" i="13"/>
  <c r="ABY13" i="13"/>
  <c r="ABY12" i="13"/>
  <c r="OF13" i="13"/>
  <c r="OF12" i="13"/>
  <c r="ABY10" i="13"/>
  <c r="ABY9" i="13"/>
  <c r="WB12" i="13"/>
  <c r="WB13" i="13"/>
  <c r="EK9" i="13"/>
  <c r="EK10" i="13"/>
  <c r="UC13" i="13"/>
  <c r="UC12" i="13"/>
  <c r="ZZ10" i="13"/>
  <c r="ZZ9" i="13"/>
  <c r="YA10" i="13"/>
  <c r="YA9" i="13"/>
  <c r="SD12" i="13"/>
  <c r="SD13" i="13"/>
  <c r="QE9" i="13"/>
  <c r="QE10" i="13"/>
  <c r="KH12" i="13"/>
  <c r="KH13" i="13"/>
  <c r="MG12" i="13"/>
  <c r="MG13" i="13"/>
  <c r="MG10" i="13"/>
  <c r="MG9" i="13"/>
  <c r="II12" i="13"/>
  <c r="II13" i="13"/>
  <c r="II10" i="13"/>
  <c r="II9" i="13"/>
  <c r="UC10" i="13"/>
  <c r="UC9" i="13"/>
  <c r="SD9" i="13"/>
  <c r="SD10" i="13"/>
  <c r="UL136" i="13"/>
  <c r="SM123" i="13"/>
  <c r="QN110" i="13"/>
  <c r="GS45" i="13"/>
  <c r="IR58" i="13"/>
  <c r="KQ71" i="13"/>
  <c r="OO97" i="13"/>
  <c r="EU27" i="13"/>
  <c r="OP92" i="13" l="1"/>
  <c r="AAJ170" i="13"/>
  <c r="ACI183" i="13"/>
  <c r="YK157" i="13"/>
  <c r="WL144" i="13"/>
  <c r="OG2" i="13"/>
  <c r="OG3" i="13"/>
  <c r="WC2" i="13"/>
  <c r="WC3" i="13"/>
  <c r="GK2" i="13"/>
  <c r="GK3" i="13"/>
  <c r="YB2" i="13"/>
  <c r="YB3" i="13"/>
  <c r="EL4" i="13"/>
  <c r="EL5" i="13" s="1"/>
  <c r="YB166" i="13"/>
  <c r="YB4" i="13" s="1"/>
  <c r="YB5" i="13" s="1"/>
  <c r="ABZ192" i="13"/>
  <c r="ABZ4" i="13" s="1"/>
  <c r="ABZ5" i="13" s="1"/>
  <c r="AAA179" i="13"/>
  <c r="AAA4" i="13" s="1"/>
  <c r="WC153" i="13"/>
  <c r="WC4" i="13" s="1"/>
  <c r="UD140" i="13"/>
  <c r="UD4" i="13" s="1"/>
  <c r="OG101" i="13"/>
  <c r="OG4" i="13" s="1"/>
  <c r="GK49" i="13"/>
  <c r="GK4" i="13" s="1"/>
  <c r="GK5" i="13" s="1"/>
  <c r="SE127" i="13"/>
  <c r="SE4" i="13" s="1"/>
  <c r="MH88" i="13"/>
  <c r="MH4" i="13" s="1"/>
  <c r="IJ62" i="13"/>
  <c r="IJ4" i="13" s="1"/>
  <c r="IJ5" i="13" s="1"/>
  <c r="QF114" i="13"/>
  <c r="QF4" i="13" s="1"/>
  <c r="KI75" i="13"/>
  <c r="KI4" i="13" s="1"/>
  <c r="EM33" i="13"/>
  <c r="AAA3" i="13"/>
  <c r="AAA2" i="13"/>
  <c r="ABZ195" i="13"/>
  <c r="AAA182" i="13"/>
  <c r="YB169" i="13"/>
  <c r="WC156" i="13"/>
  <c r="UD143" i="13"/>
  <c r="OG104" i="13"/>
  <c r="MH91" i="13"/>
  <c r="GK52" i="13"/>
  <c r="QF117" i="13"/>
  <c r="KI78" i="13"/>
  <c r="IJ65" i="13"/>
  <c r="SE130" i="13"/>
  <c r="ABZ3" i="13"/>
  <c r="ABZ2" i="13"/>
  <c r="IJ2" i="13"/>
  <c r="IJ3" i="13"/>
  <c r="KI2" i="13"/>
  <c r="KI3" i="13"/>
  <c r="QF2" i="13"/>
  <c r="QF3" i="13"/>
  <c r="UD2" i="13"/>
  <c r="UD3" i="13"/>
  <c r="SE3" i="13"/>
  <c r="SE2" i="13"/>
  <c r="MH2" i="13"/>
  <c r="MH3" i="13"/>
  <c r="MQ79" i="13"/>
  <c r="UM131" i="13"/>
  <c r="SN118" i="13"/>
  <c r="QO105" i="13"/>
  <c r="IS53" i="13"/>
  <c r="GT40" i="13"/>
  <c r="EU32" i="13"/>
  <c r="KR66" i="13"/>
  <c r="OG5" i="13" l="1"/>
  <c r="MH5" i="13"/>
  <c r="SE5" i="13"/>
  <c r="UD5" i="13"/>
  <c r="KI5" i="13"/>
  <c r="WC5" i="13"/>
  <c r="QF5" i="13"/>
  <c r="AAA5" i="13"/>
  <c r="EV27" i="13"/>
  <c r="IT53" i="13" s="1"/>
  <c r="ACI188" i="13"/>
  <c r="AAJ175" i="13"/>
  <c r="YK162" i="13"/>
  <c r="WL149" i="13"/>
  <c r="GK7" i="13"/>
  <c r="GK8" i="13"/>
  <c r="GK11" i="13"/>
  <c r="OG7" i="13"/>
  <c r="OG8" i="13"/>
  <c r="OG11" i="13"/>
  <c r="EM6" i="13"/>
  <c r="ACA189" i="13"/>
  <c r="ACA6" i="13" s="1"/>
  <c r="AAB176" i="13"/>
  <c r="AAB6" i="13" s="1"/>
  <c r="YC163" i="13"/>
  <c r="YC6" i="13" s="1"/>
  <c r="WD150" i="13"/>
  <c r="WD6" i="13" s="1"/>
  <c r="UE137" i="13"/>
  <c r="UE6" i="13" s="1"/>
  <c r="SF124" i="13"/>
  <c r="SF6" i="13" s="1"/>
  <c r="QG111" i="13"/>
  <c r="QG6" i="13" s="1"/>
  <c r="OH98" i="13"/>
  <c r="OH6" i="13" s="1"/>
  <c r="MI85" i="13"/>
  <c r="MI6" i="13" s="1"/>
  <c r="GL46" i="13"/>
  <c r="GL6" i="13" s="1"/>
  <c r="KJ72" i="13"/>
  <c r="KJ6" i="13" s="1"/>
  <c r="IK59" i="13"/>
  <c r="IK6" i="13" s="1"/>
  <c r="EM34" i="13"/>
  <c r="UD7" i="13"/>
  <c r="UD8" i="13"/>
  <c r="UD11" i="13"/>
  <c r="KI7" i="13"/>
  <c r="KI8" i="13"/>
  <c r="KI11" i="13"/>
  <c r="WC7" i="13"/>
  <c r="WC8" i="13"/>
  <c r="WC11" i="13"/>
  <c r="QF7" i="13"/>
  <c r="QF8" i="13"/>
  <c r="QF11" i="13"/>
  <c r="AAA8" i="13"/>
  <c r="AAA7" i="13"/>
  <c r="AAA11" i="13"/>
  <c r="IJ11" i="13"/>
  <c r="IJ7" i="13"/>
  <c r="IJ8" i="13"/>
  <c r="ABZ8" i="13"/>
  <c r="ABZ7" i="13"/>
  <c r="ABZ11" i="13"/>
  <c r="MH7" i="13"/>
  <c r="MH8" i="13"/>
  <c r="MH11" i="13"/>
  <c r="YB7" i="13"/>
  <c r="YB8" i="13"/>
  <c r="YB11" i="13"/>
  <c r="SE8" i="13"/>
  <c r="SE7" i="13"/>
  <c r="SE11" i="13"/>
  <c r="EL8" i="13"/>
  <c r="EL7" i="13"/>
  <c r="EL11" i="13"/>
  <c r="GT45" i="13"/>
  <c r="UN131" i="13"/>
  <c r="SO118" i="13"/>
  <c r="QP105" i="13"/>
  <c r="IS58" i="13"/>
  <c r="MQ84" i="13"/>
  <c r="KR71" i="13"/>
  <c r="OP97" i="13"/>
  <c r="UM136" i="13"/>
  <c r="SN123" i="13"/>
  <c r="QO110" i="13"/>
  <c r="OQ92" i="13"/>
  <c r="MR79" i="13"/>
  <c r="KS66" i="13"/>
  <c r="EV32" i="13"/>
  <c r="EW30" i="13"/>
  <c r="GU40" i="13"/>
  <c r="ACK186" i="13" l="1"/>
  <c r="YM160" i="13"/>
  <c r="AAL173" i="13"/>
  <c r="WN147" i="13"/>
  <c r="ACJ188" i="13"/>
  <c r="AAK175" i="13"/>
  <c r="YL162" i="13"/>
  <c r="WM149" i="13"/>
  <c r="ACJ183" i="13"/>
  <c r="AAK170" i="13"/>
  <c r="YL157" i="13"/>
  <c r="WM144" i="13"/>
  <c r="OG12" i="13"/>
  <c r="OG13" i="13"/>
  <c r="ABZ9" i="13"/>
  <c r="ABZ10" i="13"/>
  <c r="UD12" i="13"/>
  <c r="UD13" i="13"/>
  <c r="MH12" i="13"/>
  <c r="MH13" i="13"/>
  <c r="OG10" i="13"/>
  <c r="OG9" i="13"/>
  <c r="QF12" i="13"/>
  <c r="QF13" i="13"/>
  <c r="UD9" i="13"/>
  <c r="UD10" i="13"/>
  <c r="WC9" i="13"/>
  <c r="WC10" i="13"/>
  <c r="EM2" i="13"/>
  <c r="EM3" i="13"/>
  <c r="AAB177" i="13"/>
  <c r="ACA190" i="13"/>
  <c r="YC164" i="13"/>
  <c r="WD151" i="13"/>
  <c r="MI86" i="13"/>
  <c r="KJ73" i="13"/>
  <c r="IK60" i="13"/>
  <c r="GL47" i="13"/>
  <c r="UE138" i="13"/>
  <c r="EM36" i="13"/>
  <c r="EM39" i="13"/>
  <c r="QG112" i="13"/>
  <c r="OH99" i="13"/>
  <c r="SF125" i="13"/>
  <c r="QF10" i="13"/>
  <c r="QF9" i="13"/>
  <c r="AAA12" i="13"/>
  <c r="AAA13" i="13"/>
  <c r="GK12" i="13"/>
  <c r="GK13" i="13"/>
  <c r="YB9" i="13"/>
  <c r="YB10" i="13"/>
  <c r="EL12" i="13"/>
  <c r="EL13" i="13"/>
  <c r="IJ12" i="13"/>
  <c r="IJ13" i="13"/>
  <c r="EL9" i="13"/>
  <c r="EL10" i="13"/>
  <c r="ABZ12" i="13"/>
  <c r="ABZ13" i="13"/>
  <c r="KI12" i="13"/>
  <c r="KI13" i="13"/>
  <c r="GK10" i="13"/>
  <c r="GK9" i="13"/>
  <c r="YB13" i="13"/>
  <c r="YB12" i="13"/>
  <c r="IJ10" i="13"/>
  <c r="IJ9" i="13"/>
  <c r="WC12" i="13"/>
  <c r="WC13" i="13"/>
  <c r="MH10" i="13"/>
  <c r="MH9" i="13"/>
  <c r="SE12" i="13"/>
  <c r="SE13" i="13"/>
  <c r="SE10" i="13"/>
  <c r="SE9" i="13"/>
  <c r="AAA10" i="13"/>
  <c r="AAA9" i="13"/>
  <c r="KI9" i="13"/>
  <c r="KI10" i="13"/>
  <c r="SO123" i="13"/>
  <c r="UN136" i="13"/>
  <c r="QP110" i="13"/>
  <c r="UO134" i="13"/>
  <c r="SP121" i="13"/>
  <c r="QQ108" i="13"/>
  <c r="EW27" i="13"/>
  <c r="OR95" i="13"/>
  <c r="MS82" i="13"/>
  <c r="KT69" i="13"/>
  <c r="IU56" i="13"/>
  <c r="GV43" i="13"/>
  <c r="OQ97" i="13"/>
  <c r="MR84" i="13"/>
  <c r="KS71" i="13"/>
  <c r="IT58" i="13"/>
  <c r="GU45" i="13"/>
  <c r="MS79" i="13" l="1"/>
  <c r="ACK183" i="13"/>
  <c r="AAL170" i="13"/>
  <c r="YM157" i="13"/>
  <c r="WN144" i="13"/>
  <c r="SF3" i="13"/>
  <c r="SF2" i="13"/>
  <c r="KJ3" i="13"/>
  <c r="KJ2" i="13"/>
  <c r="QG2" i="13"/>
  <c r="QG3" i="13"/>
  <c r="WD3" i="13"/>
  <c r="WD2" i="13"/>
  <c r="MI2" i="13"/>
  <c r="MI3" i="13"/>
  <c r="YC169" i="13"/>
  <c r="ACA195" i="13"/>
  <c r="AAB182" i="13"/>
  <c r="WD156" i="13"/>
  <c r="OH104" i="13"/>
  <c r="MI91" i="13"/>
  <c r="SF130" i="13"/>
  <c r="KJ78" i="13"/>
  <c r="QG117" i="13"/>
  <c r="IK65" i="13"/>
  <c r="UE143" i="13"/>
  <c r="GL52" i="13"/>
  <c r="YC2" i="13"/>
  <c r="YC3" i="13"/>
  <c r="EM4" i="13"/>
  <c r="EM5" i="13" s="1"/>
  <c r="ACA192" i="13"/>
  <c r="ACA4" i="13" s="1"/>
  <c r="ACA5" i="13" s="1"/>
  <c r="YC166" i="13"/>
  <c r="YC4" i="13" s="1"/>
  <c r="YC5" i="13" s="1"/>
  <c r="AAB179" i="13"/>
  <c r="AAB4" i="13" s="1"/>
  <c r="WD153" i="13"/>
  <c r="WD4" i="13" s="1"/>
  <c r="GL49" i="13"/>
  <c r="GL4" i="13" s="1"/>
  <c r="UE140" i="13"/>
  <c r="UE4" i="13" s="1"/>
  <c r="KJ75" i="13"/>
  <c r="KJ4" i="13" s="1"/>
  <c r="KJ5" i="13" s="1"/>
  <c r="IK62" i="13"/>
  <c r="IK4" i="13" s="1"/>
  <c r="QG114" i="13"/>
  <c r="QG4" i="13" s="1"/>
  <c r="QG5" i="13" s="1"/>
  <c r="SF127" i="13"/>
  <c r="SF4" i="13" s="1"/>
  <c r="SF5" i="13" s="1"/>
  <c r="OH101" i="13"/>
  <c r="OH4" i="13" s="1"/>
  <c r="MI88" i="13"/>
  <c r="MI4" i="13" s="1"/>
  <c r="EN33" i="13"/>
  <c r="ACA2" i="13"/>
  <c r="ACA3" i="13"/>
  <c r="UE2" i="13"/>
  <c r="UE3" i="13"/>
  <c r="AAB2" i="13"/>
  <c r="AAB3" i="13"/>
  <c r="GL3" i="13"/>
  <c r="GL2" i="13"/>
  <c r="OH2" i="13"/>
  <c r="OH3" i="13"/>
  <c r="IK2" i="13"/>
  <c r="IK3" i="13"/>
  <c r="EW32" i="13"/>
  <c r="GV40" i="13"/>
  <c r="IU53" i="13"/>
  <c r="KT66" i="13"/>
  <c r="UO131" i="13"/>
  <c r="SP118" i="13"/>
  <c r="QQ105" i="13"/>
  <c r="OR92" i="13"/>
  <c r="MI5" i="13" l="1"/>
  <c r="IK5" i="13"/>
  <c r="UE5" i="13"/>
  <c r="GL5" i="13"/>
  <c r="WD5" i="13"/>
  <c r="OH5" i="13"/>
  <c r="AAB5" i="13"/>
  <c r="EX27" i="13"/>
  <c r="ACK188" i="13"/>
  <c r="AAL175" i="13"/>
  <c r="YM162" i="13"/>
  <c r="WN149" i="13"/>
  <c r="SP123" i="13"/>
  <c r="QQ110" i="13"/>
  <c r="IU58" i="13"/>
  <c r="KT71" i="13"/>
  <c r="UO136" i="13"/>
  <c r="MS84" i="13"/>
  <c r="OR97" i="13"/>
  <c r="GV45" i="13"/>
  <c r="KJ7" i="13"/>
  <c r="KJ8" i="13"/>
  <c r="KJ11" i="13"/>
  <c r="GL7" i="13"/>
  <c r="GL8" i="13"/>
  <c r="GL11" i="13"/>
  <c r="MI7" i="13"/>
  <c r="MI8" i="13"/>
  <c r="MI11" i="13"/>
  <c r="WD7" i="13"/>
  <c r="WD8" i="13"/>
  <c r="WD11" i="13"/>
  <c r="UE7" i="13"/>
  <c r="UE8" i="13"/>
  <c r="UE11" i="13"/>
  <c r="OH8" i="13"/>
  <c r="OH7" i="13"/>
  <c r="OH11" i="13"/>
  <c r="AAB8" i="13"/>
  <c r="AAB7" i="13"/>
  <c r="AAB11" i="13"/>
  <c r="SF7" i="13"/>
  <c r="SF8" i="13"/>
  <c r="SF11" i="13"/>
  <c r="YC7" i="13"/>
  <c r="YC8" i="13"/>
  <c r="YC11" i="13"/>
  <c r="EN6" i="13"/>
  <c r="ACB189" i="13"/>
  <c r="ACB6" i="13" s="1"/>
  <c r="YD163" i="13"/>
  <c r="YD6" i="13" s="1"/>
  <c r="AAC176" i="13"/>
  <c r="AAC6" i="13" s="1"/>
  <c r="WE150" i="13"/>
  <c r="WE6" i="13" s="1"/>
  <c r="EN34" i="13"/>
  <c r="UF137" i="13"/>
  <c r="UF6" i="13" s="1"/>
  <c r="QH111" i="13"/>
  <c r="QH6" i="13" s="1"/>
  <c r="IL59" i="13"/>
  <c r="IL6" i="13" s="1"/>
  <c r="OI98" i="13"/>
  <c r="OI6" i="13" s="1"/>
  <c r="SG124" i="13"/>
  <c r="SG6" i="13" s="1"/>
  <c r="MJ85" i="13"/>
  <c r="MJ6" i="13" s="1"/>
  <c r="KK72" i="13"/>
  <c r="KK6" i="13" s="1"/>
  <c r="GM46" i="13"/>
  <c r="GM6" i="13" s="1"/>
  <c r="QG7" i="13"/>
  <c r="QG8" i="13"/>
  <c r="QG11" i="13"/>
  <c r="ACA8" i="13"/>
  <c r="ACA7" i="13"/>
  <c r="ACA11" i="13"/>
  <c r="IK7" i="13"/>
  <c r="IK8" i="13"/>
  <c r="IK11" i="13"/>
  <c r="EM7" i="13"/>
  <c r="EM11" i="13"/>
  <c r="EM8" i="13"/>
  <c r="EY30" i="13" l="1"/>
  <c r="F16" i="13" s="1"/>
  <c r="ACL183" i="13"/>
  <c r="AAM170" i="13"/>
  <c r="YN157" i="13"/>
  <c r="WO144" i="13"/>
  <c r="EX32" i="13"/>
  <c r="EY27" i="13" s="1"/>
  <c r="IV53" i="13"/>
  <c r="SQ118" i="13"/>
  <c r="QR105" i="13"/>
  <c r="OS92" i="13"/>
  <c r="GW40" i="13"/>
  <c r="UP131" i="13"/>
  <c r="KU66" i="13"/>
  <c r="MT79" i="13"/>
  <c r="SF10" i="13"/>
  <c r="SF9" i="13"/>
  <c r="UE13" i="13"/>
  <c r="UE12" i="13"/>
  <c r="UE10" i="13"/>
  <c r="UE9" i="13"/>
  <c r="GL12" i="13"/>
  <c r="GL13" i="13"/>
  <c r="AAB12" i="13"/>
  <c r="AAB13" i="13"/>
  <c r="GL10" i="13"/>
  <c r="GL9" i="13"/>
  <c r="WD13" i="13"/>
  <c r="WD12" i="13"/>
  <c r="YC12" i="13"/>
  <c r="YC13" i="13"/>
  <c r="AAB9" i="13"/>
  <c r="AAB10" i="13"/>
  <c r="WD9" i="13"/>
  <c r="WD10" i="13"/>
  <c r="KJ12" i="13"/>
  <c r="KJ13" i="13"/>
  <c r="IK12" i="13"/>
  <c r="IK13" i="13"/>
  <c r="YC10" i="13"/>
  <c r="YC9" i="13"/>
  <c r="OH13" i="13"/>
  <c r="OH12" i="13"/>
  <c r="KJ10" i="13"/>
  <c r="KJ9" i="13"/>
  <c r="ACA13" i="13"/>
  <c r="ACA12" i="13"/>
  <c r="ACA9" i="13"/>
  <c r="ACA10" i="13"/>
  <c r="QG12" i="13"/>
  <c r="QG13" i="13"/>
  <c r="QG9" i="13"/>
  <c r="QG10" i="13"/>
  <c r="IK9" i="13"/>
  <c r="IK10" i="13"/>
  <c r="EN2" i="13"/>
  <c r="EN3" i="13"/>
  <c r="AAC177" i="13"/>
  <c r="YD164" i="13"/>
  <c r="WE151" i="13"/>
  <c r="ACB190" i="13"/>
  <c r="SG125" i="13"/>
  <c r="MJ86" i="13"/>
  <c r="QH112" i="13"/>
  <c r="IL60" i="13"/>
  <c r="KK73" i="13"/>
  <c r="EN36" i="13"/>
  <c r="UF138" i="13"/>
  <c r="GM47" i="13"/>
  <c r="OI99" i="13"/>
  <c r="EN39" i="13"/>
  <c r="MI13" i="13"/>
  <c r="MI12" i="13"/>
  <c r="EM10" i="13"/>
  <c r="EM9" i="13"/>
  <c r="EM12" i="13"/>
  <c r="EM13" i="13"/>
  <c r="SF12" i="13"/>
  <c r="SF13" i="13"/>
  <c r="OH9" i="13"/>
  <c r="OH10" i="13"/>
  <c r="MI10" i="13"/>
  <c r="MI9" i="13"/>
  <c r="AAM175" i="13" l="1"/>
  <c r="ACL188" i="13"/>
  <c r="YN162" i="13"/>
  <c r="WO149" i="13"/>
  <c r="MT84" i="13"/>
  <c r="GW45" i="13"/>
  <c r="IV58" i="13"/>
  <c r="KU71" i="13"/>
  <c r="SQ123" i="13"/>
  <c r="QR110" i="13"/>
  <c r="UP136" i="13"/>
  <c r="OS97" i="13"/>
  <c r="ACM186" i="13"/>
  <c r="AAN173" i="13"/>
  <c r="YO160" i="13"/>
  <c r="WP147" i="13"/>
  <c r="GX43" i="13"/>
  <c r="KV69" i="13"/>
  <c r="IW56" i="13"/>
  <c r="QS108" i="13"/>
  <c r="MU82" i="13"/>
  <c r="UQ134" i="13"/>
  <c r="SR121" i="13"/>
  <c r="OT95" i="13"/>
  <c r="OI2" i="13"/>
  <c r="OI3" i="13"/>
  <c r="WE2" i="13"/>
  <c r="WE3" i="13"/>
  <c r="EN4" i="13"/>
  <c r="EN5" i="13" s="1"/>
  <c r="AAC179" i="13"/>
  <c r="AAC4" i="13" s="1"/>
  <c r="WE153" i="13"/>
  <c r="WE4" i="13" s="1"/>
  <c r="WE5" i="13" s="1"/>
  <c r="YD166" i="13"/>
  <c r="YD4" i="13" s="1"/>
  <c r="YD5" i="13" s="1"/>
  <c r="ACB192" i="13"/>
  <c r="ACB4" i="13" s="1"/>
  <c r="KK75" i="13"/>
  <c r="KK4" i="13" s="1"/>
  <c r="UF140" i="13"/>
  <c r="UF4" i="13" s="1"/>
  <c r="MJ88" i="13"/>
  <c r="MJ4" i="13" s="1"/>
  <c r="QH114" i="13"/>
  <c r="QH4" i="13" s="1"/>
  <c r="GM49" i="13"/>
  <c r="GM4" i="13" s="1"/>
  <c r="IL62" i="13"/>
  <c r="IL4" i="13" s="1"/>
  <c r="IL5" i="13" s="1"/>
  <c r="SG127" i="13"/>
  <c r="SG4" i="13" s="1"/>
  <c r="OI101" i="13"/>
  <c r="OI4" i="13" s="1"/>
  <c r="OI5" i="13" s="1"/>
  <c r="EO33" i="13"/>
  <c r="YD2" i="13"/>
  <c r="YD3" i="13"/>
  <c r="GM2" i="13"/>
  <c r="GM3" i="13"/>
  <c r="UF2" i="13"/>
  <c r="UF3" i="13"/>
  <c r="KK3" i="13"/>
  <c r="KK2" i="13"/>
  <c r="AAC2" i="13"/>
  <c r="AAC3" i="13"/>
  <c r="MJ2" i="13"/>
  <c r="MJ3" i="13"/>
  <c r="ACB3" i="13"/>
  <c r="ACB2" i="13"/>
  <c r="IL2" i="13"/>
  <c r="IL3" i="13"/>
  <c r="AAC182" i="13"/>
  <c r="YD169" i="13"/>
  <c r="WE156" i="13"/>
  <c r="ACB195" i="13"/>
  <c r="OI104" i="13"/>
  <c r="GM52" i="13"/>
  <c r="MJ91" i="13"/>
  <c r="IL65" i="13"/>
  <c r="KK78" i="13"/>
  <c r="UF143" i="13"/>
  <c r="QH117" i="13"/>
  <c r="SG130" i="13"/>
  <c r="SG2" i="13"/>
  <c r="SG3" i="13"/>
  <c r="QH2" i="13"/>
  <c r="QH3" i="13"/>
  <c r="SG5" i="13" l="1"/>
  <c r="GM5" i="13"/>
  <c r="AAC5" i="13"/>
  <c r="QH5" i="13"/>
  <c r="MJ5" i="13"/>
  <c r="UF5" i="13"/>
  <c r="KK5" i="13"/>
  <c r="ACB5" i="13"/>
  <c r="AAN170" i="13"/>
  <c r="ACM183" i="13"/>
  <c r="YO157" i="13"/>
  <c r="WP144" i="13"/>
  <c r="IW53" i="13"/>
  <c r="OT92" i="13"/>
  <c r="KV66" i="13"/>
  <c r="MU79" i="13"/>
  <c r="EY32" i="13"/>
  <c r="GX40" i="13"/>
  <c r="UQ131" i="13"/>
  <c r="SR118" i="13"/>
  <c r="QS105" i="13"/>
  <c r="SG7" i="13"/>
  <c r="SG8" i="13"/>
  <c r="SG11" i="13"/>
  <c r="YD8" i="13"/>
  <c r="YD7" i="13"/>
  <c r="YD11" i="13"/>
  <c r="IL7" i="13"/>
  <c r="IL8" i="13"/>
  <c r="IL11" i="13"/>
  <c r="WE7" i="13"/>
  <c r="WE8" i="13"/>
  <c r="WE11" i="13"/>
  <c r="GM7" i="13"/>
  <c r="GM11" i="13"/>
  <c r="GM8" i="13"/>
  <c r="AAC8" i="13"/>
  <c r="AAC11" i="13"/>
  <c r="AAC7" i="13"/>
  <c r="QH7" i="13"/>
  <c r="QH8" i="13"/>
  <c r="QH11" i="13"/>
  <c r="EN7" i="13"/>
  <c r="EN8" i="13"/>
  <c r="EN11" i="13"/>
  <c r="MJ8" i="13"/>
  <c r="MJ7" i="13"/>
  <c r="MJ11" i="13"/>
  <c r="UF7" i="13"/>
  <c r="UF8" i="13"/>
  <c r="UF11" i="13"/>
  <c r="EO6" i="13"/>
  <c r="ACC189" i="13"/>
  <c r="ACC6" i="13" s="1"/>
  <c r="WF150" i="13"/>
  <c r="WF6" i="13" s="1"/>
  <c r="AAD176" i="13"/>
  <c r="AAD6" i="13" s="1"/>
  <c r="YE163" i="13"/>
  <c r="YE6" i="13" s="1"/>
  <c r="GN46" i="13"/>
  <c r="GN6" i="13" s="1"/>
  <c r="OJ98" i="13"/>
  <c r="OJ6" i="13" s="1"/>
  <c r="MK85" i="13"/>
  <c r="MK6" i="13" s="1"/>
  <c r="UG137" i="13"/>
  <c r="UG6" i="13" s="1"/>
  <c r="SH124" i="13"/>
  <c r="SH6" i="13" s="1"/>
  <c r="IM59" i="13"/>
  <c r="IM6" i="13" s="1"/>
  <c r="KL72" i="13"/>
  <c r="KL6" i="13" s="1"/>
  <c r="QI111" i="13"/>
  <c r="QI6" i="13" s="1"/>
  <c r="EO34" i="13"/>
  <c r="KK7" i="13"/>
  <c r="KK8" i="13"/>
  <c r="KK11" i="13"/>
  <c r="OI7" i="13"/>
  <c r="OI8" i="13"/>
  <c r="OI11" i="13"/>
  <c r="ACB7" i="13"/>
  <c r="ACB8" i="13"/>
  <c r="ACB11" i="13"/>
  <c r="AAN175" i="13" l="1"/>
  <c r="ACM188" i="13"/>
  <c r="YO162" i="13"/>
  <c r="WP149" i="13"/>
  <c r="OT97" i="13"/>
  <c r="MU84" i="13"/>
  <c r="UQ136" i="13"/>
  <c r="QS110" i="13"/>
  <c r="KV71" i="13"/>
  <c r="GX45" i="13"/>
  <c r="IW58" i="13"/>
  <c r="SR123" i="13"/>
  <c r="EN12" i="13"/>
  <c r="EN13" i="13"/>
  <c r="AAC9" i="13"/>
  <c r="AAC10" i="13"/>
  <c r="IL10" i="13"/>
  <c r="IL9" i="13"/>
  <c r="UF12" i="13"/>
  <c r="UF13" i="13"/>
  <c r="GM12" i="13"/>
  <c r="GM13" i="13"/>
  <c r="YD12" i="13"/>
  <c r="YD13" i="13"/>
  <c r="KK13" i="13"/>
  <c r="KK12" i="13"/>
  <c r="GM9" i="13"/>
  <c r="GM10" i="13"/>
  <c r="UF10" i="13"/>
  <c r="UF9" i="13"/>
  <c r="QH12" i="13"/>
  <c r="QH13" i="13"/>
  <c r="QH9" i="13"/>
  <c r="QH10" i="13"/>
  <c r="WE13" i="13"/>
  <c r="WE12" i="13"/>
  <c r="YD9" i="13"/>
  <c r="YD10" i="13"/>
  <c r="EN9" i="13"/>
  <c r="EN10" i="13"/>
  <c r="KK10" i="13"/>
  <c r="KK9" i="13"/>
  <c r="ACB9" i="13"/>
  <c r="ACB10" i="13"/>
  <c r="MJ13" i="13"/>
  <c r="MJ12" i="13"/>
  <c r="WE9" i="13"/>
  <c r="WE10" i="13"/>
  <c r="SG12" i="13"/>
  <c r="SG13" i="13"/>
  <c r="SG9" i="13"/>
  <c r="SG10" i="13"/>
  <c r="ACB12" i="13"/>
  <c r="ACB13" i="13"/>
  <c r="EO2" i="13"/>
  <c r="EO3" i="13"/>
  <c r="AAD177" i="13"/>
  <c r="ACC190" i="13"/>
  <c r="YE164" i="13"/>
  <c r="WF151" i="13"/>
  <c r="EO36" i="13"/>
  <c r="SH125" i="13"/>
  <c r="GN47" i="13"/>
  <c r="IM60" i="13"/>
  <c r="KL73" i="13"/>
  <c r="OJ99" i="13"/>
  <c r="MK86" i="13"/>
  <c r="EO39" i="13"/>
  <c r="UG138" i="13"/>
  <c r="QI112" i="13"/>
  <c r="OI12" i="13"/>
  <c r="OI13" i="13"/>
  <c r="OI9" i="13"/>
  <c r="OI10" i="13"/>
  <c r="MJ9" i="13"/>
  <c r="MJ10" i="13"/>
  <c r="AAC12" i="13"/>
  <c r="AAC13" i="13"/>
  <c r="IL12" i="13"/>
  <c r="IL13" i="13"/>
  <c r="ACC195" i="13" l="1"/>
  <c r="WF156" i="13"/>
  <c r="AAD182" i="13"/>
  <c r="YE169" i="13"/>
  <c r="GN52" i="13"/>
  <c r="KL78" i="13"/>
  <c r="IM65" i="13"/>
  <c r="MK91" i="13"/>
  <c r="OJ104" i="13"/>
  <c r="UG143" i="13"/>
  <c r="QI117" i="13"/>
  <c r="SH130" i="13"/>
  <c r="WF2" i="13"/>
  <c r="WF3" i="13"/>
  <c r="YE2" i="13"/>
  <c r="YE3" i="13"/>
  <c r="ACC2" i="13"/>
  <c r="ACC3" i="13"/>
  <c r="MK2" i="13"/>
  <c r="MK3" i="13"/>
  <c r="KL2" i="13"/>
  <c r="KL3" i="13"/>
  <c r="IM2" i="13"/>
  <c r="IM3" i="13"/>
  <c r="GN3" i="13"/>
  <c r="GN2" i="13"/>
  <c r="QI2" i="13"/>
  <c r="QI3" i="13"/>
  <c r="SH2" i="13"/>
  <c r="SH3" i="13"/>
  <c r="OJ2" i="13"/>
  <c r="OJ3" i="13"/>
  <c r="AAD2" i="13"/>
  <c r="AAD3" i="13"/>
  <c r="UG2" i="13"/>
  <c r="UG3" i="13"/>
  <c r="EO4" i="13"/>
  <c r="EO5" i="13" s="1"/>
  <c r="AAD179" i="13"/>
  <c r="AAD4" i="13" s="1"/>
  <c r="AAD5" i="13" s="1"/>
  <c r="YE166" i="13"/>
  <c r="YE4" i="13" s="1"/>
  <c r="YE5" i="13" s="1"/>
  <c r="ACC192" i="13"/>
  <c r="ACC4" i="13" s="1"/>
  <c r="ACC5" i="13" s="1"/>
  <c r="WF153" i="13"/>
  <c r="WF4" i="13" s="1"/>
  <c r="OJ101" i="13"/>
  <c r="OJ4" i="13" s="1"/>
  <c r="MK88" i="13"/>
  <c r="MK4" i="13" s="1"/>
  <c r="MK5" i="13" s="1"/>
  <c r="QI114" i="13"/>
  <c r="QI4" i="13" s="1"/>
  <c r="QI5" i="13" s="1"/>
  <c r="UG140" i="13"/>
  <c r="UG4" i="13" s="1"/>
  <c r="UG5" i="13" s="1"/>
  <c r="KL75" i="13"/>
  <c r="KL4" i="13" s="1"/>
  <c r="KL5" i="13" s="1"/>
  <c r="EP33" i="13"/>
  <c r="SH127" i="13"/>
  <c r="SH4" i="13" s="1"/>
  <c r="SH5" i="13" s="1"/>
  <c r="IM62" i="13"/>
  <c r="IM4" i="13" s="1"/>
  <c r="GN49" i="13"/>
  <c r="GN4" i="13" s="1"/>
  <c r="GN5" i="13" s="1"/>
  <c r="WF5" i="13" l="1"/>
  <c r="OJ5" i="13"/>
  <c r="IM5" i="13"/>
  <c r="SH7" i="13"/>
  <c r="SH11" i="13"/>
  <c r="SH8" i="13"/>
  <c r="KL8" i="13"/>
  <c r="KL7" i="13"/>
  <c r="KL11" i="13"/>
  <c r="ACC11" i="13"/>
  <c r="ACC8" i="13"/>
  <c r="ACC7" i="13"/>
  <c r="QI7" i="13"/>
  <c r="QI11" i="13"/>
  <c r="QI8" i="13"/>
  <c r="YE7" i="13"/>
  <c r="YE8" i="13"/>
  <c r="YE11" i="13"/>
  <c r="EO8" i="13"/>
  <c r="EO11" i="13"/>
  <c r="EO7" i="13"/>
  <c r="MK7" i="13"/>
  <c r="MK8" i="13"/>
  <c r="MK11" i="13"/>
  <c r="EP6" i="13"/>
  <c r="ACD189" i="13"/>
  <c r="ACD6" i="13" s="1"/>
  <c r="AAE176" i="13"/>
  <c r="AAE6" i="13" s="1"/>
  <c r="YF163" i="13"/>
  <c r="YF6" i="13" s="1"/>
  <c r="WG150" i="13"/>
  <c r="WG6" i="13" s="1"/>
  <c r="OK98" i="13"/>
  <c r="OK6" i="13" s="1"/>
  <c r="ML85" i="13"/>
  <c r="ML6" i="13" s="1"/>
  <c r="KM72" i="13"/>
  <c r="KM6" i="13" s="1"/>
  <c r="EP34" i="13"/>
  <c r="GO46" i="13"/>
  <c r="GO6" i="13" s="1"/>
  <c r="IN59" i="13"/>
  <c r="IN6" i="13" s="1"/>
  <c r="UH137" i="13"/>
  <c r="UH6" i="13" s="1"/>
  <c r="SI124" i="13"/>
  <c r="SI6" i="13" s="1"/>
  <c r="QJ111" i="13"/>
  <c r="QJ6" i="13" s="1"/>
  <c r="AAD8" i="13"/>
  <c r="AAD11" i="13"/>
  <c r="AAD7" i="13"/>
  <c r="GN8" i="13"/>
  <c r="GN7" i="13"/>
  <c r="GN11" i="13"/>
  <c r="OJ7" i="13"/>
  <c r="OJ8" i="13"/>
  <c r="OJ11" i="13"/>
  <c r="UG7" i="13"/>
  <c r="UG11" i="13"/>
  <c r="UG8" i="13"/>
  <c r="IM7" i="13"/>
  <c r="IM8" i="13"/>
  <c r="IM11" i="13"/>
  <c r="WF8" i="13"/>
  <c r="WF7" i="13"/>
  <c r="WF11" i="13"/>
  <c r="YE13" i="13" l="1"/>
  <c r="YE12" i="13"/>
  <c r="ACC12" i="13"/>
  <c r="ACC13" i="13"/>
  <c r="EP2" i="13"/>
  <c r="EP3" i="13"/>
  <c r="ACD190" i="13"/>
  <c r="AAE177" i="13"/>
  <c r="YF164" i="13"/>
  <c r="WG151" i="13"/>
  <c r="ML86" i="13"/>
  <c r="QJ112" i="13"/>
  <c r="OK99" i="13"/>
  <c r="KM73" i="13"/>
  <c r="IN60" i="13"/>
  <c r="UH138" i="13"/>
  <c r="GO47" i="13"/>
  <c r="EP39" i="13"/>
  <c r="EP36" i="13"/>
  <c r="SI125" i="13"/>
  <c r="YE10" i="13"/>
  <c r="YE9" i="13"/>
  <c r="KL13" i="13"/>
  <c r="KL12" i="13"/>
  <c r="MK12" i="13"/>
  <c r="MK13" i="13"/>
  <c r="MK9" i="13"/>
  <c r="MK10" i="13"/>
  <c r="QI9" i="13"/>
  <c r="QI10" i="13"/>
  <c r="KL9" i="13"/>
  <c r="KL10" i="13"/>
  <c r="AAD13" i="13"/>
  <c r="AAD12" i="13"/>
  <c r="QI12" i="13"/>
  <c r="QI13" i="13"/>
  <c r="SH9" i="13"/>
  <c r="SH10" i="13"/>
  <c r="UG10" i="13"/>
  <c r="UG9" i="13"/>
  <c r="SH12" i="13"/>
  <c r="SH13" i="13"/>
  <c r="GN9" i="13"/>
  <c r="GN10" i="13"/>
  <c r="UG12" i="13"/>
  <c r="UG13" i="13"/>
  <c r="OJ13" i="13"/>
  <c r="OJ12" i="13"/>
  <c r="OJ10" i="13"/>
  <c r="OJ9" i="13"/>
  <c r="IM9" i="13"/>
  <c r="IM10" i="13"/>
  <c r="GN12" i="13"/>
  <c r="GN13" i="13"/>
  <c r="EO12" i="13"/>
  <c r="EO13" i="13"/>
  <c r="WF13" i="13"/>
  <c r="WF12" i="13"/>
  <c r="AAD9" i="13"/>
  <c r="AAD10" i="13"/>
  <c r="WF10" i="13"/>
  <c r="WF9" i="13"/>
  <c r="IM12" i="13"/>
  <c r="IM13" i="13"/>
  <c r="EO9" i="13"/>
  <c r="EO10" i="13"/>
  <c r="ACC10" i="13"/>
  <c r="ACC9" i="13"/>
  <c r="UH2" i="13" l="1"/>
  <c r="UH3" i="13"/>
  <c r="AAE2" i="13"/>
  <c r="AAE3" i="13"/>
  <c r="IN2" i="13"/>
  <c r="IN3" i="13"/>
  <c r="ACD2" i="13"/>
  <c r="ACD3" i="13"/>
  <c r="KM2" i="13"/>
  <c r="KM3" i="13"/>
  <c r="OK2" i="13"/>
  <c r="OK3" i="13"/>
  <c r="SI2" i="13"/>
  <c r="SI3" i="13"/>
  <c r="QJ3" i="13"/>
  <c r="QJ2" i="13"/>
  <c r="EP4" i="13"/>
  <c r="EP5" i="13" s="1"/>
  <c r="ACD192" i="13"/>
  <c r="ACD4" i="13" s="1"/>
  <c r="AAE179" i="13"/>
  <c r="AAE4" i="13" s="1"/>
  <c r="AAE5" i="13" s="1"/>
  <c r="YF166" i="13"/>
  <c r="YF4" i="13" s="1"/>
  <c r="YF5" i="13" s="1"/>
  <c r="WG153" i="13"/>
  <c r="WG4" i="13" s="1"/>
  <c r="ML88" i="13"/>
  <c r="ML4" i="13" s="1"/>
  <c r="UH140" i="13"/>
  <c r="UH4" i="13" s="1"/>
  <c r="UH5" i="13" s="1"/>
  <c r="QJ114" i="13"/>
  <c r="QJ4" i="13" s="1"/>
  <c r="QJ5" i="13" s="1"/>
  <c r="OK101" i="13"/>
  <c r="OK4" i="13" s="1"/>
  <c r="KM75" i="13"/>
  <c r="KM4" i="13" s="1"/>
  <c r="KM5" i="13" s="1"/>
  <c r="SI127" i="13"/>
  <c r="SI4" i="13" s="1"/>
  <c r="GO49" i="13"/>
  <c r="GO4" i="13" s="1"/>
  <c r="IN62" i="13"/>
  <c r="IN4" i="13" s="1"/>
  <c r="IN5" i="13" s="1"/>
  <c r="EQ33" i="13"/>
  <c r="ML2" i="13"/>
  <c r="ML3" i="13"/>
  <c r="ACD195" i="13"/>
  <c r="AAE182" i="13"/>
  <c r="YF169" i="13"/>
  <c r="WG156" i="13"/>
  <c r="OK104" i="13"/>
  <c r="GO52" i="13"/>
  <c r="ML91" i="13"/>
  <c r="SI130" i="13"/>
  <c r="IN65" i="13"/>
  <c r="QJ117" i="13"/>
  <c r="KM78" i="13"/>
  <c r="UH143" i="13"/>
  <c r="WG2" i="13"/>
  <c r="WG3" i="13"/>
  <c r="GO2" i="13"/>
  <c r="GO3" i="13"/>
  <c r="YF2" i="13"/>
  <c r="YF3" i="13"/>
  <c r="OK5" i="13" l="1"/>
  <c r="SI5" i="13"/>
  <c r="ML5" i="13"/>
  <c r="WG5" i="13"/>
  <c r="GO5" i="13"/>
  <c r="ACD5" i="13"/>
  <c r="QJ7" i="13"/>
  <c r="QJ11" i="13"/>
  <c r="QJ8" i="13"/>
  <c r="WG7" i="13"/>
  <c r="WG8" i="13"/>
  <c r="WG11" i="13"/>
  <c r="EQ6" i="13"/>
  <c r="ACE189" i="13"/>
  <c r="ACE6" i="13" s="1"/>
  <c r="AAF176" i="13"/>
  <c r="AAF6" i="13" s="1"/>
  <c r="WH150" i="13"/>
  <c r="WH6" i="13" s="1"/>
  <c r="YG163" i="13"/>
  <c r="YG6" i="13" s="1"/>
  <c r="QK111" i="13"/>
  <c r="QK6" i="13" s="1"/>
  <c r="MM85" i="13"/>
  <c r="MM6" i="13" s="1"/>
  <c r="OL98" i="13"/>
  <c r="OL6" i="13" s="1"/>
  <c r="GP46" i="13"/>
  <c r="GP6" i="13" s="1"/>
  <c r="IO59" i="13"/>
  <c r="IO6" i="13" s="1"/>
  <c r="KN72" i="13"/>
  <c r="KN6" i="13" s="1"/>
  <c r="UI137" i="13"/>
  <c r="UI6" i="13" s="1"/>
  <c r="EQ34" i="13"/>
  <c r="SJ124" i="13"/>
  <c r="SJ6" i="13" s="1"/>
  <c r="GO8" i="13"/>
  <c r="GO7" i="13"/>
  <c r="GO11" i="13"/>
  <c r="YF7" i="13"/>
  <c r="YF8" i="13"/>
  <c r="YF11" i="13"/>
  <c r="UH8" i="13"/>
  <c r="UH7" i="13"/>
  <c r="UH11" i="13"/>
  <c r="SI7" i="13"/>
  <c r="SI8" i="13"/>
  <c r="SI11" i="13"/>
  <c r="AAE7" i="13"/>
  <c r="AAE8" i="13"/>
  <c r="AAE11" i="13"/>
  <c r="IN7" i="13"/>
  <c r="IN8" i="13"/>
  <c r="IN11" i="13"/>
  <c r="KM11" i="13"/>
  <c r="KM8" i="13"/>
  <c r="KM7" i="13"/>
  <c r="ACD8" i="13"/>
  <c r="ACD11" i="13"/>
  <c r="ACD7" i="13"/>
  <c r="ML7" i="13"/>
  <c r="ML8" i="13"/>
  <c r="ML11" i="13"/>
  <c r="OK7" i="13"/>
  <c r="OK8" i="13"/>
  <c r="OK11" i="13"/>
  <c r="EP7" i="13"/>
  <c r="EP8" i="13"/>
  <c r="EP11" i="13"/>
  <c r="KM12" i="13" l="1"/>
  <c r="KM13" i="13"/>
  <c r="ML10" i="13"/>
  <c r="ML9" i="13"/>
  <c r="ML12" i="13"/>
  <c r="ML13" i="13"/>
  <c r="WG12" i="13"/>
  <c r="WG13" i="13"/>
  <c r="GO10" i="13"/>
  <c r="GO9" i="13"/>
  <c r="WG9" i="13"/>
  <c r="WG10" i="13"/>
  <c r="IN12" i="13"/>
  <c r="IN13" i="13"/>
  <c r="GO12" i="13"/>
  <c r="GO13" i="13"/>
  <c r="IN9" i="13"/>
  <c r="IN10" i="13"/>
  <c r="UH13" i="13"/>
  <c r="UH12" i="13"/>
  <c r="ACD12" i="13"/>
  <c r="ACD13" i="13"/>
  <c r="OK13" i="13"/>
  <c r="OK12" i="13"/>
  <c r="ACD10" i="13"/>
  <c r="ACD9" i="13"/>
  <c r="AAE9" i="13"/>
  <c r="AAE10" i="13"/>
  <c r="UH9" i="13"/>
  <c r="UH10" i="13"/>
  <c r="EQ2" i="13"/>
  <c r="EQ3" i="13"/>
  <c r="ACE190" i="13"/>
  <c r="AAF177" i="13"/>
  <c r="YG164" i="13"/>
  <c r="WH151" i="13"/>
  <c r="MM86" i="13"/>
  <c r="GP47" i="13"/>
  <c r="EQ39" i="13"/>
  <c r="KN73" i="13"/>
  <c r="UI138" i="13"/>
  <c r="SJ125" i="13"/>
  <c r="OL99" i="13"/>
  <c r="IO60" i="13"/>
  <c r="EQ36" i="13"/>
  <c r="QK112" i="13"/>
  <c r="QJ9" i="13"/>
  <c r="QJ10" i="13"/>
  <c r="SI9" i="13"/>
  <c r="SI10" i="13"/>
  <c r="EP10" i="13"/>
  <c r="EP9" i="13"/>
  <c r="AAE13" i="13"/>
  <c r="AAE12" i="13"/>
  <c r="YF12" i="13"/>
  <c r="YF13" i="13"/>
  <c r="QJ13" i="13"/>
  <c r="QJ12" i="13"/>
  <c r="EP12" i="13"/>
  <c r="EP13" i="13"/>
  <c r="OK10" i="13"/>
  <c r="OK9" i="13"/>
  <c r="KM9" i="13"/>
  <c r="KM10" i="13"/>
  <c r="SI12" i="13"/>
  <c r="SI13" i="13"/>
  <c r="YF9" i="13"/>
  <c r="YF10" i="13"/>
  <c r="ACE195" i="13" l="1"/>
  <c r="YG169" i="13"/>
  <c r="WH156" i="13"/>
  <c r="AAF182" i="13"/>
  <c r="GP52" i="13"/>
  <c r="IO65" i="13"/>
  <c r="MM91" i="13"/>
  <c r="UI143" i="13"/>
  <c r="QK117" i="13"/>
  <c r="OL104" i="13"/>
  <c r="SJ130" i="13"/>
  <c r="KN78" i="13"/>
  <c r="GP2" i="13"/>
  <c r="GP3" i="13"/>
  <c r="IO3" i="13"/>
  <c r="IO2" i="13"/>
  <c r="WH2" i="13"/>
  <c r="WH3" i="13"/>
  <c r="OL2" i="13"/>
  <c r="OL3" i="13"/>
  <c r="YG2" i="13"/>
  <c r="YG3" i="13"/>
  <c r="QK2" i="13"/>
  <c r="QK3" i="13"/>
  <c r="MM2" i="13"/>
  <c r="MM3" i="13"/>
  <c r="SJ2" i="13"/>
  <c r="SJ3" i="13"/>
  <c r="AAF3" i="13"/>
  <c r="AAF2" i="13"/>
  <c r="KN2" i="13"/>
  <c r="KN3" i="13"/>
  <c r="EQ4" i="13"/>
  <c r="EQ5" i="13" s="1"/>
  <c r="ACE192" i="13"/>
  <c r="ACE4" i="13" s="1"/>
  <c r="AAF179" i="13"/>
  <c r="AAF4" i="13" s="1"/>
  <c r="WH153" i="13"/>
  <c r="WH4" i="13" s="1"/>
  <c r="WH5" i="13" s="1"/>
  <c r="YG166" i="13"/>
  <c r="YG4" i="13" s="1"/>
  <c r="YG5" i="13" s="1"/>
  <c r="OL101" i="13"/>
  <c r="OL4" i="13" s="1"/>
  <c r="OL5" i="13" s="1"/>
  <c r="MM88" i="13"/>
  <c r="MM4" i="13" s="1"/>
  <c r="MM5" i="13" s="1"/>
  <c r="SJ127" i="13"/>
  <c r="SJ4" i="13" s="1"/>
  <c r="SJ5" i="13" s="1"/>
  <c r="UI140" i="13"/>
  <c r="UI4" i="13" s="1"/>
  <c r="KN75" i="13"/>
  <c r="KN4" i="13" s="1"/>
  <c r="QK114" i="13"/>
  <c r="QK4" i="13" s="1"/>
  <c r="GP49" i="13"/>
  <c r="GP4" i="13" s="1"/>
  <c r="IO62" i="13"/>
  <c r="IO4" i="13" s="1"/>
  <c r="ER33" i="13"/>
  <c r="UI2" i="13"/>
  <c r="UI3" i="13"/>
  <c r="ACE3" i="13"/>
  <c r="ACE2" i="13"/>
  <c r="GP5" i="13" l="1"/>
  <c r="IO5" i="13"/>
  <c r="QK5" i="13"/>
  <c r="AAF5" i="13"/>
  <c r="KN5" i="13"/>
  <c r="ACE5" i="13"/>
  <c r="UI5" i="13"/>
  <c r="SJ7" i="13"/>
  <c r="SJ8" i="13"/>
  <c r="SJ11" i="13"/>
  <c r="OL7" i="13"/>
  <c r="OL8" i="13"/>
  <c r="OL11" i="13"/>
  <c r="ER6" i="13"/>
  <c r="ACF189" i="13"/>
  <c r="ACF6" i="13" s="1"/>
  <c r="AAG176" i="13"/>
  <c r="AAG6" i="13" s="1"/>
  <c r="WI150" i="13"/>
  <c r="WI6" i="13" s="1"/>
  <c r="YH163" i="13"/>
  <c r="YH6" i="13" s="1"/>
  <c r="QL111" i="13"/>
  <c r="QL6" i="13" s="1"/>
  <c r="KO72" i="13"/>
  <c r="KO6" i="13" s="1"/>
  <c r="UJ137" i="13"/>
  <c r="UJ6" i="13" s="1"/>
  <c r="OM98" i="13"/>
  <c r="OM6" i="13" s="1"/>
  <c r="IP59" i="13"/>
  <c r="IP6" i="13" s="1"/>
  <c r="MN85" i="13"/>
  <c r="MN6" i="13" s="1"/>
  <c r="ER34" i="13"/>
  <c r="SK124" i="13"/>
  <c r="SK6" i="13" s="1"/>
  <c r="GQ46" i="13"/>
  <c r="GQ6" i="13" s="1"/>
  <c r="GP7" i="13"/>
  <c r="GP8" i="13"/>
  <c r="GP11" i="13"/>
  <c r="WH7" i="13"/>
  <c r="WH8" i="13"/>
  <c r="WH11" i="13"/>
  <c r="MM7" i="13"/>
  <c r="MM8" i="13"/>
  <c r="MM11" i="13"/>
  <c r="QK8" i="13"/>
  <c r="QK7" i="13"/>
  <c r="QK11" i="13"/>
  <c r="AAF7" i="13"/>
  <c r="AAF11" i="13"/>
  <c r="AAF8" i="13"/>
  <c r="YG7" i="13"/>
  <c r="YG8" i="13"/>
  <c r="YG11" i="13"/>
  <c r="KN7" i="13"/>
  <c r="KN8" i="13"/>
  <c r="KN11" i="13"/>
  <c r="ACE8" i="13"/>
  <c r="ACE7" i="13"/>
  <c r="ACE11" i="13"/>
  <c r="IO7" i="13"/>
  <c r="IO11" i="13"/>
  <c r="IO8" i="13"/>
  <c r="UI7" i="13"/>
  <c r="UI8" i="13"/>
  <c r="UI11" i="13"/>
  <c r="EQ7" i="13"/>
  <c r="EQ8" i="13"/>
  <c r="EQ11" i="13"/>
  <c r="OL12" i="13" l="1"/>
  <c r="OL13" i="13"/>
  <c r="YG13" i="13"/>
  <c r="YG12" i="13"/>
  <c r="OL9" i="13"/>
  <c r="OL10" i="13"/>
  <c r="QK10" i="13"/>
  <c r="QK9" i="13"/>
  <c r="EQ9" i="13"/>
  <c r="EQ10" i="13"/>
  <c r="UI13" i="13"/>
  <c r="UI12" i="13"/>
  <c r="SJ13" i="13"/>
  <c r="SJ12" i="13"/>
  <c r="IO13" i="13"/>
  <c r="IO12" i="13"/>
  <c r="EQ12" i="13"/>
  <c r="EQ13" i="13"/>
  <c r="GP9" i="13"/>
  <c r="GP10" i="13"/>
  <c r="ACE12" i="13"/>
  <c r="ACE13" i="13"/>
  <c r="MM12" i="13"/>
  <c r="MM13" i="13"/>
  <c r="AAF9" i="13"/>
  <c r="AAF10" i="13"/>
  <c r="ACE10" i="13"/>
  <c r="ACE9" i="13"/>
  <c r="AAF12" i="13"/>
  <c r="AAF13" i="13"/>
  <c r="UI10" i="13"/>
  <c r="UI9" i="13"/>
  <c r="KN13" i="13"/>
  <c r="KN12" i="13"/>
  <c r="WH12" i="13"/>
  <c r="WH13" i="13"/>
  <c r="ER2" i="13"/>
  <c r="ER3" i="13"/>
  <c r="ACF190" i="13"/>
  <c r="AAG177" i="13"/>
  <c r="YH164" i="13"/>
  <c r="WI151" i="13"/>
  <c r="MN86" i="13"/>
  <c r="ER39" i="13"/>
  <c r="OM99" i="13"/>
  <c r="KO73" i="13"/>
  <c r="GQ47" i="13"/>
  <c r="IP60" i="13"/>
  <c r="UJ138" i="13"/>
  <c r="SK125" i="13"/>
  <c r="QL112" i="13"/>
  <c r="ER36" i="13"/>
  <c r="SJ10" i="13"/>
  <c r="SJ9" i="13"/>
  <c r="IO10" i="13"/>
  <c r="IO9" i="13"/>
  <c r="GP12" i="13"/>
  <c r="GP13" i="13"/>
  <c r="YG10" i="13"/>
  <c r="YG9" i="13"/>
  <c r="MM9" i="13"/>
  <c r="MM10" i="13"/>
  <c r="KN9" i="13"/>
  <c r="KN10" i="13"/>
  <c r="QK13" i="13"/>
  <c r="QK12" i="13"/>
  <c r="WH9" i="13"/>
  <c r="WH10" i="13"/>
  <c r="IP2" i="13" l="1"/>
  <c r="IP3" i="13"/>
  <c r="KO2" i="13"/>
  <c r="KO3" i="13"/>
  <c r="OM2" i="13"/>
  <c r="OM3" i="13"/>
  <c r="AAG2" i="13"/>
  <c r="AAG3" i="13"/>
  <c r="ACF2" i="13"/>
  <c r="ACF3" i="13"/>
  <c r="ER4" i="13"/>
  <c r="ER5" i="13" s="1"/>
  <c r="ACF192" i="13"/>
  <c r="ACF4" i="13" s="1"/>
  <c r="ACF5" i="13" s="1"/>
  <c r="AAG179" i="13"/>
  <c r="AAG4" i="13" s="1"/>
  <c r="WI153" i="13"/>
  <c r="WI4" i="13" s="1"/>
  <c r="YH166" i="13"/>
  <c r="YH4" i="13" s="1"/>
  <c r="YH5" i="13" s="1"/>
  <c r="OM101" i="13"/>
  <c r="OM4" i="13" s="1"/>
  <c r="OM5" i="13" s="1"/>
  <c r="MN88" i="13"/>
  <c r="MN4" i="13" s="1"/>
  <c r="GQ49" i="13"/>
  <c r="GQ4" i="13" s="1"/>
  <c r="IP62" i="13"/>
  <c r="IP4" i="13" s="1"/>
  <c r="IP5" i="13" s="1"/>
  <c r="UJ140" i="13"/>
  <c r="UJ4" i="13" s="1"/>
  <c r="KO75" i="13"/>
  <c r="KO4" i="13" s="1"/>
  <c r="KO5" i="13" s="1"/>
  <c r="SK127" i="13"/>
  <c r="SK4" i="13" s="1"/>
  <c r="SK5" i="13" s="1"/>
  <c r="QL114" i="13"/>
  <c r="QL4" i="13" s="1"/>
  <c r="ES33" i="13"/>
  <c r="ACF195" i="13"/>
  <c r="AAG182" i="13"/>
  <c r="YH169" i="13"/>
  <c r="WI156" i="13"/>
  <c r="GQ52" i="13"/>
  <c r="OM104" i="13"/>
  <c r="IP65" i="13"/>
  <c r="KO78" i="13"/>
  <c r="UJ143" i="13"/>
  <c r="QL117" i="13"/>
  <c r="MN91" i="13"/>
  <c r="SK130" i="13"/>
  <c r="QL3" i="13"/>
  <c r="QL2" i="13"/>
  <c r="MN2" i="13"/>
  <c r="MN3" i="13"/>
  <c r="GQ2" i="13"/>
  <c r="GQ3" i="13"/>
  <c r="SK2" i="13"/>
  <c r="SK3" i="13"/>
  <c r="WI2" i="13"/>
  <c r="WI3" i="13"/>
  <c r="UJ2" i="13"/>
  <c r="UJ3" i="13"/>
  <c r="YH2" i="13"/>
  <c r="YH3" i="13"/>
  <c r="AAG5" i="13" l="1"/>
  <c r="QL5" i="13"/>
  <c r="WI5" i="13"/>
  <c r="UJ5" i="13"/>
  <c r="GQ5" i="13"/>
  <c r="MN5" i="13"/>
  <c r="OM8" i="13"/>
  <c r="OM7" i="13"/>
  <c r="OM11" i="13"/>
  <c r="QL7" i="13"/>
  <c r="QL8" i="13"/>
  <c r="QL11" i="13"/>
  <c r="YH7" i="13"/>
  <c r="YH8" i="13"/>
  <c r="YH11" i="13"/>
  <c r="ES6" i="13"/>
  <c r="ACG189" i="13"/>
  <c r="ACG6" i="13" s="1"/>
  <c r="YI163" i="13"/>
  <c r="YI6" i="13" s="1"/>
  <c r="AAH176" i="13"/>
  <c r="AAH6" i="13" s="1"/>
  <c r="WJ150" i="13"/>
  <c r="WJ6" i="13" s="1"/>
  <c r="QM111" i="13"/>
  <c r="QM6" i="13" s="1"/>
  <c r="MO85" i="13"/>
  <c r="MO6" i="13" s="1"/>
  <c r="GR46" i="13"/>
  <c r="GR6" i="13" s="1"/>
  <c r="IQ59" i="13"/>
  <c r="IQ6" i="13" s="1"/>
  <c r="UK137" i="13"/>
  <c r="UK6" i="13" s="1"/>
  <c r="ON98" i="13"/>
  <c r="ON6" i="13" s="1"/>
  <c r="KP72" i="13"/>
  <c r="KP6" i="13" s="1"/>
  <c r="ES34" i="13"/>
  <c r="SL124" i="13"/>
  <c r="SL6" i="13" s="1"/>
  <c r="WI7" i="13"/>
  <c r="WI8" i="13"/>
  <c r="WI11" i="13"/>
  <c r="KO8" i="13"/>
  <c r="KO7" i="13"/>
  <c r="KO11" i="13"/>
  <c r="AAG7" i="13"/>
  <c r="AAG8" i="13"/>
  <c r="AAG11" i="13"/>
  <c r="UJ7" i="13"/>
  <c r="UJ8" i="13"/>
  <c r="UJ11" i="13"/>
  <c r="ACF8" i="13"/>
  <c r="ACF7" i="13"/>
  <c r="ACF11" i="13"/>
  <c r="SK8" i="13"/>
  <c r="SK11" i="13"/>
  <c r="SK7" i="13"/>
  <c r="IP7" i="13"/>
  <c r="IP8" i="13"/>
  <c r="IP11" i="13"/>
  <c r="ER7" i="13"/>
  <c r="ER8" i="13"/>
  <c r="ER11" i="13"/>
  <c r="GQ7" i="13"/>
  <c r="GQ8" i="13"/>
  <c r="GQ11" i="13"/>
  <c r="MN8" i="13"/>
  <c r="MN7" i="13"/>
  <c r="MN11" i="13"/>
  <c r="YH9" i="13" l="1"/>
  <c r="YH10" i="13"/>
  <c r="ER12" i="13"/>
  <c r="ER13" i="13"/>
  <c r="QL13" i="13"/>
  <c r="QL12" i="13"/>
  <c r="QL9" i="13"/>
  <c r="QL10" i="13"/>
  <c r="AAG12" i="13"/>
  <c r="AAG13" i="13"/>
  <c r="SK9" i="13"/>
  <c r="SK10" i="13"/>
  <c r="MN12" i="13"/>
  <c r="MN13" i="13"/>
  <c r="ACF12" i="13"/>
  <c r="ACF13" i="13"/>
  <c r="ACF9" i="13"/>
  <c r="ACF10" i="13"/>
  <c r="KO12" i="13"/>
  <c r="KO13" i="13"/>
  <c r="GQ13" i="13"/>
  <c r="GQ12" i="13"/>
  <c r="UJ12" i="13"/>
  <c r="UJ13" i="13"/>
  <c r="KO9" i="13"/>
  <c r="KO10" i="13"/>
  <c r="OM12" i="13"/>
  <c r="OM13" i="13"/>
  <c r="SK12" i="13"/>
  <c r="SK13" i="13"/>
  <c r="ER9" i="13"/>
  <c r="ER10" i="13"/>
  <c r="ES2" i="13"/>
  <c r="ES3" i="13"/>
  <c r="ACG190" i="13"/>
  <c r="WJ151" i="13"/>
  <c r="YI164" i="13"/>
  <c r="AAH177" i="13"/>
  <c r="ON99" i="13"/>
  <c r="UK138" i="13"/>
  <c r="KP73" i="13"/>
  <c r="GR47" i="13"/>
  <c r="SL125" i="13"/>
  <c r="ES39" i="13"/>
  <c r="QM112" i="13"/>
  <c r="IQ60" i="13"/>
  <c r="ES36" i="13"/>
  <c r="MO86" i="13"/>
  <c r="IP10" i="13"/>
  <c r="IP9" i="13"/>
  <c r="WI12" i="13"/>
  <c r="WI13" i="13"/>
  <c r="AAG9" i="13"/>
  <c r="AAG10" i="13"/>
  <c r="IP13" i="13"/>
  <c r="IP12" i="13"/>
  <c r="MN9" i="13"/>
  <c r="MN10" i="13"/>
  <c r="GQ9" i="13"/>
  <c r="GQ10" i="13"/>
  <c r="UJ9" i="13"/>
  <c r="UJ10" i="13"/>
  <c r="WI9" i="13"/>
  <c r="WI10" i="13"/>
  <c r="YH12" i="13"/>
  <c r="YH13" i="13"/>
  <c r="OM9" i="13"/>
  <c r="OM10" i="13"/>
  <c r="UK2" i="13" l="1"/>
  <c r="UK3" i="13"/>
  <c r="AAH2" i="13"/>
  <c r="AAH3" i="13"/>
  <c r="YI2" i="13"/>
  <c r="YI3" i="13"/>
  <c r="ACG195" i="13"/>
  <c r="AAH182" i="13"/>
  <c r="YI169" i="13"/>
  <c r="WJ156" i="13"/>
  <c r="ON104" i="13"/>
  <c r="MO91" i="13"/>
  <c r="KP78" i="13"/>
  <c r="GR52" i="13"/>
  <c r="IQ65" i="13"/>
  <c r="SL130" i="13"/>
  <c r="QM117" i="13"/>
  <c r="UK143" i="13"/>
  <c r="WJ2" i="13"/>
  <c r="WJ3" i="13"/>
  <c r="ON3" i="13"/>
  <c r="ON2" i="13"/>
  <c r="IQ2" i="13"/>
  <c r="IQ3" i="13"/>
  <c r="SL2" i="13"/>
  <c r="SL3" i="13"/>
  <c r="ACG2" i="13"/>
  <c r="ACG3" i="13"/>
  <c r="GR2" i="13"/>
  <c r="GR3" i="13"/>
  <c r="MO2" i="13"/>
  <c r="MO3" i="13"/>
  <c r="ES4" i="13"/>
  <c r="ES5" i="13" s="1"/>
  <c r="ACG192" i="13"/>
  <c r="ACG4" i="13" s="1"/>
  <c r="AAH179" i="13"/>
  <c r="AAH4" i="13" s="1"/>
  <c r="AAH5" i="13" s="1"/>
  <c r="YI166" i="13"/>
  <c r="YI4" i="13" s="1"/>
  <c r="WJ153" i="13"/>
  <c r="WJ4" i="13" s="1"/>
  <c r="WJ5" i="13" s="1"/>
  <c r="GR49" i="13"/>
  <c r="GR4" i="13" s="1"/>
  <c r="GR5" i="13" s="1"/>
  <c r="IQ62" i="13"/>
  <c r="IQ4" i="13" s="1"/>
  <c r="IQ5" i="13" s="1"/>
  <c r="KP75" i="13"/>
  <c r="KP4" i="13" s="1"/>
  <c r="KP5" i="13" s="1"/>
  <c r="ON101" i="13"/>
  <c r="ON4" i="13" s="1"/>
  <c r="UK140" i="13"/>
  <c r="UK4" i="13" s="1"/>
  <c r="UK5" i="13" s="1"/>
  <c r="QM114" i="13"/>
  <c r="QM4" i="13" s="1"/>
  <c r="SL127" i="13"/>
  <c r="SL4" i="13" s="1"/>
  <c r="SL5" i="13" s="1"/>
  <c r="MO88" i="13"/>
  <c r="MO4" i="13" s="1"/>
  <c r="ET33" i="13"/>
  <c r="QM2" i="13"/>
  <c r="QM3" i="13"/>
  <c r="KP2" i="13"/>
  <c r="KP3" i="13"/>
  <c r="YI5" i="13" l="1"/>
  <c r="ACG5" i="13"/>
  <c r="MO5" i="13"/>
  <c r="QM5" i="13"/>
  <c r="ON5" i="13"/>
  <c r="GR8" i="13"/>
  <c r="GR7" i="13"/>
  <c r="GR11" i="13"/>
  <c r="KP7" i="13"/>
  <c r="KP8" i="13"/>
  <c r="KP11" i="13"/>
  <c r="ET6" i="13"/>
  <c r="ACH189" i="13"/>
  <c r="ACH6" i="13" s="1"/>
  <c r="AAI176" i="13"/>
  <c r="AAI6" i="13" s="1"/>
  <c r="YJ163" i="13"/>
  <c r="YJ6" i="13" s="1"/>
  <c r="WK150" i="13"/>
  <c r="WK6" i="13" s="1"/>
  <c r="SM124" i="13"/>
  <c r="SM6" i="13" s="1"/>
  <c r="OO98" i="13"/>
  <c r="OO6" i="13" s="1"/>
  <c r="MP85" i="13"/>
  <c r="MP6" i="13" s="1"/>
  <c r="GS46" i="13"/>
  <c r="GS6" i="13" s="1"/>
  <c r="IR59" i="13"/>
  <c r="IR6" i="13" s="1"/>
  <c r="UL137" i="13"/>
  <c r="UL6" i="13" s="1"/>
  <c r="KQ72" i="13"/>
  <c r="KQ6" i="13" s="1"/>
  <c r="QN111" i="13"/>
  <c r="QN6" i="13" s="1"/>
  <c r="ET34" i="13"/>
  <c r="SL7" i="13"/>
  <c r="SL11" i="13"/>
  <c r="SL8" i="13"/>
  <c r="YI7" i="13"/>
  <c r="YI11" i="13"/>
  <c r="YI8" i="13"/>
  <c r="QM7" i="13"/>
  <c r="QM8" i="13"/>
  <c r="QM11" i="13"/>
  <c r="AAH11" i="13"/>
  <c r="AAH7" i="13"/>
  <c r="AAH8" i="13"/>
  <c r="WJ8" i="13"/>
  <c r="WJ7" i="13"/>
  <c r="WJ11" i="13"/>
  <c r="UK8" i="13"/>
  <c r="UK7" i="13"/>
  <c r="UK11" i="13"/>
  <c r="ACG7" i="13"/>
  <c r="ACG8" i="13"/>
  <c r="ACG11" i="13"/>
  <c r="IQ7" i="13"/>
  <c r="IQ8" i="13"/>
  <c r="IQ11" i="13"/>
  <c r="MO7" i="13"/>
  <c r="MO11" i="13"/>
  <c r="MO8" i="13"/>
  <c r="ON7" i="13"/>
  <c r="ON8" i="13"/>
  <c r="ON11" i="13"/>
  <c r="ES7" i="13"/>
  <c r="ES8" i="13"/>
  <c r="ES11" i="13"/>
  <c r="KP12" i="13" l="1"/>
  <c r="KP13" i="13"/>
  <c r="SL9" i="13"/>
  <c r="SL10" i="13"/>
  <c r="ES12" i="13"/>
  <c r="ES13" i="13"/>
  <c r="QM10" i="13"/>
  <c r="QM9" i="13"/>
  <c r="KP10" i="13"/>
  <c r="KP9" i="13"/>
  <c r="UK12" i="13"/>
  <c r="UK13" i="13"/>
  <c r="QM12" i="13"/>
  <c r="QM13" i="13"/>
  <c r="WJ12" i="13"/>
  <c r="WJ13" i="13"/>
  <c r="ET2" i="13"/>
  <c r="ET3" i="13"/>
  <c r="ACH190" i="13"/>
  <c r="AAI177" i="13"/>
  <c r="WK151" i="13"/>
  <c r="YJ164" i="13"/>
  <c r="MP86" i="13"/>
  <c r="KQ73" i="13"/>
  <c r="GS47" i="13"/>
  <c r="IR60" i="13"/>
  <c r="SM125" i="13"/>
  <c r="ET39" i="13"/>
  <c r="ET36" i="13"/>
  <c r="UL138" i="13"/>
  <c r="OO99" i="13"/>
  <c r="QN112" i="13"/>
  <c r="MO10" i="13"/>
  <c r="MO9" i="13"/>
  <c r="MO13" i="13"/>
  <c r="MO12" i="13"/>
  <c r="SL13" i="13"/>
  <c r="SL12" i="13"/>
  <c r="ES10" i="13"/>
  <c r="ES9" i="13"/>
  <c r="UK10" i="13"/>
  <c r="UK9" i="13"/>
  <c r="ON12" i="13"/>
  <c r="ON13" i="13"/>
  <c r="GR13" i="13"/>
  <c r="GR12" i="13"/>
  <c r="AAH12" i="13"/>
  <c r="AAH13" i="13"/>
  <c r="IQ12" i="13"/>
  <c r="IQ13" i="13"/>
  <c r="IQ9" i="13"/>
  <c r="IQ10" i="13"/>
  <c r="ON10" i="13"/>
  <c r="ON9" i="13"/>
  <c r="WJ10" i="13"/>
  <c r="WJ9" i="13"/>
  <c r="YI9" i="13"/>
  <c r="YI10" i="13"/>
  <c r="ACG13" i="13"/>
  <c r="ACG12" i="13"/>
  <c r="ACG9" i="13"/>
  <c r="ACG10" i="13"/>
  <c r="AAH10" i="13"/>
  <c r="AAH9" i="13"/>
  <c r="YI13" i="13"/>
  <c r="YI12" i="13"/>
  <c r="GR9" i="13"/>
  <c r="GR10" i="13"/>
  <c r="KQ2" i="13" l="1"/>
  <c r="KQ3" i="13"/>
  <c r="MP2" i="13"/>
  <c r="MP3" i="13"/>
  <c r="QN2" i="13"/>
  <c r="QN3" i="13"/>
  <c r="UL2" i="13"/>
  <c r="UL3" i="13"/>
  <c r="YJ3" i="13"/>
  <c r="YJ2" i="13"/>
  <c r="OO2" i="13"/>
  <c r="OO3" i="13"/>
  <c r="ET4" i="13"/>
  <c r="ET5" i="13" s="1"/>
  <c r="YJ166" i="13"/>
  <c r="YJ4" i="13" s="1"/>
  <c r="YJ5" i="13" s="1"/>
  <c r="ACH192" i="13"/>
  <c r="ACH4" i="13" s="1"/>
  <c r="AAI179" i="13"/>
  <c r="AAI4" i="13" s="1"/>
  <c r="AAI5" i="13" s="1"/>
  <c r="WK153" i="13"/>
  <c r="WK4" i="13" s="1"/>
  <c r="OO101" i="13"/>
  <c r="OO4" i="13" s="1"/>
  <c r="GS49" i="13"/>
  <c r="GS4" i="13" s="1"/>
  <c r="IR62" i="13"/>
  <c r="IR4" i="13" s="1"/>
  <c r="MP88" i="13"/>
  <c r="MP4" i="13" s="1"/>
  <c r="MP5" i="13" s="1"/>
  <c r="UL140" i="13"/>
  <c r="UL4" i="13" s="1"/>
  <c r="KQ75" i="13"/>
  <c r="KQ4" i="13" s="1"/>
  <c r="KQ5" i="13" s="1"/>
  <c r="SM127" i="13"/>
  <c r="SM4" i="13" s="1"/>
  <c r="SM5" i="13" s="1"/>
  <c r="QN114" i="13"/>
  <c r="QN4" i="13" s="1"/>
  <c r="EU33" i="13"/>
  <c r="WK2" i="13"/>
  <c r="WK3" i="13"/>
  <c r="ACH195" i="13"/>
  <c r="YJ169" i="13"/>
  <c r="AAI182" i="13"/>
  <c r="WK156" i="13"/>
  <c r="UL143" i="13"/>
  <c r="OO104" i="13"/>
  <c r="MP91" i="13"/>
  <c r="KQ78" i="13"/>
  <c r="SM130" i="13"/>
  <c r="GS52" i="13"/>
  <c r="QN117" i="13"/>
  <c r="IR65" i="13"/>
  <c r="AAI3" i="13"/>
  <c r="AAI2" i="13"/>
  <c r="SM2" i="13"/>
  <c r="SM3" i="13"/>
  <c r="ACH2" i="13"/>
  <c r="ACH3" i="13"/>
  <c r="IR2" i="13"/>
  <c r="IR3" i="13"/>
  <c r="GS2" i="13"/>
  <c r="GS3" i="13"/>
  <c r="UL5" i="13" l="1"/>
  <c r="OO5" i="13"/>
  <c r="ACH5" i="13"/>
  <c r="IR5" i="13"/>
  <c r="GS5" i="13"/>
  <c r="QN5" i="13"/>
  <c r="WK5" i="13"/>
  <c r="SM7" i="13"/>
  <c r="SM8" i="13"/>
  <c r="SM11" i="13"/>
  <c r="AAI8" i="13"/>
  <c r="AAI7" i="13"/>
  <c r="AAI11" i="13"/>
  <c r="KQ8" i="13"/>
  <c r="KQ11" i="13"/>
  <c r="KQ7" i="13"/>
  <c r="ACH8" i="13"/>
  <c r="ACH7" i="13"/>
  <c r="ACH11" i="13"/>
  <c r="UL7" i="13"/>
  <c r="UL8" i="13"/>
  <c r="UL11" i="13"/>
  <c r="YJ8" i="13"/>
  <c r="YJ7" i="13"/>
  <c r="YJ11" i="13"/>
  <c r="MP7" i="13"/>
  <c r="MP11" i="13"/>
  <c r="MP8" i="13"/>
  <c r="ET7" i="13"/>
  <c r="ET8" i="13"/>
  <c r="ET11" i="13"/>
  <c r="IR8" i="13"/>
  <c r="IR7" i="13"/>
  <c r="IR11" i="13"/>
  <c r="GS8" i="13"/>
  <c r="GS11" i="13"/>
  <c r="GS7" i="13"/>
  <c r="EU6" i="13"/>
  <c r="AAJ176" i="13"/>
  <c r="AAJ6" i="13" s="1"/>
  <c r="ACI189" i="13"/>
  <c r="ACI6" i="13" s="1"/>
  <c r="YK163" i="13"/>
  <c r="YK6" i="13" s="1"/>
  <c r="WL150" i="13"/>
  <c r="WL6" i="13" s="1"/>
  <c r="SN124" i="13"/>
  <c r="SN6" i="13" s="1"/>
  <c r="OP98" i="13"/>
  <c r="OP6" i="13" s="1"/>
  <c r="MQ85" i="13"/>
  <c r="MQ6" i="13" s="1"/>
  <c r="KR72" i="13"/>
  <c r="KR6" i="13" s="1"/>
  <c r="IS59" i="13"/>
  <c r="IS6" i="13" s="1"/>
  <c r="UM137" i="13"/>
  <c r="UM6" i="13" s="1"/>
  <c r="GT46" i="13"/>
  <c r="GT6" i="13" s="1"/>
  <c r="EU34" i="13"/>
  <c r="QO111" i="13"/>
  <c r="QO6" i="13" s="1"/>
  <c r="OO7" i="13"/>
  <c r="OO11" i="13"/>
  <c r="OO8" i="13"/>
  <c r="QN7" i="13"/>
  <c r="QN8" i="13"/>
  <c r="QN11" i="13"/>
  <c r="WK7" i="13"/>
  <c r="WK8" i="13"/>
  <c r="WK11" i="13"/>
  <c r="ET13" i="13" l="1"/>
  <c r="ET12" i="13"/>
  <c r="KQ12" i="13"/>
  <c r="KQ13" i="13"/>
  <c r="UL13" i="13"/>
  <c r="UL12" i="13"/>
  <c r="KQ9" i="13"/>
  <c r="KQ10" i="13"/>
  <c r="OO12" i="13"/>
  <c r="OO13" i="13"/>
  <c r="UL9" i="13"/>
  <c r="UL10" i="13"/>
  <c r="AAI12" i="13"/>
  <c r="AAI13" i="13"/>
  <c r="GS12" i="13"/>
  <c r="GS13" i="13"/>
  <c r="MP9" i="13"/>
  <c r="MP10" i="13"/>
  <c r="YJ9" i="13"/>
  <c r="YJ10" i="13"/>
  <c r="GS9" i="13"/>
  <c r="GS10" i="13"/>
  <c r="MP12" i="13"/>
  <c r="MP13" i="13"/>
  <c r="ACH12" i="13"/>
  <c r="ACH13" i="13"/>
  <c r="AAI9" i="13"/>
  <c r="AAI10" i="13"/>
  <c r="OO9" i="13"/>
  <c r="OO10" i="13"/>
  <c r="ET10" i="13"/>
  <c r="ET9" i="13"/>
  <c r="WK10" i="13"/>
  <c r="WK9" i="13"/>
  <c r="EU2" i="13"/>
  <c r="EU3" i="13"/>
  <c r="AAJ177" i="13"/>
  <c r="ACI190" i="13"/>
  <c r="YK164" i="13"/>
  <c r="WL151" i="13"/>
  <c r="MQ86" i="13"/>
  <c r="QO112" i="13"/>
  <c r="EU36" i="13"/>
  <c r="KR73" i="13"/>
  <c r="GT47" i="13"/>
  <c r="IS60" i="13"/>
  <c r="UM138" i="13"/>
  <c r="EU39" i="13"/>
  <c r="SN125" i="13"/>
  <c r="OP99" i="13"/>
  <c r="IR12" i="13"/>
  <c r="IR13" i="13"/>
  <c r="SM13" i="13"/>
  <c r="SM12" i="13"/>
  <c r="WK12" i="13"/>
  <c r="WK13" i="13"/>
  <c r="QN12" i="13"/>
  <c r="QN13" i="13"/>
  <c r="YJ12" i="13"/>
  <c r="YJ13" i="13"/>
  <c r="ACH9" i="13"/>
  <c r="ACH10" i="13"/>
  <c r="SM9" i="13"/>
  <c r="SM10" i="13"/>
  <c r="QN9" i="13"/>
  <c r="QN10" i="13"/>
  <c r="IR10" i="13"/>
  <c r="IR9" i="13"/>
  <c r="YK3" i="13" l="1"/>
  <c r="YK2" i="13"/>
  <c r="WL2" i="13"/>
  <c r="WL3" i="13"/>
  <c r="ACI2" i="13"/>
  <c r="ACI3" i="13"/>
  <c r="KR3" i="13"/>
  <c r="KR2" i="13"/>
  <c r="IS2" i="13"/>
  <c r="IS3" i="13"/>
  <c r="EU4" i="13"/>
  <c r="EU5" i="13" s="1"/>
  <c r="AAJ179" i="13"/>
  <c r="AAJ4" i="13" s="1"/>
  <c r="ACI192" i="13"/>
  <c r="ACI4" i="13" s="1"/>
  <c r="ACI5" i="13" s="1"/>
  <c r="YK166" i="13"/>
  <c r="YK4" i="13" s="1"/>
  <c r="YK5" i="13" s="1"/>
  <c r="WL153" i="13"/>
  <c r="WL4" i="13" s="1"/>
  <c r="WL5" i="13" s="1"/>
  <c r="OP101" i="13"/>
  <c r="OP4" i="13" s="1"/>
  <c r="OP5" i="13" s="1"/>
  <c r="GT49" i="13"/>
  <c r="GT4" i="13" s="1"/>
  <c r="MQ88" i="13"/>
  <c r="MQ4" i="13" s="1"/>
  <c r="IS62" i="13"/>
  <c r="IS4" i="13" s="1"/>
  <c r="IS5" i="13" s="1"/>
  <c r="UM140" i="13"/>
  <c r="UM4" i="13" s="1"/>
  <c r="KR75" i="13"/>
  <c r="KR4" i="13" s="1"/>
  <c r="EV33" i="13"/>
  <c r="QO114" i="13"/>
  <c r="QO4" i="13" s="1"/>
  <c r="QO5" i="13" s="1"/>
  <c r="SN127" i="13"/>
  <c r="SN4" i="13" s="1"/>
  <c r="YK169" i="13"/>
  <c r="AAJ182" i="13"/>
  <c r="ACI195" i="13"/>
  <c r="WL156" i="13"/>
  <c r="MQ91" i="13"/>
  <c r="KR78" i="13"/>
  <c r="QO117" i="13"/>
  <c r="SN130" i="13"/>
  <c r="OP104" i="13"/>
  <c r="IS65" i="13"/>
  <c r="UM143" i="13"/>
  <c r="GT52" i="13"/>
  <c r="UM2" i="13"/>
  <c r="UM3" i="13"/>
  <c r="GT2" i="13"/>
  <c r="GT3" i="13"/>
  <c r="OP2" i="13"/>
  <c r="OP3" i="13"/>
  <c r="QO3" i="13"/>
  <c r="QO2" i="13"/>
  <c r="AAJ2" i="13"/>
  <c r="AAJ3" i="13"/>
  <c r="SN2" i="13"/>
  <c r="SN3" i="13"/>
  <c r="MQ2" i="13"/>
  <c r="MQ3" i="13"/>
  <c r="SN5" i="13" l="1"/>
  <c r="KR5" i="13"/>
  <c r="UM5" i="13"/>
  <c r="AAJ5" i="13"/>
  <c r="MQ5" i="13"/>
  <c r="GT5" i="13"/>
  <c r="SN8" i="13"/>
  <c r="SN7" i="13"/>
  <c r="SN11" i="13"/>
  <c r="OP7" i="13"/>
  <c r="OP8" i="13"/>
  <c r="OP11" i="13"/>
  <c r="QO11" i="13"/>
  <c r="QO7" i="13"/>
  <c r="QO8" i="13"/>
  <c r="EV6" i="13"/>
  <c r="ACJ189" i="13"/>
  <c r="ACJ6" i="13" s="1"/>
  <c r="YL163" i="13"/>
  <c r="YL6" i="13" s="1"/>
  <c r="AAK176" i="13"/>
  <c r="AAK6" i="13" s="1"/>
  <c r="WM150" i="13"/>
  <c r="WM6" i="13" s="1"/>
  <c r="OQ98" i="13"/>
  <c r="OQ6" i="13" s="1"/>
  <c r="EV34" i="13"/>
  <c r="MR85" i="13"/>
  <c r="MR6" i="13" s="1"/>
  <c r="GU46" i="13"/>
  <c r="GU6" i="13" s="1"/>
  <c r="KS72" i="13"/>
  <c r="KS6" i="13" s="1"/>
  <c r="IT59" i="13"/>
  <c r="IT6" i="13" s="1"/>
  <c r="UN137" i="13"/>
  <c r="UN6" i="13" s="1"/>
  <c r="QP111" i="13"/>
  <c r="QP6" i="13" s="1"/>
  <c r="SO124" i="13"/>
  <c r="SO6" i="13" s="1"/>
  <c r="YK7" i="13"/>
  <c r="YK11" i="13"/>
  <c r="YK8" i="13"/>
  <c r="KR7" i="13"/>
  <c r="KR8" i="13"/>
  <c r="KR11" i="13"/>
  <c r="ACI7" i="13"/>
  <c r="ACI11" i="13"/>
  <c r="ACI8" i="13"/>
  <c r="UM7" i="13"/>
  <c r="UM8" i="13"/>
  <c r="UM11" i="13"/>
  <c r="AAJ8" i="13"/>
  <c r="AAJ7" i="13"/>
  <c r="AAJ11" i="13"/>
  <c r="WL7" i="13"/>
  <c r="WL8" i="13"/>
  <c r="WL11" i="13"/>
  <c r="IS7" i="13"/>
  <c r="IS11" i="13"/>
  <c r="IS8" i="13"/>
  <c r="EU8" i="13"/>
  <c r="EU7" i="13"/>
  <c r="EU11" i="13"/>
  <c r="MQ7" i="13"/>
  <c r="MQ8" i="13"/>
  <c r="MQ11" i="13"/>
  <c r="GT8" i="13"/>
  <c r="GT7" i="13"/>
  <c r="GT11" i="13"/>
  <c r="WL9" i="13" l="1"/>
  <c r="WL10" i="13"/>
  <c r="ACI9" i="13"/>
  <c r="ACI10" i="13"/>
  <c r="EV2" i="13"/>
  <c r="EV3" i="13"/>
  <c r="YL164" i="13"/>
  <c r="AAK177" i="13"/>
  <c r="ACJ190" i="13"/>
  <c r="WM151" i="13"/>
  <c r="MR86" i="13"/>
  <c r="GU47" i="13"/>
  <c r="UN138" i="13"/>
  <c r="KS73" i="13"/>
  <c r="IT60" i="13"/>
  <c r="SO125" i="13"/>
  <c r="QP112" i="13"/>
  <c r="OQ99" i="13"/>
  <c r="EV39" i="13"/>
  <c r="EV36" i="13"/>
  <c r="QO13" i="13"/>
  <c r="QO12" i="13"/>
  <c r="OP13" i="13"/>
  <c r="OP12" i="13"/>
  <c r="OP9" i="13"/>
  <c r="OP10" i="13"/>
  <c r="ACI13" i="13"/>
  <c r="ACI12" i="13"/>
  <c r="EU13" i="13"/>
  <c r="EU12" i="13"/>
  <c r="EU9" i="13"/>
  <c r="EU10" i="13"/>
  <c r="AAJ12" i="13"/>
  <c r="AAJ13" i="13"/>
  <c r="UM12" i="13"/>
  <c r="UM13" i="13"/>
  <c r="SN12" i="13"/>
  <c r="SN13" i="13"/>
  <c r="KR12" i="13"/>
  <c r="KR13" i="13"/>
  <c r="IS12" i="13"/>
  <c r="IS13" i="13"/>
  <c r="AAJ10" i="13"/>
  <c r="AAJ9" i="13"/>
  <c r="UM10" i="13"/>
  <c r="UM9" i="13"/>
  <c r="YK9" i="13"/>
  <c r="YK10" i="13"/>
  <c r="GT12" i="13"/>
  <c r="GT13" i="13"/>
  <c r="IS10" i="13"/>
  <c r="IS9" i="13"/>
  <c r="GT10" i="13"/>
  <c r="GT9" i="13"/>
  <c r="KR9" i="13"/>
  <c r="KR10" i="13"/>
  <c r="MQ12" i="13"/>
  <c r="MQ13" i="13"/>
  <c r="MQ10" i="13"/>
  <c r="MQ9" i="13"/>
  <c r="WL13" i="13"/>
  <c r="WL12" i="13"/>
  <c r="YK12" i="13"/>
  <c r="YK13" i="13"/>
  <c r="QO10" i="13"/>
  <c r="QO9" i="13"/>
  <c r="SN10" i="13"/>
  <c r="SN9" i="13"/>
  <c r="SO2" i="13" l="1"/>
  <c r="SO3" i="13"/>
  <c r="AAK3" i="13"/>
  <c r="AAK2" i="13"/>
  <c r="IT2" i="13"/>
  <c r="IT3" i="13"/>
  <c r="YL2" i="13"/>
  <c r="YL3" i="13"/>
  <c r="KS2" i="13"/>
  <c r="KS3" i="13"/>
  <c r="UN2" i="13"/>
  <c r="UN3" i="13"/>
  <c r="EV4" i="13"/>
  <c r="EV5" i="13" s="1"/>
  <c r="AAK179" i="13"/>
  <c r="AAK4" i="13" s="1"/>
  <c r="YL166" i="13"/>
  <c r="YL4" i="13" s="1"/>
  <c r="YL5" i="13" s="1"/>
  <c r="ACJ192" i="13"/>
  <c r="ACJ4" i="13" s="1"/>
  <c r="ACJ5" i="13" s="1"/>
  <c r="WM153" i="13"/>
  <c r="WM4" i="13" s="1"/>
  <c r="MR88" i="13"/>
  <c r="MR4" i="13" s="1"/>
  <c r="OQ101" i="13"/>
  <c r="OQ4" i="13" s="1"/>
  <c r="IT62" i="13"/>
  <c r="IT4" i="13" s="1"/>
  <c r="IT5" i="13" s="1"/>
  <c r="UN140" i="13"/>
  <c r="UN4" i="13" s="1"/>
  <c r="UN5" i="13" s="1"/>
  <c r="KS75" i="13"/>
  <c r="KS4" i="13" s="1"/>
  <c r="KS5" i="13" s="1"/>
  <c r="SO127" i="13"/>
  <c r="SO4" i="13" s="1"/>
  <c r="SO5" i="13" s="1"/>
  <c r="QP114" i="13"/>
  <c r="QP4" i="13" s="1"/>
  <c r="GU49" i="13"/>
  <c r="GU4" i="13" s="1"/>
  <c r="EW33" i="13"/>
  <c r="GU2" i="13"/>
  <c r="GU3" i="13"/>
  <c r="AAK182" i="13"/>
  <c r="ACJ195" i="13"/>
  <c r="YL169" i="13"/>
  <c r="WM156" i="13"/>
  <c r="GU52" i="13"/>
  <c r="IT65" i="13"/>
  <c r="OQ104" i="13"/>
  <c r="MR91" i="13"/>
  <c r="SO130" i="13"/>
  <c r="KS78" i="13"/>
  <c r="UN143" i="13"/>
  <c r="QP117" i="13"/>
  <c r="MR2" i="13"/>
  <c r="MR3" i="13"/>
  <c r="OQ2" i="13"/>
  <c r="OQ3" i="13"/>
  <c r="WM2" i="13"/>
  <c r="WM3" i="13"/>
  <c r="QP2" i="13"/>
  <c r="QP3" i="13"/>
  <c r="ACJ3" i="13"/>
  <c r="ACJ2" i="13"/>
  <c r="AAK5" i="13" l="1"/>
  <c r="QP5" i="13"/>
  <c r="OQ5" i="13"/>
  <c r="MR5" i="13"/>
  <c r="GU5" i="13"/>
  <c r="WM5" i="13"/>
  <c r="QP8" i="13"/>
  <c r="QP7" i="13"/>
  <c r="QP11" i="13"/>
  <c r="ACJ7" i="13"/>
  <c r="ACJ8" i="13"/>
  <c r="ACJ11" i="13"/>
  <c r="SO7" i="13"/>
  <c r="SO8" i="13"/>
  <c r="SO11" i="13"/>
  <c r="YL7" i="13"/>
  <c r="YL11" i="13"/>
  <c r="YL8" i="13"/>
  <c r="KS7" i="13"/>
  <c r="KS11" i="13"/>
  <c r="KS8" i="13"/>
  <c r="AAK8" i="13"/>
  <c r="AAK7" i="13"/>
  <c r="AAK11" i="13"/>
  <c r="UN7" i="13"/>
  <c r="UN11" i="13"/>
  <c r="UN8" i="13"/>
  <c r="EV7" i="13"/>
  <c r="EV11" i="13"/>
  <c r="EV8" i="13"/>
  <c r="IT7" i="13"/>
  <c r="IT8" i="13"/>
  <c r="IT11" i="13"/>
  <c r="OQ8" i="13"/>
  <c r="OQ7" i="13"/>
  <c r="OQ11" i="13"/>
  <c r="EW6" i="13"/>
  <c r="ACK189" i="13"/>
  <c r="ACK6" i="13" s="1"/>
  <c r="AAL176" i="13"/>
  <c r="AAL6" i="13" s="1"/>
  <c r="YM163" i="13"/>
  <c r="YM6" i="13" s="1"/>
  <c r="WN150" i="13"/>
  <c r="WN6" i="13" s="1"/>
  <c r="SP124" i="13"/>
  <c r="SP6" i="13" s="1"/>
  <c r="OR98" i="13"/>
  <c r="OR6" i="13" s="1"/>
  <c r="GV46" i="13"/>
  <c r="GV6" i="13" s="1"/>
  <c r="MS85" i="13"/>
  <c r="MS6" i="13" s="1"/>
  <c r="KT72" i="13"/>
  <c r="KT6" i="13" s="1"/>
  <c r="IU59" i="13"/>
  <c r="IU6" i="13" s="1"/>
  <c r="UO137" i="13"/>
  <c r="UO6" i="13" s="1"/>
  <c r="QQ111" i="13"/>
  <c r="QQ6" i="13" s="1"/>
  <c r="EW34" i="13"/>
  <c r="MR7" i="13"/>
  <c r="MR8" i="13"/>
  <c r="MR11" i="13"/>
  <c r="GU8" i="13"/>
  <c r="GU7" i="13"/>
  <c r="GU11" i="13"/>
  <c r="WM7" i="13"/>
  <c r="WM8" i="13"/>
  <c r="WM11" i="13"/>
  <c r="AAK10" i="13" l="1"/>
  <c r="AAK9" i="13"/>
  <c r="SO9" i="13"/>
  <c r="SO10" i="13"/>
  <c r="KS10" i="13"/>
  <c r="KS9" i="13"/>
  <c r="MR10" i="13"/>
  <c r="MR9" i="13"/>
  <c r="OQ13" i="13"/>
  <c r="OQ12" i="13"/>
  <c r="KS12" i="13"/>
  <c r="KS13" i="13"/>
  <c r="ACJ13" i="13"/>
  <c r="ACJ12" i="13"/>
  <c r="EV9" i="13"/>
  <c r="EV10" i="13"/>
  <c r="UN10" i="13"/>
  <c r="UN9" i="13"/>
  <c r="ACJ9" i="13"/>
  <c r="ACJ10" i="13"/>
  <c r="GU10" i="13"/>
  <c r="GU9" i="13"/>
  <c r="WM9" i="13"/>
  <c r="WM10" i="13"/>
  <c r="EW2" i="13"/>
  <c r="EW3" i="13"/>
  <c r="AAL177" i="13"/>
  <c r="ACK190" i="13"/>
  <c r="WN151" i="13"/>
  <c r="YM164" i="13"/>
  <c r="MS86" i="13"/>
  <c r="EW39" i="13"/>
  <c r="SP125" i="13"/>
  <c r="KT73" i="13"/>
  <c r="GV47" i="13"/>
  <c r="OR99" i="13"/>
  <c r="IU60" i="13"/>
  <c r="UO138" i="13"/>
  <c r="EW36" i="13"/>
  <c r="EX33" i="13" s="1"/>
  <c r="QQ112" i="13"/>
  <c r="OQ9" i="13"/>
  <c r="OQ10" i="13"/>
  <c r="UN13" i="13"/>
  <c r="UN12" i="13"/>
  <c r="YL10" i="13"/>
  <c r="YL9" i="13"/>
  <c r="IT12" i="13"/>
  <c r="IT13" i="13"/>
  <c r="YL12" i="13"/>
  <c r="YL13" i="13"/>
  <c r="QP13" i="13"/>
  <c r="QP12" i="13"/>
  <c r="IT9" i="13"/>
  <c r="IT10" i="13"/>
  <c r="AAK12" i="13"/>
  <c r="AAK13" i="13"/>
  <c r="MR13" i="13"/>
  <c r="MR12" i="13"/>
  <c r="EV12" i="13"/>
  <c r="EV13" i="13"/>
  <c r="WM12" i="13"/>
  <c r="WM13" i="13"/>
  <c r="GU12" i="13"/>
  <c r="GU13" i="13"/>
  <c r="SO12" i="13"/>
  <c r="SO13" i="13"/>
  <c r="QP9" i="13"/>
  <c r="QP10" i="13"/>
  <c r="QQ3" i="13" l="1"/>
  <c r="QQ2" i="13"/>
  <c r="UO2" i="13"/>
  <c r="UO3" i="13"/>
  <c r="AAL182" i="13"/>
  <c r="WN156" i="13"/>
  <c r="YM169" i="13"/>
  <c r="ACK195" i="13"/>
  <c r="UO143" i="13"/>
  <c r="GV52" i="13"/>
  <c r="OR104" i="13"/>
  <c r="MS91" i="13"/>
  <c r="KT78" i="13"/>
  <c r="SP130" i="13"/>
  <c r="QQ117" i="13"/>
  <c r="IU65" i="13"/>
  <c r="MS2" i="13"/>
  <c r="MS3" i="13"/>
  <c r="IU2" i="13"/>
  <c r="IU3" i="13"/>
  <c r="WN2" i="13"/>
  <c r="WN3" i="13"/>
  <c r="OR2" i="13"/>
  <c r="OR3" i="13"/>
  <c r="ACK2" i="13"/>
  <c r="ACK3" i="13"/>
  <c r="EW4" i="13"/>
  <c r="EW5" i="13" s="1"/>
  <c r="ACK192" i="13"/>
  <c r="ACK4" i="13" s="1"/>
  <c r="ACK5" i="13" s="1"/>
  <c r="AAL179" i="13"/>
  <c r="AAL4" i="13" s="1"/>
  <c r="WN153" i="13"/>
  <c r="WN4" i="13" s="1"/>
  <c r="WN5" i="13" s="1"/>
  <c r="YM166" i="13"/>
  <c r="YM4" i="13" s="1"/>
  <c r="OR101" i="13"/>
  <c r="OR4" i="13" s="1"/>
  <c r="OR5" i="13" s="1"/>
  <c r="GV49" i="13"/>
  <c r="GV4" i="13" s="1"/>
  <c r="MS88" i="13"/>
  <c r="MS4" i="13" s="1"/>
  <c r="MS5" i="13" s="1"/>
  <c r="IU62" i="13"/>
  <c r="IU4" i="13" s="1"/>
  <c r="IU5" i="13" s="1"/>
  <c r="QQ114" i="13"/>
  <c r="QQ4" i="13" s="1"/>
  <c r="QQ5" i="13" s="1"/>
  <c r="UO140" i="13"/>
  <c r="UO4" i="13" s="1"/>
  <c r="UO5" i="13" s="1"/>
  <c r="KT75" i="13"/>
  <c r="KT4" i="13" s="1"/>
  <c r="SP127" i="13"/>
  <c r="SP4" i="13" s="1"/>
  <c r="GV2" i="13"/>
  <c r="GV3" i="13"/>
  <c r="AAL2" i="13"/>
  <c r="AAL3" i="13"/>
  <c r="YM3" i="13"/>
  <c r="YM2" i="13"/>
  <c r="KT2" i="13"/>
  <c r="KT3" i="13"/>
  <c r="SP2" i="13"/>
  <c r="SP3" i="13"/>
  <c r="AAL5" i="13" l="1"/>
  <c r="YM5" i="13"/>
  <c r="KT5" i="13"/>
  <c r="SP5" i="13"/>
  <c r="GV5" i="13"/>
  <c r="OR7" i="13"/>
  <c r="OR8" i="13"/>
  <c r="OR11" i="13"/>
  <c r="YM8" i="13"/>
  <c r="YM7" i="13"/>
  <c r="YM11" i="13"/>
  <c r="SP7" i="13"/>
  <c r="SP8" i="13"/>
  <c r="SP11" i="13"/>
  <c r="WN7" i="13"/>
  <c r="WN11" i="13"/>
  <c r="WN8" i="13"/>
  <c r="UO7" i="13"/>
  <c r="UO11" i="13"/>
  <c r="UO8" i="13"/>
  <c r="AAL11" i="13"/>
  <c r="AAL8" i="13"/>
  <c r="AAL7" i="13"/>
  <c r="ACK7" i="13"/>
  <c r="ACK11" i="13"/>
  <c r="ACK8" i="13"/>
  <c r="KT7" i="13"/>
  <c r="KT8" i="13"/>
  <c r="KT11" i="13"/>
  <c r="QQ8" i="13"/>
  <c r="QQ7" i="13"/>
  <c r="QQ11" i="13"/>
  <c r="IU7" i="13"/>
  <c r="IU11" i="13"/>
  <c r="IU8" i="13"/>
  <c r="EW7" i="13"/>
  <c r="EW8" i="13"/>
  <c r="EW11" i="13"/>
  <c r="MS7" i="13"/>
  <c r="MS8" i="13"/>
  <c r="MS11" i="13"/>
  <c r="EX6" i="13"/>
  <c r="ACL189" i="13"/>
  <c r="ACL6" i="13" s="1"/>
  <c r="AAM176" i="13"/>
  <c r="AAM6" i="13" s="1"/>
  <c r="YN163" i="13"/>
  <c r="YN6" i="13" s="1"/>
  <c r="WO150" i="13"/>
  <c r="WO6" i="13" s="1"/>
  <c r="OS98" i="13"/>
  <c r="OS6" i="13" s="1"/>
  <c r="GW46" i="13"/>
  <c r="GW6" i="13" s="1"/>
  <c r="UP137" i="13"/>
  <c r="UP6" i="13" s="1"/>
  <c r="MT85" i="13"/>
  <c r="MT6" i="13" s="1"/>
  <c r="EX34" i="13"/>
  <c r="R20" i="13" s="1"/>
  <c r="KU72" i="13"/>
  <c r="KU6" i="13" s="1"/>
  <c r="IV59" i="13"/>
  <c r="IV6" i="13" s="1"/>
  <c r="SQ124" i="13"/>
  <c r="SQ6" i="13" s="1"/>
  <c r="QR111" i="13"/>
  <c r="QR6" i="13" s="1"/>
  <c r="GV7" i="13"/>
  <c r="GV8" i="13"/>
  <c r="GV11" i="13"/>
  <c r="EW10" i="13" l="1"/>
  <c r="EW9" i="13"/>
  <c r="KT12" i="13"/>
  <c r="KT13" i="13"/>
  <c r="AAL13" i="13"/>
  <c r="AAL12" i="13"/>
  <c r="SP9" i="13"/>
  <c r="SP10" i="13"/>
  <c r="KT9" i="13"/>
  <c r="KT10" i="13"/>
  <c r="UO10" i="13"/>
  <c r="UO9" i="13"/>
  <c r="IU9" i="13"/>
  <c r="IU10" i="13"/>
  <c r="UO12" i="13"/>
  <c r="UO13" i="13"/>
  <c r="YM12" i="13"/>
  <c r="YM13" i="13"/>
  <c r="IU12" i="13"/>
  <c r="IU13" i="13"/>
  <c r="ACK10" i="13"/>
  <c r="ACK9" i="13"/>
  <c r="GV12" i="13"/>
  <c r="GV13" i="13"/>
  <c r="MS13" i="13"/>
  <c r="MS12" i="13"/>
  <c r="ACK12" i="13"/>
  <c r="ACK13" i="13"/>
  <c r="WN10" i="13"/>
  <c r="WN9" i="13"/>
  <c r="YM9" i="13"/>
  <c r="YM10" i="13"/>
  <c r="EX2" i="13"/>
  <c r="EX3" i="13"/>
  <c r="ACL190" i="13"/>
  <c r="YN164" i="13"/>
  <c r="AAM177" i="13"/>
  <c r="WO151" i="13"/>
  <c r="MT86" i="13"/>
  <c r="KU73" i="13"/>
  <c r="UP138" i="13"/>
  <c r="EX39" i="13"/>
  <c r="T20" i="13" s="1"/>
  <c r="IV60" i="13"/>
  <c r="QR112" i="13"/>
  <c r="OS99" i="13"/>
  <c r="GW47" i="13"/>
  <c r="EX36" i="13"/>
  <c r="EY33" i="13" s="1"/>
  <c r="SQ125" i="13"/>
  <c r="GV9" i="13"/>
  <c r="GV10" i="13"/>
  <c r="MS9" i="13"/>
  <c r="MS10" i="13"/>
  <c r="QQ13" i="13"/>
  <c r="QQ12" i="13"/>
  <c r="WN13" i="13"/>
  <c r="WN12" i="13"/>
  <c r="OR12" i="13"/>
  <c r="OR13" i="13"/>
  <c r="OR9" i="13"/>
  <c r="OR10" i="13"/>
  <c r="EW13" i="13"/>
  <c r="EW12" i="13"/>
  <c r="QQ9" i="13"/>
  <c r="QQ10" i="13"/>
  <c r="AAL9" i="13"/>
  <c r="AAL10" i="13"/>
  <c r="SP12" i="13"/>
  <c r="SP13" i="13"/>
  <c r="F17" i="13" l="1"/>
  <c r="F19" i="13"/>
  <c r="SQ2" i="13"/>
  <c r="SQ3" i="13"/>
  <c r="KU2" i="13"/>
  <c r="KU3" i="13"/>
  <c r="OS2" i="13"/>
  <c r="OS3" i="13"/>
  <c r="QR3" i="13"/>
  <c r="QR2" i="13"/>
  <c r="YN2" i="13"/>
  <c r="YN3" i="13"/>
  <c r="AAM2" i="13"/>
  <c r="AAM3" i="13"/>
  <c r="IV2" i="13"/>
  <c r="IV3" i="13"/>
  <c r="ACL2" i="13"/>
  <c r="ACL3" i="13"/>
  <c r="EX4" i="13"/>
  <c r="EX5" i="13" s="1"/>
  <c r="X21" i="13" s="1"/>
  <c r="K22" i="13" s="1"/>
  <c r="ACL192" i="13"/>
  <c r="ACL4" i="13" s="1"/>
  <c r="AAM179" i="13"/>
  <c r="AAM4" i="13" s="1"/>
  <c r="AAM5" i="13" s="1"/>
  <c r="YN166" i="13"/>
  <c r="YN4" i="13" s="1"/>
  <c r="YN5" i="13" s="1"/>
  <c r="WO153" i="13"/>
  <c r="WO4" i="13" s="1"/>
  <c r="SQ127" i="13"/>
  <c r="SQ4" i="13" s="1"/>
  <c r="SQ5" i="13" s="1"/>
  <c r="MT88" i="13"/>
  <c r="MT4" i="13" s="1"/>
  <c r="QR114" i="13"/>
  <c r="QR4" i="13" s="1"/>
  <c r="QR5" i="13" s="1"/>
  <c r="OS101" i="13"/>
  <c r="OS4" i="13" s="1"/>
  <c r="UP140" i="13"/>
  <c r="UP4" i="13" s="1"/>
  <c r="GW49" i="13"/>
  <c r="GW4" i="13" s="1"/>
  <c r="IV62" i="13"/>
  <c r="IV4" i="13" s="1"/>
  <c r="KU75" i="13"/>
  <c r="KU4" i="13" s="1"/>
  <c r="KU5" i="13" s="1"/>
  <c r="WO2" i="13"/>
  <c r="WO3" i="13"/>
  <c r="ACL195" i="13"/>
  <c r="AAM182" i="13"/>
  <c r="WO156" i="13"/>
  <c r="YN169" i="13"/>
  <c r="OS104" i="13"/>
  <c r="IV65" i="13"/>
  <c r="MT91" i="13"/>
  <c r="QR117" i="13"/>
  <c r="KU78" i="13"/>
  <c r="GW52" i="13"/>
  <c r="SQ130" i="13"/>
  <c r="UP143" i="13"/>
  <c r="MT2" i="13"/>
  <c r="MT3" i="13"/>
  <c r="GW2" i="13"/>
  <c r="GW3" i="13"/>
  <c r="UP3" i="13"/>
  <c r="UP2" i="13"/>
  <c r="IV5" i="13" l="1"/>
  <c r="UP5" i="13"/>
  <c r="WO5" i="13"/>
  <c r="ACL5" i="13"/>
  <c r="GW5" i="13"/>
  <c r="OS5" i="13"/>
  <c r="MT5" i="13"/>
  <c r="A24" i="13"/>
  <c r="AA21" i="13"/>
  <c r="QR7" i="13"/>
  <c r="QR8" i="13"/>
  <c r="QR11" i="13"/>
  <c r="MT8" i="13"/>
  <c r="MT7" i="13"/>
  <c r="MT11" i="13"/>
  <c r="SQ7" i="13"/>
  <c r="SQ11" i="13"/>
  <c r="SQ8" i="13"/>
  <c r="KU8" i="13"/>
  <c r="KU7" i="13"/>
  <c r="KU11" i="13"/>
  <c r="WO7" i="13"/>
  <c r="WO8" i="13"/>
  <c r="WO11" i="13"/>
  <c r="IV8" i="13"/>
  <c r="IV7" i="13"/>
  <c r="IV11" i="13"/>
  <c r="YN8" i="13"/>
  <c r="YN7" i="13"/>
  <c r="YN11" i="13"/>
  <c r="GW7" i="13"/>
  <c r="GW8" i="13"/>
  <c r="GW11" i="13"/>
  <c r="AAM7" i="13"/>
  <c r="AAM8" i="13"/>
  <c r="AAM11" i="13"/>
  <c r="EY6" i="13"/>
  <c r="I16" i="13" s="1"/>
  <c r="ACM189" i="13"/>
  <c r="ACM6" i="13" s="1"/>
  <c r="AAN176" i="13"/>
  <c r="AAN6" i="13" s="1"/>
  <c r="YO163" i="13"/>
  <c r="YO6" i="13" s="1"/>
  <c r="WP150" i="13"/>
  <c r="WP6" i="13" s="1"/>
  <c r="QS111" i="13"/>
  <c r="QS6" i="13" s="1"/>
  <c r="IW59" i="13"/>
  <c r="IW6" i="13" s="1"/>
  <c r="GX46" i="13"/>
  <c r="GX6" i="13" s="1"/>
  <c r="EY34" i="13"/>
  <c r="KV72" i="13"/>
  <c r="KV6" i="13" s="1"/>
  <c r="OT98" i="13"/>
  <c r="OT6" i="13" s="1"/>
  <c r="MU85" i="13"/>
  <c r="MU6" i="13" s="1"/>
  <c r="UQ137" i="13"/>
  <c r="UQ6" i="13" s="1"/>
  <c r="SR124" i="13"/>
  <c r="SR6" i="13" s="1"/>
  <c r="UP7" i="13"/>
  <c r="UP8" i="13"/>
  <c r="UP11" i="13"/>
  <c r="ACL11" i="13"/>
  <c r="ACL7" i="13"/>
  <c r="ACL8" i="13"/>
  <c r="OS8" i="13"/>
  <c r="OS11" i="13"/>
  <c r="OS7" i="13"/>
  <c r="EX7" i="13"/>
  <c r="EX8" i="13"/>
  <c r="EX11" i="13"/>
  <c r="I17" i="13" l="1"/>
  <c r="I18" i="13"/>
  <c r="GW12" i="13"/>
  <c r="GW13" i="13"/>
  <c r="IV9" i="13"/>
  <c r="IV10" i="13"/>
  <c r="SQ12" i="13"/>
  <c r="SQ13" i="13"/>
  <c r="GW10" i="13"/>
  <c r="GW9" i="13"/>
  <c r="WO13" i="13"/>
  <c r="WO12" i="13"/>
  <c r="WO10" i="13"/>
  <c r="WO9" i="13"/>
  <c r="MT13" i="13"/>
  <c r="MT12" i="13"/>
  <c r="UP9" i="13"/>
  <c r="UP10" i="13"/>
  <c r="YN12" i="13"/>
  <c r="YN13" i="13"/>
  <c r="EX12" i="13"/>
  <c r="EX13" i="13"/>
  <c r="ACL12" i="13"/>
  <c r="ACL13" i="13"/>
  <c r="EX10" i="13"/>
  <c r="EX9" i="13"/>
  <c r="UP12" i="13"/>
  <c r="UP13" i="13"/>
  <c r="KU13" i="13"/>
  <c r="KU12" i="13"/>
  <c r="MT9" i="13"/>
  <c r="MT10" i="13"/>
  <c r="EY2" i="13"/>
  <c r="R21" i="13" s="1"/>
  <c r="EY3" i="13"/>
  <c r="ACM190" i="13"/>
  <c r="AAN177" i="13"/>
  <c r="YO164" i="13"/>
  <c r="WP151" i="13"/>
  <c r="OT99" i="13"/>
  <c r="GX47" i="13"/>
  <c r="EY39" i="13"/>
  <c r="S20" i="13" s="1"/>
  <c r="QS112" i="13"/>
  <c r="MU86" i="13"/>
  <c r="Q20" i="13"/>
  <c r="KV73" i="13"/>
  <c r="UQ138" i="13"/>
  <c r="IW60" i="13"/>
  <c r="SR125" i="13"/>
  <c r="EY36" i="13"/>
  <c r="OS13" i="13"/>
  <c r="OS12" i="13"/>
  <c r="AAM12" i="13"/>
  <c r="AAM13" i="13"/>
  <c r="YN10" i="13"/>
  <c r="YN9" i="13"/>
  <c r="QR12" i="13"/>
  <c r="QR13" i="13"/>
  <c r="OS9" i="13"/>
  <c r="OS10" i="13"/>
  <c r="AAM9" i="13"/>
  <c r="AAM10" i="13"/>
  <c r="IV12" i="13"/>
  <c r="IV13" i="13"/>
  <c r="KU9" i="13"/>
  <c r="KU10" i="13"/>
  <c r="QR10" i="13"/>
  <c r="QR9" i="13"/>
  <c r="ACL9" i="13"/>
  <c r="ACL10" i="13"/>
  <c r="SQ9" i="13"/>
  <c r="SQ10" i="13"/>
  <c r="U21" i="13" l="1"/>
  <c r="J24" i="13" s="1"/>
  <c r="T21" i="13"/>
  <c r="J22" i="13" s="1"/>
  <c r="E20" i="13"/>
  <c r="E21" i="13" s="1"/>
  <c r="EY4" i="13"/>
  <c r="GX2" i="13"/>
  <c r="GX3" i="13"/>
  <c r="ACM195" i="13"/>
  <c r="YO169" i="13"/>
  <c r="WP156" i="13"/>
  <c r="AAN182" i="13"/>
  <c r="QS117" i="13"/>
  <c r="GX52" i="13"/>
  <c r="IW65" i="13"/>
  <c r="UQ143" i="13"/>
  <c r="OT104" i="13"/>
  <c r="MU91" i="13"/>
  <c r="KV78" i="13"/>
  <c r="SR130" i="13"/>
  <c r="IW2" i="13"/>
  <c r="IW3" i="13"/>
  <c r="UQ2" i="13"/>
  <c r="UQ3" i="13"/>
  <c r="OT2" i="13"/>
  <c r="OT3" i="13"/>
  <c r="WP2" i="13"/>
  <c r="WP3" i="13"/>
  <c r="KV2" i="13"/>
  <c r="KV3" i="13"/>
  <c r="YO3" i="13"/>
  <c r="YO2" i="13"/>
  <c r="AAN179" i="13"/>
  <c r="AAN4" i="13" s="1"/>
  <c r="ACM192" i="13"/>
  <c r="ACM4" i="13" s="1"/>
  <c r="YO166" i="13"/>
  <c r="YO4" i="13" s="1"/>
  <c r="WP153" i="13"/>
  <c r="WP4" i="13" s="1"/>
  <c r="WP5" i="13" s="1"/>
  <c r="KV75" i="13"/>
  <c r="KV4" i="13" s="1"/>
  <c r="KV5" i="13" s="1"/>
  <c r="SR127" i="13"/>
  <c r="SR4" i="13" s="1"/>
  <c r="V20" i="13"/>
  <c r="OT101" i="13"/>
  <c r="OT4" i="13" s="1"/>
  <c r="OT5" i="13" s="1"/>
  <c r="MU88" i="13"/>
  <c r="MU4" i="13" s="1"/>
  <c r="UQ140" i="13"/>
  <c r="UQ4" i="13" s="1"/>
  <c r="UQ5" i="13" s="1"/>
  <c r="GX49" i="13"/>
  <c r="GX4" i="13" s="1"/>
  <c r="QS114" i="13"/>
  <c r="QS4" i="13" s="1"/>
  <c r="IW62" i="13"/>
  <c r="IW4" i="13" s="1"/>
  <c r="AAN3" i="13"/>
  <c r="AAN2" i="13"/>
  <c r="MU2" i="13"/>
  <c r="MU3" i="13"/>
  <c r="ACM3" i="13"/>
  <c r="ACM2" i="13"/>
  <c r="SR2" i="13"/>
  <c r="Q21" i="13" s="1"/>
  <c r="SR3" i="13"/>
  <c r="S21" i="13" s="1"/>
  <c r="J23" i="13" s="1"/>
  <c r="QS2" i="13"/>
  <c r="QS3" i="13"/>
  <c r="GX5" i="13" l="1"/>
  <c r="YO5" i="13"/>
  <c r="QS5" i="13"/>
  <c r="ACM5" i="13"/>
  <c r="MU5" i="13"/>
  <c r="AAN5" i="13"/>
  <c r="J16" i="13"/>
  <c r="EY5" i="13"/>
  <c r="W21" i="13" s="1"/>
  <c r="IW5" i="13"/>
  <c r="SR5" i="13"/>
  <c r="YO8" i="13"/>
  <c r="YO11" i="13"/>
  <c r="YO7" i="13"/>
  <c r="UQ8" i="13"/>
  <c r="UQ7" i="13"/>
  <c r="UQ11" i="13"/>
  <c r="ACM8" i="13"/>
  <c r="ACM11" i="13"/>
  <c r="ACM7" i="13"/>
  <c r="AAN8" i="13"/>
  <c r="AAN7" i="13"/>
  <c r="AAN11" i="13"/>
  <c r="J18" i="13"/>
  <c r="OT7" i="13"/>
  <c r="OT8" i="13"/>
  <c r="OT11" i="13"/>
  <c r="EY7" i="13"/>
  <c r="K16" i="13" s="1"/>
  <c r="EY8" i="13"/>
  <c r="EY11" i="13"/>
  <c r="V21" i="13"/>
  <c r="MU7" i="13"/>
  <c r="MU8" i="13"/>
  <c r="MU11" i="13"/>
  <c r="J17" i="13"/>
  <c r="IW8" i="13"/>
  <c r="IW11" i="13"/>
  <c r="IW7" i="13"/>
  <c r="SR8" i="13"/>
  <c r="SR7" i="13"/>
  <c r="SR11" i="13"/>
  <c r="QS7" i="13"/>
  <c r="QS8" i="13"/>
  <c r="QS11" i="13"/>
  <c r="KV7" i="13"/>
  <c r="KV8" i="13"/>
  <c r="KV11" i="13"/>
  <c r="GX8" i="13"/>
  <c r="GX11" i="13"/>
  <c r="GX7" i="13"/>
  <c r="WP8" i="13"/>
  <c r="WP7" i="13"/>
  <c r="WP11" i="13"/>
  <c r="Y21" i="13" l="1"/>
  <c r="K24" i="13" s="1"/>
  <c r="K23" i="13"/>
  <c r="M16" i="13"/>
  <c r="L16" i="13"/>
  <c r="K17" i="13"/>
  <c r="QS9" i="13"/>
  <c r="QS10" i="13"/>
  <c r="ACM12" i="13"/>
  <c r="ACM13" i="13"/>
  <c r="ACM10" i="13"/>
  <c r="ACM9" i="13"/>
  <c r="SR12" i="13"/>
  <c r="SR13" i="13"/>
  <c r="GX9" i="13"/>
  <c r="GX10" i="13"/>
  <c r="AAN12" i="13"/>
  <c r="AAN13" i="13"/>
  <c r="UQ9" i="13"/>
  <c r="UQ10" i="13"/>
  <c r="EY12" i="13"/>
  <c r="EY13" i="13"/>
  <c r="K18" i="13"/>
  <c r="KV13" i="13"/>
  <c r="KV12" i="13"/>
  <c r="KV9" i="13"/>
  <c r="KV10" i="13"/>
  <c r="WP13" i="13"/>
  <c r="WP12" i="13"/>
  <c r="IW12" i="13"/>
  <c r="IW13" i="13"/>
  <c r="EY9" i="13"/>
  <c r="EY10" i="13"/>
  <c r="AAN9" i="13"/>
  <c r="AAN10" i="13"/>
  <c r="YO13" i="13"/>
  <c r="YO12" i="13"/>
  <c r="WP9" i="13"/>
  <c r="WP10" i="13"/>
  <c r="OT13" i="13"/>
  <c r="OT12" i="13"/>
  <c r="MU13" i="13"/>
  <c r="MU12" i="13"/>
  <c r="OT10" i="13"/>
  <c r="OT9" i="13"/>
  <c r="GX12" i="13"/>
  <c r="GX13" i="13"/>
  <c r="MU9" i="13"/>
  <c r="MU10" i="13"/>
  <c r="UQ13" i="13"/>
  <c r="UQ12" i="13"/>
  <c r="SR10" i="13"/>
  <c r="SR9" i="13"/>
  <c r="QS12" i="13"/>
  <c r="QS13" i="13"/>
  <c r="IW10" i="13"/>
  <c r="IW9" i="13"/>
  <c r="YO10" i="13"/>
  <c r="YO9" i="13"/>
  <c r="M18" i="13" l="1"/>
  <c r="L18" i="13"/>
  <c r="M17" i="13"/>
  <c r="L17" i="13"/>
  <c r="AB21" i="13"/>
  <c r="AC21" i="13"/>
  <c r="AE21" i="13"/>
  <c r="AD21" i="1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DCA8452-9636-4C93-8218-0D716D1F402C}" keepAlive="1" name="Query - Curve 10 for IGB" description="Connection to the 'Curve 10 for IGB' query in the workbook." type="5" refreshedVersion="6" background="1">
    <dbPr connection="Provider=Microsoft.Mashup.OleDb.1;Data Source=$Workbook$;Location=Curve 10 for IGB;Extended Properties=&quot;&quot;" command="SELECT * FROM [Curve 10 for IGB]"/>
  </connection>
  <connection id="2" xr16:uid="{18F1EAFB-7CBD-48E4-945D-6084BE7B0DE4}" keepAlive="1" name="Query - Curve 10 for IGB (2)" description="Connection to the 'Curve 10 for IGB (2)' query in the workbook." type="5" refreshedVersion="6" background="1">
    <dbPr connection="Provider=Microsoft.Mashup.OleDb.1;Data Source=$Workbook$;Location=Curve 10 for IGB (2);Extended Properties=&quot;&quot;" command="SELECT * FROM [Curve 10 for IGB (2)]"/>
  </connection>
  <connection id="3" xr16:uid="{3469E0ED-B825-4BEB-948C-C6B163B5FE01}" keepAlive="1" name="Query - Curve 10 for IGB (3)" description="Connection to the 'Curve 10 for IGB (3)' query in the workbook." type="5" refreshedVersion="6" background="1">
    <dbPr connection="Provider=Microsoft.Mashup.OleDb.1;Data Source=$Workbook$;Location=Curve 10 for IGB (3);Extended Properties=&quot;&quot;" command="SELECT * FROM [Curve 10 for IGB (3)]"/>
  </connection>
  <connection id="4" xr16:uid="{B996CF69-900D-45CE-ABAE-CC63FC971B54}" keepAlive="1" name="Query - Curve 10 for IGB (4)" description="Connection to the 'Curve 10 for IGB (4)' query in the workbook." type="5" refreshedVersion="6" background="1" saveData="1">
    <dbPr connection="Provider=Microsoft.Mashup.OleDb.1;Data Source=$Workbook$;Location=&quot;Curve 10 for IGB (4)&quot;;Extended Properties=&quot;&quot;" command="SELECT * FROM [Curve 10 for IGB (4)]"/>
  </connection>
</connections>
</file>

<file path=xl/sharedStrings.xml><?xml version="1.0" encoding="utf-8"?>
<sst xmlns="http://schemas.openxmlformats.org/spreadsheetml/2006/main" count="1188" uniqueCount="267">
  <si>
    <t>B1</t>
  </si>
  <si>
    <t>OBS MANIP</t>
  </si>
  <si>
    <t>DEAD FISH %</t>
  </si>
  <si>
    <t>SECTION</t>
  </si>
  <si>
    <t>B2</t>
  </si>
  <si>
    <t>B3</t>
  </si>
  <si>
    <t>B4</t>
  </si>
  <si>
    <t>B5</t>
  </si>
  <si>
    <t>B6</t>
  </si>
  <si>
    <t>-</t>
  </si>
  <si>
    <t>AVERAGE WEIGHT KG</t>
  </si>
  <si>
    <t>BM KG</t>
  </si>
  <si>
    <t>Ration % BM</t>
  </si>
  <si>
    <t>FCR</t>
  </si>
  <si>
    <t>FISH #</t>
  </si>
  <si>
    <t>DEAD #</t>
  </si>
  <si>
    <t>DAYS</t>
  </si>
  <si>
    <t>TOTAL FEED SYSTEM (KG/D)</t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</si>
  <si>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3</t>
    </r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</si>
  <si>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4</t>
    </r>
    <r>
      <rPr>
        <sz val="11"/>
        <color theme="1"/>
        <rFont val="Calibri"/>
        <family val="2"/>
        <scheme val="minor"/>
      </rPr>
      <t/>
    </r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</si>
  <si>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5</t>
    </r>
    <r>
      <rPr>
        <sz val="11"/>
        <color theme="1"/>
        <rFont val="Calibri"/>
        <family val="2"/>
        <scheme val="minor"/>
      </rPr>
      <t/>
    </r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</si>
  <si>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/>
    </r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</si>
  <si>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7</t>
    </r>
    <r>
      <rPr>
        <sz val="11"/>
        <color theme="1"/>
        <rFont val="Calibri"/>
        <family val="2"/>
        <scheme val="minor"/>
      </rPr>
      <t/>
    </r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</si>
  <si>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8</t>
    </r>
    <r>
      <rPr>
        <sz val="11"/>
        <color theme="1"/>
        <rFont val="Calibri"/>
        <family val="2"/>
        <scheme val="minor"/>
      </rPr>
      <t/>
    </r>
  </si>
  <si>
    <t>BIOMASS TOTAL SYSTEM (KG)</t>
  </si>
  <si>
    <t>HARVEST #</t>
  </si>
  <si>
    <t>Harvest</t>
  </si>
  <si>
    <t>GRADE</t>
  </si>
  <si>
    <t>MAX STANDING BIOMASS (KG)</t>
  </si>
  <si>
    <t>MAX FEED (KG/D)</t>
  </si>
  <si>
    <t>TOTAL HARVEST PER BATCH (KG ROUND FISH)</t>
  </si>
  <si>
    <t>INITIAL BATCH SIZE</t>
  </si>
  <si>
    <t>FISH</t>
  </si>
  <si>
    <t>TEMPERATURE (C°)</t>
  </si>
  <si>
    <t xml:space="preserve">FishCUBE </t>
  </si>
  <si>
    <t>10-30 g</t>
  </si>
  <si>
    <t>30-70 g</t>
  </si>
  <si>
    <t>70-100 g</t>
  </si>
  <si>
    <t>100-200 g</t>
  </si>
  <si>
    <t>200-400 g</t>
  </si>
  <si>
    <t>400-800 g</t>
  </si>
  <si>
    <t>&gt; 800 g</t>
  </si>
  <si>
    <t>30-50 g</t>
  </si>
  <si>
    <t>50-100 g</t>
  </si>
  <si>
    <t>100-150 g</t>
  </si>
  <si>
    <t>150-300 g</t>
  </si>
  <si>
    <t>300-500 g</t>
  </si>
  <si>
    <t>500-1000 g</t>
  </si>
  <si>
    <t>1000-1500 g</t>
  </si>
  <si>
    <t>Bona Float/Claria Float (2 mm) + Bona Float</t>
  </si>
  <si>
    <t>Aller Performa (2 mm) + Claria Float</t>
  </si>
  <si>
    <t>Aller Performa (2mm) + Bona Float</t>
  </si>
  <si>
    <t>Aller Performa (2mm) + Primo Float</t>
  </si>
  <si>
    <t xml:space="preserve">IN </t>
  </si>
  <si>
    <t>OUT</t>
  </si>
  <si>
    <t>FISH PER BATCH #</t>
  </si>
  <si>
    <t>AVERAGE WEIGHT (KG)</t>
  </si>
  <si>
    <t>BIOMASS PER BATCH (KG)</t>
  </si>
  <si>
    <t>&gt; 1500 g</t>
  </si>
  <si>
    <r>
      <t>Volume (m</t>
    </r>
    <r>
      <rPr>
        <vertAlign val="superscript"/>
        <sz val="10"/>
        <rFont val="Calibri"/>
        <family val="2"/>
        <scheme val="minor"/>
      </rPr>
      <t>3</t>
    </r>
    <r>
      <rPr>
        <sz val="10"/>
        <rFont val="Calibri"/>
        <family val="2"/>
        <scheme val="minor"/>
      </rPr>
      <t>)</t>
    </r>
  </si>
  <si>
    <t>MAX DENSITY (KG/M3)</t>
  </si>
  <si>
    <t>%</t>
  </si>
  <si>
    <t>FEED DM UPPER BOUND</t>
  </si>
  <si>
    <t>FEED DM LOWER BOUND</t>
  </si>
  <si>
    <t xml:space="preserve">DM DIGESTIBILITY UPPER BOUND </t>
  </si>
  <si>
    <t xml:space="preserve">DM DIGESTIBILITY LOWER BOUND </t>
  </si>
  <si>
    <t>MECHANICAL FILTRATION EFFICIENCY</t>
  </si>
  <si>
    <t>COLLECTED FECES DM - LOW DIGEST</t>
  </si>
  <si>
    <t>COLLECTED FECES DM - HIGH DIGEST</t>
  </si>
  <si>
    <t>FECES HIGH DM FEED - LOW DIGEST</t>
  </si>
  <si>
    <t>FECES HIGH DM FEED - HIGH DIGEST</t>
  </si>
  <si>
    <t>MAX AVERAGE FECES DM - HIGH DM FEED (KG/D)</t>
  </si>
  <si>
    <t>MIN AVERAGE FECES DM - HIGH DM FEED (KG/D)</t>
  </si>
  <si>
    <t>MAX AVERAGE FECES DM - LOW DM FEED (KG/D)</t>
  </si>
  <si>
    <t>MIN AVERAGE FECES DM - LOW DM FEED (KG/D)</t>
  </si>
  <si>
    <t>LOW DM FEED - DM FED</t>
  </si>
  <si>
    <t>HIGH DM FEED - DM FED</t>
  </si>
  <si>
    <r>
      <t xml:space="preserve">*Schneider, O., Sereti, V., Eding, E. H., &amp; Verreth, J. A. J. (2005). Analysis of nutrient flows in integrated intensive aquaculture systems. </t>
    </r>
    <r>
      <rPr>
        <i/>
        <sz val="8"/>
        <color theme="1"/>
        <rFont val="Calibri"/>
        <family val="2"/>
        <scheme val="minor"/>
      </rPr>
      <t>Aquacultural Engineering</t>
    </r>
    <r>
      <rPr>
        <sz val="8"/>
        <color theme="1"/>
        <rFont val="Calibri"/>
        <family val="2"/>
        <scheme val="minor"/>
      </rPr>
      <t xml:space="preserve">, </t>
    </r>
    <r>
      <rPr>
        <i/>
        <sz val="8"/>
        <color theme="1"/>
        <rFont val="Calibri"/>
        <family val="2"/>
        <scheme val="minor"/>
      </rPr>
      <t>32</t>
    </r>
    <r>
      <rPr>
        <sz val="8"/>
        <color theme="1"/>
        <rFont val="Calibri"/>
        <family val="2"/>
        <scheme val="minor"/>
      </rPr>
      <t>(3–4), 379–401.</t>
    </r>
  </si>
  <si>
    <t>APPARENT DRY MATTER DIGESTIBILITY</t>
  </si>
  <si>
    <t>*Yeo, M. G., Blé, C. M., Otchoumou, A. K., Alla, Y. L., &amp; Etchian, A. O. (2017). Digestibility and growth performance in fingerlings of tilapia Oreochromis niloticus fed with diet containing high-carbohydrate ingredients. 5(4), 171–175.</t>
  </si>
  <si>
    <t>*Palupi, E. T., Setiawati, M., Lumlertdacha, S., &amp; Suprayudi, M. A. (2020). Growth performance, digestibility, and blood biochemical parameters of Nile tilapia (Oreochromis niloticus) reared in floating cages and fed poultry by-product meal. Journal of Applied Aquaculture, 32(1), 16–33.</t>
  </si>
  <si>
    <t>*Hernández, C., Olvera-Novoa, M. A., Hardy, R. W., Hermosillo, A., Reyes, C., &amp; GonzÁlez, B. (2010). Complete replacement of fish meal by porcine and poultry by-product meals in practical diets for fingerling Nile tilapia Oreochromis niloticus: Digestibility and growth performance. Aquaculture Nutrition, 16(1), 44–53.</t>
  </si>
  <si>
    <t>TRANSFER RHYTHM</t>
  </si>
  <si>
    <t>TILAPIA FEEDING (% BIOMASS/D)</t>
  </si>
  <si>
    <t>CLARIAS FEEDING (% BIOMASS/D)</t>
  </si>
  <si>
    <t>CLARIAS FEEDING 26 °C (% BIOMASS/D)</t>
  </si>
  <si>
    <t>Aller Performa (2 mm) (CP 45% / CF 20%)</t>
  </si>
  <si>
    <t>Aller Impress Float (2 mm) (CP 50% / CF 15%)</t>
  </si>
  <si>
    <t>Aller Claria Float (2mm) (CP 45% / CF 12%)</t>
  </si>
  <si>
    <t>50-100 g (3 mm)</t>
  </si>
  <si>
    <t>100-150 g (3 mm)</t>
  </si>
  <si>
    <t>150-300 g (4.5 mm)</t>
  </si>
  <si>
    <t>300-500 g (4.5 mm)</t>
  </si>
  <si>
    <t>500-1000 g (4.5 mm)</t>
  </si>
  <si>
    <t>1000-1500 g (4.5 mm)</t>
  </si>
  <si>
    <t>Aller Impress Float (3 mm - CP 48% / CF 13%) (4.5 mm - CP 41 % / CF 13%)</t>
  </si>
  <si>
    <t>Aller Claria Float (3 mm - CP 45% / CF 12%) (4.5 mm - CP 42 % / CF 12%) (6 mm - CP 40% / CF 12%)</t>
  </si>
  <si>
    <t>Aller Bona Float (3 mm - CP 42% / CF 12%) (4.5 mm - CP 42 % / CF 12%) (6 mm - CP 42% / CF 12%)</t>
  </si>
  <si>
    <t>10-30 g (2mm)</t>
  </si>
  <si>
    <t>30-50 g (2mm)</t>
  </si>
  <si>
    <t>Tank 1</t>
  </si>
  <si>
    <t>Tank 2 + 3</t>
  </si>
  <si>
    <t xml:space="preserve">Tank 4 + 5 + 6 </t>
  </si>
  <si>
    <t>BATCH eFCR</t>
  </si>
  <si>
    <t>Tank 4 + 5 + 6</t>
  </si>
  <si>
    <t>Ration KG/DAY</t>
  </si>
  <si>
    <t>TOTAL System</t>
  </si>
  <si>
    <t>REARING DENSITY TOTAL SYSTEM (KG/M3)</t>
  </si>
  <si>
    <t>Tanks</t>
  </si>
  <si>
    <t>B7</t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</si>
  <si>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9</t>
    </r>
    <r>
      <rPr>
        <sz val="11"/>
        <color theme="1"/>
        <rFont val="Calibri"/>
        <family val="2"/>
        <scheme val="minor"/>
      </rPr>
      <t/>
    </r>
  </si>
  <si>
    <t>B8</t>
  </si>
  <si>
    <t>B9</t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</si>
  <si>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10</t>
    </r>
    <r>
      <rPr>
        <sz val="11"/>
        <color theme="1"/>
        <rFont val="Calibri"/>
        <family val="2"/>
        <scheme val="minor"/>
      </rPr>
      <t/>
    </r>
  </si>
  <si>
    <t>HARVEST (KG/D)</t>
  </si>
  <si>
    <t>NaOH (KG/DAY)</t>
  </si>
  <si>
    <t>TOTAL FEED PER BATCH (KG)</t>
  </si>
  <si>
    <t>B10</t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</si>
  <si>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11</t>
    </r>
    <r>
      <rPr>
        <sz val="11"/>
        <color theme="1"/>
        <rFont val="Calibri"/>
        <family val="2"/>
        <scheme val="minor"/>
      </rPr>
      <t/>
    </r>
  </si>
  <si>
    <t>B11</t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</si>
  <si>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12</t>
    </r>
    <r>
      <rPr>
        <sz val="11"/>
        <color theme="1"/>
        <rFont val="Calibri"/>
        <family val="2"/>
        <scheme val="minor"/>
      </rPr>
      <t/>
    </r>
  </si>
  <si>
    <t>B12</t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</si>
  <si>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13</t>
    </r>
    <r>
      <rPr>
        <sz val="11"/>
        <color theme="1"/>
        <rFont val="Calibri"/>
        <family val="2"/>
        <scheme val="minor"/>
      </rPr>
      <t/>
    </r>
  </si>
  <si>
    <t>B13</t>
  </si>
  <si>
    <r>
      <t>DENSITY KG/M</t>
    </r>
    <r>
      <rPr>
        <b/>
        <vertAlign val="superscript"/>
        <sz val="14"/>
        <color theme="1"/>
        <rFont val="Calibri"/>
        <family val="2"/>
        <scheme val="minor"/>
      </rPr>
      <t>14</t>
    </r>
    <r>
      <rPr>
        <sz val="11"/>
        <color theme="1"/>
        <rFont val="Calibri"/>
        <family val="2"/>
        <scheme val="minor"/>
      </rPr>
      <t/>
    </r>
  </si>
  <si>
    <t xml:space="preserve">Year </t>
  </si>
  <si>
    <t>HARVEST (KG)</t>
  </si>
  <si>
    <t>FEED (KG)</t>
  </si>
  <si>
    <t>NaOH (KG)</t>
  </si>
  <si>
    <t>KOH (KG)</t>
  </si>
  <si>
    <t># FISH</t>
  </si>
  <si>
    <t>1/2</t>
  </si>
  <si>
    <r>
      <t>Ca(OH)</t>
    </r>
    <r>
      <rPr>
        <b/>
        <vertAlign val="subscript"/>
        <sz val="12"/>
        <color theme="1"/>
        <rFont val="Calibri"/>
        <family val="2"/>
        <scheme val="minor"/>
      </rPr>
      <t>2</t>
    </r>
    <r>
      <rPr>
        <b/>
        <sz val="12"/>
        <color theme="1"/>
        <rFont val="Calibri"/>
        <family val="2"/>
        <scheme val="minor"/>
      </rPr>
      <t xml:space="preserve"> (KG)</t>
    </r>
  </si>
  <si>
    <t>TIME FROM STOCKING UNTIL FINAL HARVEST</t>
  </si>
  <si>
    <t>HARVEST PER BATCH (KG)</t>
  </si>
  <si>
    <t>BATCHES HARVESTED PER YEAR</t>
  </si>
  <si>
    <t>Batches</t>
  </si>
  <si>
    <t>AVERAGE HARVEST PER YEAR AT FULL CAPACITY</t>
  </si>
  <si>
    <t>KG</t>
  </si>
  <si>
    <t>DAILY FEED RATION TOTAL SYSTEM (%)</t>
  </si>
  <si>
    <t>MEAN DENSITY AT BIOMASS EQUILIBRIUM  (KG/M3)</t>
  </si>
  <si>
    <t>MIN STANDING BIOMASS (KG)</t>
  </si>
  <si>
    <t>MIN DENSITY (KG/M3)</t>
  </si>
  <si>
    <t>MEAN DAILY RATION AT BIOMASS EQUILIBRIUM (%)</t>
  </si>
  <si>
    <t>MIN</t>
  </si>
  <si>
    <t>MAX</t>
  </si>
  <si>
    <t>MEAN</t>
  </si>
  <si>
    <t>DAILY FEED RATION TOTAL SYSTEM (% OF BIOMASS)</t>
  </si>
  <si>
    <t>MAX DAILY RATION AT BIOMASS EQUILIBRIUM (%)</t>
  </si>
  <si>
    <t>MIN DAILY RATION AT BIOMASS EQUILIBRIUM (%)</t>
  </si>
  <si>
    <t>RANGE AT BIOMASS EQUILIBRIUM</t>
  </si>
  <si>
    <t>Day</t>
  </si>
  <si>
    <t>0</t>
  </si>
  <si>
    <t>Advance (1.5mm)</t>
  </si>
  <si>
    <t>1</t>
  </si>
  <si>
    <t>"</t>
  </si>
  <si>
    <t>2</t>
  </si>
  <si>
    <t>3</t>
  </si>
  <si>
    <t>4</t>
  </si>
  <si>
    <t>5</t>
  </si>
  <si>
    <t>6</t>
  </si>
  <si>
    <t>Pregrower-15 EF (2mm)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</si>
  <si>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</si>
  <si>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</si>
  <si>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</si>
  <si>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</si>
  <si>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</si>
  <si>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</si>
  <si>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</si>
  <si>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</si>
  <si>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</si>
  <si>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</si>
  <si>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</si>
  <si>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</si>
  <si>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</si>
  <si>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</si>
  <si>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</si>
  <si>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</si>
  <si>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Special Pro (3mm)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</si>
  <si>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</si>
  <si>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</si>
  <si>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</si>
  <si>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</si>
  <si>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</si>
  <si>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</si>
  <si>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</si>
  <si>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</si>
  <si>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</si>
  <si>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</si>
  <si>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</si>
  <si>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</si>
  <si>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</si>
  <si>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</si>
  <si>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</si>
  <si>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126</t>
  </si>
  <si>
    <t>38</t>
  </si>
  <si>
    <t>132</t>
  </si>
  <si>
    <t>39</t>
  </si>
  <si>
    <t>139</t>
  </si>
  <si>
    <t>40</t>
  </si>
  <si>
    <t>146</t>
  </si>
  <si>
    <t>41</t>
  </si>
  <si>
    <t>153</t>
  </si>
  <si>
    <t>Special Pro (4.5mm)</t>
  </si>
  <si>
    <t>42</t>
  </si>
  <si>
    <t>161</t>
  </si>
  <si>
    <t>43</t>
  </si>
  <si>
    <t>168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</si>
  <si>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</si>
  <si>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</si>
  <si>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</si>
  <si>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</si>
  <si>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</si>
  <si>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</si>
  <si>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</si>
  <si>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</si>
  <si>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</si>
  <si>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</si>
  <si>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</si>
  <si>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</si>
  <si>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</si>
  <si>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</si>
  <si>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</si>
  <si>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125</t>
  </si>
  <si>
    <t>127</t>
  </si>
  <si>
    <t>128</t>
  </si>
  <si>
    <t>129</t>
  </si>
  <si>
    <t>130</t>
  </si>
  <si>
    <t>131</t>
  </si>
  <si>
    <t>133</t>
  </si>
  <si>
    <t>134</t>
  </si>
  <si>
    <t>135</t>
  </si>
  <si>
    <t>136</t>
  </si>
  <si>
    <t>137</t>
  </si>
  <si>
    <t>138</t>
  </si>
  <si>
    <t>140</t>
  </si>
  <si>
    <t>141</t>
  </si>
  <si>
    <t>142</t>
  </si>
  <si>
    <t>143</t>
  </si>
  <si>
    <t>144</t>
  </si>
  <si>
    <t>145</t>
  </si>
  <si>
    <t>147</t>
  </si>
  <si>
    <t>148</t>
  </si>
  <si>
    <t>149</t>
  </si>
  <si>
    <t>150</t>
  </si>
  <si>
    <t>151</t>
  </si>
  <si>
    <t>152</t>
  </si>
  <si>
    <t>154</t>
  </si>
  <si>
    <t>155</t>
  </si>
  <si>
    <t>156</t>
  </si>
  <si>
    <t>157</t>
  </si>
  <si>
    <t>158</t>
  </si>
  <si>
    <t>159</t>
  </si>
  <si>
    <t>160</t>
  </si>
  <si>
    <t>162</t>
  </si>
  <si>
    <t>163</t>
  </si>
  <si>
    <t>164</t>
  </si>
  <si>
    <t>165</t>
  </si>
  <si>
    <t>166</t>
  </si>
  <si>
    <t>167</t>
  </si>
  <si>
    <t>169</t>
  </si>
  <si>
    <t>170</t>
  </si>
  <si>
    <r>
      <rPr>
        <i/>
        <sz val="12"/>
        <color theme="1"/>
        <rFont val="Calibri"/>
        <family val="2"/>
        <scheme val="minor"/>
      </rPr>
      <t>Clarias gariepinus</t>
    </r>
    <r>
      <rPr>
        <sz val="12"/>
        <color theme="1"/>
        <rFont val="Calibri"/>
        <family val="2"/>
        <scheme val="minor"/>
      </rPr>
      <t>; 26-28 °C; feeding level is a guideline only and based on optimal farming conditions</t>
    </r>
  </si>
  <si>
    <t>Feeding level (% BW/day)</t>
  </si>
  <si>
    <t>Feed type</t>
  </si>
  <si>
    <t>Fish weight (g)</t>
  </si>
  <si>
    <t>SGR (% BW/day)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</si>
</sst>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0.000"/>
    <numFmt numFmtId="167" formatCode="0.000%"/>
    <numFmt numFmtId="168" formatCode="0.00000%"/>
  </numFmts>
  <fonts count="24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vertAlign val="superscript"/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8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8"/>
      <color theme="10"/>
      <name val="Calibri"/>
      <family val="2"/>
      <scheme val="minor"/>
    </font>
    <font>
      <b/>
      <vertAlign val="subscript"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theme="9" tint="0.79998168889431442"/>
      </patternFill>
    </fill>
  </fills>
  <borders count="5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4">
    <xf numFmtId="0" fontId="0" fillId="0" borderId="0"/>
    <xf numFmtId="9" fontId="4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0" fillId="0" borderId="0" applyNumberFormat="0" applyFill="0" applyBorder="0" applyAlignment="0" applyProtection="0"/>
  </cellStyleXfs>
  <cellXfs count="319">
    <xf numFmtId="0" fontId="0" fillId="0" borderId="0" xfId="0"/>
    <xf numFmtId="0" fontId="0" fillId="0" borderId="0" xfId="0" applyAlignment="1">
      <alignment horizontal="center" vertical="center"/>
    </xf>
    <xf numFmtId="10" fontId="0" fillId="0" borderId="0" xfId="2" applyNumberFormat="1" applyFont="1" applyFill="1" applyBorder="1" applyAlignment="1">
      <alignment horizontal="center" vertical="center"/>
    </xf>
    <xf numFmtId="164" fontId="3" fillId="0" borderId="0" xfId="2" applyNumberFormat="1" applyFont="1" applyFill="1" applyBorder="1" applyAlignment="1">
      <alignment horizontal="center" vertical="center"/>
    </xf>
    <xf numFmtId="1" fontId="0" fillId="0" borderId="0" xfId="0" applyNumberFormat="1" applyFill="1" applyBorder="1" applyAlignment="1">
      <alignment horizontal="center" vertical="center"/>
    </xf>
    <xf numFmtId="2" fontId="0" fillId="0" borderId="0" xfId="0" applyNumberFormat="1" applyFill="1" applyBorder="1" applyAlignment="1">
      <alignment horizontal="center" vertical="center"/>
    </xf>
    <xf numFmtId="1" fontId="5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165" fontId="0" fillId="0" borderId="0" xfId="0" applyNumberFormat="1" applyFill="1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0" xfId="0" applyBorder="1"/>
    <xf numFmtId="0" fontId="0" fillId="0" borderId="0" xfId="0" applyFill="1" applyBorder="1"/>
    <xf numFmtId="1" fontId="9" fillId="0" borderId="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2" fontId="8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Font="1" applyBorder="1" applyAlignment="1">
      <alignment horizontal="left" vertical="center"/>
    </xf>
    <xf numFmtId="0" fontId="8" fillId="0" borderId="0" xfId="0" applyFont="1"/>
    <xf numFmtId="0" fontId="8" fillId="0" borderId="0" xfId="0" applyFont="1" applyBorder="1"/>
    <xf numFmtId="1" fontId="8" fillId="0" borderId="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2" fontId="8" fillId="0" borderId="0" xfId="0" applyNumberFormat="1" applyFont="1" applyFill="1" applyAlignment="1">
      <alignment horizontal="center" vertical="center"/>
    </xf>
    <xf numFmtId="2" fontId="8" fillId="0" borderId="0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left" vertical="center"/>
    </xf>
    <xf numFmtId="2" fontId="8" fillId="0" borderId="0" xfId="0" applyNumberFormat="1" applyFont="1" applyBorder="1" applyAlignment="1">
      <alignment horizontal="center" vertical="center"/>
    </xf>
    <xf numFmtId="2" fontId="8" fillId="0" borderId="0" xfId="0" applyNumberFormat="1" applyFont="1" applyAlignment="1">
      <alignment horizontal="center" vertical="center"/>
    </xf>
    <xf numFmtId="2" fontId="7" fillId="0" borderId="0" xfId="0" applyNumberFormat="1" applyFont="1" applyFill="1" applyAlignment="1">
      <alignment horizontal="center" vertical="center"/>
    </xf>
    <xf numFmtId="2" fontId="8" fillId="0" borderId="0" xfId="2" applyNumberFormat="1" applyFont="1" applyFill="1" applyBorder="1" applyAlignment="1">
      <alignment horizontal="center" vertical="center"/>
    </xf>
    <xf numFmtId="2" fontId="5" fillId="0" borderId="0" xfId="0" applyNumberFormat="1" applyFont="1" applyFill="1" applyAlignment="1">
      <alignment horizontal="center" vertical="center"/>
    </xf>
    <xf numFmtId="2" fontId="5" fillId="0" borderId="0" xfId="0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2" fontId="8" fillId="0" borderId="0" xfId="0" applyNumberFormat="1" applyFont="1"/>
    <xf numFmtId="2" fontId="0" fillId="0" borderId="0" xfId="0" applyNumberFormat="1"/>
    <xf numFmtId="2" fontId="9" fillId="0" borderId="0" xfId="0" applyNumberFormat="1" applyFont="1" applyFill="1" applyBorder="1" applyAlignment="1">
      <alignment horizontal="center" vertical="center"/>
    </xf>
    <xf numFmtId="2" fontId="0" fillId="0" borderId="0" xfId="2" applyNumberFormat="1" applyFont="1" applyFill="1" applyBorder="1" applyAlignment="1">
      <alignment horizontal="center" vertical="center"/>
    </xf>
    <xf numFmtId="2" fontId="3" fillId="0" borderId="0" xfId="2" applyNumberFormat="1" applyFont="1" applyFill="1" applyBorder="1" applyAlignment="1">
      <alignment horizontal="center" vertical="center"/>
    </xf>
    <xf numFmtId="166" fontId="8" fillId="0" borderId="0" xfId="0" applyNumberFormat="1" applyFont="1" applyBorder="1"/>
    <xf numFmtId="0" fontId="8" fillId="0" borderId="9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1" fontId="8" fillId="0" borderId="9" xfId="0" applyNumberFormat="1" applyFont="1" applyBorder="1" applyAlignment="1">
      <alignment horizontal="center" vertical="center"/>
    </xf>
    <xf numFmtId="165" fontId="8" fillId="3" borderId="0" xfId="0" applyNumberFormat="1" applyFont="1" applyFill="1" applyBorder="1" applyAlignment="1">
      <alignment horizontal="right" vertical="center"/>
    </xf>
    <xf numFmtId="2" fontId="8" fillId="3" borderId="0" xfId="0" applyNumberFormat="1" applyFont="1" applyFill="1" applyBorder="1" applyAlignment="1">
      <alignment horizontal="right" vertical="center"/>
    </xf>
    <xf numFmtId="0" fontId="8" fillId="3" borderId="0" xfId="0" applyFont="1" applyFill="1" applyBorder="1" applyAlignment="1">
      <alignment horizontal="right" vertical="center"/>
    </xf>
    <xf numFmtId="0" fontId="8" fillId="3" borderId="7" xfId="0" applyFont="1" applyFill="1" applyBorder="1" applyAlignment="1">
      <alignment horizontal="right" vertical="center"/>
    </xf>
    <xf numFmtId="0" fontId="8" fillId="3" borderId="6" xfId="0" applyFont="1" applyFill="1" applyBorder="1" applyAlignment="1">
      <alignment horizontal="right" vertical="center"/>
    </xf>
    <xf numFmtId="0" fontId="2" fillId="0" borderId="0" xfId="0" applyFont="1"/>
    <xf numFmtId="0" fontId="12" fillId="0" borderId="0" xfId="0" applyFont="1"/>
    <xf numFmtId="0" fontId="12" fillId="2" borderId="0" xfId="0" applyFont="1" applyFill="1"/>
    <xf numFmtId="10" fontId="12" fillId="2" borderId="0" xfId="1" applyNumberFormat="1" applyFont="1" applyFill="1"/>
    <xf numFmtId="0" fontId="12" fillId="4" borderId="0" xfId="0" applyFont="1" applyFill="1"/>
    <xf numFmtId="10" fontId="12" fillId="4" borderId="0" xfId="1" applyNumberFormat="1" applyFont="1" applyFill="1"/>
    <xf numFmtId="10" fontId="12" fillId="2" borderId="18" xfId="1" applyNumberFormat="1" applyFont="1" applyFill="1" applyBorder="1"/>
    <xf numFmtId="10" fontId="12" fillId="2" borderId="19" xfId="1" applyNumberFormat="1" applyFont="1" applyFill="1" applyBorder="1"/>
    <xf numFmtId="0" fontId="12" fillId="2" borderId="19" xfId="0" applyFont="1" applyFill="1" applyBorder="1"/>
    <xf numFmtId="0" fontId="12" fillId="2" borderId="13" xfId="0" applyFont="1" applyFill="1" applyBorder="1"/>
    <xf numFmtId="0" fontId="12" fillId="2" borderId="13" xfId="0" applyFont="1" applyFill="1" applyBorder="1" applyAlignment="1">
      <alignment wrapText="1"/>
    </xf>
    <xf numFmtId="0" fontId="12" fillId="4" borderId="14" xfId="0" applyFont="1" applyFill="1" applyBorder="1"/>
    <xf numFmtId="0" fontId="12" fillId="4" borderId="14" xfId="0" applyFont="1" applyFill="1" applyBorder="1" applyAlignment="1">
      <alignment wrapText="1"/>
    </xf>
    <xf numFmtId="10" fontId="12" fillId="4" borderId="18" xfId="1" applyNumberFormat="1" applyFont="1" applyFill="1" applyBorder="1"/>
    <xf numFmtId="10" fontId="12" fillId="4" borderId="19" xfId="1" applyNumberFormat="1" applyFont="1" applyFill="1" applyBorder="1"/>
    <xf numFmtId="2" fontId="0" fillId="0" borderId="0" xfId="0" applyNumberFormat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8" fillId="5" borderId="2" xfId="0" applyFont="1" applyFill="1" applyBorder="1" applyAlignment="1">
      <alignment horizontal="center" vertical="center"/>
    </xf>
    <xf numFmtId="0" fontId="8" fillId="5" borderId="3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1" fontId="8" fillId="5" borderId="2" xfId="0" applyNumberFormat="1" applyFont="1" applyFill="1" applyBorder="1" applyAlignment="1">
      <alignment horizontal="center" vertical="center"/>
    </xf>
    <xf numFmtId="1" fontId="8" fillId="5" borderId="4" xfId="0" applyNumberFormat="1" applyFont="1" applyFill="1" applyBorder="1" applyAlignment="1">
      <alignment horizontal="center" vertical="center"/>
    </xf>
    <xf numFmtId="2" fontId="8" fillId="5" borderId="6" xfId="0" applyNumberFormat="1" applyFont="1" applyFill="1" applyBorder="1" applyAlignment="1">
      <alignment horizontal="left" vertical="center"/>
    </xf>
    <xf numFmtId="2" fontId="8" fillId="5" borderId="0" xfId="0" applyNumberFormat="1" applyFont="1" applyFill="1" applyBorder="1" applyAlignment="1">
      <alignment horizontal="left" vertical="center"/>
    </xf>
    <xf numFmtId="2" fontId="8" fillId="5" borderId="6" xfId="0" applyNumberFormat="1" applyFont="1" applyFill="1" applyBorder="1" applyAlignment="1">
      <alignment horizontal="center" vertical="center"/>
    </xf>
    <xf numFmtId="2" fontId="8" fillId="5" borderId="7" xfId="0" applyNumberFormat="1" applyFont="1" applyFill="1" applyBorder="1" applyAlignment="1">
      <alignment horizontal="center" vertical="center"/>
    </xf>
    <xf numFmtId="0" fontId="2" fillId="4" borderId="0" xfId="0" applyFont="1" applyFill="1"/>
    <xf numFmtId="10" fontId="2" fillId="4" borderId="19" xfId="1" applyNumberFormat="1" applyFont="1" applyFill="1" applyBorder="1"/>
    <xf numFmtId="10" fontId="2" fillId="4" borderId="0" xfId="1" applyNumberFormat="1" applyFont="1" applyFill="1"/>
    <xf numFmtId="0" fontId="15" fillId="5" borderId="14" xfId="0" applyFont="1" applyFill="1" applyBorder="1"/>
    <xf numFmtId="0" fontId="17" fillId="5" borderId="12" xfId="0" applyFont="1" applyFill="1" applyBorder="1"/>
    <xf numFmtId="0" fontId="17" fillId="5" borderId="13" xfId="0" applyFont="1" applyFill="1" applyBorder="1"/>
    <xf numFmtId="0" fontId="12" fillId="4" borderId="14" xfId="0" applyFont="1" applyFill="1" applyBorder="1" applyAlignment="1">
      <alignment vertical="top" wrapText="1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/>
    </xf>
    <xf numFmtId="9" fontId="8" fillId="6" borderId="1" xfId="0" applyNumberFormat="1" applyFont="1" applyFill="1" applyBorder="1" applyAlignment="1">
      <alignment horizontal="center" vertical="center"/>
    </xf>
    <xf numFmtId="9" fontId="8" fillId="6" borderId="5" xfId="0" applyNumberFormat="1" applyFont="1" applyFill="1" applyBorder="1" applyAlignment="1">
      <alignment horizontal="center" vertical="center"/>
    </xf>
    <xf numFmtId="9" fontId="8" fillId="6" borderId="8" xfId="0" applyNumberFormat="1" applyFont="1" applyFill="1" applyBorder="1" applyAlignment="1">
      <alignment horizontal="center" vertical="center"/>
    </xf>
    <xf numFmtId="9" fontId="8" fillId="6" borderId="30" xfId="0" applyNumberFormat="1" applyFont="1" applyFill="1" applyBorder="1" applyAlignment="1">
      <alignment horizontal="center" vertical="center"/>
    </xf>
    <xf numFmtId="9" fontId="8" fillId="6" borderId="32" xfId="0" applyNumberFormat="1" applyFont="1" applyFill="1" applyBorder="1" applyAlignment="1">
      <alignment horizontal="center" vertical="center"/>
    </xf>
    <xf numFmtId="2" fontId="8" fillId="3" borderId="33" xfId="0" applyNumberFormat="1" applyFont="1" applyFill="1" applyBorder="1" applyAlignment="1">
      <alignment horizontal="right" vertical="center"/>
    </xf>
    <xf numFmtId="166" fontId="8" fillId="3" borderId="34" xfId="0" applyNumberFormat="1" applyFont="1" applyFill="1" applyBorder="1" applyAlignment="1">
      <alignment horizontal="right" vertical="center"/>
    </xf>
    <xf numFmtId="166" fontId="8" fillId="3" borderId="35" xfId="0" applyNumberFormat="1" applyFont="1" applyFill="1" applyBorder="1" applyAlignment="1">
      <alignment horizontal="right" vertical="center"/>
    </xf>
    <xf numFmtId="166" fontId="8" fillId="3" borderId="33" xfId="0" applyNumberFormat="1" applyFont="1" applyFill="1" applyBorder="1" applyAlignment="1">
      <alignment horizontal="right" vertical="center"/>
    </xf>
    <xf numFmtId="0" fontId="12" fillId="0" borderId="0" xfId="0" applyFont="1" applyBorder="1"/>
    <xf numFmtId="0" fontId="8" fillId="6" borderId="9" xfId="0" applyFont="1" applyFill="1" applyBorder="1" applyAlignment="1">
      <alignment horizontal="left" vertical="center"/>
    </xf>
    <xf numFmtId="0" fontId="8" fillId="6" borderId="10" xfId="0" applyFont="1" applyFill="1" applyBorder="1" applyAlignment="1">
      <alignment horizontal="left" vertical="center"/>
    </xf>
    <xf numFmtId="0" fontId="8" fillId="6" borderId="2" xfId="0" applyFont="1" applyFill="1" applyBorder="1" applyAlignment="1">
      <alignment horizontal="left" vertical="center"/>
    </xf>
    <xf numFmtId="0" fontId="8" fillId="6" borderId="3" xfId="0" applyFont="1" applyFill="1" applyBorder="1" applyAlignment="1">
      <alignment horizontal="left" vertical="center"/>
    </xf>
    <xf numFmtId="0" fontId="8" fillId="6" borderId="6" xfId="0" applyFont="1" applyFill="1" applyBorder="1" applyAlignment="1">
      <alignment horizontal="left" vertical="center"/>
    </xf>
    <xf numFmtId="0" fontId="8" fillId="6" borderId="0" xfId="0" applyFont="1" applyFill="1" applyBorder="1" applyAlignment="1">
      <alignment horizontal="left" vertical="center"/>
    </xf>
    <xf numFmtId="0" fontId="8" fillId="6" borderId="29" xfId="0" applyFont="1" applyFill="1" applyBorder="1" applyAlignment="1">
      <alignment horizontal="left" vertical="center"/>
    </xf>
    <xf numFmtId="0" fontId="8" fillId="6" borderId="12" xfId="0" applyFont="1" applyFill="1" applyBorder="1" applyAlignment="1">
      <alignment horizontal="left" vertical="center"/>
    </xf>
    <xf numFmtId="0" fontId="8" fillId="6" borderId="31" xfId="0" applyFont="1" applyFill="1" applyBorder="1" applyAlignment="1">
      <alignment horizontal="left" vertical="center"/>
    </xf>
    <xf numFmtId="0" fontId="8" fillId="6" borderId="13" xfId="0" applyFont="1" applyFill="1" applyBorder="1" applyAlignment="1">
      <alignment horizontal="left" vertical="center"/>
    </xf>
    <xf numFmtId="0" fontId="12" fillId="4" borderId="14" xfId="0" applyFont="1" applyFill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" fontId="8" fillId="8" borderId="15" xfId="0" applyNumberFormat="1" applyFont="1" applyFill="1" applyBorder="1" applyAlignment="1">
      <alignment horizontal="center" vertical="center"/>
    </xf>
    <xf numFmtId="1" fontId="8" fillId="8" borderId="20" xfId="0" applyNumberFormat="1" applyFont="1" applyFill="1" applyBorder="1" applyAlignment="1">
      <alignment horizontal="center" vertical="center"/>
    </xf>
    <xf numFmtId="2" fontId="8" fillId="8" borderId="17" xfId="0" applyNumberFormat="1" applyFont="1" applyFill="1" applyBorder="1" applyAlignment="1">
      <alignment horizontal="center" vertical="center"/>
    </xf>
    <xf numFmtId="0" fontId="8" fillId="8" borderId="17" xfId="0" applyFont="1" applyFill="1" applyBorder="1" applyAlignment="1">
      <alignment horizontal="center" vertical="center"/>
    </xf>
    <xf numFmtId="167" fontId="8" fillId="8" borderId="15" xfId="1" applyNumberFormat="1" applyFont="1" applyFill="1" applyBorder="1" applyAlignment="1">
      <alignment horizontal="center" vertical="center"/>
    </xf>
    <xf numFmtId="167" fontId="8" fillId="8" borderId="17" xfId="1" applyNumberFormat="1" applyFont="1" applyFill="1" applyBorder="1" applyAlignment="1">
      <alignment horizontal="center" vertical="center"/>
    </xf>
    <xf numFmtId="2" fontId="8" fillId="8" borderId="15" xfId="0" applyNumberFormat="1" applyFont="1" applyFill="1" applyBorder="1" applyAlignment="1">
      <alignment horizontal="center" vertical="center"/>
    </xf>
    <xf numFmtId="166" fontId="8" fillId="8" borderId="17" xfId="0" applyNumberFormat="1" applyFont="1" applyFill="1" applyBorder="1" applyAlignment="1">
      <alignment horizontal="center" vertical="center"/>
    </xf>
    <xf numFmtId="10" fontId="8" fillId="8" borderId="15" xfId="1" applyNumberFormat="1" applyFont="1" applyFill="1" applyBorder="1" applyAlignment="1">
      <alignment horizontal="center" vertical="center"/>
    </xf>
    <xf numFmtId="2" fontId="8" fillId="7" borderId="36" xfId="0" applyNumberFormat="1" applyFont="1" applyFill="1" applyBorder="1" applyAlignment="1">
      <alignment horizontal="center" vertical="center"/>
    </xf>
    <xf numFmtId="10" fontId="8" fillId="7" borderId="36" xfId="1" applyNumberFormat="1" applyFont="1" applyFill="1" applyBorder="1" applyAlignment="1">
      <alignment horizontal="center" vertical="center"/>
    </xf>
    <xf numFmtId="1" fontId="0" fillId="0" borderId="0" xfId="0" applyNumberFormat="1"/>
    <xf numFmtId="1" fontId="8" fillId="8" borderId="40" xfId="0" applyNumberFormat="1" applyFont="1" applyFill="1" applyBorder="1" applyAlignment="1">
      <alignment horizontal="center" vertical="center"/>
    </xf>
    <xf numFmtId="1" fontId="8" fillId="8" borderId="22" xfId="0" applyNumberFormat="1" applyFont="1" applyFill="1" applyBorder="1" applyAlignment="1">
      <alignment horizontal="center" vertical="center"/>
    </xf>
    <xf numFmtId="166" fontId="8" fillId="8" borderId="22" xfId="0" applyNumberFormat="1" applyFont="1" applyFill="1" applyBorder="1" applyAlignment="1">
      <alignment horizontal="center" vertical="center"/>
    </xf>
    <xf numFmtId="2" fontId="8" fillId="8" borderId="41" xfId="0" applyNumberFormat="1" applyFont="1" applyFill="1" applyBorder="1" applyAlignment="1">
      <alignment horizontal="center" vertical="center"/>
    </xf>
    <xf numFmtId="166" fontId="8" fillId="8" borderId="42" xfId="0" applyNumberFormat="1" applyFont="1" applyFill="1" applyBorder="1" applyAlignment="1">
      <alignment horizontal="center" vertical="center"/>
    </xf>
    <xf numFmtId="0" fontId="8" fillId="8" borderId="26" xfId="0" applyFont="1" applyFill="1" applyBorder="1" applyAlignment="1">
      <alignment horizontal="center" vertical="center"/>
    </xf>
    <xf numFmtId="165" fontId="8" fillId="8" borderId="24" xfId="0" applyNumberFormat="1" applyFont="1" applyFill="1" applyBorder="1" applyAlignment="1">
      <alignment horizontal="center" vertical="center"/>
    </xf>
    <xf numFmtId="165" fontId="8" fillId="8" borderId="28" xfId="0" applyNumberFormat="1" applyFont="1" applyFill="1" applyBorder="1" applyAlignment="1">
      <alignment horizontal="center" vertical="center"/>
    </xf>
    <xf numFmtId="1" fontId="8" fillId="8" borderId="26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167" fontId="8" fillId="0" borderId="0" xfId="1" applyNumberFormat="1" applyFont="1" applyFill="1" applyBorder="1" applyAlignment="1">
      <alignment horizontal="center" vertical="center"/>
    </xf>
    <xf numFmtId="166" fontId="8" fillId="0" borderId="0" xfId="0" applyNumberFormat="1" applyFont="1" applyFill="1" applyBorder="1" applyAlignment="1">
      <alignment horizontal="center" vertical="center"/>
    </xf>
    <xf numFmtId="10" fontId="8" fillId="0" borderId="0" xfId="1" applyNumberFormat="1" applyFont="1" applyFill="1" applyBorder="1" applyAlignment="1">
      <alignment horizontal="center" vertical="center"/>
    </xf>
    <xf numFmtId="165" fontId="8" fillId="0" borderId="0" xfId="0" applyNumberFormat="1" applyFont="1" applyFill="1" applyBorder="1" applyAlignment="1">
      <alignment horizontal="center" vertical="center"/>
    </xf>
    <xf numFmtId="1" fontId="8" fillId="7" borderId="36" xfId="0" applyNumberFormat="1" applyFont="1" applyFill="1" applyBorder="1" applyAlignment="1">
      <alignment horizontal="center" vertical="center"/>
    </xf>
    <xf numFmtId="167" fontId="8" fillId="7" borderId="36" xfId="1" applyNumberFormat="1" applyFont="1" applyFill="1" applyBorder="1" applyAlignment="1">
      <alignment horizontal="center" vertical="center"/>
    </xf>
    <xf numFmtId="166" fontId="8" fillId="7" borderId="36" xfId="0" applyNumberFormat="1" applyFont="1" applyFill="1" applyBorder="1" applyAlignment="1">
      <alignment horizontal="center" vertical="center"/>
    </xf>
    <xf numFmtId="10" fontId="8" fillId="8" borderId="36" xfId="1" applyNumberFormat="1" applyFont="1" applyFill="1" applyBorder="1" applyAlignment="1">
      <alignment horizontal="center" vertical="center"/>
    </xf>
    <xf numFmtId="1" fontId="8" fillId="8" borderId="41" xfId="0" applyNumberFormat="1" applyFont="1" applyFill="1" applyBorder="1" applyAlignment="1">
      <alignment horizontal="center" vertical="center"/>
    </xf>
    <xf numFmtId="2" fontId="8" fillId="8" borderId="26" xfId="0" applyNumberFormat="1" applyFont="1" applyFill="1" applyBorder="1" applyAlignment="1">
      <alignment horizontal="center" vertical="center"/>
    </xf>
    <xf numFmtId="167" fontId="8" fillId="8" borderId="36" xfId="1" applyNumberFormat="1" applyFont="1" applyFill="1" applyBorder="1" applyAlignment="1">
      <alignment horizontal="center" vertical="center"/>
    </xf>
    <xf numFmtId="2" fontId="8" fillId="8" borderId="36" xfId="0" applyNumberFormat="1" applyFont="1" applyFill="1" applyBorder="1" applyAlignment="1">
      <alignment horizontal="center" vertical="center"/>
    </xf>
    <xf numFmtId="1" fontId="8" fillId="8" borderId="16" xfId="0" applyNumberFormat="1" applyFont="1" applyFill="1" applyBorder="1" applyAlignment="1">
      <alignment horizontal="center" vertical="center"/>
    </xf>
    <xf numFmtId="1" fontId="8" fillId="8" borderId="36" xfId="0" applyNumberFormat="1" applyFont="1" applyFill="1" applyBorder="1" applyAlignment="1">
      <alignment horizontal="center" vertical="center"/>
    </xf>
    <xf numFmtId="1" fontId="8" fillId="9" borderId="20" xfId="0" applyNumberFormat="1" applyFont="1" applyFill="1" applyBorder="1" applyAlignment="1">
      <alignment horizontal="center" vertical="center"/>
    </xf>
    <xf numFmtId="1" fontId="8" fillId="9" borderId="15" xfId="0" applyNumberFormat="1" applyFont="1" applyFill="1" applyBorder="1" applyAlignment="1">
      <alignment horizontal="center" vertical="center"/>
    </xf>
    <xf numFmtId="1" fontId="8" fillId="9" borderId="17" xfId="0" applyNumberFormat="1" applyFont="1" applyFill="1" applyBorder="1" applyAlignment="1">
      <alignment horizontal="center" vertical="center"/>
    </xf>
    <xf numFmtId="167" fontId="8" fillId="9" borderId="17" xfId="1" applyNumberFormat="1" applyFont="1" applyFill="1" applyBorder="1" applyAlignment="1">
      <alignment horizontal="center" vertical="center"/>
    </xf>
    <xf numFmtId="2" fontId="8" fillId="9" borderId="17" xfId="0" applyNumberFormat="1" applyFont="1" applyFill="1" applyBorder="1" applyAlignment="1">
      <alignment horizontal="center" vertical="center"/>
    </xf>
    <xf numFmtId="166" fontId="8" fillId="9" borderId="17" xfId="0" applyNumberFormat="1" applyFont="1" applyFill="1" applyBorder="1" applyAlignment="1">
      <alignment horizontal="center" vertical="center"/>
    </xf>
    <xf numFmtId="10" fontId="8" fillId="9" borderId="15" xfId="1" applyNumberFormat="1" applyFont="1" applyFill="1" applyBorder="1" applyAlignment="1">
      <alignment horizontal="center" vertical="center"/>
    </xf>
    <xf numFmtId="2" fontId="8" fillId="9" borderId="15" xfId="0" applyNumberFormat="1" applyFont="1" applyFill="1" applyBorder="1" applyAlignment="1">
      <alignment horizontal="center" vertical="center"/>
    </xf>
    <xf numFmtId="0" fontId="8" fillId="9" borderId="17" xfId="0" applyFont="1" applyFill="1" applyBorder="1" applyAlignment="1">
      <alignment horizontal="center" vertical="center"/>
    </xf>
    <xf numFmtId="165" fontId="8" fillId="9" borderId="28" xfId="0" applyNumberFormat="1" applyFont="1" applyFill="1" applyBorder="1" applyAlignment="1">
      <alignment horizontal="center" vertical="center"/>
    </xf>
    <xf numFmtId="1" fontId="8" fillId="6" borderId="20" xfId="0" applyNumberFormat="1" applyFont="1" applyFill="1" applyBorder="1" applyAlignment="1">
      <alignment horizontal="center" vertical="center"/>
    </xf>
    <xf numFmtId="1" fontId="8" fillId="6" borderId="15" xfId="0" applyNumberFormat="1" applyFont="1" applyFill="1" applyBorder="1" applyAlignment="1">
      <alignment horizontal="center" vertical="center"/>
    </xf>
    <xf numFmtId="1" fontId="8" fillId="6" borderId="17" xfId="0" applyNumberFormat="1" applyFont="1" applyFill="1" applyBorder="1" applyAlignment="1">
      <alignment horizontal="center" vertical="center"/>
    </xf>
    <xf numFmtId="167" fontId="8" fillId="6" borderId="17" xfId="1" applyNumberFormat="1" applyFont="1" applyFill="1" applyBorder="1" applyAlignment="1">
      <alignment horizontal="center" vertical="center"/>
    </xf>
    <xf numFmtId="2" fontId="8" fillId="6" borderId="17" xfId="0" applyNumberFormat="1" applyFont="1" applyFill="1" applyBorder="1" applyAlignment="1">
      <alignment horizontal="center" vertical="center"/>
    </xf>
    <xf numFmtId="166" fontId="8" fillId="6" borderId="17" xfId="0" applyNumberFormat="1" applyFont="1" applyFill="1" applyBorder="1" applyAlignment="1">
      <alignment horizontal="center" vertical="center"/>
    </xf>
    <xf numFmtId="2" fontId="8" fillId="6" borderId="37" xfId="0" applyNumberFormat="1" applyFont="1" applyFill="1" applyBorder="1" applyAlignment="1">
      <alignment horizontal="center" vertical="center"/>
    </xf>
    <xf numFmtId="10" fontId="8" fillId="6" borderId="15" xfId="1" applyNumberFormat="1" applyFont="1" applyFill="1" applyBorder="1" applyAlignment="1">
      <alignment horizontal="center" vertical="center"/>
    </xf>
    <xf numFmtId="166" fontId="8" fillId="6" borderId="39" xfId="0" applyNumberFormat="1" applyFont="1" applyFill="1" applyBorder="1" applyAlignment="1">
      <alignment horizontal="center" vertical="center"/>
    </xf>
    <xf numFmtId="2" fontId="8" fillId="6" borderId="15" xfId="0" applyNumberFormat="1" applyFont="1" applyFill="1" applyBorder="1" applyAlignment="1">
      <alignment horizontal="center" vertical="center"/>
    </xf>
    <xf numFmtId="165" fontId="8" fillId="6" borderId="28" xfId="0" applyNumberFormat="1" applyFont="1" applyFill="1" applyBorder="1" applyAlignment="1">
      <alignment horizontal="center" vertical="center"/>
    </xf>
    <xf numFmtId="2" fontId="0" fillId="0" borderId="0" xfId="0" applyNumberFormat="1" applyFont="1" applyFill="1" applyBorder="1" applyAlignment="1">
      <alignment horizontal="left" vertical="center"/>
    </xf>
    <xf numFmtId="0" fontId="8" fillId="0" borderId="0" xfId="0" applyFont="1" applyFill="1" applyBorder="1"/>
    <xf numFmtId="2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166" fontId="8" fillId="8" borderId="21" xfId="0" applyNumberFormat="1" applyFont="1" applyFill="1" applyBorder="1" applyAlignment="1">
      <alignment horizontal="center" vertical="center"/>
    </xf>
    <xf numFmtId="166" fontId="8" fillId="9" borderId="15" xfId="0" applyNumberFormat="1" applyFont="1" applyFill="1" applyBorder="1" applyAlignment="1">
      <alignment horizontal="center" vertical="center"/>
    </xf>
    <xf numFmtId="10" fontId="8" fillId="8" borderId="38" xfId="1" applyNumberFormat="1" applyFont="1" applyFill="1" applyBorder="1" applyAlignment="1">
      <alignment horizontal="center" vertical="center"/>
    </xf>
    <xf numFmtId="2" fontId="8" fillId="8" borderId="16" xfId="0" applyNumberFormat="1" applyFont="1" applyFill="1" applyBorder="1" applyAlignment="1">
      <alignment horizontal="center" vertical="center"/>
    </xf>
    <xf numFmtId="166" fontId="8" fillId="9" borderId="21" xfId="0" applyNumberFormat="1" applyFont="1" applyFill="1" applyBorder="1" applyAlignment="1">
      <alignment horizontal="center" vertical="center"/>
    </xf>
    <xf numFmtId="166" fontId="8" fillId="6" borderId="15" xfId="0" applyNumberFormat="1" applyFont="1" applyFill="1" applyBorder="1" applyAlignment="1">
      <alignment horizontal="center" vertical="center"/>
    </xf>
    <xf numFmtId="10" fontId="8" fillId="9" borderId="38" xfId="1" applyNumberFormat="1" applyFont="1" applyFill="1" applyBorder="1" applyAlignment="1">
      <alignment horizontal="center" vertical="center"/>
    </xf>
    <xf numFmtId="2" fontId="8" fillId="9" borderId="16" xfId="0" applyNumberFormat="1" applyFont="1" applyFill="1" applyBorder="1" applyAlignment="1">
      <alignment horizontal="center" vertical="center"/>
    </xf>
    <xf numFmtId="1" fontId="8" fillId="6" borderId="14" xfId="0" applyNumberFormat="1" applyFont="1" applyFill="1" applyBorder="1" applyAlignment="1">
      <alignment horizontal="center" vertical="center"/>
    </xf>
    <xf numFmtId="1" fontId="8" fillId="6" borderId="21" xfId="0" applyNumberFormat="1" applyFont="1" applyFill="1" applyBorder="1" applyAlignment="1">
      <alignment horizontal="center" vertical="center"/>
    </xf>
    <xf numFmtId="1" fontId="8" fillId="6" borderId="39" xfId="0" applyNumberFormat="1" applyFont="1" applyFill="1" applyBorder="1" applyAlignment="1">
      <alignment horizontal="center" vertical="center"/>
    </xf>
    <xf numFmtId="167" fontId="8" fillId="6" borderId="20" xfId="1" applyNumberFormat="1" applyFont="1" applyFill="1" applyBorder="1" applyAlignment="1">
      <alignment horizontal="center" vertical="center"/>
    </xf>
    <xf numFmtId="1" fontId="8" fillId="10" borderId="36" xfId="0" applyNumberFormat="1" applyFont="1" applyFill="1" applyBorder="1" applyAlignment="1">
      <alignment horizontal="center" vertical="center"/>
    </xf>
    <xf numFmtId="165" fontId="8" fillId="9" borderId="37" xfId="0" applyNumberFormat="1" applyFont="1" applyFill="1" applyBorder="1" applyAlignment="1">
      <alignment horizontal="center" vertical="center"/>
    </xf>
    <xf numFmtId="165" fontId="8" fillId="6" borderId="37" xfId="0" applyNumberFormat="1" applyFont="1" applyFill="1" applyBorder="1" applyAlignment="1">
      <alignment horizontal="center" vertical="center"/>
    </xf>
    <xf numFmtId="2" fontId="8" fillId="0" borderId="0" xfId="0" applyNumberFormat="1" applyFont="1" applyFill="1" applyBorder="1"/>
    <xf numFmtId="2" fontId="0" fillId="0" borderId="0" xfId="0" applyNumberFormat="1" applyFill="1" applyBorder="1"/>
    <xf numFmtId="2" fontId="8" fillId="0" borderId="0" xfId="1" applyNumberFormat="1" applyFont="1" applyFill="1" applyBorder="1" applyAlignment="1">
      <alignment horizontal="center" vertical="center"/>
    </xf>
    <xf numFmtId="1" fontId="8" fillId="8" borderId="44" xfId="0" applyNumberFormat="1" applyFont="1" applyFill="1" applyBorder="1" applyAlignment="1">
      <alignment horizontal="center" vertical="center"/>
    </xf>
    <xf numFmtId="1" fontId="8" fillId="9" borderId="40" xfId="0" applyNumberFormat="1" applyFont="1" applyFill="1" applyBorder="1" applyAlignment="1">
      <alignment horizontal="center" vertical="center"/>
    </xf>
    <xf numFmtId="1" fontId="8" fillId="6" borderId="40" xfId="0" applyNumberFormat="1" applyFont="1" applyFill="1" applyBorder="1" applyAlignment="1">
      <alignment horizontal="center" vertical="center"/>
    </xf>
    <xf numFmtId="1" fontId="8" fillId="6" borderId="45" xfId="0" applyNumberFormat="1" applyFont="1" applyFill="1" applyBorder="1" applyAlignment="1">
      <alignment horizontal="center" vertical="center"/>
    </xf>
    <xf numFmtId="1" fontId="8" fillId="6" borderId="46" xfId="0" applyNumberFormat="1" applyFont="1" applyFill="1" applyBorder="1" applyAlignment="1">
      <alignment horizontal="center" vertical="center"/>
    </xf>
    <xf numFmtId="1" fontId="8" fillId="6" borderId="43" xfId="0" applyNumberFormat="1" applyFont="1" applyFill="1" applyBorder="1" applyAlignment="1">
      <alignment horizontal="center" vertical="center"/>
    </xf>
    <xf numFmtId="167" fontId="8" fillId="6" borderId="27" xfId="1" applyNumberFormat="1" applyFont="1" applyFill="1" applyBorder="1" applyAlignment="1">
      <alignment horizontal="center" vertical="center"/>
    </xf>
    <xf numFmtId="2" fontId="8" fillId="6" borderId="23" xfId="0" applyNumberFormat="1" applyFont="1" applyFill="1" applyBorder="1" applyAlignment="1">
      <alignment horizontal="center" vertical="center"/>
    </xf>
    <xf numFmtId="166" fontId="8" fillId="6" borderId="23" xfId="0" applyNumberFormat="1" applyFont="1" applyFill="1" applyBorder="1" applyAlignment="1">
      <alignment horizontal="center" vertical="center"/>
    </xf>
    <xf numFmtId="2" fontId="8" fillId="6" borderId="47" xfId="0" applyNumberFormat="1" applyFont="1" applyFill="1" applyBorder="1" applyAlignment="1">
      <alignment horizontal="center" vertical="center"/>
    </xf>
    <xf numFmtId="166" fontId="8" fillId="6" borderId="43" xfId="0" applyNumberFormat="1" applyFont="1" applyFill="1" applyBorder="1" applyAlignment="1">
      <alignment horizontal="center" vertical="center"/>
    </xf>
    <xf numFmtId="165" fontId="8" fillId="6" borderId="25" xfId="0" applyNumberFormat="1" applyFont="1" applyFill="1" applyBorder="1" applyAlignment="1">
      <alignment horizontal="center" vertical="center"/>
    </xf>
    <xf numFmtId="168" fontId="8" fillId="9" borderId="15" xfId="1" applyNumberFormat="1" applyFont="1" applyFill="1" applyBorder="1" applyAlignment="1">
      <alignment horizontal="center" vertical="center"/>
    </xf>
    <xf numFmtId="0" fontId="17" fillId="5" borderId="0" xfId="0" applyFont="1" applyFill="1" applyBorder="1"/>
    <xf numFmtId="9" fontId="0" fillId="0" borderId="0" xfId="1" applyFon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8" fillId="0" borderId="0" xfId="0" applyNumberFormat="1" applyFont="1"/>
    <xf numFmtId="0" fontId="8" fillId="0" borderId="0" xfId="0" applyFont="1" applyBorder="1" applyAlignment="1">
      <alignment horizontal="center" vertical="center"/>
    </xf>
    <xf numFmtId="2" fontId="8" fillId="2" borderId="0" xfId="0" applyNumberFormat="1" applyFont="1" applyFill="1" applyBorder="1" applyAlignment="1">
      <alignment horizontal="center" vertical="center"/>
    </xf>
    <xf numFmtId="166" fontId="8" fillId="2" borderId="0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166" fontId="8" fillId="2" borderId="10" xfId="0" applyNumberFormat="1" applyFont="1" applyFill="1" applyBorder="1" applyAlignment="1">
      <alignment horizontal="center" vertical="center"/>
    </xf>
    <xf numFmtId="2" fontId="8" fillId="0" borderId="0" xfId="0" applyNumberFormat="1" applyFont="1" applyFill="1" applyBorder="1" applyAlignment="1">
      <alignment horizontal="left" vertical="center"/>
    </xf>
    <xf numFmtId="2" fontId="8" fillId="0" borderId="0" xfId="0" applyNumberFormat="1" applyFont="1" applyFill="1" applyBorder="1" applyAlignment="1">
      <alignment vertical="center"/>
    </xf>
    <xf numFmtId="1" fontId="8" fillId="0" borderId="0" xfId="0" applyNumberFormat="1" applyFont="1" applyFill="1" applyBorder="1" applyAlignment="1">
      <alignment horizontal="right" vertical="center"/>
    </xf>
    <xf numFmtId="1" fontId="8" fillId="11" borderId="0" xfId="0" applyNumberFormat="1" applyFont="1" applyFill="1" applyBorder="1" applyAlignment="1">
      <alignment horizontal="center" vertical="center"/>
    </xf>
    <xf numFmtId="1" fontId="8" fillId="11" borderId="6" xfId="0" applyNumberFormat="1" applyFont="1" applyFill="1" applyBorder="1" applyAlignment="1">
      <alignment horizontal="center" vertical="center"/>
    </xf>
    <xf numFmtId="1" fontId="8" fillId="11" borderId="9" xfId="0" applyNumberFormat="1" applyFont="1" applyFill="1" applyBorder="1" applyAlignment="1">
      <alignment horizontal="center" vertical="center"/>
    </xf>
    <xf numFmtId="0" fontId="8" fillId="11" borderId="48" xfId="0" applyFont="1" applyFill="1" applyBorder="1" applyAlignment="1">
      <alignment horizontal="center" vertical="center"/>
    </xf>
    <xf numFmtId="0" fontId="8" fillId="11" borderId="49" xfId="0" applyFont="1" applyFill="1" applyBorder="1" applyAlignment="1">
      <alignment horizontal="center" vertical="center"/>
    </xf>
    <xf numFmtId="0" fontId="8" fillId="11" borderId="50" xfId="0" applyFont="1" applyFill="1" applyBorder="1" applyAlignment="1">
      <alignment horizontal="center" vertical="center"/>
    </xf>
    <xf numFmtId="1" fontId="8" fillId="11" borderId="52" xfId="0" applyNumberFormat="1" applyFont="1" applyFill="1" applyBorder="1" applyAlignment="1">
      <alignment horizontal="center" vertical="center"/>
    </xf>
    <xf numFmtId="0" fontId="8" fillId="11" borderId="53" xfId="0" applyFont="1" applyFill="1" applyBorder="1" applyAlignment="1">
      <alignment horizontal="center" vertical="center"/>
    </xf>
    <xf numFmtId="1" fontId="8" fillId="11" borderId="7" xfId="0" applyNumberFormat="1" applyFont="1" applyFill="1" applyBorder="1" applyAlignment="1">
      <alignment horizontal="center" vertical="center"/>
    </xf>
    <xf numFmtId="1" fontId="8" fillId="11" borderId="10" xfId="0" applyNumberFormat="1" applyFont="1" applyFill="1" applyBorder="1" applyAlignment="1">
      <alignment horizontal="center" vertical="center"/>
    </xf>
    <xf numFmtId="1" fontId="8" fillId="11" borderId="11" xfId="0" applyNumberFormat="1" applyFont="1" applyFill="1" applyBorder="1" applyAlignment="1">
      <alignment horizontal="center" vertical="center"/>
    </xf>
    <xf numFmtId="49" fontId="8" fillId="11" borderId="51" xfId="0" applyNumberFormat="1" applyFont="1" applyFill="1" applyBorder="1" applyAlignment="1">
      <alignment horizontal="center" vertical="center"/>
    </xf>
    <xf numFmtId="2" fontId="8" fillId="0" borderId="9" xfId="0" applyNumberFormat="1" applyFont="1" applyBorder="1" applyAlignment="1">
      <alignment horizontal="center" vertical="center"/>
    </xf>
    <xf numFmtId="0" fontId="21" fillId="0" borderId="0" xfId="3" applyFont="1" applyBorder="1" applyAlignment="1">
      <alignment wrapText="1"/>
    </xf>
    <xf numFmtId="0" fontId="18" fillId="0" borderId="0" xfId="0" applyFont="1" applyBorder="1" applyAlignment="1">
      <alignment wrapText="1"/>
    </xf>
    <xf numFmtId="0" fontId="13" fillId="0" borderId="0" xfId="0" applyFont="1" applyBorder="1" applyAlignment="1">
      <alignment vertical="center" wrapText="1"/>
    </xf>
    <xf numFmtId="0" fontId="12" fillId="0" borderId="0" xfId="0" applyFont="1" applyBorder="1" applyAlignment="1"/>
    <xf numFmtId="10" fontId="8" fillId="2" borderId="0" xfId="1" applyNumberFormat="1" applyFont="1" applyFill="1" applyBorder="1" applyAlignment="1">
      <alignment horizontal="center" vertical="center"/>
    </xf>
    <xf numFmtId="0" fontId="0" fillId="3" borderId="2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8" fillId="3" borderId="2" xfId="0" applyFont="1" applyFill="1" applyBorder="1" applyAlignment="1">
      <alignment vertical="center"/>
    </xf>
    <xf numFmtId="0" fontId="8" fillId="3" borderId="6" xfId="0" applyFont="1" applyFill="1" applyBorder="1" applyAlignment="1">
      <alignment vertical="center"/>
    </xf>
    <xf numFmtId="0" fontId="8" fillId="3" borderId="34" xfId="0" applyFont="1" applyFill="1" applyBorder="1" applyAlignment="1">
      <alignment vertical="center"/>
    </xf>
    <xf numFmtId="165" fontId="8" fillId="3" borderId="6" xfId="0" applyNumberFormat="1" applyFont="1" applyFill="1" applyBorder="1" applyAlignment="1">
      <alignment horizontal="right" vertical="center"/>
    </xf>
    <xf numFmtId="165" fontId="8" fillId="3" borderId="7" xfId="0" applyNumberFormat="1" applyFont="1" applyFill="1" applyBorder="1" applyAlignment="1">
      <alignment horizontal="right" vertical="center"/>
    </xf>
    <xf numFmtId="2" fontId="8" fillId="3" borderId="6" xfId="0" applyNumberFormat="1" applyFont="1" applyFill="1" applyBorder="1" applyAlignment="1">
      <alignment horizontal="right" vertical="center"/>
    </xf>
    <xf numFmtId="2" fontId="8" fillId="3" borderId="7" xfId="0" applyNumberFormat="1" applyFont="1" applyFill="1" applyBorder="1" applyAlignment="1">
      <alignment horizontal="right" vertical="center"/>
    </xf>
    <xf numFmtId="2" fontId="8" fillId="3" borderId="34" xfId="0" applyNumberFormat="1" applyFont="1" applyFill="1" applyBorder="1" applyAlignment="1">
      <alignment horizontal="right" vertical="center"/>
    </xf>
    <xf numFmtId="2" fontId="8" fillId="3" borderId="35" xfId="0" applyNumberFormat="1" applyFont="1" applyFill="1" applyBorder="1" applyAlignment="1">
      <alignment horizontal="right" vertical="center"/>
    </xf>
    <xf numFmtId="10" fontId="8" fillId="3" borderId="10" xfId="1" applyNumberFormat="1" applyFont="1" applyFill="1" applyBorder="1" applyAlignment="1">
      <alignment horizontal="right" vertical="center"/>
    </xf>
    <xf numFmtId="10" fontId="8" fillId="3" borderId="11" xfId="1" applyNumberFormat="1" applyFont="1" applyFill="1" applyBorder="1" applyAlignment="1">
      <alignment horizontal="right" vertical="center"/>
    </xf>
    <xf numFmtId="2" fontId="8" fillId="3" borderId="9" xfId="0" applyNumberFormat="1" applyFont="1" applyFill="1" applyBorder="1" applyAlignment="1">
      <alignment horizontal="right" vertical="center"/>
    </xf>
    <xf numFmtId="2" fontId="8" fillId="3" borderId="31" xfId="0" applyNumberFormat="1" applyFont="1" applyFill="1" applyBorder="1" applyAlignment="1">
      <alignment horizontal="right" vertical="center"/>
    </xf>
    <xf numFmtId="2" fontId="8" fillId="3" borderId="13" xfId="0" applyNumberFormat="1" applyFont="1" applyFill="1" applyBorder="1" applyAlignment="1">
      <alignment horizontal="right" vertical="center"/>
    </xf>
    <xf numFmtId="2" fontId="8" fillId="3" borderId="54" xfId="0" applyNumberFormat="1" applyFont="1" applyFill="1" applyBorder="1" applyAlignment="1">
      <alignment horizontal="right" vertical="center"/>
    </xf>
    <xf numFmtId="10" fontId="0" fillId="0" borderId="0" xfId="1" applyNumberFormat="1" applyFont="1" applyAlignment="1">
      <alignment horizontal="center" vertical="center"/>
    </xf>
    <xf numFmtId="0" fontId="8" fillId="0" borderId="31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166" fontId="8" fillId="0" borderId="6" xfId="0" applyNumberFormat="1" applyFont="1" applyBorder="1" applyAlignment="1">
      <alignment horizontal="left"/>
    </xf>
    <xf numFmtId="166" fontId="8" fillId="0" borderId="9" xfId="0" applyNumberFormat="1" applyFont="1" applyBorder="1" applyAlignment="1">
      <alignment horizontal="left"/>
    </xf>
    <xf numFmtId="2" fontId="8" fillId="0" borderId="13" xfId="0" applyNumberFormat="1" applyFont="1" applyFill="1" applyBorder="1" applyAlignment="1">
      <alignment horizontal="left" vertical="center" wrapText="1"/>
    </xf>
    <xf numFmtId="0" fontId="8" fillId="0" borderId="54" xfId="0" applyFont="1" applyBorder="1" applyAlignment="1">
      <alignment horizontal="left" vertical="center" wrapText="1"/>
    </xf>
    <xf numFmtId="0" fontId="0" fillId="12" borderId="55" xfId="0" applyFont="1" applyFill="1" applyBorder="1" applyAlignment="1">
      <alignment horizontal="left" vertical="center"/>
    </xf>
    <xf numFmtId="0" fontId="0" fillId="12" borderId="56" xfId="0" applyFont="1" applyFill="1" applyBorder="1" applyAlignment="1">
      <alignment horizontal="left" vertical="center"/>
    </xf>
    <xf numFmtId="0" fontId="0" fillId="12" borderId="57" xfId="0" applyFont="1" applyFill="1" applyBorder="1" applyAlignment="1">
      <alignment horizontal="left" vertical="center"/>
    </xf>
    <xf numFmtId="0" fontId="0" fillId="0" borderId="5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2" fontId="0" fillId="0" borderId="56" xfId="0" applyNumberFormat="1" applyFont="1" applyBorder="1" applyAlignment="1">
      <alignment horizontal="left" vertical="center"/>
    </xf>
    <xf numFmtId="2" fontId="0" fillId="12" borderId="56" xfId="0" applyNumberFormat="1" applyFont="1" applyFill="1" applyBorder="1" applyAlignment="1">
      <alignment horizontal="left" vertical="center"/>
    </xf>
    <xf numFmtId="10" fontId="0" fillId="0" borderId="56" xfId="1" applyNumberFormat="1" applyFont="1" applyBorder="1" applyAlignment="1">
      <alignment horizontal="left" vertical="center"/>
    </xf>
    <xf numFmtId="10" fontId="0" fillId="12" borderId="56" xfId="1" applyNumberFormat="1" applyFont="1" applyFill="1" applyBorder="1" applyAlignment="1">
      <alignment horizontal="left" vertical="center"/>
    </xf>
    <xf numFmtId="1" fontId="0" fillId="0" borderId="55" xfId="0" applyNumberFormat="1" applyFont="1" applyBorder="1" applyAlignment="1">
      <alignment horizontal="left" vertical="center"/>
    </xf>
    <xf numFmtId="1" fontId="0" fillId="12" borderId="55" xfId="0" applyNumberFormat="1" applyFont="1" applyFill="1" applyBorder="1" applyAlignment="1">
      <alignment horizontal="left" vertical="center"/>
    </xf>
    <xf numFmtId="1" fontId="8" fillId="0" borderId="0" xfId="0" applyNumberFormat="1" applyFont="1" applyBorder="1" applyAlignment="1">
      <alignment vertical="center"/>
    </xf>
    <xf numFmtId="167" fontId="8" fillId="0" borderId="7" xfId="1" applyNumberFormat="1" applyFont="1" applyBorder="1" applyAlignment="1">
      <alignment vertical="center"/>
    </xf>
    <xf numFmtId="1" fontId="8" fillId="0" borderId="10" xfId="0" applyNumberFormat="1" applyFont="1" applyBorder="1" applyAlignment="1">
      <alignment vertical="center"/>
    </xf>
    <xf numFmtId="167" fontId="8" fillId="0" borderId="11" xfId="1" applyNumberFormat="1" applyFont="1" applyBorder="1" applyAlignment="1">
      <alignment vertical="center"/>
    </xf>
    <xf numFmtId="2" fontId="8" fillId="5" borderId="2" xfId="0" applyNumberFormat="1" applyFont="1" applyFill="1" applyBorder="1" applyAlignment="1">
      <alignment horizontal="center" vertical="center"/>
    </xf>
    <xf numFmtId="2" fontId="8" fillId="5" borderId="4" xfId="0" applyNumberFormat="1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 wrapText="1"/>
    </xf>
    <xf numFmtId="0" fontId="8" fillId="3" borderId="6" xfId="0" applyFont="1" applyFill="1" applyBorder="1" applyAlignment="1">
      <alignment horizontal="center" vertical="center" wrapText="1"/>
    </xf>
    <xf numFmtId="0" fontId="8" fillId="3" borderId="9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center" vertical="center" wrapText="1"/>
    </xf>
    <xf numFmtId="0" fontId="8" fillId="3" borderId="11" xfId="0" applyFont="1" applyFill="1" applyBorder="1" applyAlignment="1">
      <alignment horizontal="center" vertical="center" wrapText="1"/>
    </xf>
    <xf numFmtId="0" fontId="8" fillId="3" borderId="3" xfId="0" applyFont="1" applyFill="1" applyBorder="1" applyAlignment="1">
      <alignment horizontal="center" vertical="center" wrapText="1"/>
    </xf>
    <xf numFmtId="0" fontId="8" fillId="3" borderId="0" xfId="0" applyFont="1" applyFill="1" applyBorder="1" applyAlignment="1">
      <alignment horizontal="center" vertical="center" wrapText="1"/>
    </xf>
    <xf numFmtId="0" fontId="8" fillId="3" borderId="10" xfId="0" applyFont="1" applyFill="1" applyBorder="1" applyAlignment="1">
      <alignment horizontal="center" vertical="center" wrapText="1"/>
    </xf>
    <xf numFmtId="0" fontId="8" fillId="0" borderId="48" xfId="0" applyFont="1" applyBorder="1" applyAlignment="1">
      <alignment horizontal="center" vertical="center"/>
    </xf>
    <xf numFmtId="0" fontId="8" fillId="0" borderId="49" xfId="0" applyFont="1" applyBorder="1" applyAlignment="1">
      <alignment horizontal="center" vertical="center"/>
    </xf>
    <xf numFmtId="0" fontId="8" fillId="0" borderId="50" xfId="0" applyFont="1" applyBorder="1" applyAlignment="1">
      <alignment horizontal="center" vertical="center"/>
    </xf>
    <xf numFmtId="0" fontId="10" fillId="0" borderId="10" xfId="0" applyFont="1" applyBorder="1" applyAlignment="1">
      <alignment vertical="center"/>
    </xf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0" fillId="0" borderId="10" xfId="0" applyFont="1" applyBorder="1" applyAlignment="1">
      <alignment horizontal="left" vertical="center"/>
    </xf>
    <xf numFmtId="0" fontId="8" fillId="0" borderId="2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2" fontId="8" fillId="5" borderId="9" xfId="0" applyNumberFormat="1" applyFont="1" applyFill="1" applyBorder="1" applyAlignment="1">
      <alignment horizontal="left" vertical="center"/>
    </xf>
    <xf numFmtId="2" fontId="8" fillId="5" borderId="10" xfId="0" applyNumberFormat="1" applyFont="1" applyFill="1" applyBorder="1" applyAlignment="1">
      <alignment horizontal="left" vertical="center"/>
    </xf>
    <xf numFmtId="2" fontId="8" fillId="5" borderId="2" xfId="0" applyNumberFormat="1" applyFont="1" applyFill="1" applyBorder="1" applyAlignment="1">
      <alignment horizontal="left" vertical="center"/>
    </xf>
    <xf numFmtId="2" fontId="8" fillId="5" borderId="3" xfId="0" applyNumberFormat="1" applyFont="1" applyFill="1" applyBorder="1" applyAlignment="1">
      <alignment horizontal="left" vertical="center"/>
    </xf>
    <xf numFmtId="2" fontId="8" fillId="5" borderId="9" xfId="0" applyNumberFormat="1" applyFont="1" applyFill="1" applyBorder="1" applyAlignment="1">
      <alignment horizontal="center" vertical="center"/>
    </xf>
    <xf numFmtId="2" fontId="8" fillId="5" borderId="1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textRotation="90" wrapText="1"/>
    </xf>
    <xf numFmtId="0" fontId="10" fillId="0" borderId="5" xfId="0" applyFont="1" applyBorder="1" applyAlignment="1">
      <alignment horizontal="center" vertical="center" textRotation="90" wrapText="1"/>
    </xf>
    <xf numFmtId="0" fontId="10" fillId="0" borderId="8" xfId="0" applyFont="1" applyBorder="1" applyAlignment="1">
      <alignment horizontal="center" vertical="center" textRotation="90" wrapText="1"/>
    </xf>
    <xf numFmtId="0" fontId="10" fillId="0" borderId="2" xfId="0" applyFont="1" applyBorder="1" applyAlignment="1">
      <alignment horizontal="center" vertical="center" textRotation="90" wrapText="1"/>
    </xf>
    <xf numFmtId="0" fontId="10" fillId="0" borderId="6" xfId="0" applyFont="1" applyBorder="1" applyAlignment="1">
      <alignment horizontal="center" vertical="center" textRotation="90" wrapText="1"/>
    </xf>
    <xf numFmtId="0" fontId="13" fillId="4" borderId="13" xfId="0" applyFont="1" applyFill="1" applyBorder="1" applyAlignment="1">
      <alignment horizontal="center"/>
    </xf>
    <xf numFmtId="0" fontId="12" fillId="5" borderId="14" xfId="0" applyFont="1" applyFill="1" applyBorder="1" applyAlignment="1">
      <alignment horizontal="center"/>
    </xf>
    <xf numFmtId="0" fontId="12" fillId="5" borderId="12" xfId="0" applyFont="1" applyFill="1" applyBorder="1" applyAlignment="1">
      <alignment horizontal="center" vertical="center"/>
    </xf>
    <xf numFmtId="0" fontId="12" fillId="5" borderId="0" xfId="0" applyFont="1" applyFill="1" applyBorder="1" applyAlignment="1">
      <alignment horizontal="center" vertical="center"/>
    </xf>
    <xf numFmtId="0" fontId="12" fillId="5" borderId="13" xfId="0" applyFont="1" applyFill="1" applyBorder="1" applyAlignment="1">
      <alignment horizontal="center" vertical="center"/>
    </xf>
    <xf numFmtId="0" fontId="12" fillId="0" borderId="0" xfId="0" applyFont="1" applyBorder="1" applyAlignment="1">
      <alignment horizontal="center"/>
    </xf>
    <xf numFmtId="0" fontId="14" fillId="5" borderId="13" xfId="0" applyFont="1" applyFill="1" applyBorder="1" applyAlignment="1">
      <alignment horizontal="center"/>
    </xf>
    <xf numFmtId="0" fontId="13" fillId="2" borderId="13" xfId="0" applyFont="1" applyFill="1" applyBorder="1" applyAlignment="1">
      <alignment horizontal="center"/>
    </xf>
    <xf numFmtId="0" fontId="18" fillId="0" borderId="12" xfId="0" applyFont="1" applyBorder="1" applyAlignment="1">
      <alignment horizontal="left" vertical="center" wrapText="1"/>
    </xf>
    <xf numFmtId="0" fontId="18" fillId="0" borderId="0" xfId="0" applyFont="1" applyBorder="1" applyAlignment="1">
      <alignment horizontal="left" vertical="center" wrapText="1"/>
    </xf>
    <xf numFmtId="0" fontId="13" fillId="0" borderId="0" xfId="0" applyFont="1" applyAlignment="1">
      <alignment horizontal="center"/>
    </xf>
    <xf numFmtId="0" fontId="18" fillId="0" borderId="12" xfId="0" applyFont="1" applyBorder="1" applyAlignment="1">
      <alignment horizontal="left" wrapText="1"/>
    </xf>
    <xf numFmtId="0" fontId="18" fillId="0" borderId="0" xfId="0" applyFont="1" applyBorder="1" applyAlignment="1">
      <alignment horizontal="left" wrapText="1"/>
    </xf>
    <xf numFmtId="0" fontId="18" fillId="0" borderId="0" xfId="0" applyFont="1" applyAlignment="1">
      <alignment horizontal="left" wrapText="1"/>
    </xf>
    <xf numFmtId="0" fontId="0" fillId="12" borderId="55" xfId="0" applyFont="1" applyFill="1" applyBorder="1" applyAlignment="1">
      <alignment horizontal="left" vertical="center"/>
    </xf>
    <xf numFmtId="0" fontId="0" fillId="12" borderId="56" xfId="0" applyFont="1" applyFill="1" applyBorder="1" applyAlignment="1">
      <alignment horizontal="left" vertical="center"/>
    </xf>
    <xf numFmtId="0" fontId="0" fillId="12" borderId="57" xfId="0" applyFont="1" applyFill="1" applyBorder="1" applyAlignment="1">
      <alignment horizontal="left" vertical="center"/>
    </xf>
  </cellXfs>
  <cellStyles count="4">
    <cellStyle name="Link" xfId="3" builtinId="8"/>
    <cellStyle name="Percent 2" xfId="2" xr:uid="{B5B4FFAD-3B64-4127-9EB8-68265AC69D05}"/>
    <cellStyle name="Prozent" xfId="1" builtinId="5"/>
    <cellStyle name="Standard" xfId="0" builtinId="0"/>
  </cellStyles>
  <dxfs count="16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sng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1" u="sng"/>
              <a:t>BIOMASS SYSTEM AND</a:t>
            </a:r>
            <a:r>
              <a:rPr lang="en-US" sz="2000" b="1" u="sng" baseline="0"/>
              <a:t> DAILY FEED INPUT</a:t>
            </a:r>
            <a:endParaRPr lang="en-US" sz="20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sng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Clarias_Bioplan!$A$2:$B$2</c:f>
              <c:strCache>
                <c:ptCount val="2"/>
                <c:pt idx="0">
                  <c:v>BIOMASS TOTAL SYSTEM (KG)</c:v>
                </c:pt>
              </c:strCache>
            </c:strRef>
          </c:tx>
          <c:spPr>
            <a:ln w="38100" cap="rnd">
              <a:solidFill>
                <a:schemeClr val="accent1">
                  <a:alpha val="95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Clarias_Bioplan!$C$1:$ACL$1</c:f>
              <c:numCache>
                <c:formatCode>General</c:formatCode>
                <c:ptCount val="7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</c:numCache>
            </c:numRef>
          </c:cat>
          <c:val>
            <c:numRef>
              <c:f>Clarias_Bioplan!$C$2:$ACL$2</c:f>
              <c:numCache>
                <c:formatCode>0.00</c:formatCode>
                <c:ptCount val="764"/>
                <c:pt idx="0">
                  <c:v>2.5</c:v>
                </c:pt>
                <c:pt idx="1">
                  <c:v>2.7458928571428571</c:v>
                </c:pt>
                <c:pt idx="2">
                  <c:v>3.0145000191326532</c:v>
                </c:pt>
                <c:pt idx="3">
                  <c:v>3.3030458455254204</c:v>
                </c:pt>
                <c:pt idx="4">
                  <c:v>3.6180521124776339</c:v>
                </c:pt>
                <c:pt idx="5">
                  <c:v>3.9605610457921832</c:v>
                </c:pt>
                <c:pt idx="6">
                  <c:v>4.326161801639965</c:v>
                </c:pt>
                <c:pt idx="7">
                  <c:v>4.7232736194318816</c:v>
                </c:pt>
                <c:pt idx="8">
                  <c:v>5.1461266915986474</c:v>
                </c:pt>
                <c:pt idx="9">
                  <c:v>5.603346964774242</c:v>
                </c:pt>
                <c:pt idx="10">
                  <c:v>6.0954917778498379</c:v>
                </c:pt>
                <c:pt idx="11">
                  <c:v>6.615640409559691</c:v>
                </c:pt>
                <c:pt idx="12">
                  <c:v>7.1735594174325588</c:v>
                </c:pt>
                <c:pt idx="13">
                  <c:v>7.7613208923231802</c:v>
                </c:pt>
                <c:pt idx="14">
                  <c:v>8.3896061802951785</c:v>
                </c:pt>
                <c:pt idx="15">
                  <c:v>9.0480549492196349</c:v>
                </c:pt>
                <c:pt idx="16">
                  <c:v>9.7479657804528195</c:v>
                </c:pt>
                <c:pt idx="17">
                  <c:v>10.477361188215589</c:v>
                </c:pt>
                <c:pt idx="18">
                  <c:v>11.249692384375482</c:v>
                </c:pt>
                <c:pt idx="19">
                  <c:v>12.053342284084305</c:v>
                </c:pt>
                <c:pt idx="20">
                  <c:v>12.90121958038036</c:v>
                </c:pt>
                <c:pt idx="21">
                  <c:v>13.78048731485859</c:v>
                </c:pt>
                <c:pt idx="22">
                  <c:v>14.702719927468356</c:v>
                </c:pt>
                <c:pt idx="23">
                  <c:v>15.655723500948806</c:v>
                </c:pt>
                <c:pt idx="24">
                  <c:v>16.653894478100209</c:v>
                </c:pt>
                <c:pt idx="25">
                  <c:v>17.700566512875355</c:v>
                </c:pt>
                <c:pt idx="26">
                  <c:v>18.780036882600857</c:v>
                </c:pt>
                <c:pt idx="27">
                  <c:v>19.908520889904604</c:v>
                </c:pt>
                <c:pt idx="28">
                  <c:v>21.06907054883963</c:v>
                </c:pt>
                <c:pt idx="29">
                  <c:v>22.278683069761243</c:v>
                </c:pt>
                <c:pt idx="30">
                  <c:v>23.538083918587155</c:v>
                </c:pt>
                <c:pt idx="31">
                  <c:v>24.828243822646527</c:v>
                </c:pt>
                <c:pt idx="32">
                  <c:v>26.167529670586966</c:v>
                </c:pt>
                <c:pt idx="33">
                  <c:v>27.556304940930293</c:v>
                </c:pt>
                <c:pt idx="34">
                  <c:v>28.973486337892421</c:v>
                </c:pt>
                <c:pt idx="35">
                  <c:v>30.438716932694408</c:v>
                </c:pt>
                <c:pt idx="36">
                  <c:v>31.925498204843478</c:v>
                </c:pt>
                <c:pt idx="37">
                  <c:v>33.457922118675967</c:v>
                </c:pt>
                <c:pt idx="38">
                  <c:v>35.030915696593432</c:v>
                </c:pt>
                <c:pt idx="39">
                  <c:v>36.624822360788428</c:v>
                </c:pt>
                <c:pt idx="40">
                  <c:v>38.260731092903647</c:v>
                </c:pt>
                <c:pt idx="41">
                  <c:v>39.932512482046356</c:v>
                </c:pt>
                <c:pt idx="42">
                  <c:v>41.619524379233077</c:v>
                </c:pt>
                <c:pt idx="43">
                  <c:v>43.337897618671555</c:v>
                </c:pt>
                <c:pt idx="44">
                  <c:v>45.091598297651771</c:v>
                </c:pt>
                <c:pt idx="45">
                  <c:v>46.85382670679784</c:v>
                </c:pt>
                <c:pt idx="46">
                  <c:v>48.646935318063406</c:v>
                </c:pt>
                <c:pt idx="47">
                  <c:v>50.469223219437346</c:v>
                </c:pt>
                <c:pt idx="48">
                  <c:v>52.292844485099678</c:v>
                </c:pt>
                <c:pt idx="49">
                  <c:v>54.140524990239868</c:v>
                </c:pt>
                <c:pt idx="50">
                  <c:v>55.984152341223293</c:v>
                </c:pt>
                <c:pt idx="51">
                  <c:v>58.372184036540851</c:v>
                </c:pt>
                <c:pt idx="52">
                  <c:v>60.432452554238743</c:v>
                </c:pt>
                <c:pt idx="53">
                  <c:v>62.503577412737791</c:v>
                </c:pt>
                <c:pt idx="54">
                  <c:v>64.604608636083768</c:v>
                </c:pt>
                <c:pt idx="55">
                  <c:v>66.755477289984398</c:v>
                </c:pt>
                <c:pt idx="56">
                  <c:v>68.930590461784533</c:v>
                </c:pt>
                <c:pt idx="57">
                  <c:v>71.140340514132404</c:v>
                </c:pt>
                <c:pt idx="58">
                  <c:v>73.399683415526354</c:v>
                </c:pt>
                <c:pt idx="59">
                  <c:v>75.70145262237088</c:v>
                </c:pt>
                <c:pt idx="60">
                  <c:v>78.027049374624653</c:v>
                </c:pt>
                <c:pt idx="61">
                  <c:v>80.400376938902937</c:v>
                </c:pt>
                <c:pt idx="62">
                  <c:v>82.8035430401372</c:v>
                </c:pt>
                <c:pt idx="63">
                  <c:v>85.253622363974529</c:v>
                </c:pt>
                <c:pt idx="64">
                  <c:v>87.715305349582167</c:v>
                </c:pt>
                <c:pt idx="65">
                  <c:v>90.2325035203569</c:v>
                </c:pt>
                <c:pt idx="66">
                  <c:v>92.793799652437784</c:v>
                </c:pt>
                <c:pt idx="67">
                  <c:v>95.409394393757083</c:v>
                </c:pt>
                <c:pt idx="68">
                  <c:v>98.066171945319184</c:v>
                </c:pt>
                <c:pt idx="69">
                  <c:v>100.75031817133784</c:v>
                </c:pt>
                <c:pt idx="70">
                  <c:v>103.47436421447556</c:v>
                </c:pt>
                <c:pt idx="71">
                  <c:v>106.24998355345195</c:v>
                </c:pt>
                <c:pt idx="72">
                  <c:v>109.06306889221185</c:v>
                </c:pt>
                <c:pt idx="73">
                  <c:v>111.89792503258165</c:v>
                </c:pt>
                <c:pt idx="74">
                  <c:v>114.76638533106043</c:v>
                </c:pt>
                <c:pt idx="75">
                  <c:v>117.69358821407596</c:v>
                </c:pt>
                <c:pt idx="76">
                  <c:v>120.68219387480109</c:v>
                </c:pt>
                <c:pt idx="77">
                  <c:v>123.71580341739435</c:v>
                </c:pt>
                <c:pt idx="78">
                  <c:v>126.78370267607609</c:v>
                </c:pt>
                <c:pt idx="79">
                  <c:v>129.8937586630143</c:v>
                </c:pt>
                <c:pt idx="80">
                  <c:v>133.06221556999105</c:v>
                </c:pt>
                <c:pt idx="81">
                  <c:v>136.28902517671261</c:v>
                </c:pt>
                <c:pt idx="82">
                  <c:v>139.55436422040228</c:v>
                </c:pt>
                <c:pt idx="83">
                  <c:v>142.87578569063646</c:v>
                </c:pt>
                <c:pt idx="84">
                  <c:v>146.25281968402015</c:v>
                </c:pt>
                <c:pt idx="85">
                  <c:v>149.65110243419434</c:v>
                </c:pt>
                <c:pt idx="86">
                  <c:v>153.11613352430649</c:v>
                </c:pt>
                <c:pt idx="87">
                  <c:v>156.62125038847469</c:v>
                </c:pt>
                <c:pt idx="88">
                  <c:v>160.19037158797317</c:v>
                </c:pt>
                <c:pt idx="89">
                  <c:v>163.8182413108571</c:v>
                </c:pt>
                <c:pt idx="90">
                  <c:v>167.48501064446259</c:v>
                </c:pt>
                <c:pt idx="91">
                  <c:v>171.1838917565793</c:v>
                </c:pt>
                <c:pt idx="92">
                  <c:v>174.93552965963599</c:v>
                </c:pt>
                <c:pt idx="93">
                  <c:v>178.71905900005115</c:v>
                </c:pt>
                <c:pt idx="94">
                  <c:v>182.55037800835166</c:v>
                </c:pt>
                <c:pt idx="95">
                  <c:v>186.43321074035049</c:v>
                </c:pt>
                <c:pt idx="96">
                  <c:v>190.34050597362693</c:v>
                </c:pt>
                <c:pt idx="97">
                  <c:v>194.294355166793</c:v>
                </c:pt>
                <c:pt idx="98">
                  <c:v>198.29278687061264</c:v>
                </c:pt>
                <c:pt idx="99">
                  <c:v>202.27875747433518</c:v>
                </c:pt>
                <c:pt idx="100">
                  <c:v>206.30297774006337</c:v>
                </c:pt>
                <c:pt idx="101">
                  <c:v>210.33703667830588</c:v>
                </c:pt>
                <c:pt idx="102">
                  <c:v>212.41636260494926</c:v>
                </c:pt>
                <c:pt idx="103">
                  <c:v>216.65832658190669</c:v>
                </c:pt>
                <c:pt idx="104">
                  <c:v>220.92387999651527</c:v>
                </c:pt>
                <c:pt idx="105">
                  <c:v>225.23174287678412</c:v>
                </c:pt>
                <c:pt idx="106">
                  <c:v>229.60150729205631</c:v>
                </c:pt>
                <c:pt idx="107">
                  <c:v>233.97784955905684</c:v>
                </c:pt>
                <c:pt idx="108">
                  <c:v>238.3996123022946</c:v>
                </c:pt>
                <c:pt idx="109">
                  <c:v>242.90061394972301</c:v>
                </c:pt>
                <c:pt idx="110">
                  <c:v>247.45460241745869</c:v>
                </c:pt>
                <c:pt idx="111">
                  <c:v>252.0426027290822</c:v>
                </c:pt>
                <c:pt idx="112">
                  <c:v>256.68813338083942</c:v>
                </c:pt>
                <c:pt idx="113">
                  <c:v>261.37290883556363</c:v>
                </c:pt>
                <c:pt idx="114">
                  <c:v>266.08351399458388</c:v>
                </c:pt>
                <c:pt idx="115">
                  <c:v>270.81379016610282</c:v>
                </c:pt>
                <c:pt idx="116">
                  <c:v>275.60723540948294</c:v>
                </c:pt>
                <c:pt idx="117">
                  <c:v>280.47307650391275</c:v>
                </c:pt>
                <c:pt idx="118">
                  <c:v>285.40053870099342</c:v>
                </c:pt>
                <c:pt idx="119">
                  <c:v>290.3760718092143</c:v>
                </c:pt>
                <c:pt idx="120">
                  <c:v>295.38541955176908</c:v>
                </c:pt>
                <c:pt idx="121">
                  <c:v>300.41009623144856</c:v>
                </c:pt>
                <c:pt idx="122">
                  <c:v>305.51354017808626</c:v>
                </c:pt>
                <c:pt idx="123">
                  <c:v>310.65957637081095</c:v>
                </c:pt>
                <c:pt idx="124">
                  <c:v>315.8320459462135</c:v>
                </c:pt>
                <c:pt idx="125">
                  <c:v>321.04231154327351</c:v>
                </c:pt>
                <c:pt idx="126">
                  <c:v>326.31503394681448</c:v>
                </c:pt>
                <c:pt idx="127">
                  <c:v>331.65238891792393</c:v>
                </c:pt>
                <c:pt idx="128">
                  <c:v>337.00667060599159</c:v>
                </c:pt>
                <c:pt idx="129">
                  <c:v>315.75941100517321</c:v>
                </c:pt>
                <c:pt idx="130">
                  <c:v>320.92720248280602</c:v>
                </c:pt>
                <c:pt idx="131">
                  <c:v>298.86408342114009</c:v>
                </c:pt>
                <c:pt idx="132">
                  <c:v>303.85944628494059</c:v>
                </c:pt>
                <c:pt idx="133">
                  <c:v>308.89358421810596</c:v>
                </c:pt>
                <c:pt idx="134">
                  <c:v>313.98365976387174</c:v>
                </c:pt>
                <c:pt idx="135">
                  <c:v>319.10561801154074</c:v>
                </c:pt>
                <c:pt idx="136">
                  <c:v>295.43882487413913</c:v>
                </c:pt>
                <c:pt idx="137">
                  <c:v>300.37454969172234</c:v>
                </c:pt>
                <c:pt idx="138">
                  <c:v>275.89733103537458</c:v>
                </c:pt>
                <c:pt idx="139">
                  <c:v>280.64348432741059</c:v>
                </c:pt>
                <c:pt idx="140">
                  <c:v>285.44676464493864</c:v>
                </c:pt>
                <c:pt idx="141">
                  <c:v>290.28704874214117</c:v>
                </c:pt>
                <c:pt idx="142">
                  <c:v>295.17076710095853</c:v>
                </c:pt>
                <c:pt idx="143">
                  <c:v>269.1083302096668</c:v>
                </c:pt>
                <c:pt idx="144">
                  <c:v>273.77977452669654</c:v>
                </c:pt>
                <c:pt idx="145">
                  <c:v>246.8100288733672</c:v>
                </c:pt>
                <c:pt idx="146">
                  <c:v>251.28377100353782</c:v>
                </c:pt>
                <c:pt idx="147">
                  <c:v>255.78036045833628</c:v>
                </c:pt>
                <c:pt idx="148">
                  <c:v>260.32885876399382</c:v>
                </c:pt>
                <c:pt idx="149">
                  <c:v>264.92016546750142</c:v>
                </c:pt>
                <c:pt idx="150">
                  <c:v>236.18340265250851</c:v>
                </c:pt>
                <c:pt idx="151">
                  <c:v>240.50834237981698</c:v>
                </c:pt>
                <c:pt idx="152">
                  <c:v>210.26788979009171</c:v>
                </c:pt>
                <c:pt idx="153">
                  <c:v>212.41636260494926</c:v>
                </c:pt>
                <c:pt idx="154">
                  <c:v>216.65832658190669</c:v>
                </c:pt>
                <c:pt idx="155">
                  <c:v>220.92387999651527</c:v>
                </c:pt>
                <c:pt idx="156">
                  <c:v>225.23174287678412</c:v>
                </c:pt>
                <c:pt idx="157">
                  <c:v>229.60150729205631</c:v>
                </c:pt>
                <c:pt idx="158">
                  <c:v>233.97784955905684</c:v>
                </c:pt>
                <c:pt idx="159">
                  <c:v>238.3996123022946</c:v>
                </c:pt>
                <c:pt idx="160">
                  <c:v>242.90061394972301</c:v>
                </c:pt>
                <c:pt idx="161">
                  <c:v>247.45460241745869</c:v>
                </c:pt>
                <c:pt idx="162">
                  <c:v>252.0426027290822</c:v>
                </c:pt>
                <c:pt idx="163">
                  <c:v>256.68813338083942</c:v>
                </c:pt>
                <c:pt idx="164">
                  <c:v>261.37290883556363</c:v>
                </c:pt>
                <c:pt idx="165">
                  <c:v>266.08351399458388</c:v>
                </c:pt>
                <c:pt idx="166">
                  <c:v>270.81379016610282</c:v>
                </c:pt>
                <c:pt idx="167">
                  <c:v>275.60723540948294</c:v>
                </c:pt>
                <c:pt idx="168">
                  <c:v>280.47307650391275</c:v>
                </c:pt>
                <c:pt idx="169">
                  <c:v>285.40053870099342</c:v>
                </c:pt>
                <c:pt idx="170">
                  <c:v>290.3760718092143</c:v>
                </c:pt>
                <c:pt idx="171">
                  <c:v>295.38541955176908</c:v>
                </c:pt>
                <c:pt idx="172">
                  <c:v>300.41009623144856</c:v>
                </c:pt>
                <c:pt idx="173">
                  <c:v>305.51354017808626</c:v>
                </c:pt>
                <c:pt idx="174">
                  <c:v>310.65957637081095</c:v>
                </c:pt>
                <c:pt idx="175">
                  <c:v>315.8320459462135</c:v>
                </c:pt>
                <c:pt idx="176">
                  <c:v>321.04231154327351</c:v>
                </c:pt>
                <c:pt idx="177">
                  <c:v>326.31503394681448</c:v>
                </c:pt>
                <c:pt idx="178">
                  <c:v>331.65238891792393</c:v>
                </c:pt>
                <c:pt idx="179">
                  <c:v>337.00667060599159</c:v>
                </c:pt>
                <c:pt idx="180">
                  <c:v>315.75941100517321</c:v>
                </c:pt>
                <c:pt idx="181">
                  <c:v>320.92720248280602</c:v>
                </c:pt>
                <c:pt idx="182">
                  <c:v>298.86408342114009</c:v>
                </c:pt>
                <c:pt idx="183">
                  <c:v>303.85944628494059</c:v>
                </c:pt>
                <c:pt idx="184">
                  <c:v>308.89358421810596</c:v>
                </c:pt>
                <c:pt idx="185">
                  <c:v>313.98365976387174</c:v>
                </c:pt>
                <c:pt idx="186">
                  <c:v>319.10561801154074</c:v>
                </c:pt>
                <c:pt idx="187">
                  <c:v>295.43882487413913</c:v>
                </c:pt>
                <c:pt idx="188">
                  <c:v>300.37454969172234</c:v>
                </c:pt>
                <c:pt idx="189">
                  <c:v>275.89733103537458</c:v>
                </c:pt>
                <c:pt idx="190">
                  <c:v>280.64348432741059</c:v>
                </c:pt>
                <c:pt idx="191">
                  <c:v>285.44676464493864</c:v>
                </c:pt>
                <c:pt idx="192">
                  <c:v>290.28704874214117</c:v>
                </c:pt>
                <c:pt idx="193">
                  <c:v>295.17076710095853</c:v>
                </c:pt>
                <c:pt idx="194">
                  <c:v>269.1083302096668</c:v>
                </c:pt>
                <c:pt idx="195">
                  <c:v>273.77977452669654</c:v>
                </c:pt>
                <c:pt idx="196">
                  <c:v>246.8100288733672</c:v>
                </c:pt>
                <c:pt idx="197">
                  <c:v>251.28377100353782</c:v>
                </c:pt>
                <c:pt idx="198">
                  <c:v>255.78036045833628</c:v>
                </c:pt>
                <c:pt idx="199">
                  <c:v>260.32885876399382</c:v>
                </c:pt>
                <c:pt idx="200">
                  <c:v>264.92016546750142</c:v>
                </c:pt>
                <c:pt idx="201">
                  <c:v>236.18340265250851</c:v>
                </c:pt>
                <c:pt idx="202">
                  <c:v>240.50834237981698</c:v>
                </c:pt>
                <c:pt idx="203">
                  <c:v>210.26788979009171</c:v>
                </c:pt>
                <c:pt idx="204">
                  <c:v>212.41636260494926</c:v>
                </c:pt>
                <c:pt idx="205">
                  <c:v>216.65832658190669</c:v>
                </c:pt>
                <c:pt idx="206">
                  <c:v>220.92387999651527</c:v>
                </c:pt>
                <c:pt idx="207">
                  <c:v>225.23174287678412</c:v>
                </c:pt>
                <c:pt idx="208">
                  <c:v>229.60150729205631</c:v>
                </c:pt>
                <c:pt idx="209">
                  <c:v>233.97784955905684</c:v>
                </c:pt>
                <c:pt idx="210">
                  <c:v>238.3996123022946</c:v>
                </c:pt>
                <c:pt idx="211">
                  <c:v>242.90061394972301</c:v>
                </c:pt>
                <c:pt idx="212">
                  <c:v>247.45460241745869</c:v>
                </c:pt>
                <c:pt idx="213">
                  <c:v>252.0426027290822</c:v>
                </c:pt>
                <c:pt idx="214">
                  <c:v>256.68813338083942</c:v>
                </c:pt>
                <c:pt idx="215">
                  <c:v>261.37290883556363</c:v>
                </c:pt>
                <c:pt idx="216">
                  <c:v>266.08351399458388</c:v>
                </c:pt>
                <c:pt idx="217">
                  <c:v>270.81379016610282</c:v>
                </c:pt>
                <c:pt idx="218">
                  <c:v>275.60723540948294</c:v>
                </c:pt>
                <c:pt idx="219">
                  <c:v>280.47307650391275</c:v>
                </c:pt>
                <c:pt idx="220">
                  <c:v>285.40053870099342</c:v>
                </c:pt>
                <c:pt idx="221">
                  <c:v>290.3760718092143</c:v>
                </c:pt>
                <c:pt idx="222">
                  <c:v>295.38541955176908</c:v>
                </c:pt>
                <c:pt idx="223">
                  <c:v>300.41009623144856</c:v>
                </c:pt>
                <c:pt idx="224">
                  <c:v>305.51354017808626</c:v>
                </c:pt>
                <c:pt idx="225">
                  <c:v>310.65957637081095</c:v>
                </c:pt>
                <c:pt idx="226">
                  <c:v>315.8320459462135</c:v>
                </c:pt>
                <c:pt idx="227">
                  <c:v>321.04231154327351</c:v>
                </c:pt>
                <c:pt idx="228">
                  <c:v>326.31503394681448</c:v>
                </c:pt>
                <c:pt idx="229">
                  <c:v>331.65238891792393</c:v>
                </c:pt>
                <c:pt idx="230">
                  <c:v>337.00667060599159</c:v>
                </c:pt>
                <c:pt idx="231">
                  <c:v>315.75941100517321</c:v>
                </c:pt>
                <c:pt idx="232">
                  <c:v>320.92720248280602</c:v>
                </c:pt>
                <c:pt idx="233">
                  <c:v>298.86408342114009</c:v>
                </c:pt>
                <c:pt idx="234">
                  <c:v>303.85944628494059</c:v>
                </c:pt>
                <c:pt idx="235">
                  <c:v>308.89358421810596</c:v>
                </c:pt>
                <c:pt idx="236">
                  <c:v>313.98365976387174</c:v>
                </c:pt>
                <c:pt idx="237">
                  <c:v>319.10561801154074</c:v>
                </c:pt>
                <c:pt idx="238">
                  <c:v>295.43882487413913</c:v>
                </c:pt>
                <c:pt idx="239">
                  <c:v>300.37454969172234</c:v>
                </c:pt>
                <c:pt idx="240">
                  <c:v>275.89733103537458</c:v>
                </c:pt>
                <c:pt idx="241">
                  <c:v>280.64348432741059</c:v>
                </c:pt>
                <c:pt idx="242">
                  <c:v>285.44676464493864</c:v>
                </c:pt>
                <c:pt idx="243">
                  <c:v>290.28704874214117</c:v>
                </c:pt>
                <c:pt idx="244">
                  <c:v>295.17076710095853</c:v>
                </c:pt>
                <c:pt idx="245">
                  <c:v>269.1083302096668</c:v>
                </c:pt>
                <c:pt idx="246">
                  <c:v>273.77977452669654</c:v>
                </c:pt>
                <c:pt idx="247">
                  <c:v>246.8100288733672</c:v>
                </c:pt>
                <c:pt idx="248">
                  <c:v>251.28377100353782</c:v>
                </c:pt>
                <c:pt idx="249">
                  <c:v>255.78036045833628</c:v>
                </c:pt>
                <c:pt idx="250">
                  <c:v>260.32885876399382</c:v>
                </c:pt>
                <c:pt idx="251">
                  <c:v>264.92016546750142</c:v>
                </c:pt>
                <c:pt idx="252">
                  <c:v>236.18340265250851</c:v>
                </c:pt>
                <c:pt idx="253">
                  <c:v>240.50834237981698</c:v>
                </c:pt>
                <c:pt idx="254">
                  <c:v>210.26788979009171</c:v>
                </c:pt>
                <c:pt idx="255">
                  <c:v>212.41636260494926</c:v>
                </c:pt>
                <c:pt idx="256">
                  <c:v>216.65832658190669</c:v>
                </c:pt>
                <c:pt idx="257">
                  <c:v>220.92387999651527</c:v>
                </c:pt>
                <c:pt idx="258">
                  <c:v>225.23174287678412</c:v>
                </c:pt>
                <c:pt idx="259">
                  <c:v>229.60150729205631</c:v>
                </c:pt>
                <c:pt idx="260">
                  <c:v>233.97784955905684</c:v>
                </c:pt>
                <c:pt idx="261">
                  <c:v>238.3996123022946</c:v>
                </c:pt>
                <c:pt idx="262">
                  <c:v>242.90061394972301</c:v>
                </c:pt>
                <c:pt idx="263">
                  <c:v>247.45460241745869</c:v>
                </c:pt>
                <c:pt idx="264">
                  <c:v>252.0426027290822</c:v>
                </c:pt>
                <c:pt idx="265">
                  <c:v>256.68813338083942</c:v>
                </c:pt>
                <c:pt idx="266">
                  <c:v>261.37290883556363</c:v>
                </c:pt>
                <c:pt idx="267">
                  <c:v>266.08351399458388</c:v>
                </c:pt>
                <c:pt idx="268">
                  <c:v>270.81379016610282</c:v>
                </c:pt>
                <c:pt idx="269">
                  <c:v>275.60723540948294</c:v>
                </c:pt>
                <c:pt idx="270">
                  <c:v>280.47307650391275</c:v>
                </c:pt>
                <c:pt idx="271">
                  <c:v>285.40053870099342</c:v>
                </c:pt>
                <c:pt idx="272">
                  <c:v>290.3760718092143</c:v>
                </c:pt>
                <c:pt idx="273">
                  <c:v>295.38541955176908</c:v>
                </c:pt>
                <c:pt idx="274">
                  <c:v>300.41009623144856</c:v>
                </c:pt>
                <c:pt idx="275">
                  <c:v>305.51354017808626</c:v>
                </c:pt>
                <c:pt idx="276">
                  <c:v>310.65957637081095</c:v>
                </c:pt>
                <c:pt idx="277">
                  <c:v>315.8320459462135</c:v>
                </c:pt>
                <c:pt idx="278">
                  <c:v>321.04231154327351</c:v>
                </c:pt>
                <c:pt idx="279">
                  <c:v>326.31503394681448</c:v>
                </c:pt>
                <c:pt idx="280">
                  <c:v>331.65238891792393</c:v>
                </c:pt>
                <c:pt idx="281">
                  <c:v>337.00667060599159</c:v>
                </c:pt>
                <c:pt idx="282">
                  <c:v>315.75941100517321</c:v>
                </c:pt>
                <c:pt idx="283">
                  <c:v>320.92720248280602</c:v>
                </c:pt>
                <c:pt idx="284">
                  <c:v>298.86408342114009</c:v>
                </c:pt>
                <c:pt idx="285">
                  <c:v>303.85944628494059</c:v>
                </c:pt>
                <c:pt idx="286">
                  <c:v>308.89358421810596</c:v>
                </c:pt>
                <c:pt idx="287">
                  <c:v>313.98365976387174</c:v>
                </c:pt>
                <c:pt idx="288">
                  <c:v>319.10561801154074</c:v>
                </c:pt>
                <c:pt idx="289">
                  <c:v>295.43882487413913</c:v>
                </c:pt>
                <c:pt idx="290">
                  <c:v>300.37454969172234</c:v>
                </c:pt>
                <c:pt idx="291">
                  <c:v>275.89733103537458</c:v>
                </c:pt>
                <c:pt idx="292">
                  <c:v>280.64348432741059</c:v>
                </c:pt>
                <c:pt idx="293">
                  <c:v>285.44676464493864</c:v>
                </c:pt>
                <c:pt idx="294">
                  <c:v>290.28704874214117</c:v>
                </c:pt>
                <c:pt idx="295">
                  <c:v>295.17076710095853</c:v>
                </c:pt>
                <c:pt idx="296">
                  <c:v>269.1083302096668</c:v>
                </c:pt>
                <c:pt idx="297">
                  <c:v>273.77977452669654</c:v>
                </c:pt>
                <c:pt idx="298">
                  <c:v>246.8100288733672</c:v>
                </c:pt>
                <c:pt idx="299">
                  <c:v>251.28377100353782</c:v>
                </c:pt>
                <c:pt idx="300">
                  <c:v>255.78036045833628</c:v>
                </c:pt>
                <c:pt idx="301">
                  <c:v>260.32885876399382</c:v>
                </c:pt>
                <c:pt idx="302">
                  <c:v>264.92016546750142</c:v>
                </c:pt>
                <c:pt idx="303">
                  <c:v>236.18340265250851</c:v>
                </c:pt>
                <c:pt idx="304">
                  <c:v>240.50834237981698</c:v>
                </c:pt>
                <c:pt idx="305">
                  <c:v>210.26788979009171</c:v>
                </c:pt>
                <c:pt idx="306">
                  <c:v>212.41636260494926</c:v>
                </c:pt>
                <c:pt idx="307">
                  <c:v>216.65832658190669</c:v>
                </c:pt>
                <c:pt idx="308">
                  <c:v>220.92387999651527</c:v>
                </c:pt>
                <c:pt idx="309">
                  <c:v>225.23174287678412</c:v>
                </c:pt>
                <c:pt idx="310">
                  <c:v>229.60150729205631</c:v>
                </c:pt>
                <c:pt idx="311">
                  <c:v>233.97784955905684</c:v>
                </c:pt>
                <c:pt idx="312">
                  <c:v>238.3996123022946</c:v>
                </c:pt>
                <c:pt idx="313">
                  <c:v>242.90061394972301</c:v>
                </c:pt>
                <c:pt idx="314">
                  <c:v>247.45460241745869</c:v>
                </c:pt>
                <c:pt idx="315">
                  <c:v>252.0426027290822</c:v>
                </c:pt>
                <c:pt idx="316">
                  <c:v>256.68813338083942</c:v>
                </c:pt>
                <c:pt idx="317">
                  <c:v>261.37290883556363</c:v>
                </c:pt>
                <c:pt idx="318">
                  <c:v>266.08351399458388</c:v>
                </c:pt>
                <c:pt idx="319">
                  <c:v>270.81379016610282</c:v>
                </c:pt>
                <c:pt idx="320">
                  <c:v>275.60723540948294</c:v>
                </c:pt>
                <c:pt idx="321">
                  <c:v>280.47307650391275</c:v>
                </c:pt>
                <c:pt idx="322">
                  <c:v>285.40053870099342</c:v>
                </c:pt>
                <c:pt idx="323">
                  <c:v>290.3760718092143</c:v>
                </c:pt>
                <c:pt idx="324">
                  <c:v>295.38541955176908</c:v>
                </c:pt>
                <c:pt idx="325">
                  <c:v>300.41009623144856</c:v>
                </c:pt>
                <c:pt idx="326">
                  <c:v>305.51354017808626</c:v>
                </c:pt>
                <c:pt idx="327">
                  <c:v>310.65957637081095</c:v>
                </c:pt>
                <c:pt idx="328">
                  <c:v>315.8320459462135</c:v>
                </c:pt>
                <c:pt idx="329">
                  <c:v>321.04231154327351</c:v>
                </c:pt>
                <c:pt idx="330">
                  <c:v>326.31503394681448</c:v>
                </c:pt>
                <c:pt idx="331">
                  <c:v>331.65238891792393</c:v>
                </c:pt>
                <c:pt idx="332">
                  <c:v>337.00667060599159</c:v>
                </c:pt>
                <c:pt idx="333">
                  <c:v>315.75941100517321</c:v>
                </c:pt>
                <c:pt idx="334">
                  <c:v>320.92720248280602</c:v>
                </c:pt>
                <c:pt idx="335">
                  <c:v>298.86408342114009</c:v>
                </c:pt>
                <c:pt idx="336">
                  <c:v>303.85944628494059</c:v>
                </c:pt>
                <c:pt idx="337">
                  <c:v>308.89358421810596</c:v>
                </c:pt>
                <c:pt idx="338">
                  <c:v>313.98365976387174</c:v>
                </c:pt>
                <c:pt idx="339">
                  <c:v>319.10561801154074</c:v>
                </c:pt>
                <c:pt idx="340">
                  <c:v>295.43882487413913</c:v>
                </c:pt>
                <c:pt idx="341">
                  <c:v>300.37454969172234</c:v>
                </c:pt>
                <c:pt idx="342">
                  <c:v>275.89733103537458</c:v>
                </c:pt>
                <c:pt idx="343">
                  <c:v>280.64348432741059</c:v>
                </c:pt>
                <c:pt idx="344">
                  <c:v>285.44676464493864</c:v>
                </c:pt>
                <c:pt idx="345">
                  <c:v>290.28704874214117</c:v>
                </c:pt>
                <c:pt idx="346">
                  <c:v>295.17076710095853</c:v>
                </c:pt>
                <c:pt idx="347">
                  <c:v>269.1083302096668</c:v>
                </c:pt>
                <c:pt idx="348">
                  <c:v>273.77977452669654</c:v>
                </c:pt>
                <c:pt idx="349">
                  <c:v>246.8100288733672</c:v>
                </c:pt>
                <c:pt idx="350">
                  <c:v>251.28377100353782</c:v>
                </c:pt>
                <c:pt idx="351">
                  <c:v>255.78036045833628</c:v>
                </c:pt>
                <c:pt idx="352">
                  <c:v>260.32885876399382</c:v>
                </c:pt>
                <c:pt idx="353">
                  <c:v>264.92016546750142</c:v>
                </c:pt>
                <c:pt idx="354">
                  <c:v>236.18340265250851</c:v>
                </c:pt>
                <c:pt idx="355">
                  <c:v>240.50834237981698</c:v>
                </c:pt>
                <c:pt idx="356">
                  <c:v>210.26788979009171</c:v>
                </c:pt>
                <c:pt idx="357">
                  <c:v>212.41636260494926</c:v>
                </c:pt>
                <c:pt idx="358">
                  <c:v>216.65832658190669</c:v>
                </c:pt>
                <c:pt idx="359">
                  <c:v>220.92387999651527</c:v>
                </c:pt>
                <c:pt idx="360">
                  <c:v>225.23174287678412</c:v>
                </c:pt>
                <c:pt idx="361">
                  <c:v>229.60150729205631</c:v>
                </c:pt>
                <c:pt idx="362">
                  <c:v>233.97784955905684</c:v>
                </c:pt>
                <c:pt idx="363">
                  <c:v>238.3996123022946</c:v>
                </c:pt>
                <c:pt idx="364">
                  <c:v>242.90061394972301</c:v>
                </c:pt>
                <c:pt idx="365">
                  <c:v>247.45460241745869</c:v>
                </c:pt>
                <c:pt idx="366">
                  <c:v>252.0426027290822</c:v>
                </c:pt>
                <c:pt idx="367">
                  <c:v>256.68813338083942</c:v>
                </c:pt>
                <c:pt idx="368">
                  <c:v>261.37290883556363</c:v>
                </c:pt>
                <c:pt idx="369">
                  <c:v>266.08351399458388</c:v>
                </c:pt>
                <c:pt idx="370">
                  <c:v>270.81379016610282</c:v>
                </c:pt>
                <c:pt idx="371">
                  <c:v>275.60723540948294</c:v>
                </c:pt>
                <c:pt idx="372">
                  <c:v>280.47307650391275</c:v>
                </c:pt>
                <c:pt idx="373">
                  <c:v>285.40053870099342</c:v>
                </c:pt>
                <c:pt idx="374">
                  <c:v>290.3760718092143</c:v>
                </c:pt>
                <c:pt idx="375">
                  <c:v>295.38541955176908</c:v>
                </c:pt>
                <c:pt idx="376">
                  <c:v>300.41009623144856</c:v>
                </c:pt>
                <c:pt idx="377">
                  <c:v>305.51354017808626</c:v>
                </c:pt>
                <c:pt idx="378">
                  <c:v>310.65957637081095</c:v>
                </c:pt>
                <c:pt idx="379">
                  <c:v>315.8320459462135</c:v>
                </c:pt>
                <c:pt idx="380">
                  <c:v>321.04231154327351</c:v>
                </c:pt>
                <c:pt idx="381">
                  <c:v>326.31503394681448</c:v>
                </c:pt>
                <c:pt idx="382">
                  <c:v>331.65238891792393</c:v>
                </c:pt>
                <c:pt idx="383">
                  <c:v>337.00667060599159</c:v>
                </c:pt>
                <c:pt idx="384">
                  <c:v>315.75941100517321</c:v>
                </c:pt>
                <c:pt idx="385">
                  <c:v>320.92720248280602</c:v>
                </c:pt>
                <c:pt idx="386">
                  <c:v>298.86408342114009</c:v>
                </c:pt>
                <c:pt idx="387">
                  <c:v>303.85944628494059</c:v>
                </c:pt>
                <c:pt idx="388">
                  <c:v>308.89358421810596</c:v>
                </c:pt>
                <c:pt idx="389">
                  <c:v>313.98365976387174</c:v>
                </c:pt>
                <c:pt idx="390">
                  <c:v>319.10561801154074</c:v>
                </c:pt>
                <c:pt idx="391">
                  <c:v>295.43882487413913</c:v>
                </c:pt>
                <c:pt idx="392">
                  <c:v>300.37454969172234</c:v>
                </c:pt>
                <c:pt idx="393">
                  <c:v>275.89733103537458</c:v>
                </c:pt>
                <c:pt idx="394">
                  <c:v>280.64348432741059</c:v>
                </c:pt>
                <c:pt idx="395">
                  <c:v>285.44676464493864</c:v>
                </c:pt>
                <c:pt idx="396">
                  <c:v>290.28704874214117</c:v>
                </c:pt>
                <c:pt idx="397">
                  <c:v>295.17076710095853</c:v>
                </c:pt>
                <c:pt idx="398">
                  <c:v>269.1083302096668</c:v>
                </c:pt>
                <c:pt idx="399">
                  <c:v>273.77977452669654</c:v>
                </c:pt>
                <c:pt idx="400">
                  <c:v>246.8100288733672</c:v>
                </c:pt>
                <c:pt idx="401">
                  <c:v>251.28377100353782</c:v>
                </c:pt>
                <c:pt idx="402">
                  <c:v>255.78036045833628</c:v>
                </c:pt>
                <c:pt idx="403">
                  <c:v>260.32885876399382</c:v>
                </c:pt>
                <c:pt idx="404">
                  <c:v>264.92016546750142</c:v>
                </c:pt>
                <c:pt idx="405">
                  <c:v>236.18340265250851</c:v>
                </c:pt>
                <c:pt idx="406">
                  <c:v>240.50834237981698</c:v>
                </c:pt>
                <c:pt idx="407">
                  <c:v>210.26788979009171</c:v>
                </c:pt>
                <c:pt idx="408">
                  <c:v>212.41636260494926</c:v>
                </c:pt>
                <c:pt idx="409">
                  <c:v>216.65832658190669</c:v>
                </c:pt>
                <c:pt idx="410">
                  <c:v>220.92387999651527</c:v>
                </c:pt>
                <c:pt idx="411">
                  <c:v>225.23174287678412</c:v>
                </c:pt>
                <c:pt idx="412">
                  <c:v>229.60150729205631</c:v>
                </c:pt>
                <c:pt idx="413">
                  <c:v>233.97784955905684</c:v>
                </c:pt>
                <c:pt idx="414">
                  <c:v>238.3996123022946</c:v>
                </c:pt>
                <c:pt idx="415">
                  <c:v>242.90061394972301</c:v>
                </c:pt>
                <c:pt idx="416">
                  <c:v>247.45460241745869</c:v>
                </c:pt>
                <c:pt idx="417">
                  <c:v>252.0426027290822</c:v>
                </c:pt>
                <c:pt idx="418">
                  <c:v>256.68813338083942</c:v>
                </c:pt>
                <c:pt idx="419">
                  <c:v>261.37290883556363</c:v>
                </c:pt>
                <c:pt idx="420">
                  <c:v>266.08351399458388</c:v>
                </c:pt>
                <c:pt idx="421">
                  <c:v>270.81379016610282</c:v>
                </c:pt>
                <c:pt idx="422">
                  <c:v>275.60723540948294</c:v>
                </c:pt>
                <c:pt idx="423">
                  <c:v>280.47307650391275</c:v>
                </c:pt>
                <c:pt idx="424">
                  <c:v>285.40053870099342</c:v>
                </c:pt>
                <c:pt idx="425">
                  <c:v>290.3760718092143</c:v>
                </c:pt>
                <c:pt idx="426">
                  <c:v>295.38541955176908</c:v>
                </c:pt>
                <c:pt idx="427">
                  <c:v>300.41009623144856</c:v>
                </c:pt>
                <c:pt idx="428">
                  <c:v>305.51354017808626</c:v>
                </c:pt>
                <c:pt idx="429">
                  <c:v>310.65957637081095</c:v>
                </c:pt>
                <c:pt idx="430">
                  <c:v>315.8320459462135</c:v>
                </c:pt>
                <c:pt idx="431">
                  <c:v>321.04231154327351</c:v>
                </c:pt>
                <c:pt idx="432">
                  <c:v>326.31503394681448</c:v>
                </c:pt>
                <c:pt idx="433">
                  <c:v>331.65238891792393</c:v>
                </c:pt>
                <c:pt idx="434">
                  <c:v>337.00667060599159</c:v>
                </c:pt>
                <c:pt idx="435">
                  <c:v>315.75941100517321</c:v>
                </c:pt>
                <c:pt idx="436">
                  <c:v>320.92720248280602</c:v>
                </c:pt>
                <c:pt idx="437">
                  <c:v>298.86408342114009</c:v>
                </c:pt>
                <c:pt idx="438">
                  <c:v>303.85944628494059</c:v>
                </c:pt>
                <c:pt idx="439">
                  <c:v>308.89358421810596</c:v>
                </c:pt>
                <c:pt idx="440">
                  <c:v>313.98365976387174</c:v>
                </c:pt>
                <c:pt idx="441">
                  <c:v>319.10561801154074</c:v>
                </c:pt>
                <c:pt idx="442">
                  <c:v>295.43882487413913</c:v>
                </c:pt>
                <c:pt idx="443">
                  <c:v>300.37454969172234</c:v>
                </c:pt>
                <c:pt idx="444">
                  <c:v>275.89733103537458</c:v>
                </c:pt>
                <c:pt idx="445">
                  <c:v>280.64348432741059</c:v>
                </c:pt>
                <c:pt idx="446">
                  <c:v>285.44676464493864</c:v>
                </c:pt>
                <c:pt idx="447">
                  <c:v>290.28704874214117</c:v>
                </c:pt>
                <c:pt idx="448">
                  <c:v>295.17076710095853</c:v>
                </c:pt>
                <c:pt idx="449">
                  <c:v>269.1083302096668</c:v>
                </c:pt>
                <c:pt idx="450">
                  <c:v>273.77977452669654</c:v>
                </c:pt>
                <c:pt idx="451">
                  <c:v>246.8100288733672</c:v>
                </c:pt>
                <c:pt idx="452">
                  <c:v>251.28377100353782</c:v>
                </c:pt>
                <c:pt idx="453">
                  <c:v>255.78036045833628</c:v>
                </c:pt>
                <c:pt idx="454">
                  <c:v>260.32885876399382</c:v>
                </c:pt>
                <c:pt idx="455">
                  <c:v>264.92016546750142</c:v>
                </c:pt>
                <c:pt idx="456">
                  <c:v>236.18340265250851</c:v>
                </c:pt>
                <c:pt idx="457">
                  <c:v>240.50834237981698</c:v>
                </c:pt>
                <c:pt idx="458">
                  <c:v>210.26788979009171</c:v>
                </c:pt>
                <c:pt idx="459">
                  <c:v>212.41636260494926</c:v>
                </c:pt>
                <c:pt idx="460">
                  <c:v>216.65832658190669</c:v>
                </c:pt>
                <c:pt idx="461">
                  <c:v>220.92387999651527</c:v>
                </c:pt>
                <c:pt idx="462">
                  <c:v>225.23174287678412</c:v>
                </c:pt>
                <c:pt idx="463">
                  <c:v>229.60150729205631</c:v>
                </c:pt>
                <c:pt idx="464">
                  <c:v>233.97784955905684</c:v>
                </c:pt>
                <c:pt idx="465">
                  <c:v>238.3996123022946</c:v>
                </c:pt>
                <c:pt idx="466">
                  <c:v>242.90061394972301</c:v>
                </c:pt>
                <c:pt idx="467">
                  <c:v>247.45460241745869</c:v>
                </c:pt>
                <c:pt idx="468">
                  <c:v>252.0426027290822</c:v>
                </c:pt>
                <c:pt idx="469">
                  <c:v>256.68813338083942</c:v>
                </c:pt>
                <c:pt idx="470">
                  <c:v>261.37290883556363</c:v>
                </c:pt>
                <c:pt idx="471">
                  <c:v>266.08351399458388</c:v>
                </c:pt>
                <c:pt idx="472">
                  <c:v>270.81379016610282</c:v>
                </c:pt>
                <c:pt idx="473">
                  <c:v>275.60723540948294</c:v>
                </c:pt>
                <c:pt idx="474">
                  <c:v>280.47307650391275</c:v>
                </c:pt>
                <c:pt idx="475">
                  <c:v>285.40053870099342</c:v>
                </c:pt>
                <c:pt idx="476">
                  <c:v>290.3760718092143</c:v>
                </c:pt>
                <c:pt idx="477">
                  <c:v>295.38541955176908</c:v>
                </c:pt>
                <c:pt idx="478">
                  <c:v>300.41009623144856</c:v>
                </c:pt>
                <c:pt idx="479">
                  <c:v>305.51354017808626</c:v>
                </c:pt>
                <c:pt idx="480">
                  <c:v>310.65957637081095</c:v>
                </c:pt>
                <c:pt idx="481">
                  <c:v>315.8320459462135</c:v>
                </c:pt>
                <c:pt idx="482">
                  <c:v>321.04231154327351</c:v>
                </c:pt>
                <c:pt idx="483">
                  <c:v>326.31503394681448</c:v>
                </c:pt>
                <c:pt idx="484">
                  <c:v>331.65238891792393</c:v>
                </c:pt>
                <c:pt idx="485">
                  <c:v>337.00667060599159</c:v>
                </c:pt>
                <c:pt idx="486">
                  <c:v>315.75941100517321</c:v>
                </c:pt>
                <c:pt idx="487">
                  <c:v>320.92720248280602</c:v>
                </c:pt>
                <c:pt idx="488">
                  <c:v>298.86408342114009</c:v>
                </c:pt>
                <c:pt idx="489">
                  <c:v>303.85944628494059</c:v>
                </c:pt>
                <c:pt idx="490">
                  <c:v>308.89358421810596</c:v>
                </c:pt>
                <c:pt idx="491">
                  <c:v>313.98365976387174</c:v>
                </c:pt>
                <c:pt idx="492">
                  <c:v>319.10561801154074</c:v>
                </c:pt>
                <c:pt idx="493">
                  <c:v>295.43882487413913</c:v>
                </c:pt>
                <c:pt idx="494">
                  <c:v>300.37454969172234</c:v>
                </c:pt>
                <c:pt idx="495">
                  <c:v>275.89733103537458</c:v>
                </c:pt>
                <c:pt idx="496">
                  <c:v>280.64348432741059</c:v>
                </c:pt>
                <c:pt idx="497">
                  <c:v>285.44676464493864</c:v>
                </c:pt>
                <c:pt idx="498">
                  <c:v>290.28704874214117</c:v>
                </c:pt>
                <c:pt idx="499">
                  <c:v>295.17076710095853</c:v>
                </c:pt>
                <c:pt idx="500">
                  <c:v>269.1083302096668</c:v>
                </c:pt>
                <c:pt idx="501">
                  <c:v>273.77977452669654</c:v>
                </c:pt>
                <c:pt idx="502">
                  <c:v>246.8100288733672</c:v>
                </c:pt>
                <c:pt idx="503">
                  <c:v>251.28377100353782</c:v>
                </c:pt>
                <c:pt idx="504">
                  <c:v>255.78036045833628</c:v>
                </c:pt>
                <c:pt idx="505">
                  <c:v>260.32885876399382</c:v>
                </c:pt>
                <c:pt idx="506">
                  <c:v>264.92016546750142</c:v>
                </c:pt>
                <c:pt idx="507">
                  <c:v>236.18340265250851</c:v>
                </c:pt>
                <c:pt idx="508">
                  <c:v>240.50834237981698</c:v>
                </c:pt>
                <c:pt idx="509">
                  <c:v>210.26788979009171</c:v>
                </c:pt>
                <c:pt idx="510">
                  <c:v>212.41636260494926</c:v>
                </c:pt>
                <c:pt idx="511">
                  <c:v>216.65832658190669</c:v>
                </c:pt>
                <c:pt idx="512">
                  <c:v>220.92387999651527</c:v>
                </c:pt>
                <c:pt idx="513">
                  <c:v>225.23174287678412</c:v>
                </c:pt>
                <c:pt idx="514">
                  <c:v>229.60150729205631</c:v>
                </c:pt>
                <c:pt idx="515">
                  <c:v>233.97784955905684</c:v>
                </c:pt>
                <c:pt idx="516">
                  <c:v>238.3996123022946</c:v>
                </c:pt>
                <c:pt idx="517">
                  <c:v>242.90061394972301</c:v>
                </c:pt>
                <c:pt idx="518">
                  <c:v>247.45460241745869</c:v>
                </c:pt>
                <c:pt idx="519">
                  <c:v>252.0426027290822</c:v>
                </c:pt>
                <c:pt idx="520">
                  <c:v>256.68813338083942</c:v>
                </c:pt>
                <c:pt idx="521">
                  <c:v>261.37290883556363</c:v>
                </c:pt>
                <c:pt idx="522">
                  <c:v>266.08351399458388</c:v>
                </c:pt>
                <c:pt idx="523">
                  <c:v>270.81379016610282</c:v>
                </c:pt>
                <c:pt idx="524">
                  <c:v>275.60723540948294</c:v>
                </c:pt>
                <c:pt idx="525">
                  <c:v>280.47307650391275</c:v>
                </c:pt>
                <c:pt idx="526">
                  <c:v>285.40053870099342</c:v>
                </c:pt>
                <c:pt idx="527">
                  <c:v>290.3760718092143</c:v>
                </c:pt>
                <c:pt idx="528">
                  <c:v>295.38541955176908</c:v>
                </c:pt>
                <c:pt idx="529">
                  <c:v>300.41009623144856</c:v>
                </c:pt>
                <c:pt idx="530">
                  <c:v>305.51354017808626</c:v>
                </c:pt>
                <c:pt idx="531">
                  <c:v>310.65957637081095</c:v>
                </c:pt>
                <c:pt idx="532">
                  <c:v>315.8320459462135</c:v>
                </c:pt>
                <c:pt idx="533">
                  <c:v>321.04231154327351</c:v>
                </c:pt>
                <c:pt idx="534">
                  <c:v>326.31503394681448</c:v>
                </c:pt>
                <c:pt idx="535">
                  <c:v>331.65238891792393</c:v>
                </c:pt>
                <c:pt idx="536">
                  <c:v>337.00667060599159</c:v>
                </c:pt>
                <c:pt idx="537">
                  <c:v>315.75941100517321</c:v>
                </c:pt>
                <c:pt idx="538">
                  <c:v>320.92720248280602</c:v>
                </c:pt>
                <c:pt idx="539">
                  <c:v>298.86408342114009</c:v>
                </c:pt>
                <c:pt idx="540">
                  <c:v>303.85944628494059</c:v>
                </c:pt>
                <c:pt idx="541">
                  <c:v>308.89358421810596</c:v>
                </c:pt>
                <c:pt idx="542">
                  <c:v>313.98365976387174</c:v>
                </c:pt>
                <c:pt idx="543">
                  <c:v>319.10561801154074</c:v>
                </c:pt>
                <c:pt idx="544">
                  <c:v>295.43882487413913</c:v>
                </c:pt>
                <c:pt idx="545">
                  <c:v>300.37454969172234</c:v>
                </c:pt>
                <c:pt idx="546">
                  <c:v>275.89733103537458</c:v>
                </c:pt>
                <c:pt idx="547">
                  <c:v>280.64348432741059</c:v>
                </c:pt>
                <c:pt idx="548">
                  <c:v>285.44676464493864</c:v>
                </c:pt>
                <c:pt idx="549">
                  <c:v>290.28704874214117</c:v>
                </c:pt>
                <c:pt idx="550">
                  <c:v>295.17076710095853</c:v>
                </c:pt>
                <c:pt idx="551">
                  <c:v>269.1083302096668</c:v>
                </c:pt>
                <c:pt idx="552">
                  <c:v>273.77977452669654</c:v>
                </c:pt>
                <c:pt idx="553">
                  <c:v>246.8100288733672</c:v>
                </c:pt>
                <c:pt idx="554">
                  <c:v>251.28377100353782</c:v>
                </c:pt>
                <c:pt idx="555">
                  <c:v>255.78036045833628</c:v>
                </c:pt>
                <c:pt idx="556">
                  <c:v>260.32885876399382</c:v>
                </c:pt>
                <c:pt idx="557">
                  <c:v>264.92016546750142</c:v>
                </c:pt>
                <c:pt idx="558">
                  <c:v>236.18340265250851</c:v>
                </c:pt>
                <c:pt idx="559">
                  <c:v>240.50834237981698</c:v>
                </c:pt>
                <c:pt idx="560">
                  <c:v>210.26788979009171</c:v>
                </c:pt>
                <c:pt idx="561">
                  <c:v>212.41636260494926</c:v>
                </c:pt>
                <c:pt idx="562">
                  <c:v>216.65832658190669</c:v>
                </c:pt>
                <c:pt idx="563">
                  <c:v>220.92387999651527</c:v>
                </c:pt>
                <c:pt idx="564">
                  <c:v>225.23174287678412</c:v>
                </c:pt>
                <c:pt idx="565">
                  <c:v>229.60150729205631</c:v>
                </c:pt>
                <c:pt idx="566">
                  <c:v>233.97784955905684</c:v>
                </c:pt>
                <c:pt idx="567">
                  <c:v>238.3996123022946</c:v>
                </c:pt>
                <c:pt idx="568">
                  <c:v>242.90061394972301</c:v>
                </c:pt>
                <c:pt idx="569">
                  <c:v>247.45460241745869</c:v>
                </c:pt>
                <c:pt idx="570">
                  <c:v>252.0426027290822</c:v>
                </c:pt>
                <c:pt idx="571">
                  <c:v>256.68813338083942</c:v>
                </c:pt>
                <c:pt idx="572">
                  <c:v>261.37290883556363</c:v>
                </c:pt>
                <c:pt idx="573">
                  <c:v>266.08351399458388</c:v>
                </c:pt>
                <c:pt idx="574">
                  <c:v>270.81379016610282</c:v>
                </c:pt>
                <c:pt idx="575">
                  <c:v>275.60723540948294</c:v>
                </c:pt>
                <c:pt idx="576">
                  <c:v>280.47307650391275</c:v>
                </c:pt>
                <c:pt idx="577">
                  <c:v>285.40053870099342</c:v>
                </c:pt>
                <c:pt idx="578">
                  <c:v>290.3760718092143</c:v>
                </c:pt>
                <c:pt idx="579">
                  <c:v>295.38541955176908</c:v>
                </c:pt>
                <c:pt idx="580">
                  <c:v>300.41009623144856</c:v>
                </c:pt>
                <c:pt idx="581">
                  <c:v>305.51354017808626</c:v>
                </c:pt>
                <c:pt idx="582">
                  <c:v>310.65957637081095</c:v>
                </c:pt>
                <c:pt idx="583">
                  <c:v>315.8320459462135</c:v>
                </c:pt>
                <c:pt idx="584">
                  <c:v>321.04231154327351</c:v>
                </c:pt>
                <c:pt idx="585">
                  <c:v>326.31503394681448</c:v>
                </c:pt>
                <c:pt idx="586">
                  <c:v>331.65238891792393</c:v>
                </c:pt>
                <c:pt idx="587">
                  <c:v>337.00667060599159</c:v>
                </c:pt>
                <c:pt idx="588">
                  <c:v>315.75941100517321</c:v>
                </c:pt>
                <c:pt idx="589">
                  <c:v>320.92720248280602</c:v>
                </c:pt>
                <c:pt idx="590">
                  <c:v>298.86408342114009</c:v>
                </c:pt>
                <c:pt idx="591">
                  <c:v>303.85944628494059</c:v>
                </c:pt>
                <c:pt idx="592">
                  <c:v>308.89358421810596</c:v>
                </c:pt>
                <c:pt idx="593">
                  <c:v>313.98365976387174</c:v>
                </c:pt>
                <c:pt idx="594">
                  <c:v>319.10561801154074</c:v>
                </c:pt>
                <c:pt idx="595">
                  <c:v>295.43882487413913</c:v>
                </c:pt>
                <c:pt idx="596">
                  <c:v>300.37454969172234</c:v>
                </c:pt>
                <c:pt idx="597">
                  <c:v>275.89733103537458</c:v>
                </c:pt>
                <c:pt idx="598">
                  <c:v>280.64348432741059</c:v>
                </c:pt>
                <c:pt idx="599">
                  <c:v>285.44676464493864</c:v>
                </c:pt>
                <c:pt idx="600">
                  <c:v>290.28704874214117</c:v>
                </c:pt>
                <c:pt idx="601">
                  <c:v>295.17076710095853</c:v>
                </c:pt>
                <c:pt idx="602">
                  <c:v>269.1083302096668</c:v>
                </c:pt>
                <c:pt idx="603">
                  <c:v>273.77977452669654</c:v>
                </c:pt>
                <c:pt idx="604">
                  <c:v>246.8100288733672</c:v>
                </c:pt>
                <c:pt idx="605">
                  <c:v>251.28377100353782</c:v>
                </c:pt>
                <c:pt idx="606">
                  <c:v>255.78036045833628</c:v>
                </c:pt>
                <c:pt idx="607">
                  <c:v>260.32885876399382</c:v>
                </c:pt>
                <c:pt idx="608">
                  <c:v>264.92016546750142</c:v>
                </c:pt>
                <c:pt idx="609">
                  <c:v>236.18340265250851</c:v>
                </c:pt>
                <c:pt idx="610">
                  <c:v>240.50834237981698</c:v>
                </c:pt>
                <c:pt idx="611">
                  <c:v>210.26788979009171</c:v>
                </c:pt>
                <c:pt idx="612">
                  <c:v>212.41636260494926</c:v>
                </c:pt>
                <c:pt idx="613">
                  <c:v>216.65832658190669</c:v>
                </c:pt>
                <c:pt idx="614">
                  <c:v>220.92387999651527</c:v>
                </c:pt>
                <c:pt idx="615">
                  <c:v>225.23174287678412</c:v>
                </c:pt>
                <c:pt idx="616">
                  <c:v>229.60150729205631</c:v>
                </c:pt>
                <c:pt idx="617">
                  <c:v>233.97784955905684</c:v>
                </c:pt>
                <c:pt idx="618">
                  <c:v>238.3996123022946</c:v>
                </c:pt>
                <c:pt idx="619">
                  <c:v>242.90061394972301</c:v>
                </c:pt>
                <c:pt idx="620">
                  <c:v>247.45460241745869</c:v>
                </c:pt>
                <c:pt idx="621">
                  <c:v>252.0426027290822</c:v>
                </c:pt>
                <c:pt idx="622">
                  <c:v>256.68813338083942</c:v>
                </c:pt>
                <c:pt idx="623">
                  <c:v>261.37290883556363</c:v>
                </c:pt>
                <c:pt idx="624">
                  <c:v>266.08351399458388</c:v>
                </c:pt>
                <c:pt idx="625">
                  <c:v>270.81379016610282</c:v>
                </c:pt>
                <c:pt idx="626">
                  <c:v>275.60723540948294</c:v>
                </c:pt>
                <c:pt idx="627">
                  <c:v>280.47307650391275</c:v>
                </c:pt>
                <c:pt idx="628">
                  <c:v>285.40053870099342</c:v>
                </c:pt>
                <c:pt idx="629">
                  <c:v>290.3760718092143</c:v>
                </c:pt>
                <c:pt idx="630">
                  <c:v>295.38541955176908</c:v>
                </c:pt>
                <c:pt idx="631">
                  <c:v>300.41009623144856</c:v>
                </c:pt>
                <c:pt idx="632">
                  <c:v>305.51354017808626</c:v>
                </c:pt>
                <c:pt idx="633">
                  <c:v>310.65957637081095</c:v>
                </c:pt>
                <c:pt idx="634">
                  <c:v>315.8320459462135</c:v>
                </c:pt>
                <c:pt idx="635">
                  <c:v>321.04231154327351</c:v>
                </c:pt>
                <c:pt idx="636">
                  <c:v>326.31503394681448</c:v>
                </c:pt>
                <c:pt idx="637">
                  <c:v>331.65238891792393</c:v>
                </c:pt>
                <c:pt idx="638">
                  <c:v>337.00667060599159</c:v>
                </c:pt>
                <c:pt idx="639">
                  <c:v>315.75941100517321</c:v>
                </c:pt>
                <c:pt idx="640">
                  <c:v>320.92720248280602</c:v>
                </c:pt>
                <c:pt idx="641">
                  <c:v>298.86408342114009</c:v>
                </c:pt>
                <c:pt idx="642">
                  <c:v>303.85944628494059</c:v>
                </c:pt>
                <c:pt idx="643">
                  <c:v>308.89358421810596</c:v>
                </c:pt>
                <c:pt idx="644">
                  <c:v>313.98365976387174</c:v>
                </c:pt>
                <c:pt idx="645">
                  <c:v>319.10561801154074</c:v>
                </c:pt>
                <c:pt idx="646">
                  <c:v>295.43882487413913</c:v>
                </c:pt>
                <c:pt idx="647">
                  <c:v>300.37454969172234</c:v>
                </c:pt>
                <c:pt idx="648">
                  <c:v>275.89733103537458</c:v>
                </c:pt>
                <c:pt idx="649">
                  <c:v>280.64348432741059</c:v>
                </c:pt>
                <c:pt idx="650">
                  <c:v>285.44676464493864</c:v>
                </c:pt>
                <c:pt idx="651">
                  <c:v>290.28704874214117</c:v>
                </c:pt>
                <c:pt idx="652">
                  <c:v>295.17076710095853</c:v>
                </c:pt>
                <c:pt idx="653">
                  <c:v>269.1083302096668</c:v>
                </c:pt>
                <c:pt idx="654">
                  <c:v>273.77977452669654</c:v>
                </c:pt>
                <c:pt idx="655">
                  <c:v>246.8100288733672</c:v>
                </c:pt>
                <c:pt idx="656">
                  <c:v>251.28377100353782</c:v>
                </c:pt>
                <c:pt idx="657">
                  <c:v>255.78036045833628</c:v>
                </c:pt>
                <c:pt idx="658">
                  <c:v>260.32885876399382</c:v>
                </c:pt>
                <c:pt idx="659">
                  <c:v>264.92016546750142</c:v>
                </c:pt>
                <c:pt idx="660">
                  <c:v>236.18340265250851</c:v>
                </c:pt>
                <c:pt idx="661">
                  <c:v>240.50834237981698</c:v>
                </c:pt>
                <c:pt idx="662">
                  <c:v>210.26788979009171</c:v>
                </c:pt>
                <c:pt idx="663">
                  <c:v>209.91636260494926</c:v>
                </c:pt>
                <c:pt idx="664">
                  <c:v>213.91243372476384</c:v>
                </c:pt>
                <c:pt idx="665">
                  <c:v>217.90937997738263</c:v>
                </c:pt>
                <c:pt idx="666">
                  <c:v>221.92869703125871</c:v>
                </c:pt>
                <c:pt idx="667">
                  <c:v>225.98345517957867</c:v>
                </c:pt>
                <c:pt idx="668">
                  <c:v>230.01728851326465</c:v>
                </c:pt>
                <c:pt idx="669">
                  <c:v>234.07345050065464</c:v>
                </c:pt>
                <c:pt idx="670">
                  <c:v>238.17734033029112</c:v>
                </c:pt>
                <c:pt idx="671">
                  <c:v>242.30847572586003</c:v>
                </c:pt>
                <c:pt idx="672">
                  <c:v>246.43925576430797</c:v>
                </c:pt>
                <c:pt idx="673">
                  <c:v>250.5926416029896</c:v>
                </c:pt>
                <c:pt idx="674">
                  <c:v>254.75726842600392</c:v>
                </c:pt>
                <c:pt idx="675">
                  <c:v>258.90995457715132</c:v>
                </c:pt>
                <c:pt idx="676">
                  <c:v>263.05246927377965</c:v>
                </c:pt>
                <c:pt idx="677">
                  <c:v>267.21762922918776</c:v>
                </c:pt>
                <c:pt idx="678">
                  <c:v>271.4250215546931</c:v>
                </c:pt>
                <c:pt idx="679">
                  <c:v>275.65257292054059</c:v>
                </c:pt>
                <c:pt idx="680">
                  <c:v>279.89871062099871</c:v>
                </c:pt>
                <c:pt idx="681">
                  <c:v>284.13572716739361</c:v>
                </c:pt>
                <c:pt idx="682">
                  <c:v>288.35675394736427</c:v>
                </c:pt>
                <c:pt idx="683">
                  <c:v>292.61232059770589</c:v>
                </c:pt>
                <c:pt idx="684">
                  <c:v>296.87908905595236</c:v>
                </c:pt>
                <c:pt idx="685">
                  <c:v>301.12932601874513</c:v>
                </c:pt>
                <c:pt idx="686">
                  <c:v>305.38658804232472</c:v>
                </c:pt>
                <c:pt idx="687">
                  <c:v>309.66113946871428</c:v>
                </c:pt>
                <c:pt idx="688">
                  <c:v>313.95182240504857</c:v>
                </c:pt>
                <c:pt idx="689">
                  <c:v>318.22663372339071</c:v>
                </c:pt>
                <c:pt idx="690">
                  <c:v>295.85089011526861</c:v>
                </c:pt>
                <c:pt idx="691">
                  <c:v>299.85813193396638</c:v>
                </c:pt>
                <c:pt idx="692">
                  <c:v>276.58540035137884</c:v>
                </c:pt>
                <c:pt idx="693">
                  <c:v>280.32136236635341</c:v>
                </c:pt>
                <c:pt idx="694">
                  <c:v>284.06534039545943</c:v>
                </c:pt>
                <c:pt idx="695">
                  <c:v>287.81613009328476</c:v>
                </c:pt>
                <c:pt idx="696">
                  <c:v>291.54931307061042</c:v>
                </c:pt>
                <c:pt idx="697">
                  <c:v>266.46533853624669</c:v>
                </c:pt>
                <c:pt idx="698">
                  <c:v>269.9358327590279</c:v>
                </c:pt>
                <c:pt idx="699">
                  <c:v>243.97183283053107</c:v>
                </c:pt>
                <c:pt idx="700">
                  <c:v>247.18556220873461</c:v>
                </c:pt>
                <c:pt idx="701">
                  <c:v>250.41584894834523</c:v>
                </c:pt>
                <c:pt idx="702">
                  <c:v>253.66222638135272</c:v>
                </c:pt>
                <c:pt idx="703">
                  <c:v>256.91003600805487</c:v>
                </c:pt>
                <c:pt idx="704">
                  <c:v>229.17581772762043</c:v>
                </c:pt>
                <c:pt idx="705">
                  <c:v>232.16025014746344</c:v>
                </c:pt>
                <c:pt idx="706">
                  <c:v>203.47213125469565</c:v>
                </c:pt>
                <c:pt idx="707">
                  <c:v>206.19217270588604</c:v>
                </c:pt>
                <c:pt idx="708">
                  <c:v>208.92653375153844</c:v>
                </c:pt>
                <c:pt idx="709">
                  <c:v>211.68192344593041</c:v>
                </c:pt>
                <c:pt idx="710">
                  <c:v>214.45094224806405</c:v>
                </c:pt>
                <c:pt idx="711">
                  <c:v>183.89055816740881</c:v>
                </c:pt>
                <c:pt idx="712">
                  <c:v>186.36781738957711</c:v>
                </c:pt>
                <c:pt idx="713">
                  <c:v>154.28373744886844</c:v>
                </c:pt>
                <c:pt idx="714">
                  <c:v>154.0441785684084</c:v>
                </c:pt>
                <c:pt idx="715">
                  <c:v>156.22587402766794</c:v>
                </c:pt>
                <c:pt idx="716">
                  <c:v>158.4203025837775</c:v>
                </c:pt>
                <c:pt idx="717">
                  <c:v>160.62713424070034</c:v>
                </c:pt>
                <c:pt idx="718">
                  <c:v>162.8460300020719</c:v>
                </c:pt>
                <c:pt idx="719">
                  <c:v>165.0472590972723</c:v>
                </c:pt>
                <c:pt idx="720">
                  <c:v>167.25927178816221</c:v>
                </c:pt>
                <c:pt idx="721">
                  <c:v>169.50093053419664</c:v>
                </c:pt>
                <c:pt idx="722">
                  <c:v>171.75314979508781</c:v>
                </c:pt>
                <c:pt idx="723">
                  <c:v>174.01555335445758</c:v>
                </c:pt>
                <c:pt idx="724">
                  <c:v>176.28775644193649</c:v>
                </c:pt>
                <c:pt idx="725">
                  <c:v>178.56936579542639</c:v>
                </c:pt>
                <c:pt idx="726">
                  <c:v>180.82989163060938</c:v>
                </c:pt>
                <c:pt idx="727">
                  <c:v>183.09848481652065</c:v>
                </c:pt>
                <c:pt idx="728">
                  <c:v>185.37473188912605</c:v>
                </c:pt>
                <c:pt idx="729">
                  <c:v>187.67927685147495</c:v>
                </c:pt>
                <c:pt idx="730">
                  <c:v>189.99114430723631</c:v>
                </c:pt>
                <c:pt idx="731">
                  <c:v>192.30989986389508</c:v>
                </c:pt>
                <c:pt idx="732">
                  <c:v>194.63510138043125</c:v>
                </c:pt>
                <c:pt idx="733">
                  <c:v>196.93573201697299</c:v>
                </c:pt>
                <c:pt idx="734">
                  <c:v>199.2635566246343</c:v>
                </c:pt>
                <c:pt idx="735">
                  <c:v>201.59650747859911</c:v>
                </c:pt>
                <c:pt idx="736">
                  <c:v>203.93412091363186</c:v>
                </c:pt>
                <c:pt idx="737">
                  <c:v>206.27592621221311</c:v>
                </c:pt>
                <c:pt idx="738">
                  <c:v>208.62144573273852</c:v>
                </c:pt>
                <c:pt idx="739">
                  <c:v>210.97019504312283</c:v>
                </c:pt>
                <c:pt idx="740">
                  <c:v>213.29086718859719</c:v>
                </c:pt>
                <c:pt idx="741">
                  <c:v>188.9757083290971</c:v>
                </c:pt>
                <c:pt idx="742">
                  <c:v>191.03344381979173</c:v>
                </c:pt>
                <c:pt idx="743">
                  <c:v>165.80186785114904</c:v>
                </c:pt>
                <c:pt idx="744">
                  <c:v>167.57042110822798</c:v>
                </c:pt>
                <c:pt idx="745">
                  <c:v>169.33921999770371</c:v>
                </c:pt>
                <c:pt idx="746">
                  <c:v>171.10787407323525</c:v>
                </c:pt>
                <c:pt idx="747">
                  <c:v>172.85279832752056</c:v>
                </c:pt>
                <c:pt idx="748">
                  <c:v>145.78772243994473</c:v>
                </c:pt>
                <c:pt idx="749">
                  <c:v>147.25841616741585</c:v>
                </c:pt>
                <c:pt idx="750">
                  <c:v>119.27608064689986</c:v>
                </c:pt>
                <c:pt idx="751">
                  <c:v>120.4531127394374</c:v>
                </c:pt>
                <c:pt idx="752">
                  <c:v>121.62852333408158</c:v>
                </c:pt>
                <c:pt idx="753">
                  <c:v>122.80203809767855</c:v>
                </c:pt>
                <c:pt idx="754">
                  <c:v>123.98687534437923</c:v>
                </c:pt>
                <c:pt idx="755">
                  <c:v>94.1728005500308</c:v>
                </c:pt>
                <c:pt idx="756">
                  <c:v>95.060715526645382</c:v>
                </c:pt>
                <c:pt idx="757">
                  <c:v>64.259650865015544</c:v>
                </c:pt>
                <c:pt idx="758">
                  <c:v>64.850560263187319</c:v>
                </c:pt>
                <c:pt idx="759">
                  <c:v>65.439854484709329</c:v>
                </c:pt>
                <c:pt idx="760">
                  <c:v>66.034503597200825</c:v>
                </c:pt>
                <c:pt idx="761">
                  <c:v>66.627378596888732</c:v>
                </c:pt>
                <c:pt idx="762">
                  <c:v>33.90464517817329</c:v>
                </c:pt>
                <c:pt idx="763">
                  <c:v>34.205364639753611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C2-4523-BC3C-ADE8B264FE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890463"/>
        <c:axId val="1306801295"/>
      </c:lineChart>
      <c:lineChart>
        <c:grouping val="standard"/>
        <c:varyColors val="0"/>
        <c:ser>
          <c:idx val="1"/>
          <c:order val="1"/>
          <c:tx>
            <c:strRef>
              <c:f>Clarias_Bioplan!$A$4:$B$4</c:f>
              <c:strCache>
                <c:ptCount val="2"/>
                <c:pt idx="0">
                  <c:v>TOTAL FEED SYSTEM (KG/D)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Clarias_Bioplan!$C$4:$ACL$4</c:f>
              <c:numCache>
                <c:formatCode>0.000</c:formatCode>
                <c:ptCount val="764"/>
                <c:pt idx="0">
                  <c:v>0.14050000000000001</c:v>
                </c:pt>
                <c:pt idx="1">
                  <c:v>0.15349541071428571</c:v>
                </c:pt>
                <c:pt idx="2">
                  <c:v>0.16790765106568878</c:v>
                </c:pt>
                <c:pt idx="3">
                  <c:v>0.18331904442666083</c:v>
                </c:pt>
                <c:pt idx="4">
                  <c:v>0.19935467139751761</c:v>
                </c:pt>
                <c:pt idx="5">
                  <c:v>0.2166426892048324</c:v>
                </c:pt>
                <c:pt idx="6">
                  <c:v>0.2353432020092141</c:v>
                </c:pt>
                <c:pt idx="7">
                  <c:v>0.25505677544932165</c:v>
                </c:pt>
                <c:pt idx="8">
                  <c:v>0.27583239066968751</c:v>
                </c:pt>
                <c:pt idx="9">
                  <c:v>0.29697738913303484</c:v>
                </c:pt>
                <c:pt idx="10">
                  <c:v>0.3194037691593315</c:v>
                </c:pt>
                <c:pt idx="11">
                  <c:v>0.34269017321519196</c:v>
                </c:pt>
                <c:pt idx="12">
                  <c:v>0.36728624217254702</c:v>
                </c:pt>
                <c:pt idx="13">
                  <c:v>0.39272283715155293</c:v>
                </c:pt>
                <c:pt idx="14">
                  <c:v>0.4186413483967294</c:v>
                </c:pt>
                <c:pt idx="15">
                  <c:v>0.44516430350160602</c:v>
                </c:pt>
                <c:pt idx="16">
                  <c:v>0.47180154377391648</c:v>
                </c:pt>
                <c:pt idx="17">
                  <c:v>0.49977012867788351</c:v>
                </c:pt>
                <c:pt idx="18">
                  <c:v>0.52873554206564766</c:v>
                </c:pt>
                <c:pt idx="19">
                  <c:v>0.55806974775310336</c:v>
                </c:pt>
                <c:pt idx="20">
                  <c:v>0.58829561286534438</c:v>
                </c:pt>
                <c:pt idx="21">
                  <c:v>0.61736583170566495</c:v>
                </c:pt>
                <c:pt idx="22">
                  <c:v>0.64838994880135448</c:v>
                </c:pt>
                <c:pt idx="23">
                  <c:v>0.67945839994117818</c:v>
                </c:pt>
                <c:pt idx="24">
                  <c:v>0.71278668366268905</c:v>
                </c:pt>
                <c:pt idx="25">
                  <c:v>0.74696390684333991</c:v>
                </c:pt>
                <c:pt idx="26">
                  <c:v>0.78124953431619559</c:v>
                </c:pt>
                <c:pt idx="27">
                  <c:v>0.81624935648608865</c:v>
                </c:pt>
                <c:pt idx="28">
                  <c:v>0.851190450173121</c:v>
                </c:pt>
                <c:pt idx="29">
                  <c:v>0.88669158617649757</c:v>
                </c:pt>
                <c:pt idx="30">
                  <c:v>0.9226928896086164</c:v>
                </c:pt>
                <c:pt idx="31">
                  <c:v>0.9583702115541558</c:v>
                </c:pt>
                <c:pt idx="32">
                  <c:v>0.99436612748230468</c:v>
                </c:pt>
                <c:pt idx="33">
                  <c:v>1.0306058047907931</c:v>
                </c:pt>
                <c:pt idx="34">
                  <c:v>1.0662242972344411</c:v>
                </c:pt>
                <c:pt idx="35">
                  <c:v>1.098837681270268</c:v>
                </c:pt>
                <c:pt idx="36">
                  <c:v>1.1333551862719433</c:v>
                </c:pt>
                <c:pt idx="37">
                  <c:v>1.1643356897299235</c:v>
                </c:pt>
                <c:pt idx="38">
                  <c:v>1.1980573168234954</c:v>
                </c:pt>
                <c:pt idx="39">
                  <c:v>1.230594031322491</c:v>
                </c:pt>
                <c:pt idx="40">
                  <c:v>1.25877805295653</c:v>
                </c:pt>
                <c:pt idx="41">
                  <c:v>1.2898201531700975</c:v>
                </c:pt>
                <c:pt idx="42">
                  <c:v>1.3151769703837655</c:v>
                </c:pt>
                <c:pt idx="43">
                  <c:v>1.3434748261788181</c:v>
                </c:pt>
                <c:pt idx="44">
                  <c:v>1.3707845882486138</c:v>
                </c:pt>
                <c:pt idx="45">
                  <c:v>1.3962440358625756</c:v>
                </c:pt>
                <c:pt idx="46">
                  <c:v>1.4204905112874515</c:v>
                </c:pt>
                <c:pt idx="47">
                  <c:v>1.4434197840759082</c:v>
                </c:pt>
                <c:pt idx="48">
                  <c:v>1.4641996455827908</c:v>
                </c:pt>
                <c:pt idx="49">
                  <c:v>1.4834503847325724</c:v>
                </c:pt>
                <c:pt idx="50">
                  <c:v>0</c:v>
                </c:pt>
                <c:pt idx="51">
                  <c:v>1.6043512217573703</c:v>
                </c:pt>
                <c:pt idx="52">
                  <c:v>1.6302713389599404</c:v>
                </c:pt>
                <c:pt idx="53">
                  <c:v>1.6551345859058173</c:v>
                </c:pt>
                <c:pt idx="54">
                  <c:v>1.6913374890743962</c:v>
                </c:pt>
                <c:pt idx="55">
                  <c:v>1.7272803606931815</c:v>
                </c:pt>
                <c:pt idx="56">
                  <c:v>1.7564323863638509</c:v>
                </c:pt>
                <c:pt idx="57">
                  <c:v>1.7921135660102878</c:v>
                </c:pt>
                <c:pt idx="58">
                  <c:v>1.827746559779885</c:v>
                </c:pt>
                <c:pt idx="59">
                  <c:v>1.8633272241120626</c:v>
                </c:pt>
                <c:pt idx="60">
                  <c:v>1.8975412123907285</c:v>
                </c:pt>
                <c:pt idx="61">
                  <c:v>1.9243892886380782</c:v>
                </c:pt>
                <c:pt idx="62">
                  <c:v>1.957873708983435</c:v>
                </c:pt>
                <c:pt idx="63">
                  <c:v>1.9913515514606202</c:v>
                </c:pt>
                <c:pt idx="64">
                  <c:v>2.031779518525362</c:v>
                </c:pt>
                <c:pt idx="65">
                  <c:v>2.0718678746659762</c:v>
                </c:pt>
                <c:pt idx="66">
                  <c:v>2.1117046230956475</c:v>
                </c:pt>
                <c:pt idx="67">
                  <c:v>2.1507655445946803</c:v>
                </c:pt>
                <c:pt idx="68">
                  <c:v>2.1902341762899828</c:v>
                </c:pt>
                <c:pt idx="69">
                  <c:v>2.2292474320179325</c:v>
                </c:pt>
                <c:pt idx="70">
                  <c:v>2.2676428578514196</c:v>
                </c:pt>
                <c:pt idx="71">
                  <c:v>2.3059128699698617</c:v>
                </c:pt>
                <c:pt idx="72">
                  <c:v>2.3419805582557589</c:v>
                </c:pt>
                <c:pt idx="73">
                  <c:v>2.3784645996723714</c:v>
                </c:pt>
                <c:pt idx="74">
                  <c:v>2.423806048151143</c:v>
                </c:pt>
                <c:pt idx="75">
                  <c:v>2.4708773546686666</c:v>
                </c:pt>
                <c:pt idx="76">
                  <c:v>2.5182478974684623</c:v>
                </c:pt>
                <c:pt idx="77">
                  <c:v>2.5651575654076852</c:v>
                </c:pt>
                <c:pt idx="78">
                  <c:v>2.6117524104937697</c:v>
                </c:pt>
                <c:pt idx="79">
                  <c:v>2.6576802728684203</c:v>
                </c:pt>
                <c:pt idx="80">
                  <c:v>2.7035415191802663</c:v>
                </c:pt>
                <c:pt idx="81">
                  <c:v>2.7492581379902488</c:v>
                </c:pt>
                <c:pt idx="82">
                  <c:v>2.7939881379182476</c:v>
                </c:pt>
                <c:pt idx="83">
                  <c:v>2.8383565725990869</c:v>
                </c:pt>
                <c:pt idx="84">
                  <c:v>2.8941410862573043</c:v>
                </c:pt>
                <c:pt idx="85">
                  <c:v>2.9487951083367516</c:v>
                </c:pt>
                <c:pt idx="86">
                  <c:v>3.0003376384402554</c:v>
                </c:pt>
                <c:pt idx="87">
                  <c:v>3.0536697698998641</c:v>
                </c:pt>
                <c:pt idx="88">
                  <c:v>3.1033421666101706</c:v>
                </c:pt>
                <c:pt idx="89">
                  <c:v>3.1556246661603033</c:v>
                </c:pt>
                <c:pt idx="90">
                  <c:v>3.2065828744059712</c:v>
                </c:pt>
                <c:pt idx="91">
                  <c:v>3.2526254629116647</c:v>
                </c:pt>
                <c:pt idx="92">
                  <c:v>3.3013651091161833</c:v>
                </c:pt>
                <c:pt idx="93">
                  <c:v>3.3442500827718731</c:v>
                </c:pt>
                <c:pt idx="94">
                  <c:v>3.3898982879071156</c:v>
                </c:pt>
                <c:pt idx="95">
                  <c:v>3.4343721299120151</c:v>
                </c:pt>
                <c:pt idx="96">
                  <c:v>3.4768008852315972</c:v>
                </c:pt>
                <c:pt idx="97">
                  <c:v>3.5178133571091577</c:v>
                </c:pt>
                <c:pt idx="98">
                  <c:v>3.557296744287715</c:v>
                </c:pt>
                <c:pt idx="99">
                  <c:v>3.5939996100299352</c:v>
                </c:pt>
                <c:pt idx="100">
                  <c:v>3.6289409685050837</c:v>
                </c:pt>
                <c:pt idx="101">
                  <c:v>0</c:v>
                </c:pt>
                <c:pt idx="102">
                  <c:v>3.7455653038582466</c:v>
                </c:pt>
                <c:pt idx="103">
                  <c:v>3.7861884005417576</c:v>
                </c:pt>
                <c:pt idx="104">
                  <c:v>3.8254927313035694</c:v>
                </c:pt>
                <c:pt idx="105">
                  <c:v>3.8758665147479214</c:v>
                </c:pt>
                <c:pt idx="106">
                  <c:v>3.9257017657211524</c:v>
                </c:pt>
                <c:pt idx="107">
                  <c:v>3.9680656582673</c:v>
                </c:pt>
                <c:pt idx="108">
                  <c:v>4.0333878079716614</c:v>
                </c:pt>
                <c:pt idx="109">
                  <c:v>4.0821089358847003</c:v>
                </c:pt>
                <c:pt idx="110">
                  <c:v>4.1304688014072211</c:v>
                </c:pt>
                <c:pt idx="111">
                  <c:v>4.1771449613341227</c:v>
                </c:pt>
                <c:pt idx="112">
                  <c:v>4.2161301223832526</c:v>
                </c:pt>
                <c:pt idx="113">
                  <c:v>4.2614185277444356</c:v>
                </c:pt>
                <c:pt idx="114">
                  <c:v>4.3059741643324205</c:v>
                </c:pt>
                <c:pt idx="115">
                  <c:v>4.357130275695174</c:v>
                </c:pt>
                <c:pt idx="116">
                  <c:v>4.4261269696578767</c:v>
                </c:pt>
                <c:pt idx="117">
                  <c:v>4.4764635114242317</c:v>
                </c:pt>
                <c:pt idx="118">
                  <c:v>4.525654848435134</c:v>
                </c:pt>
                <c:pt idx="119">
                  <c:v>4.5748769346022815</c:v>
                </c:pt>
                <c:pt idx="120">
                  <c:v>4.6232591789972366</c:v>
                </c:pt>
                <c:pt idx="121">
                  <c:v>4.6899523616601879</c:v>
                </c:pt>
                <c:pt idx="122">
                  <c:v>4.7369282607904006</c:v>
                </c:pt>
                <c:pt idx="123">
                  <c:v>4.7812982987468082</c:v>
                </c:pt>
                <c:pt idx="124">
                  <c:v>4.8256740506359543</c:v>
                </c:pt>
                <c:pt idx="125">
                  <c:v>4.8784895700764794</c:v>
                </c:pt>
                <c:pt idx="126">
                  <c:v>4.9326104143149809</c:v>
                </c:pt>
                <c:pt idx="127">
                  <c:v>4.9865991794729991</c:v>
                </c:pt>
                <c:pt idx="128">
                  <c:v>5.0606607115142719</c:v>
                </c:pt>
                <c:pt idx="129">
                  <c:v>4.8038706271112961</c:v>
                </c:pt>
                <c:pt idx="130">
                  <c:v>4.854564876796025</c:v>
                </c:pt>
                <c:pt idx="131">
                  <c:v>4.5936828126833653</c:v>
                </c:pt>
                <c:pt idx="132">
                  <c:v>4.6428038965132252</c:v>
                </c:pt>
                <c:pt idx="133">
                  <c:v>4.6905874018925298</c:v>
                </c:pt>
                <c:pt idx="134">
                  <c:v>4.737653974811999</c:v>
                </c:pt>
                <c:pt idx="135">
                  <c:v>4.79552186786003</c:v>
                </c:pt>
                <c:pt idx="136">
                  <c:v>4.5524600551761436</c:v>
                </c:pt>
                <c:pt idx="137">
                  <c:v>4.6054543746650882</c:v>
                </c:pt>
                <c:pt idx="138">
                  <c:v>4.3418514408863826</c:v>
                </c:pt>
                <c:pt idx="139">
                  <c:v>4.3921904729221515</c:v>
                </c:pt>
                <c:pt idx="140">
                  <c:v>4.4448870135015675</c:v>
                </c:pt>
                <c:pt idx="141">
                  <c:v>4.5082844782413636</c:v>
                </c:pt>
                <c:pt idx="142">
                  <c:v>4.5544876540276471</c:v>
                </c:pt>
                <c:pt idx="143">
                  <c:v>4.2807622348365033</c:v>
                </c:pt>
                <c:pt idx="144">
                  <c:v>4.32337545269632</c:v>
                </c:pt>
                <c:pt idx="145">
                  <c:v>4.051772691816776</c:v>
                </c:pt>
                <c:pt idx="146">
                  <c:v>4.0958478445965261</c:v>
                </c:pt>
                <c:pt idx="147">
                  <c:v>4.1442874009756325</c:v>
                </c:pt>
                <c:pt idx="148">
                  <c:v>4.184761843440886</c:v>
                </c:pt>
                <c:pt idx="149">
                  <c:v>4.2235705302566018</c:v>
                </c:pt>
                <c:pt idx="150">
                  <c:v>3.9330460618116678</c:v>
                </c:pt>
                <c:pt idx="151">
                  <c:v>3.9675740784386444</c:v>
                </c:pt>
                <c:pt idx="152">
                  <c:v>-6.845541933200597E-4</c:v>
                </c:pt>
                <c:pt idx="153">
                  <c:v>3.7455653038582466</c:v>
                </c:pt>
                <c:pt idx="154">
                  <c:v>3.7861884005417576</c:v>
                </c:pt>
                <c:pt idx="155">
                  <c:v>3.8254927313035694</c:v>
                </c:pt>
                <c:pt idx="156">
                  <c:v>3.8758665147479214</c:v>
                </c:pt>
                <c:pt idx="157">
                  <c:v>3.9257017657211524</c:v>
                </c:pt>
                <c:pt idx="158">
                  <c:v>3.9680656582673</c:v>
                </c:pt>
                <c:pt idx="159">
                  <c:v>4.0333878079716614</c:v>
                </c:pt>
                <c:pt idx="160">
                  <c:v>4.0821089358847003</c:v>
                </c:pt>
                <c:pt idx="161">
                  <c:v>4.1304688014072211</c:v>
                </c:pt>
                <c:pt idx="162">
                  <c:v>4.1771449613341227</c:v>
                </c:pt>
                <c:pt idx="163">
                  <c:v>4.2161301223832526</c:v>
                </c:pt>
                <c:pt idx="164">
                  <c:v>4.2614185277444356</c:v>
                </c:pt>
                <c:pt idx="165">
                  <c:v>4.3059741643324205</c:v>
                </c:pt>
                <c:pt idx="166">
                  <c:v>4.357130275695174</c:v>
                </c:pt>
                <c:pt idx="167">
                  <c:v>4.4261269696578767</c:v>
                </c:pt>
                <c:pt idx="168">
                  <c:v>4.4764635114242317</c:v>
                </c:pt>
                <c:pt idx="169">
                  <c:v>4.525654848435134</c:v>
                </c:pt>
                <c:pt idx="170">
                  <c:v>4.5748769346022815</c:v>
                </c:pt>
                <c:pt idx="171">
                  <c:v>4.6232591789972366</c:v>
                </c:pt>
                <c:pt idx="172">
                  <c:v>4.6899523616601879</c:v>
                </c:pt>
                <c:pt idx="173">
                  <c:v>4.7369282607904006</c:v>
                </c:pt>
                <c:pt idx="174">
                  <c:v>4.7812982987468082</c:v>
                </c:pt>
                <c:pt idx="175">
                  <c:v>4.8256740506359543</c:v>
                </c:pt>
                <c:pt idx="176">
                  <c:v>4.8784895700764794</c:v>
                </c:pt>
                <c:pt idx="177">
                  <c:v>4.9326104143149809</c:v>
                </c:pt>
                <c:pt idx="178">
                  <c:v>4.9865991794729991</c:v>
                </c:pt>
                <c:pt idx="179">
                  <c:v>5.0606607115142719</c:v>
                </c:pt>
                <c:pt idx="180">
                  <c:v>4.8038706271112961</c:v>
                </c:pt>
                <c:pt idx="181">
                  <c:v>4.854564876796025</c:v>
                </c:pt>
                <c:pt idx="182">
                  <c:v>4.5936828126833653</c:v>
                </c:pt>
                <c:pt idx="183">
                  <c:v>4.6428038965132252</c:v>
                </c:pt>
                <c:pt idx="184">
                  <c:v>4.6905874018925298</c:v>
                </c:pt>
                <c:pt idx="185">
                  <c:v>4.737653974811999</c:v>
                </c:pt>
                <c:pt idx="186">
                  <c:v>4.79552186786003</c:v>
                </c:pt>
                <c:pt idx="187">
                  <c:v>4.5524600551761436</c:v>
                </c:pt>
                <c:pt idx="188">
                  <c:v>4.6054543746650882</c:v>
                </c:pt>
                <c:pt idx="189">
                  <c:v>4.3418514408863826</c:v>
                </c:pt>
                <c:pt idx="190">
                  <c:v>4.3921904729221515</c:v>
                </c:pt>
                <c:pt idx="191">
                  <c:v>4.4448870135015675</c:v>
                </c:pt>
                <c:pt idx="192">
                  <c:v>4.5082844782413636</c:v>
                </c:pt>
                <c:pt idx="193">
                  <c:v>4.5544876540276471</c:v>
                </c:pt>
                <c:pt idx="194">
                  <c:v>4.2807622348365033</c:v>
                </c:pt>
                <c:pt idx="195">
                  <c:v>4.32337545269632</c:v>
                </c:pt>
                <c:pt idx="196">
                  <c:v>4.051772691816776</c:v>
                </c:pt>
                <c:pt idx="197">
                  <c:v>4.0958478445965261</c:v>
                </c:pt>
                <c:pt idx="198">
                  <c:v>4.1442874009756325</c:v>
                </c:pt>
                <c:pt idx="199">
                  <c:v>4.184761843440886</c:v>
                </c:pt>
                <c:pt idx="200">
                  <c:v>4.2235705302566018</c:v>
                </c:pt>
                <c:pt idx="201">
                  <c:v>3.9330460618116678</c:v>
                </c:pt>
                <c:pt idx="202">
                  <c:v>3.9675740784386444</c:v>
                </c:pt>
                <c:pt idx="203">
                  <c:v>-6.845541933200597E-4</c:v>
                </c:pt>
                <c:pt idx="204">
                  <c:v>3.7455653038582466</c:v>
                </c:pt>
                <c:pt idx="205">
                  <c:v>3.7861884005417576</c:v>
                </c:pt>
                <c:pt idx="206">
                  <c:v>3.8254927313035694</c:v>
                </c:pt>
                <c:pt idx="207">
                  <c:v>3.8758665147479214</c:v>
                </c:pt>
                <c:pt idx="208">
                  <c:v>3.9257017657211524</c:v>
                </c:pt>
                <c:pt idx="209">
                  <c:v>3.9680656582673</c:v>
                </c:pt>
                <c:pt idx="210">
                  <c:v>4.0333878079716614</c:v>
                </c:pt>
                <c:pt idx="211">
                  <c:v>4.0821089358847003</c:v>
                </c:pt>
                <c:pt idx="212">
                  <c:v>4.1304688014072211</c:v>
                </c:pt>
                <c:pt idx="213">
                  <c:v>4.1771449613341227</c:v>
                </c:pt>
                <c:pt idx="214">
                  <c:v>4.2161301223832526</c:v>
                </c:pt>
                <c:pt idx="215">
                  <c:v>4.2614185277444356</c:v>
                </c:pt>
                <c:pt idx="216">
                  <c:v>4.3059741643324205</c:v>
                </c:pt>
                <c:pt idx="217">
                  <c:v>4.357130275695174</c:v>
                </c:pt>
                <c:pt idx="218">
                  <c:v>4.4261269696578767</c:v>
                </c:pt>
                <c:pt idx="219">
                  <c:v>4.4764635114242317</c:v>
                </c:pt>
                <c:pt idx="220">
                  <c:v>4.525654848435134</c:v>
                </c:pt>
                <c:pt idx="221">
                  <c:v>4.5748769346022815</c:v>
                </c:pt>
                <c:pt idx="222">
                  <c:v>4.6232591789972366</c:v>
                </c:pt>
                <c:pt idx="223">
                  <c:v>4.6899523616601879</c:v>
                </c:pt>
                <c:pt idx="224">
                  <c:v>4.7369282607904006</c:v>
                </c:pt>
                <c:pt idx="225">
                  <c:v>4.7812982987468082</c:v>
                </c:pt>
                <c:pt idx="226">
                  <c:v>4.8256740506359543</c:v>
                </c:pt>
                <c:pt idx="227">
                  <c:v>4.8784895700764794</c:v>
                </c:pt>
                <c:pt idx="228">
                  <c:v>4.9326104143149809</c:v>
                </c:pt>
                <c:pt idx="229">
                  <c:v>4.9865991794729991</c:v>
                </c:pt>
                <c:pt idx="230">
                  <c:v>5.0606607115142719</c:v>
                </c:pt>
                <c:pt idx="231">
                  <c:v>4.8038706271112961</c:v>
                </c:pt>
                <c:pt idx="232">
                  <c:v>4.854564876796025</c:v>
                </c:pt>
                <c:pt idx="233">
                  <c:v>4.5936828126833653</c:v>
                </c:pt>
                <c:pt idx="234">
                  <c:v>4.6428038965132252</c:v>
                </c:pt>
                <c:pt idx="235">
                  <c:v>4.6905874018925298</c:v>
                </c:pt>
                <c:pt idx="236">
                  <c:v>4.737653974811999</c:v>
                </c:pt>
                <c:pt idx="237">
                  <c:v>4.79552186786003</c:v>
                </c:pt>
                <c:pt idx="238">
                  <c:v>4.5524600551761436</c:v>
                </c:pt>
                <c:pt idx="239">
                  <c:v>4.6054543746650882</c:v>
                </c:pt>
                <c:pt idx="240">
                  <c:v>4.3418514408863826</c:v>
                </c:pt>
                <c:pt idx="241">
                  <c:v>4.3921904729221515</c:v>
                </c:pt>
                <c:pt idx="242">
                  <c:v>4.4448870135015675</c:v>
                </c:pt>
                <c:pt idx="243">
                  <c:v>4.5082844782413636</c:v>
                </c:pt>
                <c:pt idx="244">
                  <c:v>4.5544876540276471</c:v>
                </c:pt>
                <c:pt idx="245">
                  <c:v>4.2807622348365033</c:v>
                </c:pt>
                <c:pt idx="246">
                  <c:v>4.32337545269632</c:v>
                </c:pt>
                <c:pt idx="247">
                  <c:v>4.051772691816776</c:v>
                </c:pt>
                <c:pt idx="248">
                  <c:v>4.0958478445965261</c:v>
                </c:pt>
                <c:pt idx="249">
                  <c:v>4.1442874009756325</c:v>
                </c:pt>
                <c:pt idx="250">
                  <c:v>4.184761843440886</c:v>
                </c:pt>
                <c:pt idx="251">
                  <c:v>4.2235705302566018</c:v>
                </c:pt>
                <c:pt idx="252">
                  <c:v>3.9330460618116678</c:v>
                </c:pt>
                <c:pt idx="253">
                  <c:v>3.9675740784386444</c:v>
                </c:pt>
                <c:pt idx="254">
                  <c:v>-6.845541933200597E-4</c:v>
                </c:pt>
                <c:pt idx="255">
                  <c:v>3.7455653038582466</c:v>
                </c:pt>
                <c:pt idx="256">
                  <c:v>3.7861884005417576</c:v>
                </c:pt>
                <c:pt idx="257">
                  <c:v>3.8254927313035694</c:v>
                </c:pt>
                <c:pt idx="258">
                  <c:v>3.8758665147479214</c:v>
                </c:pt>
                <c:pt idx="259">
                  <c:v>3.9257017657211524</c:v>
                </c:pt>
                <c:pt idx="260">
                  <c:v>3.9680656582673</c:v>
                </c:pt>
                <c:pt idx="261">
                  <c:v>4.0333878079716614</c:v>
                </c:pt>
                <c:pt idx="262">
                  <c:v>4.0821089358847003</c:v>
                </c:pt>
                <c:pt idx="263">
                  <c:v>4.1304688014072211</c:v>
                </c:pt>
                <c:pt idx="264">
                  <c:v>4.1771449613341227</c:v>
                </c:pt>
                <c:pt idx="265">
                  <c:v>4.2161301223832526</c:v>
                </c:pt>
                <c:pt idx="266">
                  <c:v>4.2614185277444356</c:v>
                </c:pt>
                <c:pt idx="267">
                  <c:v>4.3059741643324205</c:v>
                </c:pt>
                <c:pt idx="268">
                  <c:v>4.357130275695174</c:v>
                </c:pt>
                <c:pt idx="269">
                  <c:v>4.4261269696578767</c:v>
                </c:pt>
                <c:pt idx="270">
                  <c:v>4.4764635114242317</c:v>
                </c:pt>
                <c:pt idx="271">
                  <c:v>4.525654848435134</c:v>
                </c:pt>
                <c:pt idx="272">
                  <c:v>4.5748769346022815</c:v>
                </c:pt>
                <c:pt idx="273">
                  <c:v>4.6232591789972366</c:v>
                </c:pt>
                <c:pt idx="274">
                  <c:v>4.6899523616601879</c:v>
                </c:pt>
                <c:pt idx="275">
                  <c:v>4.7369282607904006</c:v>
                </c:pt>
                <c:pt idx="276">
                  <c:v>4.7812982987468082</c:v>
                </c:pt>
                <c:pt idx="277">
                  <c:v>4.8256740506359543</c:v>
                </c:pt>
                <c:pt idx="278">
                  <c:v>4.8784895700764794</c:v>
                </c:pt>
                <c:pt idx="279">
                  <c:v>4.9326104143149809</c:v>
                </c:pt>
                <c:pt idx="280">
                  <c:v>4.9865991794729991</c:v>
                </c:pt>
                <c:pt idx="281">
                  <c:v>5.0606607115142719</c:v>
                </c:pt>
                <c:pt idx="282">
                  <c:v>4.8038706271112961</c:v>
                </c:pt>
                <c:pt idx="283">
                  <c:v>4.854564876796025</c:v>
                </c:pt>
                <c:pt idx="284">
                  <c:v>4.5936828126833653</c:v>
                </c:pt>
                <c:pt idx="285">
                  <c:v>4.6428038965132252</c:v>
                </c:pt>
                <c:pt idx="286">
                  <c:v>4.6905874018925298</c:v>
                </c:pt>
                <c:pt idx="287">
                  <c:v>4.737653974811999</c:v>
                </c:pt>
                <c:pt idx="288">
                  <c:v>4.79552186786003</c:v>
                </c:pt>
                <c:pt idx="289">
                  <c:v>4.5524600551761436</c:v>
                </c:pt>
                <c:pt idx="290">
                  <c:v>4.6054543746650882</c:v>
                </c:pt>
                <c:pt idx="291">
                  <c:v>4.3418514408863826</c:v>
                </c:pt>
                <c:pt idx="292">
                  <c:v>4.3921904729221515</c:v>
                </c:pt>
                <c:pt idx="293">
                  <c:v>4.4448870135015675</c:v>
                </c:pt>
                <c:pt idx="294">
                  <c:v>4.5082844782413636</c:v>
                </c:pt>
                <c:pt idx="295">
                  <c:v>4.5544876540276471</c:v>
                </c:pt>
                <c:pt idx="296">
                  <c:v>4.2807622348365033</c:v>
                </c:pt>
                <c:pt idx="297">
                  <c:v>4.32337545269632</c:v>
                </c:pt>
                <c:pt idx="298">
                  <c:v>4.051772691816776</c:v>
                </c:pt>
                <c:pt idx="299">
                  <c:v>4.0958478445965261</c:v>
                </c:pt>
                <c:pt idx="300">
                  <c:v>4.1442874009756325</c:v>
                </c:pt>
                <c:pt idx="301">
                  <c:v>4.184761843440886</c:v>
                </c:pt>
                <c:pt idx="302">
                  <c:v>4.2235705302566018</c:v>
                </c:pt>
                <c:pt idx="303">
                  <c:v>3.9330460618116678</c:v>
                </c:pt>
                <c:pt idx="304">
                  <c:v>3.9675740784386444</c:v>
                </c:pt>
                <c:pt idx="305">
                  <c:v>-6.845541933200597E-4</c:v>
                </c:pt>
                <c:pt idx="306">
                  <c:v>3.7455653038582466</c:v>
                </c:pt>
                <c:pt idx="307">
                  <c:v>3.7861884005417576</c:v>
                </c:pt>
                <c:pt idx="308">
                  <c:v>3.8254927313035694</c:v>
                </c:pt>
                <c:pt idx="309">
                  <c:v>3.8758665147479214</c:v>
                </c:pt>
                <c:pt idx="310">
                  <c:v>3.9257017657211524</c:v>
                </c:pt>
                <c:pt idx="311">
                  <c:v>3.9680656582673</c:v>
                </c:pt>
                <c:pt idx="312">
                  <c:v>4.0333878079716614</c:v>
                </c:pt>
                <c:pt idx="313">
                  <c:v>4.0821089358847003</c:v>
                </c:pt>
                <c:pt idx="314">
                  <c:v>4.1304688014072211</c:v>
                </c:pt>
                <c:pt idx="315">
                  <c:v>4.1771449613341227</c:v>
                </c:pt>
                <c:pt idx="316">
                  <c:v>4.2161301223832526</c:v>
                </c:pt>
                <c:pt idx="317">
                  <c:v>4.2614185277444356</c:v>
                </c:pt>
                <c:pt idx="318">
                  <c:v>4.3059741643324205</c:v>
                </c:pt>
                <c:pt idx="319">
                  <c:v>4.357130275695174</c:v>
                </c:pt>
                <c:pt idx="320">
                  <c:v>4.4261269696578767</c:v>
                </c:pt>
                <c:pt idx="321">
                  <c:v>4.4764635114242317</c:v>
                </c:pt>
                <c:pt idx="322">
                  <c:v>4.525654848435134</c:v>
                </c:pt>
                <c:pt idx="323">
                  <c:v>4.5748769346022815</c:v>
                </c:pt>
                <c:pt idx="324">
                  <c:v>4.6232591789972366</c:v>
                </c:pt>
                <c:pt idx="325">
                  <c:v>4.6899523616601879</c:v>
                </c:pt>
                <c:pt idx="326">
                  <c:v>4.7369282607904006</c:v>
                </c:pt>
                <c:pt idx="327">
                  <c:v>4.7812982987468082</c:v>
                </c:pt>
                <c:pt idx="328">
                  <c:v>4.8256740506359543</c:v>
                </c:pt>
                <c:pt idx="329">
                  <c:v>4.8784895700764794</c:v>
                </c:pt>
                <c:pt idx="330">
                  <c:v>4.9326104143149809</c:v>
                </c:pt>
                <c:pt idx="331">
                  <c:v>4.9865991794729991</c:v>
                </c:pt>
                <c:pt idx="332">
                  <c:v>5.0606607115142719</c:v>
                </c:pt>
                <c:pt idx="333">
                  <c:v>4.8038706271112961</c:v>
                </c:pt>
                <c:pt idx="334">
                  <c:v>4.854564876796025</c:v>
                </c:pt>
                <c:pt idx="335">
                  <c:v>4.5936828126833653</c:v>
                </c:pt>
                <c:pt idx="336">
                  <c:v>4.6428038965132252</c:v>
                </c:pt>
                <c:pt idx="337">
                  <c:v>4.6905874018925298</c:v>
                </c:pt>
                <c:pt idx="338">
                  <c:v>4.737653974811999</c:v>
                </c:pt>
                <c:pt idx="339">
                  <c:v>4.79552186786003</c:v>
                </c:pt>
                <c:pt idx="340">
                  <c:v>4.5524600551761436</c:v>
                </c:pt>
                <c:pt idx="341">
                  <c:v>4.6054543746650882</c:v>
                </c:pt>
                <c:pt idx="342">
                  <c:v>4.3418514408863826</c:v>
                </c:pt>
                <c:pt idx="343">
                  <c:v>4.3921904729221515</c:v>
                </c:pt>
                <c:pt idx="344">
                  <c:v>4.4448870135015675</c:v>
                </c:pt>
                <c:pt idx="345">
                  <c:v>4.5082844782413636</c:v>
                </c:pt>
                <c:pt idx="346">
                  <c:v>4.5544876540276471</c:v>
                </c:pt>
                <c:pt idx="347">
                  <c:v>4.2807622348365033</c:v>
                </c:pt>
                <c:pt idx="348">
                  <c:v>4.32337545269632</c:v>
                </c:pt>
                <c:pt idx="349">
                  <c:v>4.051772691816776</c:v>
                </c:pt>
                <c:pt idx="350">
                  <c:v>4.0958478445965261</c:v>
                </c:pt>
                <c:pt idx="351">
                  <c:v>4.1442874009756325</c:v>
                </c:pt>
                <c:pt idx="352">
                  <c:v>4.184761843440886</c:v>
                </c:pt>
                <c:pt idx="353">
                  <c:v>4.2235705302566018</c:v>
                </c:pt>
                <c:pt idx="354">
                  <c:v>3.9330460618116678</c:v>
                </c:pt>
                <c:pt idx="355">
                  <c:v>3.9675740784386444</c:v>
                </c:pt>
                <c:pt idx="356">
                  <c:v>-6.845541933200597E-4</c:v>
                </c:pt>
                <c:pt idx="357">
                  <c:v>3.7455653038582466</c:v>
                </c:pt>
                <c:pt idx="358">
                  <c:v>3.7861884005417576</c:v>
                </c:pt>
                <c:pt idx="359">
                  <c:v>3.8254927313035694</c:v>
                </c:pt>
                <c:pt idx="360">
                  <c:v>3.8758665147479214</c:v>
                </c:pt>
                <c:pt idx="361">
                  <c:v>3.9257017657211524</c:v>
                </c:pt>
                <c:pt idx="362">
                  <c:v>3.9680656582673</c:v>
                </c:pt>
                <c:pt idx="363">
                  <c:v>4.0333878079716614</c:v>
                </c:pt>
                <c:pt idx="364">
                  <c:v>4.0821089358847003</c:v>
                </c:pt>
                <c:pt idx="365">
                  <c:v>4.1304688014072211</c:v>
                </c:pt>
                <c:pt idx="366">
                  <c:v>4.1771449613341227</c:v>
                </c:pt>
                <c:pt idx="367">
                  <c:v>4.2161301223832526</c:v>
                </c:pt>
                <c:pt idx="368">
                  <c:v>4.2614185277444356</c:v>
                </c:pt>
                <c:pt idx="369">
                  <c:v>4.3059741643324205</c:v>
                </c:pt>
                <c:pt idx="370">
                  <c:v>4.357130275695174</c:v>
                </c:pt>
                <c:pt idx="371">
                  <c:v>4.4261269696578767</c:v>
                </c:pt>
                <c:pt idx="372">
                  <c:v>4.4764635114242317</c:v>
                </c:pt>
                <c:pt idx="373">
                  <c:v>4.525654848435134</c:v>
                </c:pt>
                <c:pt idx="374">
                  <c:v>4.5748769346022815</c:v>
                </c:pt>
                <c:pt idx="375">
                  <c:v>4.6232591789972366</c:v>
                </c:pt>
                <c:pt idx="376">
                  <c:v>4.6899523616601879</c:v>
                </c:pt>
                <c:pt idx="377">
                  <c:v>4.7369282607904006</c:v>
                </c:pt>
                <c:pt idx="378">
                  <c:v>4.7812982987468082</c:v>
                </c:pt>
                <c:pt idx="379">
                  <c:v>4.8256740506359543</c:v>
                </c:pt>
                <c:pt idx="380">
                  <c:v>4.8784895700764794</c:v>
                </c:pt>
                <c:pt idx="381">
                  <c:v>4.9326104143149809</c:v>
                </c:pt>
                <c:pt idx="382">
                  <c:v>4.9865991794729991</c:v>
                </c:pt>
                <c:pt idx="383">
                  <c:v>5.0606607115142719</c:v>
                </c:pt>
                <c:pt idx="384">
                  <c:v>4.8038706271112961</c:v>
                </c:pt>
                <c:pt idx="385">
                  <c:v>4.854564876796025</c:v>
                </c:pt>
                <c:pt idx="386">
                  <c:v>4.5936828126833653</c:v>
                </c:pt>
                <c:pt idx="387">
                  <c:v>4.6428038965132252</c:v>
                </c:pt>
                <c:pt idx="388">
                  <c:v>4.6905874018925298</c:v>
                </c:pt>
                <c:pt idx="389">
                  <c:v>4.737653974811999</c:v>
                </c:pt>
                <c:pt idx="390">
                  <c:v>4.79552186786003</c:v>
                </c:pt>
                <c:pt idx="391">
                  <c:v>4.5524600551761436</c:v>
                </c:pt>
                <c:pt idx="392">
                  <c:v>4.6054543746650882</c:v>
                </c:pt>
                <c:pt idx="393">
                  <c:v>4.3418514408863826</c:v>
                </c:pt>
                <c:pt idx="394">
                  <c:v>4.3921904729221515</c:v>
                </c:pt>
                <c:pt idx="395">
                  <c:v>4.4448870135015675</c:v>
                </c:pt>
                <c:pt idx="396">
                  <c:v>4.5082844782413636</c:v>
                </c:pt>
                <c:pt idx="397">
                  <c:v>4.5544876540276471</c:v>
                </c:pt>
                <c:pt idx="398">
                  <c:v>4.2807622348365033</c:v>
                </c:pt>
                <c:pt idx="399">
                  <c:v>4.32337545269632</c:v>
                </c:pt>
                <c:pt idx="400">
                  <c:v>4.051772691816776</c:v>
                </c:pt>
                <c:pt idx="401">
                  <c:v>4.0958478445965261</c:v>
                </c:pt>
                <c:pt idx="402">
                  <c:v>4.1442874009756325</c:v>
                </c:pt>
                <c:pt idx="403">
                  <c:v>4.184761843440886</c:v>
                </c:pt>
                <c:pt idx="404">
                  <c:v>4.2235705302566018</c:v>
                </c:pt>
                <c:pt idx="405">
                  <c:v>3.9330460618116678</c:v>
                </c:pt>
                <c:pt idx="406">
                  <c:v>3.9675740784386444</c:v>
                </c:pt>
                <c:pt idx="407">
                  <c:v>-6.845541933200597E-4</c:v>
                </c:pt>
                <c:pt idx="408">
                  <c:v>3.7455653038582466</c:v>
                </c:pt>
                <c:pt idx="409">
                  <c:v>3.7861884005417576</c:v>
                </c:pt>
                <c:pt idx="410">
                  <c:v>3.8254927313035694</c:v>
                </c:pt>
                <c:pt idx="411">
                  <c:v>3.8758665147479214</c:v>
                </c:pt>
                <c:pt idx="412">
                  <c:v>3.9257017657211524</c:v>
                </c:pt>
                <c:pt idx="413">
                  <c:v>3.9680656582673</c:v>
                </c:pt>
                <c:pt idx="414">
                  <c:v>4.0333878079716614</c:v>
                </c:pt>
                <c:pt idx="415">
                  <c:v>4.0821089358847003</c:v>
                </c:pt>
                <c:pt idx="416">
                  <c:v>4.1304688014072211</c:v>
                </c:pt>
                <c:pt idx="417">
                  <c:v>4.1771449613341227</c:v>
                </c:pt>
                <c:pt idx="418">
                  <c:v>4.2161301223832526</c:v>
                </c:pt>
                <c:pt idx="419">
                  <c:v>4.2614185277444356</c:v>
                </c:pt>
                <c:pt idx="420">
                  <c:v>4.3059741643324205</c:v>
                </c:pt>
                <c:pt idx="421">
                  <c:v>4.357130275695174</c:v>
                </c:pt>
                <c:pt idx="422">
                  <c:v>4.4261269696578767</c:v>
                </c:pt>
                <c:pt idx="423">
                  <c:v>4.4764635114242317</c:v>
                </c:pt>
                <c:pt idx="424">
                  <c:v>4.525654848435134</c:v>
                </c:pt>
                <c:pt idx="425">
                  <c:v>4.5748769346022815</c:v>
                </c:pt>
                <c:pt idx="426">
                  <c:v>4.6232591789972366</c:v>
                </c:pt>
                <c:pt idx="427">
                  <c:v>4.6899523616601879</c:v>
                </c:pt>
                <c:pt idx="428">
                  <c:v>4.7369282607904006</c:v>
                </c:pt>
                <c:pt idx="429">
                  <c:v>4.7812982987468082</c:v>
                </c:pt>
                <c:pt idx="430">
                  <c:v>4.8256740506359543</c:v>
                </c:pt>
                <c:pt idx="431">
                  <c:v>4.8784895700764794</c:v>
                </c:pt>
                <c:pt idx="432">
                  <c:v>4.9326104143149809</c:v>
                </c:pt>
                <c:pt idx="433">
                  <c:v>4.9865991794729991</c:v>
                </c:pt>
                <c:pt idx="434">
                  <c:v>5.0606607115142719</c:v>
                </c:pt>
                <c:pt idx="435">
                  <c:v>4.8038706271112961</c:v>
                </c:pt>
                <c:pt idx="436">
                  <c:v>4.854564876796025</c:v>
                </c:pt>
                <c:pt idx="437">
                  <c:v>4.5936828126833653</c:v>
                </c:pt>
                <c:pt idx="438">
                  <c:v>4.6428038965132252</c:v>
                </c:pt>
                <c:pt idx="439">
                  <c:v>4.6905874018925298</c:v>
                </c:pt>
                <c:pt idx="440">
                  <c:v>4.737653974811999</c:v>
                </c:pt>
                <c:pt idx="441">
                  <c:v>4.79552186786003</c:v>
                </c:pt>
                <c:pt idx="442">
                  <c:v>4.5524600551761436</c:v>
                </c:pt>
                <c:pt idx="443">
                  <c:v>4.6054543746650882</c:v>
                </c:pt>
                <c:pt idx="444">
                  <c:v>4.3418514408863826</c:v>
                </c:pt>
                <c:pt idx="445">
                  <c:v>4.3921904729221515</c:v>
                </c:pt>
                <c:pt idx="446">
                  <c:v>4.4448870135015675</c:v>
                </c:pt>
                <c:pt idx="447">
                  <c:v>4.5082844782413636</c:v>
                </c:pt>
                <c:pt idx="448">
                  <c:v>4.5544876540276471</c:v>
                </c:pt>
                <c:pt idx="449">
                  <c:v>4.2807622348365033</c:v>
                </c:pt>
                <c:pt idx="450">
                  <c:v>4.32337545269632</c:v>
                </c:pt>
                <c:pt idx="451">
                  <c:v>4.051772691816776</c:v>
                </c:pt>
                <c:pt idx="452">
                  <c:v>4.0958478445965261</c:v>
                </c:pt>
                <c:pt idx="453">
                  <c:v>4.1442874009756325</c:v>
                </c:pt>
                <c:pt idx="454">
                  <c:v>4.184761843440886</c:v>
                </c:pt>
                <c:pt idx="455">
                  <c:v>4.2235705302566018</c:v>
                </c:pt>
                <c:pt idx="456">
                  <c:v>3.9330460618116678</c:v>
                </c:pt>
                <c:pt idx="457">
                  <c:v>3.9675740784386444</c:v>
                </c:pt>
                <c:pt idx="458">
                  <c:v>-6.845541933200597E-4</c:v>
                </c:pt>
                <c:pt idx="459">
                  <c:v>3.7455653038582466</c:v>
                </c:pt>
                <c:pt idx="460">
                  <c:v>3.7861884005417576</c:v>
                </c:pt>
                <c:pt idx="461">
                  <c:v>3.8254927313035694</c:v>
                </c:pt>
                <c:pt idx="462">
                  <c:v>3.8758665147479214</c:v>
                </c:pt>
                <c:pt idx="463">
                  <c:v>3.9257017657211524</c:v>
                </c:pt>
                <c:pt idx="464">
                  <c:v>3.9680656582673</c:v>
                </c:pt>
                <c:pt idx="465">
                  <c:v>4.0333878079716614</c:v>
                </c:pt>
                <c:pt idx="466">
                  <c:v>4.0821089358847003</c:v>
                </c:pt>
                <c:pt idx="467">
                  <c:v>4.1304688014072211</c:v>
                </c:pt>
                <c:pt idx="468">
                  <c:v>4.1771449613341227</c:v>
                </c:pt>
                <c:pt idx="469">
                  <c:v>4.2161301223832526</c:v>
                </c:pt>
                <c:pt idx="470">
                  <c:v>4.2614185277444356</c:v>
                </c:pt>
                <c:pt idx="471">
                  <c:v>4.3059741643324205</c:v>
                </c:pt>
                <c:pt idx="472">
                  <c:v>4.357130275695174</c:v>
                </c:pt>
                <c:pt idx="473">
                  <c:v>4.4261269696578767</c:v>
                </c:pt>
                <c:pt idx="474">
                  <c:v>4.4764635114242317</c:v>
                </c:pt>
                <c:pt idx="475">
                  <c:v>4.525654848435134</c:v>
                </c:pt>
                <c:pt idx="476">
                  <c:v>4.5748769346022815</c:v>
                </c:pt>
                <c:pt idx="477">
                  <c:v>4.6232591789972366</c:v>
                </c:pt>
                <c:pt idx="478">
                  <c:v>4.6899523616601879</c:v>
                </c:pt>
                <c:pt idx="479">
                  <c:v>4.7369282607904006</c:v>
                </c:pt>
                <c:pt idx="480">
                  <c:v>4.7812982987468082</c:v>
                </c:pt>
                <c:pt idx="481">
                  <c:v>4.8256740506359543</c:v>
                </c:pt>
                <c:pt idx="482">
                  <c:v>4.8784895700764794</c:v>
                </c:pt>
                <c:pt idx="483">
                  <c:v>4.9326104143149809</c:v>
                </c:pt>
                <c:pt idx="484">
                  <c:v>4.9865991794729991</c:v>
                </c:pt>
                <c:pt idx="485">
                  <c:v>5.0606607115142719</c:v>
                </c:pt>
                <c:pt idx="486">
                  <c:v>4.8038706271112961</c:v>
                </c:pt>
                <c:pt idx="487">
                  <c:v>4.854564876796025</c:v>
                </c:pt>
                <c:pt idx="488">
                  <c:v>4.5936828126833653</c:v>
                </c:pt>
                <c:pt idx="489">
                  <c:v>4.6428038965132252</c:v>
                </c:pt>
                <c:pt idx="490">
                  <c:v>4.6905874018925298</c:v>
                </c:pt>
                <c:pt idx="491">
                  <c:v>4.737653974811999</c:v>
                </c:pt>
                <c:pt idx="492">
                  <c:v>4.79552186786003</c:v>
                </c:pt>
                <c:pt idx="493">
                  <c:v>4.5524600551761436</c:v>
                </c:pt>
                <c:pt idx="494">
                  <c:v>4.6054543746650882</c:v>
                </c:pt>
                <c:pt idx="495">
                  <c:v>4.3418514408863826</c:v>
                </c:pt>
                <c:pt idx="496">
                  <c:v>4.3921904729221515</c:v>
                </c:pt>
                <c:pt idx="497">
                  <c:v>4.4448870135015675</c:v>
                </c:pt>
                <c:pt idx="498">
                  <c:v>4.5082844782413636</c:v>
                </c:pt>
                <c:pt idx="499">
                  <c:v>4.5544876540276471</c:v>
                </c:pt>
                <c:pt idx="500">
                  <c:v>4.2807622348365033</c:v>
                </c:pt>
                <c:pt idx="501">
                  <c:v>4.32337545269632</c:v>
                </c:pt>
                <c:pt idx="502">
                  <c:v>4.051772691816776</c:v>
                </c:pt>
                <c:pt idx="503">
                  <c:v>4.0958478445965261</c:v>
                </c:pt>
                <c:pt idx="504">
                  <c:v>4.1442874009756325</c:v>
                </c:pt>
                <c:pt idx="505">
                  <c:v>4.184761843440886</c:v>
                </c:pt>
                <c:pt idx="506">
                  <c:v>4.2235705302566018</c:v>
                </c:pt>
                <c:pt idx="507">
                  <c:v>3.9330460618116678</c:v>
                </c:pt>
                <c:pt idx="508">
                  <c:v>3.9675740784386444</c:v>
                </c:pt>
                <c:pt idx="509">
                  <c:v>-6.845541933200597E-4</c:v>
                </c:pt>
                <c:pt idx="510">
                  <c:v>3.7455653038582466</c:v>
                </c:pt>
                <c:pt idx="511">
                  <c:v>3.7861884005417576</c:v>
                </c:pt>
                <c:pt idx="512">
                  <c:v>3.8254927313035694</c:v>
                </c:pt>
                <c:pt idx="513">
                  <c:v>3.8758665147479214</c:v>
                </c:pt>
                <c:pt idx="514">
                  <c:v>3.9257017657211524</c:v>
                </c:pt>
                <c:pt idx="515">
                  <c:v>3.9680656582673</c:v>
                </c:pt>
                <c:pt idx="516">
                  <c:v>4.0333878079716614</c:v>
                </c:pt>
                <c:pt idx="517">
                  <c:v>4.0821089358847003</c:v>
                </c:pt>
                <c:pt idx="518">
                  <c:v>4.1304688014072211</c:v>
                </c:pt>
                <c:pt idx="519">
                  <c:v>4.1771449613341227</c:v>
                </c:pt>
                <c:pt idx="520">
                  <c:v>4.2161301223832526</c:v>
                </c:pt>
                <c:pt idx="521">
                  <c:v>4.2614185277444356</c:v>
                </c:pt>
                <c:pt idx="522">
                  <c:v>4.3059741643324205</c:v>
                </c:pt>
                <c:pt idx="523">
                  <c:v>4.357130275695174</c:v>
                </c:pt>
                <c:pt idx="524">
                  <c:v>4.4261269696578767</c:v>
                </c:pt>
                <c:pt idx="525">
                  <c:v>4.4764635114242317</c:v>
                </c:pt>
                <c:pt idx="526">
                  <c:v>4.525654848435134</c:v>
                </c:pt>
                <c:pt idx="527">
                  <c:v>4.5748769346022815</c:v>
                </c:pt>
                <c:pt idx="528">
                  <c:v>4.6232591789972366</c:v>
                </c:pt>
                <c:pt idx="529">
                  <c:v>4.6899523616601879</c:v>
                </c:pt>
                <c:pt idx="530">
                  <c:v>4.7369282607904006</c:v>
                </c:pt>
                <c:pt idx="531">
                  <c:v>4.7812982987468082</c:v>
                </c:pt>
                <c:pt idx="532">
                  <c:v>4.8256740506359543</c:v>
                </c:pt>
                <c:pt idx="533">
                  <c:v>4.8784895700764794</c:v>
                </c:pt>
                <c:pt idx="534">
                  <c:v>4.9326104143149809</c:v>
                </c:pt>
                <c:pt idx="535">
                  <c:v>4.9865991794729991</c:v>
                </c:pt>
                <c:pt idx="536">
                  <c:v>5.0606607115142719</c:v>
                </c:pt>
                <c:pt idx="537">
                  <c:v>4.8038706271112961</c:v>
                </c:pt>
                <c:pt idx="538">
                  <c:v>4.854564876796025</c:v>
                </c:pt>
                <c:pt idx="539">
                  <c:v>4.5936828126833653</c:v>
                </c:pt>
                <c:pt idx="540">
                  <c:v>4.6428038965132252</c:v>
                </c:pt>
                <c:pt idx="541">
                  <c:v>4.6905874018925298</c:v>
                </c:pt>
                <c:pt idx="542">
                  <c:v>4.737653974811999</c:v>
                </c:pt>
                <c:pt idx="543">
                  <c:v>4.79552186786003</c:v>
                </c:pt>
                <c:pt idx="544">
                  <c:v>4.5524600551761436</c:v>
                </c:pt>
                <c:pt idx="545">
                  <c:v>4.6054543746650882</c:v>
                </c:pt>
                <c:pt idx="546">
                  <c:v>4.3418514408863826</c:v>
                </c:pt>
                <c:pt idx="547">
                  <c:v>4.3921904729221515</c:v>
                </c:pt>
                <c:pt idx="548">
                  <c:v>4.4448870135015675</c:v>
                </c:pt>
                <c:pt idx="549">
                  <c:v>4.5082844782413636</c:v>
                </c:pt>
                <c:pt idx="550">
                  <c:v>4.5544876540276471</c:v>
                </c:pt>
                <c:pt idx="551">
                  <c:v>4.2807622348365033</c:v>
                </c:pt>
                <c:pt idx="552">
                  <c:v>4.32337545269632</c:v>
                </c:pt>
                <c:pt idx="553">
                  <c:v>4.051772691816776</c:v>
                </c:pt>
                <c:pt idx="554">
                  <c:v>4.0958478445965261</c:v>
                </c:pt>
                <c:pt idx="555">
                  <c:v>4.1442874009756325</c:v>
                </c:pt>
                <c:pt idx="556">
                  <c:v>4.184761843440886</c:v>
                </c:pt>
                <c:pt idx="557">
                  <c:v>4.2235705302566018</c:v>
                </c:pt>
                <c:pt idx="558">
                  <c:v>3.9330460618116678</c:v>
                </c:pt>
                <c:pt idx="559">
                  <c:v>3.9675740784386444</c:v>
                </c:pt>
                <c:pt idx="560">
                  <c:v>-6.845541933200597E-4</c:v>
                </c:pt>
                <c:pt idx="561">
                  <c:v>3.7455653038582466</c:v>
                </c:pt>
                <c:pt idx="562">
                  <c:v>3.7861884005417576</c:v>
                </c:pt>
                <c:pt idx="563">
                  <c:v>3.8254927313035694</c:v>
                </c:pt>
                <c:pt idx="564">
                  <c:v>3.8758665147479214</c:v>
                </c:pt>
                <c:pt idx="565">
                  <c:v>3.9257017657211524</c:v>
                </c:pt>
                <c:pt idx="566">
                  <c:v>3.9680656582673</c:v>
                </c:pt>
                <c:pt idx="567">
                  <c:v>4.0333878079716614</c:v>
                </c:pt>
                <c:pt idx="568">
                  <c:v>4.0821089358847003</c:v>
                </c:pt>
                <c:pt idx="569">
                  <c:v>4.1304688014072211</c:v>
                </c:pt>
                <c:pt idx="570">
                  <c:v>4.1771449613341227</c:v>
                </c:pt>
                <c:pt idx="571">
                  <c:v>4.2161301223832526</c:v>
                </c:pt>
                <c:pt idx="572">
                  <c:v>4.2614185277444356</c:v>
                </c:pt>
                <c:pt idx="573">
                  <c:v>4.3059741643324205</c:v>
                </c:pt>
                <c:pt idx="574">
                  <c:v>4.357130275695174</c:v>
                </c:pt>
                <c:pt idx="575">
                  <c:v>4.4261269696578767</c:v>
                </c:pt>
                <c:pt idx="576">
                  <c:v>4.4764635114242317</c:v>
                </c:pt>
                <c:pt idx="577">
                  <c:v>4.525654848435134</c:v>
                </c:pt>
                <c:pt idx="578">
                  <c:v>4.5748769346022815</c:v>
                </c:pt>
                <c:pt idx="579">
                  <c:v>4.6232591789972366</c:v>
                </c:pt>
                <c:pt idx="580">
                  <c:v>4.6899523616601879</c:v>
                </c:pt>
                <c:pt idx="581">
                  <c:v>4.7369282607904006</c:v>
                </c:pt>
                <c:pt idx="582">
                  <c:v>4.7812982987468082</c:v>
                </c:pt>
                <c:pt idx="583">
                  <c:v>4.8256740506359543</c:v>
                </c:pt>
                <c:pt idx="584">
                  <c:v>4.8784895700764794</c:v>
                </c:pt>
                <c:pt idx="585">
                  <c:v>4.9326104143149809</c:v>
                </c:pt>
                <c:pt idx="586">
                  <c:v>4.9865991794729991</c:v>
                </c:pt>
                <c:pt idx="587">
                  <c:v>5.0606607115142719</c:v>
                </c:pt>
                <c:pt idx="588">
                  <c:v>4.8038706271112961</c:v>
                </c:pt>
                <c:pt idx="589">
                  <c:v>4.854564876796025</c:v>
                </c:pt>
                <c:pt idx="590">
                  <c:v>4.5936828126833653</c:v>
                </c:pt>
                <c:pt idx="591">
                  <c:v>4.6428038965132252</c:v>
                </c:pt>
                <c:pt idx="592">
                  <c:v>4.6905874018925298</c:v>
                </c:pt>
                <c:pt idx="593">
                  <c:v>4.737653974811999</c:v>
                </c:pt>
                <c:pt idx="594">
                  <c:v>4.79552186786003</c:v>
                </c:pt>
                <c:pt idx="595">
                  <c:v>4.5524600551761436</c:v>
                </c:pt>
                <c:pt idx="596">
                  <c:v>4.6054543746650882</c:v>
                </c:pt>
                <c:pt idx="597">
                  <c:v>4.3418514408863826</c:v>
                </c:pt>
                <c:pt idx="598">
                  <c:v>4.3921904729221515</c:v>
                </c:pt>
                <c:pt idx="599">
                  <c:v>4.4448870135015675</c:v>
                </c:pt>
                <c:pt idx="600">
                  <c:v>4.5082844782413636</c:v>
                </c:pt>
                <c:pt idx="601">
                  <c:v>4.5544876540276471</c:v>
                </c:pt>
                <c:pt idx="602">
                  <c:v>4.2807622348365033</c:v>
                </c:pt>
                <c:pt idx="603">
                  <c:v>4.32337545269632</c:v>
                </c:pt>
                <c:pt idx="604">
                  <c:v>4.051772691816776</c:v>
                </c:pt>
                <c:pt idx="605">
                  <c:v>4.0958478445965261</c:v>
                </c:pt>
                <c:pt idx="606">
                  <c:v>4.1442874009756325</c:v>
                </c:pt>
                <c:pt idx="607">
                  <c:v>4.184761843440886</c:v>
                </c:pt>
                <c:pt idx="608">
                  <c:v>4.2235705302566018</c:v>
                </c:pt>
                <c:pt idx="609">
                  <c:v>3.9330460618116678</c:v>
                </c:pt>
                <c:pt idx="610">
                  <c:v>3.9675740784386444</c:v>
                </c:pt>
                <c:pt idx="611">
                  <c:v>-6.845541933200597E-4</c:v>
                </c:pt>
                <c:pt idx="612">
                  <c:v>3.7455653038582466</c:v>
                </c:pt>
                <c:pt idx="613">
                  <c:v>3.7861884005417576</c:v>
                </c:pt>
                <c:pt idx="614">
                  <c:v>3.8254927313035694</c:v>
                </c:pt>
                <c:pt idx="615">
                  <c:v>3.8758665147479214</c:v>
                </c:pt>
                <c:pt idx="616">
                  <c:v>3.9257017657211524</c:v>
                </c:pt>
                <c:pt idx="617">
                  <c:v>3.9680656582673</c:v>
                </c:pt>
                <c:pt idx="618">
                  <c:v>4.0333878079716614</c:v>
                </c:pt>
                <c:pt idx="619">
                  <c:v>4.0821089358847003</c:v>
                </c:pt>
                <c:pt idx="620">
                  <c:v>4.1304688014072211</c:v>
                </c:pt>
                <c:pt idx="621">
                  <c:v>4.1771449613341227</c:v>
                </c:pt>
                <c:pt idx="622">
                  <c:v>4.2161301223832526</c:v>
                </c:pt>
                <c:pt idx="623">
                  <c:v>4.2614185277444356</c:v>
                </c:pt>
                <c:pt idx="624">
                  <c:v>4.3059741643324205</c:v>
                </c:pt>
                <c:pt idx="625">
                  <c:v>4.357130275695174</c:v>
                </c:pt>
                <c:pt idx="626">
                  <c:v>4.4261269696578767</c:v>
                </c:pt>
                <c:pt idx="627">
                  <c:v>4.4764635114242317</c:v>
                </c:pt>
                <c:pt idx="628">
                  <c:v>4.525654848435134</c:v>
                </c:pt>
                <c:pt idx="629">
                  <c:v>4.5748769346022815</c:v>
                </c:pt>
                <c:pt idx="630">
                  <c:v>4.6232591789972366</c:v>
                </c:pt>
                <c:pt idx="631">
                  <c:v>4.6899523616601879</c:v>
                </c:pt>
                <c:pt idx="632">
                  <c:v>4.7369282607904006</c:v>
                </c:pt>
                <c:pt idx="633">
                  <c:v>4.7812982987468082</c:v>
                </c:pt>
                <c:pt idx="634">
                  <c:v>4.8256740506359543</c:v>
                </c:pt>
                <c:pt idx="635">
                  <c:v>4.8784895700764794</c:v>
                </c:pt>
                <c:pt idx="636">
                  <c:v>4.9326104143149809</c:v>
                </c:pt>
                <c:pt idx="637">
                  <c:v>4.9865991794729991</c:v>
                </c:pt>
                <c:pt idx="638">
                  <c:v>5.0606607115142719</c:v>
                </c:pt>
                <c:pt idx="639">
                  <c:v>4.8038706271112961</c:v>
                </c:pt>
                <c:pt idx="640">
                  <c:v>4.854564876796025</c:v>
                </c:pt>
                <c:pt idx="641">
                  <c:v>4.5936828126833653</c:v>
                </c:pt>
                <c:pt idx="642">
                  <c:v>4.6428038965132252</c:v>
                </c:pt>
                <c:pt idx="643">
                  <c:v>4.6905874018925298</c:v>
                </c:pt>
                <c:pt idx="644">
                  <c:v>4.737653974811999</c:v>
                </c:pt>
                <c:pt idx="645">
                  <c:v>4.79552186786003</c:v>
                </c:pt>
                <c:pt idx="646">
                  <c:v>4.5524600551761436</c:v>
                </c:pt>
                <c:pt idx="647">
                  <c:v>4.6054543746650882</c:v>
                </c:pt>
                <c:pt idx="648">
                  <c:v>4.3418514408863826</c:v>
                </c:pt>
                <c:pt idx="649">
                  <c:v>4.3921904729221515</c:v>
                </c:pt>
                <c:pt idx="650">
                  <c:v>4.4448870135015675</c:v>
                </c:pt>
                <c:pt idx="651">
                  <c:v>4.5082844782413636</c:v>
                </c:pt>
                <c:pt idx="652">
                  <c:v>4.5544876540276471</c:v>
                </c:pt>
                <c:pt idx="653">
                  <c:v>4.2807622348365033</c:v>
                </c:pt>
                <c:pt idx="654">
                  <c:v>4.32337545269632</c:v>
                </c:pt>
                <c:pt idx="655">
                  <c:v>4.051772691816776</c:v>
                </c:pt>
                <c:pt idx="656">
                  <c:v>4.0958478445965261</c:v>
                </c:pt>
                <c:pt idx="657">
                  <c:v>4.1442874009756325</c:v>
                </c:pt>
                <c:pt idx="658">
                  <c:v>4.184761843440886</c:v>
                </c:pt>
                <c:pt idx="659">
                  <c:v>4.2235705302566018</c:v>
                </c:pt>
                <c:pt idx="660">
                  <c:v>3.9330460618116678</c:v>
                </c:pt>
                <c:pt idx="661">
                  <c:v>3.9675740784386444</c:v>
                </c:pt>
                <c:pt idx="662">
                  <c:v>-6.845541933200597E-4</c:v>
                </c:pt>
                <c:pt idx="663">
                  <c:v>3.6050653038582468</c:v>
                </c:pt>
                <c:pt idx="664">
                  <c:v>3.632692989827472</c:v>
                </c:pt>
                <c:pt idx="665">
                  <c:v>3.6575850802378804</c:v>
                </c:pt>
                <c:pt idx="666">
                  <c:v>3.6925474703212604</c:v>
                </c:pt>
                <c:pt idx="667">
                  <c:v>3.7263470943236348</c:v>
                </c:pt>
                <c:pt idx="668">
                  <c:v>3.7514229690624674</c:v>
                </c:pt>
                <c:pt idx="669">
                  <c:v>3.7980446059624473</c:v>
                </c:pt>
                <c:pt idx="670">
                  <c:v>3.8270521604353789</c:v>
                </c:pt>
                <c:pt idx="671">
                  <c:v>3.8546364107375339</c:v>
                </c:pt>
                <c:pt idx="672">
                  <c:v>3.880167572201088</c:v>
                </c:pt>
                <c:pt idx="673">
                  <c:v>3.8967263532239214</c:v>
                </c:pt>
                <c:pt idx="674">
                  <c:v>3.9187283545292435</c:v>
                </c:pt>
                <c:pt idx="675">
                  <c:v>3.9386879221598736</c:v>
                </c:pt>
                <c:pt idx="676">
                  <c:v>3.964407438543621</c:v>
                </c:pt>
                <c:pt idx="677">
                  <c:v>4.0074856212611474</c:v>
                </c:pt>
                <c:pt idx="678">
                  <c:v>4.0312992079226255</c:v>
                </c:pt>
                <c:pt idx="679">
                  <c:v>4.0538533046612173</c:v>
                </c:pt>
                <c:pt idx="680">
                  <c:v>4.0751068059243982</c:v>
                </c:pt>
                <c:pt idx="681">
                  <c:v>4.0945236369315889</c:v>
                </c:pt>
                <c:pt idx="682">
                  <c:v>4.1318826139070843</c:v>
                </c:pt>
                <c:pt idx="683">
                  <c:v>4.1486326479250559</c:v>
                </c:pt>
                <c:pt idx="684">
                  <c:v>4.1639324670411435</c:v>
                </c:pt>
                <c:pt idx="685">
                  <c:v>4.1772841018345996</c:v>
                </c:pt>
                <c:pt idx="686">
                  <c:v>4.1990311701353011</c:v>
                </c:pt>
                <c:pt idx="687">
                  <c:v>4.2198237306522923</c:v>
                </c:pt>
                <c:pt idx="688">
                  <c:v>4.2396352726296591</c:v>
                </c:pt>
                <c:pt idx="689">
                  <c:v>4.2794111771980763</c:v>
                </c:pt>
                <c:pt idx="690">
                  <c:v>3.9876212706252074</c:v>
                </c:pt>
                <c:pt idx="691">
                  <c:v>4.0033744266229041</c:v>
                </c:pt>
                <c:pt idx="692">
                  <c:v>3.7069912265068674</c:v>
                </c:pt>
                <c:pt idx="693">
                  <c:v>3.7201110069046086</c:v>
                </c:pt>
                <c:pt idx="694">
                  <c:v>3.7322171903383738</c:v>
                </c:pt>
                <c:pt idx="695">
                  <c:v>3.743287847329694</c:v>
                </c:pt>
                <c:pt idx="696">
                  <c:v>3.7649160630692373</c:v>
                </c:pt>
                <c:pt idx="697">
                  <c:v>3.4862357579417025</c:v>
                </c:pt>
                <c:pt idx="698">
                  <c:v>3.50661669339482</c:v>
                </c:pt>
                <c:pt idx="699">
                  <c:v>3.2084962546144391</c:v>
                </c:pt>
                <c:pt idx="700">
                  <c:v>3.2278547831922277</c:v>
                </c:pt>
                <c:pt idx="701">
                  <c:v>3.2468296966780725</c:v>
                </c:pt>
                <c:pt idx="702">
                  <c:v>3.2776904469188728</c:v>
                </c:pt>
                <c:pt idx="703">
                  <c:v>3.2957096010711169</c:v>
                </c:pt>
                <c:pt idx="704">
                  <c:v>2.9909420816664056</c:v>
                </c:pt>
                <c:pt idx="705">
                  <c:v>3.0081984823125549</c:v>
                </c:pt>
                <c:pt idx="706">
                  <c:v>2.7082978656379577</c:v>
                </c:pt>
                <c:pt idx="707">
                  <c:v>2.7250632563479122</c:v>
                </c:pt>
                <c:pt idx="708">
                  <c:v>2.7480433651130571</c:v>
                </c:pt>
                <c:pt idx="709">
                  <c:v>2.7642713321534345</c:v>
                </c:pt>
                <c:pt idx="710">
                  <c:v>2.780150746180694</c:v>
                </c:pt>
                <c:pt idx="711">
                  <c:v>2.4688464162288772</c:v>
                </c:pt>
                <c:pt idx="712">
                  <c:v>2.484123693706072</c:v>
                </c:pt>
                <c:pt idx="713">
                  <c:v>-6.845541933200597E-4</c:v>
                </c:pt>
                <c:pt idx="714">
                  <c:v>2.1412140821008765</c:v>
                </c:pt>
                <c:pt idx="715">
                  <c:v>2.1559170615818175</c:v>
                </c:pt>
                <c:pt idx="716">
                  <c:v>2.1703581453977518</c:v>
                </c:pt>
                <c:pt idx="717">
                  <c:v>2.184529025673525</c:v>
                </c:pt>
                <c:pt idx="718">
                  <c:v>2.1984214050279709</c:v>
                </c:pt>
                <c:pt idx="719">
                  <c:v>2.211633271903449</c:v>
                </c:pt>
                <c:pt idx="720">
                  <c:v>2.2412742419613738</c:v>
                </c:pt>
                <c:pt idx="721">
                  <c:v>2.2543623761048157</c:v>
                </c:pt>
                <c:pt idx="722">
                  <c:v>2.2671415772951589</c:v>
                </c:pt>
                <c:pt idx="723">
                  <c:v>2.2796037489433942</c:v>
                </c:pt>
                <c:pt idx="724">
                  <c:v>2.2917408337451746</c:v>
                </c:pt>
                <c:pt idx="725">
                  <c:v>2.3035448187610004</c:v>
                </c:pt>
                <c:pt idx="726">
                  <c:v>2.3146226128718004</c:v>
                </c:pt>
                <c:pt idx="727">
                  <c:v>2.325350757169812</c:v>
                </c:pt>
                <c:pt idx="728">
                  <c:v>2.3542590949919009</c:v>
                </c:pt>
                <c:pt idx="729">
                  <c:v>2.3647588883285846</c:v>
                </c:pt>
                <c:pt idx="730">
                  <c:v>2.3748893038404542</c:v>
                </c:pt>
                <c:pt idx="731">
                  <c:v>2.3846427583122991</c:v>
                </c:pt>
                <c:pt idx="732">
                  <c:v>2.3940117469793045</c:v>
                </c:pt>
                <c:pt idx="733">
                  <c:v>2.4223095038087679</c:v>
                </c:pt>
                <c:pt idx="734">
                  <c:v>2.4310153908205385</c:v>
                </c:pt>
                <c:pt idx="735">
                  <c:v>2.4393177404910493</c:v>
                </c:pt>
                <c:pt idx="736">
                  <c:v>2.4472094509635824</c:v>
                </c:pt>
                <c:pt idx="737">
                  <c:v>2.454683521925336</c:v>
                </c:pt>
                <c:pt idx="738">
                  <c:v>2.4617330596463143</c:v>
                </c:pt>
                <c:pt idx="739">
                  <c:v>2.4683512820045368</c:v>
                </c:pt>
                <c:pt idx="740">
                  <c:v>2.4955031461065866</c:v>
                </c:pt>
                <c:pt idx="741">
                  <c:v>2.1921182166175264</c:v>
                </c:pt>
                <c:pt idx="742">
                  <c:v>2.1968846039276047</c:v>
                </c:pt>
                <c:pt idx="743">
                  <c:v>1.8901412935030988</c:v>
                </c:pt>
                <c:pt idx="744">
                  <c:v>1.893545758522976</c:v>
                </c:pt>
                <c:pt idx="745">
                  <c:v>1.8965992639742819</c:v>
                </c:pt>
                <c:pt idx="746">
                  <c:v>1.8992974022129114</c:v>
                </c:pt>
                <c:pt idx="747">
                  <c:v>1.9013807816027264</c:v>
                </c:pt>
                <c:pt idx="748">
                  <c:v>1.6036649468393922</c:v>
                </c:pt>
                <c:pt idx="749">
                  <c:v>1.6051167362248326</c:v>
                </c:pt>
                <c:pt idx="750">
                  <c:v>1.2881816709865186</c:v>
                </c:pt>
                <c:pt idx="751">
                  <c:v>1.2888483063119804</c:v>
                </c:pt>
                <c:pt idx="752">
                  <c:v>1.2892623473412648</c:v>
                </c:pt>
                <c:pt idx="753">
                  <c:v>1.3017016038353926</c:v>
                </c:pt>
                <c:pt idx="754">
                  <c:v>1.301862191115982</c:v>
                </c:pt>
                <c:pt idx="755">
                  <c:v>0.97939712572032023</c:v>
                </c:pt>
                <c:pt idx="756">
                  <c:v>0.97912536992444743</c:v>
                </c:pt>
                <c:pt idx="757">
                  <c:v>0.66187440390966013</c:v>
                </c:pt>
                <c:pt idx="758">
                  <c:v>0.66147571468451072</c:v>
                </c:pt>
                <c:pt idx="759">
                  <c:v>0.66748651574403517</c:v>
                </c:pt>
                <c:pt idx="760">
                  <c:v>0.66694848633172832</c:v>
                </c:pt>
                <c:pt idx="761">
                  <c:v>0.66627378596888731</c:v>
                </c:pt>
                <c:pt idx="762">
                  <c:v>0.33904645178173293</c:v>
                </c:pt>
                <c:pt idx="763">
                  <c:v>0.33863310993356072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EC3-4617-9106-4F0585AC54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903663"/>
        <c:axId val="1306801711"/>
      </c:lineChart>
      <c:valAx>
        <c:axId val="1306801295"/>
        <c:scaling>
          <c:orientation val="minMax"/>
          <c:max val="70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Biomas in System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5890463"/>
        <c:crosses val="max"/>
        <c:crossBetween val="between"/>
      </c:valAx>
      <c:catAx>
        <c:axId val="17458904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6801295"/>
        <c:crosses val="autoZero"/>
        <c:auto val="1"/>
        <c:lblAlgn val="ctr"/>
        <c:lblOffset val="100"/>
        <c:noMultiLvlLbl val="0"/>
      </c:catAx>
      <c:valAx>
        <c:axId val="1306801711"/>
        <c:scaling>
          <c:orientation val="minMax"/>
          <c:max val="25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Total daily  feed input (kg/day)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5903663"/>
        <c:crosses val="autoZero"/>
        <c:crossBetween val="between"/>
      </c:valAx>
      <c:catAx>
        <c:axId val="1745903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6801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fr-FR" sz="2000" b="1" u="sng">
                <a:latin typeface="+mj-lt"/>
              </a:rPr>
              <a:t>AVERAGE INDIVIDUAL</a:t>
            </a:r>
            <a:r>
              <a:rPr lang="fr-FR" sz="2000" b="1" u="sng" baseline="0">
                <a:latin typeface="+mj-lt"/>
              </a:rPr>
              <a:t> WEIGHT EVOLVING</a:t>
            </a:r>
            <a:r>
              <a:rPr lang="fr-FR" sz="2000" b="1" u="sng">
                <a:latin typeface="+mj-lt"/>
              </a:rPr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cat>
            <c:numRef>
              <c:f>Clarias_Bioplan!$C$1:$ON$1</c:f>
              <c:numCache>
                <c:formatCode>General</c:formatCode>
                <c:ptCount val="40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</c:numCache>
            </c:numRef>
          </c:cat>
          <c:val>
            <c:numRef>
              <c:f>Clarias_Bioplan!$C$33:$EY$33</c:f>
              <c:numCache>
                <c:formatCode>0.000</c:formatCode>
                <c:ptCount val="153"/>
                <c:pt idx="0">
                  <c:v>0.01</c:v>
                </c:pt>
                <c:pt idx="1">
                  <c:v>1.1005582593758946E-2</c:v>
                </c:pt>
                <c:pt idx="2">
                  <c:v>1.2106377159660616E-2</c:v>
                </c:pt>
                <c:pt idx="3">
                  <c:v>1.329177463494996E-2</c:v>
                </c:pt>
                <c:pt idx="4">
                  <c:v>1.4588567329531619E-2</c:v>
                </c:pt>
                <c:pt idx="5">
                  <c:v>1.6001621613287186E-2</c:v>
                </c:pt>
                <c:pt idx="6">
                  <c:v>1.7513764350912106E-2</c:v>
                </c:pt>
                <c:pt idx="7">
                  <c:v>1.9159726586917943E-2</c:v>
                </c:pt>
                <c:pt idx="8">
                  <c:v>2.0916842913967924E-2</c:v>
                </c:pt>
                <c:pt idx="9">
                  <c:v>2.2820893014488763E-2</c:v>
                </c:pt>
                <c:pt idx="10">
                  <c:v>2.4875013679153523E-2</c:v>
                </c:pt>
                <c:pt idx="11">
                  <c:v>2.7051785083274507E-2</c:v>
                </c:pt>
                <c:pt idx="12">
                  <c:v>2.9391936164292577E-2</c:v>
                </c:pt>
                <c:pt idx="13">
                  <c:v>3.1863875340368962E-2</c:v>
                </c:pt>
                <c:pt idx="14">
                  <c:v>3.4512306780663762E-2</c:v>
                </c:pt>
                <c:pt idx="15">
                  <c:v>3.7295557327491485E-2</c:v>
                </c:pt>
                <c:pt idx="16">
                  <c:v>4.026107129173058E-2</c:v>
                </c:pt>
                <c:pt idx="17">
                  <c:v>4.3360342612975861E-2</c:v>
                </c:pt>
                <c:pt idx="18">
                  <c:v>4.664991913528866E-2</c:v>
                </c:pt>
                <c:pt idx="19">
                  <c:v>5.0082638009534913E-2</c:v>
                </c:pt>
                <c:pt idx="20">
                  <c:v>5.3713064706430995E-2</c:v>
                </c:pt>
                <c:pt idx="21">
                  <c:v>5.7488794243371416E-2</c:v>
                </c:pt>
                <c:pt idx="22">
                  <c:v>6.1459039321378257E-2</c:v>
                </c:pt>
                <c:pt idx="23">
                  <c:v>6.5573850206895934E-2</c:v>
                </c:pt>
                <c:pt idx="24">
                  <c:v>6.9894468866911849E-2</c:v>
                </c:pt>
                <c:pt idx="25">
                  <c:v>7.4436102539565979E-2</c:v>
                </c:pt>
                <c:pt idx="26">
                  <c:v>7.9133861530936309E-2</c:v>
                </c:pt>
                <c:pt idx="27">
                  <c:v>8.405709402530856E-2</c:v>
                </c:pt>
                <c:pt idx="28">
                  <c:v>8.9135398951392567E-2</c:v>
                </c:pt>
                <c:pt idx="29">
                  <c:v>9.4441702908772407E-2</c:v>
                </c:pt>
                <c:pt idx="30">
                  <c:v>9.9980397615493405E-2</c:v>
                </c:pt>
                <c:pt idx="31">
                  <c:v>0.10567182625033895</c:v>
                </c:pt>
                <c:pt idx="32">
                  <c:v>0.11159516930349321</c:v>
                </c:pt>
                <c:pt idx="33">
                  <c:v>0.11775330649604171</c:v>
                </c:pt>
                <c:pt idx="34">
                  <c:v>0.12405730544100586</c:v>
                </c:pt>
                <c:pt idx="35">
                  <c:v>0.13059224509206371</c:v>
                </c:pt>
                <c:pt idx="36">
                  <c:v>0.13724552354731717</c:v>
                </c:pt>
                <c:pt idx="37">
                  <c:v>0.14412155178115069</c:v>
                </c:pt>
                <c:pt idx="38">
                  <c:v>0.15119969398384345</c:v>
                </c:pt>
                <c:pt idx="39">
                  <c:v>0.15839607220451735</c:v>
                </c:pt>
                <c:pt idx="40">
                  <c:v>0.16580270216732043</c:v>
                </c:pt>
                <c:pt idx="41">
                  <c:v>0.17339414742075068</c:v>
                </c:pt>
                <c:pt idx="42">
                  <c:v>0.18108161957284974</c:v>
                </c:pt>
                <c:pt idx="43">
                  <c:v>0.18893592980770582</c:v>
                </c:pt>
                <c:pt idx="44">
                  <c:v>0.19697531518673633</c:v>
                </c:pt>
                <c:pt idx="45">
                  <c:v>0.20508349043138344</c:v>
                </c:pt>
                <c:pt idx="46">
                  <c:v>0.21335880865547383</c:v>
                </c:pt>
                <c:pt idx="47">
                  <c:v>0.22179470370603419</c:v>
                </c:pt>
                <c:pt idx="48">
                  <c:v>0.2302694245156435</c:v>
                </c:pt>
                <c:pt idx="49">
                  <c:v>0.23888337760373704</c:v>
                </c:pt>
                <c:pt idx="50">
                  <c:v>0.24751301127415998</c:v>
                </c:pt>
                <c:pt idx="51">
                  <c:v>0.24751301127415998</c:v>
                </c:pt>
                <c:pt idx="52">
                  <c:v>0.25606279623273898</c:v>
                </c:pt>
                <c:pt idx="53">
                  <c:v>0.26459311346923547</c:v>
                </c:pt>
                <c:pt idx="54">
                  <c:v>0.27320101477409309</c:v>
                </c:pt>
                <c:pt idx="55">
                  <c:v>0.28194674644970757</c:v>
                </c:pt>
                <c:pt idx="56">
                  <c:v>0.29071185521092607</c:v>
                </c:pt>
                <c:pt idx="57">
                  <c:v>0.29956272485855329</c:v>
                </c:pt>
                <c:pt idx="58">
                  <c:v>0.3085291339449367</c:v>
                </c:pt>
                <c:pt idx="59">
                  <c:v>0.31760538538029337</c:v>
                </c:pt>
                <c:pt idx="60">
                  <c:v>0.32666923608303633</c:v>
                </c:pt>
                <c:pt idx="61">
                  <c:v>0.33582601815025315</c:v>
                </c:pt>
                <c:pt idx="62">
                  <c:v>0.34502649758005638</c:v>
                </c:pt>
                <c:pt idx="63">
                  <c:v>0.35430399149027836</c:v>
                </c:pt>
                <c:pt idx="64">
                  <c:v>0.36353435599804113</c:v>
                </c:pt>
                <c:pt idx="65">
                  <c:v>0.3728685923431812</c:v>
                </c:pt>
                <c:pt idx="66">
                  <c:v>0.38230239189895809</c:v>
                </c:pt>
                <c:pt idx="67">
                  <c:v>0.39183122155676026</c:v>
                </c:pt>
                <c:pt idx="68">
                  <c:v>0.4014503246911697</c:v>
                </c:pt>
                <c:pt idx="69">
                  <c:v>0.41103491518888063</c:v>
                </c:pt>
                <c:pt idx="70">
                  <c:v>0.42069579669088308</c:v>
                </c:pt>
                <c:pt idx="71">
                  <c:v>0.43042762008844304</c:v>
                </c:pt>
                <c:pt idx="72">
                  <c:v>0.44022482958104225</c:v>
                </c:pt>
                <c:pt idx="73">
                  <c:v>0.44996146066689308</c:v>
                </c:pt>
                <c:pt idx="74">
                  <c:v>0.45974849082461178</c:v>
                </c:pt>
                <c:pt idx="75">
                  <c:v>0.46963603840576573</c:v>
                </c:pt>
                <c:pt idx="76">
                  <c:v>0.47962145688694802</c:v>
                </c:pt>
                <c:pt idx="77">
                  <c:v>0.48970197042433439</c:v>
                </c:pt>
                <c:pt idx="78">
                  <c:v>0.49975211106370188</c:v>
                </c:pt>
                <c:pt idx="79">
                  <c:v>0.50988784695218992</c:v>
                </c:pt>
                <c:pt idx="80">
                  <c:v>0.5201060402778851</c:v>
                </c:pt>
                <c:pt idx="81">
                  <c:v>0.53040342910440241</c:v>
                </c:pt>
                <c:pt idx="82">
                  <c:v>0.54077662797381754</c:v>
                </c:pt>
                <c:pt idx="83">
                  <c:v>0.55122212867109288</c:v>
                </c:pt>
                <c:pt idx="84">
                  <c:v>0.56173630115220363</c:v>
                </c:pt>
                <c:pt idx="85">
                  <c:v>0.57225646043277623</c:v>
                </c:pt>
                <c:pt idx="86">
                  <c:v>0.58290537824787225</c:v>
                </c:pt>
                <c:pt idx="87">
                  <c:v>0.59368292544087975</c:v>
                </c:pt>
                <c:pt idx="88">
                  <c:v>0.6045889244052246</c:v>
                </c:pt>
                <c:pt idx="89">
                  <c:v>0.61562314826174713</c:v>
                </c:pt>
                <c:pt idx="90">
                  <c:v>0.62678532005006016</c:v>
                </c:pt>
                <c:pt idx="91">
                  <c:v>0.63794229085373333</c:v>
                </c:pt>
                <c:pt idx="92">
                  <c:v>0.64922265671817514</c:v>
                </c:pt>
                <c:pt idx="93">
                  <c:v>0.66062595459050899</c:v>
                </c:pt>
                <c:pt idx="94">
                  <c:v>0.67215166970065821</c:v>
                </c:pt>
                <c:pt idx="95">
                  <c:v>0.68379923488349403</c:v>
                </c:pt>
                <c:pt idx="96">
                  <c:v>0.69556802991980082</c:v>
                </c:pt>
                <c:pt idx="97">
                  <c:v>0.70745738089685739</c:v>
                </c:pt>
                <c:pt idx="98">
                  <c:v>0.71946655958943639</c:v>
                </c:pt>
                <c:pt idx="99">
                  <c:v>0.73145375701000881</c:v>
                </c:pt>
                <c:pt idx="100">
                  <c:v>0.74355545266823475</c:v>
                </c:pt>
                <c:pt idx="101">
                  <c:v>0.75577073425771846</c:v>
                </c:pt>
                <c:pt idx="102">
                  <c:v>0.75577073425771846</c:v>
                </c:pt>
                <c:pt idx="103">
                  <c:v>0.76801057813871565</c:v>
                </c:pt>
                <c:pt idx="104">
                  <c:v>0.78035916598687038</c:v>
                </c:pt>
                <c:pt idx="105">
                  <c:v>0.7928153814107648</c:v>
                </c:pt>
                <c:pt idx="106">
                  <c:v>0.80537805231907722</c:v>
                </c:pt>
                <c:pt idx="107">
                  <c:v>0.81790034253895094</c:v>
                </c:pt>
                <c:pt idx="108">
                  <c:v>0.83052313362689922</c:v>
                </c:pt>
                <c:pt idx="109">
                  <c:v>0.84334073433475221</c:v>
                </c:pt>
                <c:pt idx="110">
                  <c:v>0.85625902121500952</c:v>
                </c:pt>
                <c:pt idx="111">
                  <c:v>0.86927657250153445</c:v>
                </c:pt>
                <c:pt idx="112">
                  <c:v>0.88239191018813767</c:v>
                </c:pt>
                <c:pt idx="113">
                  <c:v>0.8956034998415201</c:v>
                </c:pt>
                <c:pt idx="114">
                  <c:v>0.9087585430506151</c:v>
                </c:pt>
                <c:pt idx="115">
                  <c:v>0.92200333872269546</c:v>
                </c:pt>
                <c:pt idx="116">
                  <c:v>0.93533618897066662</c:v>
                </c:pt>
                <c:pt idx="117">
                  <c:v>0.94886184209501467</c:v>
                </c:pt>
                <c:pt idx="118">
                  <c:v>0.96247504487602809</c:v>
                </c:pt>
                <c:pt idx="119">
                  <c:v>0.97617396323655636</c:v>
                </c:pt>
                <c:pt idx="120">
                  <c:v>0.98995670729755714</c:v>
                </c:pt>
                <c:pt idx="121">
                  <c:v>1.0036655491382722</c:v>
                </c:pt>
                <c:pt idx="122">
                  <c:v>1.0175642299317702</c:v>
                </c:pt>
                <c:pt idx="123">
                  <c:v>1.0315408163688777</c:v>
                </c:pt>
                <c:pt idx="124">
                  <c:v>1.0455932401806174</c:v>
                </c:pt>
                <c:pt idx="125">
                  <c:v>1.0597193788423986</c:v>
                </c:pt>
                <c:pt idx="126">
                  <c:v>1.0739170557785458</c:v>
                </c:pt>
                <c:pt idx="127">
                  <c:v>1.0881840406000842</c:v>
                </c:pt>
                <c:pt idx="128">
                  <c:v>1.102358782611909</c:v>
                </c:pt>
                <c:pt idx="129">
                  <c:v>1.1187742054915824</c:v>
                </c:pt>
                <c:pt idx="130">
                  <c:v>1.1332228592253859</c:v>
                </c:pt>
                <c:pt idx="131">
                  <c:v>1.1501557842295889</c:v>
                </c:pt>
                <c:pt idx="132">
                  <c:v>1.1647536198343733</c:v>
                </c:pt>
                <c:pt idx="133">
                  <c:v>1.1794070554880456</c:v>
                </c:pt>
                <c:pt idx="134">
                  <c:v>1.1941135340245252</c:v>
                </c:pt>
                <c:pt idx="135">
                  <c:v>1.2087082842146553</c:v>
                </c:pt>
                <c:pt idx="136">
                  <c:v>1.2262833758099052</c:v>
                </c:pt>
                <c:pt idx="137">
                  <c:v>1.2411362872744927</c:v>
                </c:pt>
                <c:pt idx="138">
                  <c:v>1.2597658082352627</c:v>
                </c:pt>
                <c:pt idx="139">
                  <c:v>1.274746837027948</c:v>
                </c:pt>
                <c:pt idx="140">
                  <c:v>1.2897656561565338</c:v>
                </c:pt>
                <c:pt idx="141">
                  <c:v>1.3048194075662316</c:v>
                </c:pt>
                <c:pt idx="142">
                  <c:v>1.3200488617715675</c:v>
                </c:pt>
                <c:pt idx="143">
                  <c:v>1.3404116064513016</c:v>
                </c:pt>
                <c:pt idx="144">
                  <c:v>1.3557612956176492</c:v>
                </c:pt>
                <c:pt idx="145">
                  <c:v>1.3788487029134848</c:v>
                </c:pt>
                <c:pt idx="146">
                  <c:v>1.3943167494848983</c:v>
                </c:pt>
                <c:pt idx="147">
                  <c:v>1.4098064580811625</c:v>
                </c:pt>
                <c:pt idx="148">
                  <c:v>1.4254682445589308</c:v>
                </c:pt>
                <c:pt idx="149">
                  <c:v>1.4411487678555732</c:v>
                </c:pt>
                <c:pt idx="150">
                  <c:v>1.4726039094623389</c:v>
                </c:pt>
                <c:pt idx="151">
                  <c:v>1.4886425509786578</c:v>
                </c:pt>
                <c:pt idx="152">
                  <c:v>1.5046616392989716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765-4A70-ADBF-373FF4329C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5810399"/>
        <c:axId val="401470175"/>
      </c:lineChart>
      <c:catAx>
        <c:axId val="89581039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DAYS</a:t>
                </a:r>
              </a:p>
            </c:rich>
          </c:tx>
          <c:layout>
            <c:manualLayout>
              <c:xMode val="edge"/>
              <c:yMode val="edge"/>
              <c:x val="0.515146907342522"/>
              <c:y val="0.963005984782361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01470175"/>
        <c:crosses val="autoZero"/>
        <c:auto val="1"/>
        <c:lblAlgn val="ctr"/>
        <c:lblOffset val="100"/>
        <c:noMultiLvlLbl val="0"/>
      </c:catAx>
      <c:valAx>
        <c:axId val="401470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fr-FR" sz="1400" b="1"/>
                  <a:t>AVERAGE WEIGHT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95810399"/>
        <c:crosses val="autoZero"/>
        <c:crossBetween val="between"/>
        <c:majorUnit val="5.000000000000001E-2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sng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n-ea"/>
                <a:cs typeface="+mn-cs"/>
              </a:defRPr>
            </a:pPr>
            <a:r>
              <a:rPr lang="de-DE" sz="2000" b="1" u="sng">
                <a:latin typeface="+mj-lt"/>
              </a:rPr>
              <a:t>DAILY</a:t>
            </a:r>
            <a:r>
              <a:rPr lang="de-DE" sz="2000" b="1" u="sng" baseline="0">
                <a:latin typeface="+mj-lt"/>
              </a:rPr>
              <a:t> FECES DM PRODUCTION</a:t>
            </a:r>
            <a:endParaRPr lang="de-DE" sz="2000" b="1" u="sng">
              <a:latin typeface="+mj-lt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sng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Clarias_Bioplan!$A$10:$B$10</c:f>
              <c:strCache>
                <c:ptCount val="2"/>
                <c:pt idx="0">
                  <c:v>COLLECTED FECES DM - HIGH DIGEST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Clarias_Bioplan!$C$10:$ACL$10</c:f>
              <c:numCache>
                <c:formatCode>0.000</c:formatCode>
                <c:ptCount val="764"/>
                <c:pt idx="0">
                  <c:v>2.0548125E-2</c:v>
                </c:pt>
                <c:pt idx="1">
                  <c:v>2.2448703816964285E-2</c:v>
                </c:pt>
                <c:pt idx="2">
                  <c:v>2.4556493968356984E-2</c:v>
                </c:pt>
                <c:pt idx="3">
                  <c:v>2.681041024739915E-2</c:v>
                </c:pt>
                <c:pt idx="4">
                  <c:v>2.9155620691886954E-2</c:v>
                </c:pt>
                <c:pt idx="5">
                  <c:v>3.168399329620674E-2</c:v>
                </c:pt>
                <c:pt idx="6">
                  <c:v>3.4418943293847565E-2</c:v>
                </c:pt>
                <c:pt idx="7">
                  <c:v>3.7302053409463291E-2</c:v>
                </c:pt>
                <c:pt idx="8">
                  <c:v>4.0340487135441798E-2</c:v>
                </c:pt>
                <c:pt idx="9">
                  <c:v>4.3432943160706353E-2</c:v>
                </c:pt>
                <c:pt idx="10">
                  <c:v>4.671280123955223E-2</c:v>
                </c:pt>
                <c:pt idx="11">
                  <c:v>5.0118437832721824E-2</c:v>
                </c:pt>
                <c:pt idx="12">
                  <c:v>5.3715612917735002E-2</c:v>
                </c:pt>
                <c:pt idx="13">
                  <c:v>5.7435714933414615E-2</c:v>
                </c:pt>
                <c:pt idx="14">
                  <c:v>6.1226297203021675E-2</c:v>
                </c:pt>
                <c:pt idx="15">
                  <c:v>6.5105279387109874E-2</c:v>
                </c:pt>
                <c:pt idx="16">
                  <c:v>6.9000975776935286E-2</c:v>
                </c:pt>
                <c:pt idx="17">
                  <c:v>7.3091381319140475E-2</c:v>
                </c:pt>
                <c:pt idx="18">
                  <c:v>7.7327573027100971E-2</c:v>
                </c:pt>
                <c:pt idx="19">
                  <c:v>8.1617700608891383E-2</c:v>
                </c:pt>
                <c:pt idx="20">
                  <c:v>8.6038233381556625E-2</c:v>
                </c:pt>
                <c:pt idx="21">
                  <c:v>9.0289752886953498E-2</c:v>
                </c:pt>
                <c:pt idx="22">
                  <c:v>9.4827030012198096E-2</c:v>
                </c:pt>
                <c:pt idx="23">
                  <c:v>9.9370790991397312E-2</c:v>
                </c:pt>
                <c:pt idx="24">
                  <c:v>0.10424505248566829</c:v>
                </c:pt>
                <c:pt idx="25">
                  <c:v>0.10924347137583847</c:v>
                </c:pt>
                <c:pt idx="26">
                  <c:v>0.11425774439374362</c:v>
                </c:pt>
                <c:pt idx="27">
                  <c:v>0.11937646838609048</c:v>
                </c:pt>
                <c:pt idx="28">
                  <c:v>0.12448660333781895</c:v>
                </c:pt>
                <c:pt idx="29">
                  <c:v>0.12967864447831276</c:v>
                </c:pt>
                <c:pt idx="30">
                  <c:v>0.13494383510526015</c:v>
                </c:pt>
                <c:pt idx="31">
                  <c:v>0.14016164343979529</c:v>
                </c:pt>
                <c:pt idx="32">
                  <c:v>0.14542604614428706</c:v>
                </c:pt>
                <c:pt idx="33">
                  <c:v>0.1507260989506535</c:v>
                </c:pt>
                <c:pt idx="34">
                  <c:v>0.15593530347053702</c:v>
                </c:pt>
                <c:pt idx="35">
                  <c:v>0.16070501088577671</c:v>
                </c:pt>
                <c:pt idx="36">
                  <c:v>0.16575319599227173</c:v>
                </c:pt>
                <c:pt idx="37">
                  <c:v>0.17028409462300134</c:v>
                </c:pt>
                <c:pt idx="38">
                  <c:v>0.17521588258543622</c:v>
                </c:pt>
                <c:pt idx="39">
                  <c:v>0.17997437708091429</c:v>
                </c:pt>
                <c:pt idx="40">
                  <c:v>0.18409629024489252</c:v>
                </c:pt>
                <c:pt idx="41">
                  <c:v>0.18863619740112675</c:v>
                </c:pt>
                <c:pt idx="42">
                  <c:v>0.19234463191862572</c:v>
                </c:pt>
                <c:pt idx="43">
                  <c:v>0.19648319332865213</c:v>
                </c:pt>
                <c:pt idx="44">
                  <c:v>0.2004772460313598</c:v>
                </c:pt>
                <c:pt idx="45">
                  <c:v>0.2042006902449017</c:v>
                </c:pt>
                <c:pt idx="46">
                  <c:v>0.20774673727578979</c:v>
                </c:pt>
                <c:pt idx="47">
                  <c:v>0.21110014342110159</c:v>
                </c:pt>
                <c:pt idx="48">
                  <c:v>0.21413919816648316</c:v>
                </c:pt>
                <c:pt idx="49">
                  <c:v>0.21695461876713873</c:v>
                </c:pt>
                <c:pt idx="50">
                  <c:v>0</c:v>
                </c:pt>
                <c:pt idx="51">
                  <c:v>0.23463636618201542</c:v>
                </c:pt>
                <c:pt idx="52">
                  <c:v>0.23842718332289128</c:v>
                </c:pt>
                <c:pt idx="53">
                  <c:v>0.24206343318872578</c:v>
                </c:pt>
                <c:pt idx="54">
                  <c:v>0.24735810777713046</c:v>
                </c:pt>
                <c:pt idx="55">
                  <c:v>0.25261475275137779</c:v>
                </c:pt>
                <c:pt idx="56">
                  <c:v>0.25687823650571323</c:v>
                </c:pt>
                <c:pt idx="57">
                  <c:v>0.26209660902900461</c:v>
                </c:pt>
                <c:pt idx="58">
                  <c:v>0.2673079343678082</c:v>
                </c:pt>
                <c:pt idx="59">
                  <c:v>0.27251160652638917</c:v>
                </c:pt>
                <c:pt idx="60">
                  <c:v>0.27751540231214405</c:v>
                </c:pt>
                <c:pt idx="61">
                  <c:v>0.28144193346331897</c:v>
                </c:pt>
                <c:pt idx="62">
                  <c:v>0.28633902993882737</c:v>
                </c:pt>
                <c:pt idx="63">
                  <c:v>0.29123516440111569</c:v>
                </c:pt>
                <c:pt idx="64">
                  <c:v>0.29714775458433423</c:v>
                </c:pt>
                <c:pt idx="65">
                  <c:v>0.30301067666989906</c:v>
                </c:pt>
                <c:pt idx="66">
                  <c:v>0.30883680112773848</c:v>
                </c:pt>
                <c:pt idx="67">
                  <c:v>0.314549460896972</c:v>
                </c:pt>
                <c:pt idx="68">
                  <c:v>0.32032174828241</c:v>
                </c:pt>
                <c:pt idx="69">
                  <c:v>0.32602743693262265</c:v>
                </c:pt>
                <c:pt idx="70">
                  <c:v>0.33164276796077014</c:v>
                </c:pt>
                <c:pt idx="71">
                  <c:v>0.3372397572330923</c:v>
                </c:pt>
                <c:pt idx="72">
                  <c:v>0.34251465664490477</c:v>
                </c:pt>
                <c:pt idx="73">
                  <c:v>0.34785044770208434</c:v>
                </c:pt>
                <c:pt idx="74">
                  <c:v>0.35448163454210468</c:v>
                </c:pt>
                <c:pt idx="75">
                  <c:v>0.36136581312029253</c:v>
                </c:pt>
                <c:pt idx="76">
                  <c:v>0.36829375500476264</c:v>
                </c:pt>
                <c:pt idx="77">
                  <c:v>0.37515429394087396</c:v>
                </c:pt>
                <c:pt idx="78">
                  <c:v>0.38196879003471385</c:v>
                </c:pt>
                <c:pt idx="79">
                  <c:v>0.3886857399070065</c:v>
                </c:pt>
                <c:pt idx="80">
                  <c:v>0.39539294718011403</c:v>
                </c:pt>
                <c:pt idx="81">
                  <c:v>0.40207900268107394</c:v>
                </c:pt>
                <c:pt idx="82">
                  <c:v>0.40862076517054374</c:v>
                </c:pt>
                <c:pt idx="83">
                  <c:v>0.41510964874261652</c:v>
                </c:pt>
                <c:pt idx="84">
                  <c:v>0.42326813386513074</c:v>
                </c:pt>
                <c:pt idx="85">
                  <c:v>0.43126128459424995</c:v>
                </c:pt>
                <c:pt idx="86">
                  <c:v>0.43879937962188736</c:v>
                </c:pt>
                <c:pt idx="87">
                  <c:v>0.44659920384785512</c:v>
                </c:pt>
                <c:pt idx="88">
                  <c:v>0.45386379186673753</c:v>
                </c:pt>
                <c:pt idx="89">
                  <c:v>0.46151010742594439</c:v>
                </c:pt>
                <c:pt idx="90">
                  <c:v>0.46896274538187332</c:v>
                </c:pt>
                <c:pt idx="91">
                  <c:v>0.47569647395083098</c:v>
                </c:pt>
                <c:pt idx="92">
                  <c:v>0.48282464720824181</c:v>
                </c:pt>
                <c:pt idx="93">
                  <c:v>0.48909657460538647</c:v>
                </c:pt>
                <c:pt idx="94">
                  <c:v>0.49577262460641569</c:v>
                </c:pt>
                <c:pt idx="95">
                  <c:v>0.50227692399963231</c:v>
                </c:pt>
                <c:pt idx="96">
                  <c:v>0.50848212946512117</c:v>
                </c:pt>
                <c:pt idx="97">
                  <c:v>0.51448020347721435</c:v>
                </c:pt>
                <c:pt idx="98">
                  <c:v>0.52025464885207839</c:v>
                </c:pt>
                <c:pt idx="99">
                  <c:v>0.5256224429668781</c:v>
                </c:pt>
                <c:pt idx="100">
                  <c:v>0.5307326166438685</c:v>
                </c:pt>
                <c:pt idx="101">
                  <c:v>0</c:v>
                </c:pt>
                <c:pt idx="102">
                  <c:v>0.54778892568926862</c:v>
                </c:pt>
                <c:pt idx="103">
                  <c:v>0.55373005357923211</c:v>
                </c:pt>
                <c:pt idx="104">
                  <c:v>0.55947831195314701</c:v>
                </c:pt>
                <c:pt idx="105">
                  <c:v>0.56684547778188354</c:v>
                </c:pt>
                <c:pt idx="106">
                  <c:v>0.57413388323671855</c:v>
                </c:pt>
                <c:pt idx="107">
                  <c:v>0.5803296025215926</c:v>
                </c:pt>
                <c:pt idx="108">
                  <c:v>0.58988296691585551</c:v>
                </c:pt>
                <c:pt idx="109">
                  <c:v>0.59700843187313746</c:v>
                </c:pt>
                <c:pt idx="110">
                  <c:v>0.60408106220580615</c:v>
                </c:pt>
                <c:pt idx="111">
                  <c:v>0.61090745059511542</c:v>
                </c:pt>
                <c:pt idx="112">
                  <c:v>0.61660903039855075</c:v>
                </c:pt>
                <c:pt idx="113">
                  <c:v>0.62323245968262375</c:v>
                </c:pt>
                <c:pt idx="114">
                  <c:v>0.62974872153361661</c:v>
                </c:pt>
                <c:pt idx="115">
                  <c:v>0.63723030282041926</c:v>
                </c:pt>
                <c:pt idx="116">
                  <c:v>0.64732106931246447</c:v>
                </c:pt>
                <c:pt idx="117">
                  <c:v>0.65468278854579387</c:v>
                </c:pt>
                <c:pt idx="118">
                  <c:v>0.66187702158363837</c:v>
                </c:pt>
                <c:pt idx="119">
                  <c:v>0.66907575168558364</c:v>
                </c:pt>
                <c:pt idx="120">
                  <c:v>0.67615165492834595</c:v>
                </c:pt>
                <c:pt idx="121">
                  <c:v>0.68590553289280254</c:v>
                </c:pt>
                <c:pt idx="122">
                  <c:v>0.69277575814059622</c:v>
                </c:pt>
                <c:pt idx="123">
                  <c:v>0.69926487619172073</c:v>
                </c:pt>
                <c:pt idx="124">
                  <c:v>0.70575482990550831</c:v>
                </c:pt>
                <c:pt idx="125">
                  <c:v>0.71347909962368516</c:v>
                </c:pt>
                <c:pt idx="126">
                  <c:v>0.72139427309356607</c:v>
                </c:pt>
                <c:pt idx="127">
                  <c:v>0.7292901299979262</c:v>
                </c:pt>
                <c:pt idx="128">
                  <c:v>0.74012162905896239</c:v>
                </c:pt>
                <c:pt idx="129">
                  <c:v>0.70256607921502712</c:v>
                </c:pt>
                <c:pt idx="130">
                  <c:v>0.70998011323141863</c:v>
                </c:pt>
                <c:pt idx="131">
                  <c:v>0.6718261113549423</c:v>
                </c:pt>
                <c:pt idx="132">
                  <c:v>0.6790100698650593</c:v>
                </c:pt>
                <c:pt idx="133">
                  <c:v>0.68599840752678254</c:v>
                </c:pt>
                <c:pt idx="134">
                  <c:v>0.69288189381625487</c:v>
                </c:pt>
                <c:pt idx="135">
                  <c:v>0.70134507317452943</c:v>
                </c:pt>
                <c:pt idx="136">
                  <c:v>0.66579728306951103</c:v>
                </c:pt>
                <c:pt idx="137">
                  <c:v>0.67354770229476912</c:v>
                </c:pt>
                <c:pt idx="138">
                  <c:v>0.63499577322963352</c:v>
                </c:pt>
                <c:pt idx="139">
                  <c:v>0.64235785666486467</c:v>
                </c:pt>
                <c:pt idx="140">
                  <c:v>0.65006472572460428</c:v>
                </c:pt>
                <c:pt idx="141">
                  <c:v>0.65933660494279944</c:v>
                </c:pt>
                <c:pt idx="142">
                  <c:v>0.66609381940154344</c:v>
                </c:pt>
                <c:pt idx="143">
                  <c:v>0.6260614768448387</c:v>
                </c:pt>
                <c:pt idx="144">
                  <c:v>0.63229365995683684</c:v>
                </c:pt>
                <c:pt idx="145">
                  <c:v>0.59257175617820357</c:v>
                </c:pt>
                <c:pt idx="146">
                  <c:v>0.599017747272242</c:v>
                </c:pt>
                <c:pt idx="147">
                  <c:v>0.60610203239268623</c:v>
                </c:pt>
                <c:pt idx="148">
                  <c:v>0.61202141960322964</c:v>
                </c:pt>
                <c:pt idx="149">
                  <c:v>0.61769719005002799</c:v>
                </c:pt>
                <c:pt idx="150">
                  <c:v>0.57520798653995642</c:v>
                </c:pt>
                <c:pt idx="151">
                  <c:v>0.58025770897165174</c:v>
                </c:pt>
                <c:pt idx="152">
                  <c:v>-1.0011605077305873E-4</c:v>
                </c:pt>
                <c:pt idx="153">
                  <c:v>0.54778892568926862</c:v>
                </c:pt>
                <c:pt idx="154">
                  <c:v>0.55373005357923211</c:v>
                </c:pt>
                <c:pt idx="155">
                  <c:v>0.55947831195314701</c:v>
                </c:pt>
                <c:pt idx="156">
                  <c:v>0.56684547778188354</c:v>
                </c:pt>
                <c:pt idx="157">
                  <c:v>0.57413388323671855</c:v>
                </c:pt>
                <c:pt idx="158">
                  <c:v>0.5803296025215926</c:v>
                </c:pt>
                <c:pt idx="159">
                  <c:v>0.58988296691585551</c:v>
                </c:pt>
                <c:pt idx="160">
                  <c:v>0.59700843187313746</c:v>
                </c:pt>
                <c:pt idx="161">
                  <c:v>0.60408106220580615</c:v>
                </c:pt>
                <c:pt idx="162">
                  <c:v>0.61090745059511542</c:v>
                </c:pt>
                <c:pt idx="163">
                  <c:v>0.61660903039855075</c:v>
                </c:pt>
                <c:pt idx="164">
                  <c:v>0.62323245968262375</c:v>
                </c:pt>
                <c:pt idx="165">
                  <c:v>0.62974872153361661</c:v>
                </c:pt>
                <c:pt idx="166">
                  <c:v>0.63723030282041926</c:v>
                </c:pt>
                <c:pt idx="167">
                  <c:v>0.64732106931246447</c:v>
                </c:pt>
                <c:pt idx="168">
                  <c:v>0.65468278854579387</c:v>
                </c:pt>
                <c:pt idx="169">
                  <c:v>0.66187702158363837</c:v>
                </c:pt>
                <c:pt idx="170">
                  <c:v>0.66907575168558364</c:v>
                </c:pt>
                <c:pt idx="171">
                  <c:v>0.67615165492834595</c:v>
                </c:pt>
                <c:pt idx="172">
                  <c:v>0.68590553289280254</c:v>
                </c:pt>
                <c:pt idx="173">
                  <c:v>0.69277575814059622</c:v>
                </c:pt>
                <c:pt idx="174">
                  <c:v>0.69926487619172073</c:v>
                </c:pt>
                <c:pt idx="175">
                  <c:v>0.70575482990550831</c:v>
                </c:pt>
                <c:pt idx="176">
                  <c:v>0.71347909962368516</c:v>
                </c:pt>
                <c:pt idx="177">
                  <c:v>0.72139427309356607</c:v>
                </c:pt>
                <c:pt idx="178">
                  <c:v>0.7292901299979262</c:v>
                </c:pt>
                <c:pt idx="179">
                  <c:v>0.74012162905896239</c:v>
                </c:pt>
                <c:pt idx="180">
                  <c:v>0.70256607921502712</c:v>
                </c:pt>
                <c:pt idx="181">
                  <c:v>0.70998011323141863</c:v>
                </c:pt>
                <c:pt idx="182">
                  <c:v>0.6718261113549423</c:v>
                </c:pt>
                <c:pt idx="183">
                  <c:v>0.6790100698650593</c:v>
                </c:pt>
                <c:pt idx="184">
                  <c:v>0.68599840752678254</c:v>
                </c:pt>
                <c:pt idx="185">
                  <c:v>0.69288189381625487</c:v>
                </c:pt>
                <c:pt idx="186">
                  <c:v>0.70134507317452943</c:v>
                </c:pt>
                <c:pt idx="187">
                  <c:v>0.66579728306951103</c:v>
                </c:pt>
                <c:pt idx="188">
                  <c:v>0.67354770229476912</c:v>
                </c:pt>
                <c:pt idx="189">
                  <c:v>0.63499577322963352</c:v>
                </c:pt>
                <c:pt idx="190">
                  <c:v>0.64235785666486467</c:v>
                </c:pt>
                <c:pt idx="191">
                  <c:v>0.65006472572460428</c:v>
                </c:pt>
                <c:pt idx="192">
                  <c:v>0.65933660494279944</c:v>
                </c:pt>
                <c:pt idx="193">
                  <c:v>0.66609381940154344</c:v>
                </c:pt>
                <c:pt idx="194">
                  <c:v>0.6260614768448387</c:v>
                </c:pt>
                <c:pt idx="195">
                  <c:v>0.63229365995683684</c:v>
                </c:pt>
                <c:pt idx="196">
                  <c:v>0.59257175617820357</c:v>
                </c:pt>
                <c:pt idx="197">
                  <c:v>0.599017747272242</c:v>
                </c:pt>
                <c:pt idx="198">
                  <c:v>0.60610203239268623</c:v>
                </c:pt>
                <c:pt idx="199">
                  <c:v>0.61202141960322964</c:v>
                </c:pt>
                <c:pt idx="200">
                  <c:v>0.61769719005002799</c:v>
                </c:pt>
                <c:pt idx="201">
                  <c:v>0.57520798653995642</c:v>
                </c:pt>
                <c:pt idx="202">
                  <c:v>0.58025770897165174</c:v>
                </c:pt>
                <c:pt idx="203">
                  <c:v>-1.0011605077305873E-4</c:v>
                </c:pt>
                <c:pt idx="204">
                  <c:v>0.54778892568926862</c:v>
                </c:pt>
                <c:pt idx="205">
                  <c:v>0.55373005357923211</c:v>
                </c:pt>
                <c:pt idx="206">
                  <c:v>0.55947831195314701</c:v>
                </c:pt>
                <c:pt idx="207">
                  <c:v>0.56684547778188354</c:v>
                </c:pt>
                <c:pt idx="208">
                  <c:v>0.57413388323671855</c:v>
                </c:pt>
                <c:pt idx="209">
                  <c:v>0.5803296025215926</c:v>
                </c:pt>
                <c:pt idx="210">
                  <c:v>0.58988296691585551</c:v>
                </c:pt>
                <c:pt idx="211">
                  <c:v>0.59700843187313746</c:v>
                </c:pt>
                <c:pt idx="212">
                  <c:v>0.60408106220580615</c:v>
                </c:pt>
                <c:pt idx="213">
                  <c:v>0.61090745059511542</c:v>
                </c:pt>
                <c:pt idx="214">
                  <c:v>0.61660903039855075</c:v>
                </c:pt>
                <c:pt idx="215">
                  <c:v>0.62323245968262375</c:v>
                </c:pt>
                <c:pt idx="216">
                  <c:v>0.62974872153361661</c:v>
                </c:pt>
                <c:pt idx="217">
                  <c:v>0.63723030282041926</c:v>
                </c:pt>
                <c:pt idx="218">
                  <c:v>0.64732106931246447</c:v>
                </c:pt>
                <c:pt idx="219">
                  <c:v>0.65468278854579387</c:v>
                </c:pt>
                <c:pt idx="220">
                  <c:v>0.66187702158363837</c:v>
                </c:pt>
                <c:pt idx="221">
                  <c:v>0.66907575168558364</c:v>
                </c:pt>
                <c:pt idx="222">
                  <c:v>0.67615165492834595</c:v>
                </c:pt>
                <c:pt idx="223">
                  <c:v>0.68590553289280254</c:v>
                </c:pt>
                <c:pt idx="224">
                  <c:v>0.69277575814059622</c:v>
                </c:pt>
                <c:pt idx="225">
                  <c:v>0.69926487619172073</c:v>
                </c:pt>
                <c:pt idx="226">
                  <c:v>0.70575482990550831</c:v>
                </c:pt>
                <c:pt idx="227">
                  <c:v>0.71347909962368516</c:v>
                </c:pt>
                <c:pt idx="228">
                  <c:v>0.72139427309356607</c:v>
                </c:pt>
                <c:pt idx="229">
                  <c:v>0.7292901299979262</c:v>
                </c:pt>
                <c:pt idx="230">
                  <c:v>0.74012162905896239</c:v>
                </c:pt>
                <c:pt idx="231">
                  <c:v>0.70256607921502712</c:v>
                </c:pt>
                <c:pt idx="232">
                  <c:v>0.70998011323141863</c:v>
                </c:pt>
                <c:pt idx="233">
                  <c:v>0.6718261113549423</c:v>
                </c:pt>
                <c:pt idx="234">
                  <c:v>0.6790100698650593</c:v>
                </c:pt>
                <c:pt idx="235">
                  <c:v>0.68599840752678254</c:v>
                </c:pt>
                <c:pt idx="236">
                  <c:v>0.69288189381625487</c:v>
                </c:pt>
                <c:pt idx="237">
                  <c:v>0.70134507317452943</c:v>
                </c:pt>
                <c:pt idx="238">
                  <c:v>0.66579728306951103</c:v>
                </c:pt>
                <c:pt idx="239">
                  <c:v>0.67354770229476912</c:v>
                </c:pt>
                <c:pt idx="240">
                  <c:v>0.63499577322963352</c:v>
                </c:pt>
                <c:pt idx="241">
                  <c:v>0.64235785666486467</c:v>
                </c:pt>
                <c:pt idx="242">
                  <c:v>0.65006472572460428</c:v>
                </c:pt>
                <c:pt idx="243">
                  <c:v>0.65933660494279944</c:v>
                </c:pt>
                <c:pt idx="244">
                  <c:v>0.66609381940154344</c:v>
                </c:pt>
                <c:pt idx="245">
                  <c:v>0.6260614768448387</c:v>
                </c:pt>
                <c:pt idx="246">
                  <c:v>0.63229365995683684</c:v>
                </c:pt>
                <c:pt idx="247">
                  <c:v>0.59257175617820357</c:v>
                </c:pt>
                <c:pt idx="248">
                  <c:v>0.599017747272242</c:v>
                </c:pt>
                <c:pt idx="249">
                  <c:v>0.60610203239268623</c:v>
                </c:pt>
                <c:pt idx="250">
                  <c:v>0.61202141960322964</c:v>
                </c:pt>
                <c:pt idx="251">
                  <c:v>0.61769719005002799</c:v>
                </c:pt>
                <c:pt idx="252">
                  <c:v>0.57520798653995642</c:v>
                </c:pt>
                <c:pt idx="253">
                  <c:v>0.58025770897165174</c:v>
                </c:pt>
                <c:pt idx="254">
                  <c:v>-1.0011605077305873E-4</c:v>
                </c:pt>
                <c:pt idx="255">
                  <c:v>0.54778892568926862</c:v>
                </c:pt>
                <c:pt idx="256">
                  <c:v>0.55373005357923211</c:v>
                </c:pt>
                <c:pt idx="257">
                  <c:v>0.55947831195314701</c:v>
                </c:pt>
                <c:pt idx="258">
                  <c:v>0.56684547778188354</c:v>
                </c:pt>
                <c:pt idx="259">
                  <c:v>0.57413388323671855</c:v>
                </c:pt>
                <c:pt idx="260">
                  <c:v>0.5803296025215926</c:v>
                </c:pt>
                <c:pt idx="261">
                  <c:v>0.58988296691585551</c:v>
                </c:pt>
                <c:pt idx="262">
                  <c:v>0.59700843187313746</c:v>
                </c:pt>
                <c:pt idx="263">
                  <c:v>0.60408106220580615</c:v>
                </c:pt>
                <c:pt idx="264">
                  <c:v>0.61090745059511542</c:v>
                </c:pt>
                <c:pt idx="265">
                  <c:v>0.61660903039855075</c:v>
                </c:pt>
                <c:pt idx="266">
                  <c:v>0.62323245968262375</c:v>
                </c:pt>
                <c:pt idx="267">
                  <c:v>0.62974872153361661</c:v>
                </c:pt>
                <c:pt idx="268">
                  <c:v>0.63723030282041926</c:v>
                </c:pt>
                <c:pt idx="269">
                  <c:v>0.64732106931246447</c:v>
                </c:pt>
                <c:pt idx="270">
                  <c:v>0.65468278854579387</c:v>
                </c:pt>
                <c:pt idx="271">
                  <c:v>0.66187702158363837</c:v>
                </c:pt>
                <c:pt idx="272">
                  <c:v>0.66907575168558364</c:v>
                </c:pt>
                <c:pt idx="273">
                  <c:v>0.67615165492834595</c:v>
                </c:pt>
                <c:pt idx="274">
                  <c:v>0.68590553289280254</c:v>
                </c:pt>
                <c:pt idx="275">
                  <c:v>0.69277575814059622</c:v>
                </c:pt>
                <c:pt idx="276">
                  <c:v>0.69926487619172073</c:v>
                </c:pt>
                <c:pt idx="277">
                  <c:v>0.70575482990550831</c:v>
                </c:pt>
                <c:pt idx="278">
                  <c:v>0.71347909962368516</c:v>
                </c:pt>
                <c:pt idx="279">
                  <c:v>0.72139427309356607</c:v>
                </c:pt>
                <c:pt idx="280">
                  <c:v>0.7292901299979262</c:v>
                </c:pt>
                <c:pt idx="281">
                  <c:v>0.74012162905896239</c:v>
                </c:pt>
                <c:pt idx="282">
                  <c:v>0.70256607921502712</c:v>
                </c:pt>
                <c:pt idx="283">
                  <c:v>0.70998011323141863</c:v>
                </c:pt>
                <c:pt idx="284">
                  <c:v>0.6718261113549423</c:v>
                </c:pt>
                <c:pt idx="285">
                  <c:v>0.6790100698650593</c:v>
                </c:pt>
                <c:pt idx="286">
                  <c:v>0.68599840752678254</c:v>
                </c:pt>
                <c:pt idx="287">
                  <c:v>0.69288189381625487</c:v>
                </c:pt>
                <c:pt idx="288">
                  <c:v>0.70134507317452943</c:v>
                </c:pt>
                <c:pt idx="289">
                  <c:v>0.66579728306951103</c:v>
                </c:pt>
                <c:pt idx="290">
                  <c:v>0.67354770229476912</c:v>
                </c:pt>
                <c:pt idx="291">
                  <c:v>0.63499577322963352</c:v>
                </c:pt>
                <c:pt idx="292">
                  <c:v>0.64235785666486467</c:v>
                </c:pt>
                <c:pt idx="293">
                  <c:v>0.65006472572460428</c:v>
                </c:pt>
                <c:pt idx="294">
                  <c:v>0.65933660494279944</c:v>
                </c:pt>
                <c:pt idx="295">
                  <c:v>0.66609381940154344</c:v>
                </c:pt>
                <c:pt idx="296">
                  <c:v>0.6260614768448387</c:v>
                </c:pt>
                <c:pt idx="297">
                  <c:v>0.63229365995683684</c:v>
                </c:pt>
                <c:pt idx="298">
                  <c:v>0.59257175617820357</c:v>
                </c:pt>
                <c:pt idx="299">
                  <c:v>0.599017747272242</c:v>
                </c:pt>
                <c:pt idx="300">
                  <c:v>0.60610203239268623</c:v>
                </c:pt>
                <c:pt idx="301">
                  <c:v>0.61202141960322964</c:v>
                </c:pt>
                <c:pt idx="302">
                  <c:v>0.61769719005002799</c:v>
                </c:pt>
                <c:pt idx="303">
                  <c:v>0.57520798653995642</c:v>
                </c:pt>
                <c:pt idx="304">
                  <c:v>0.58025770897165174</c:v>
                </c:pt>
                <c:pt idx="305">
                  <c:v>-1.0011605077305873E-4</c:v>
                </c:pt>
                <c:pt idx="306">
                  <c:v>0.54778892568926862</c:v>
                </c:pt>
                <c:pt idx="307">
                  <c:v>0.55373005357923211</c:v>
                </c:pt>
                <c:pt idx="308">
                  <c:v>0.55947831195314701</c:v>
                </c:pt>
                <c:pt idx="309">
                  <c:v>0.56684547778188354</c:v>
                </c:pt>
                <c:pt idx="310">
                  <c:v>0.57413388323671855</c:v>
                </c:pt>
                <c:pt idx="311">
                  <c:v>0.5803296025215926</c:v>
                </c:pt>
                <c:pt idx="312">
                  <c:v>0.58988296691585551</c:v>
                </c:pt>
                <c:pt idx="313">
                  <c:v>0.59700843187313746</c:v>
                </c:pt>
                <c:pt idx="314">
                  <c:v>0.60408106220580615</c:v>
                </c:pt>
                <c:pt idx="315">
                  <c:v>0.61090745059511542</c:v>
                </c:pt>
                <c:pt idx="316">
                  <c:v>0.61660903039855075</c:v>
                </c:pt>
                <c:pt idx="317">
                  <c:v>0.62323245968262375</c:v>
                </c:pt>
                <c:pt idx="318">
                  <c:v>0.62974872153361661</c:v>
                </c:pt>
                <c:pt idx="319">
                  <c:v>0.63723030282041926</c:v>
                </c:pt>
                <c:pt idx="320">
                  <c:v>0.64732106931246447</c:v>
                </c:pt>
                <c:pt idx="321">
                  <c:v>0.65468278854579387</c:v>
                </c:pt>
                <c:pt idx="322">
                  <c:v>0.66187702158363837</c:v>
                </c:pt>
                <c:pt idx="323">
                  <c:v>0.66907575168558364</c:v>
                </c:pt>
                <c:pt idx="324">
                  <c:v>0.67615165492834595</c:v>
                </c:pt>
                <c:pt idx="325">
                  <c:v>0.68590553289280254</c:v>
                </c:pt>
                <c:pt idx="326">
                  <c:v>0.69277575814059622</c:v>
                </c:pt>
                <c:pt idx="327">
                  <c:v>0.69926487619172073</c:v>
                </c:pt>
                <c:pt idx="328">
                  <c:v>0.70575482990550831</c:v>
                </c:pt>
                <c:pt idx="329">
                  <c:v>0.71347909962368516</c:v>
                </c:pt>
                <c:pt idx="330">
                  <c:v>0.72139427309356607</c:v>
                </c:pt>
                <c:pt idx="331">
                  <c:v>0.7292901299979262</c:v>
                </c:pt>
                <c:pt idx="332">
                  <c:v>0.74012162905896239</c:v>
                </c:pt>
                <c:pt idx="333">
                  <c:v>0.70256607921502712</c:v>
                </c:pt>
                <c:pt idx="334">
                  <c:v>0.70998011323141863</c:v>
                </c:pt>
                <c:pt idx="335">
                  <c:v>0.6718261113549423</c:v>
                </c:pt>
                <c:pt idx="336">
                  <c:v>0.6790100698650593</c:v>
                </c:pt>
                <c:pt idx="337">
                  <c:v>0.68599840752678254</c:v>
                </c:pt>
                <c:pt idx="338">
                  <c:v>0.69288189381625487</c:v>
                </c:pt>
                <c:pt idx="339">
                  <c:v>0.70134507317452943</c:v>
                </c:pt>
                <c:pt idx="340">
                  <c:v>0.66579728306951103</c:v>
                </c:pt>
                <c:pt idx="341">
                  <c:v>0.67354770229476912</c:v>
                </c:pt>
                <c:pt idx="342">
                  <c:v>0.63499577322963352</c:v>
                </c:pt>
                <c:pt idx="343">
                  <c:v>0.64235785666486467</c:v>
                </c:pt>
                <c:pt idx="344">
                  <c:v>0.65006472572460428</c:v>
                </c:pt>
                <c:pt idx="345">
                  <c:v>0.65933660494279944</c:v>
                </c:pt>
                <c:pt idx="346">
                  <c:v>0.66609381940154344</c:v>
                </c:pt>
                <c:pt idx="347">
                  <c:v>0.6260614768448387</c:v>
                </c:pt>
                <c:pt idx="348">
                  <c:v>0.63229365995683684</c:v>
                </c:pt>
                <c:pt idx="349">
                  <c:v>0.59257175617820357</c:v>
                </c:pt>
                <c:pt idx="350">
                  <c:v>0.599017747272242</c:v>
                </c:pt>
                <c:pt idx="351">
                  <c:v>0.60610203239268623</c:v>
                </c:pt>
                <c:pt idx="352">
                  <c:v>0.61202141960322964</c:v>
                </c:pt>
                <c:pt idx="353">
                  <c:v>0.61769719005002799</c:v>
                </c:pt>
                <c:pt idx="354">
                  <c:v>0.57520798653995642</c:v>
                </c:pt>
                <c:pt idx="355">
                  <c:v>0.58025770897165174</c:v>
                </c:pt>
                <c:pt idx="356">
                  <c:v>-1.0011605077305873E-4</c:v>
                </c:pt>
                <c:pt idx="357">
                  <c:v>0.54778892568926862</c:v>
                </c:pt>
                <c:pt idx="358">
                  <c:v>0.55373005357923211</c:v>
                </c:pt>
                <c:pt idx="359">
                  <c:v>0.55947831195314701</c:v>
                </c:pt>
                <c:pt idx="360">
                  <c:v>0.56684547778188354</c:v>
                </c:pt>
                <c:pt idx="361">
                  <c:v>0.57413388323671855</c:v>
                </c:pt>
                <c:pt idx="362">
                  <c:v>0.5803296025215926</c:v>
                </c:pt>
                <c:pt idx="363">
                  <c:v>0.58988296691585551</c:v>
                </c:pt>
                <c:pt idx="364">
                  <c:v>0.59700843187313746</c:v>
                </c:pt>
                <c:pt idx="365">
                  <c:v>0.60408106220580615</c:v>
                </c:pt>
                <c:pt idx="366">
                  <c:v>0.61090745059511542</c:v>
                </c:pt>
                <c:pt idx="367">
                  <c:v>0.61660903039855075</c:v>
                </c:pt>
                <c:pt idx="368">
                  <c:v>0.62323245968262375</c:v>
                </c:pt>
                <c:pt idx="369">
                  <c:v>0.62974872153361661</c:v>
                </c:pt>
                <c:pt idx="370">
                  <c:v>0.63723030282041926</c:v>
                </c:pt>
                <c:pt idx="371">
                  <c:v>0.64732106931246447</c:v>
                </c:pt>
                <c:pt idx="372">
                  <c:v>0.65468278854579387</c:v>
                </c:pt>
                <c:pt idx="373">
                  <c:v>0.66187702158363837</c:v>
                </c:pt>
                <c:pt idx="374">
                  <c:v>0.66907575168558364</c:v>
                </c:pt>
                <c:pt idx="375">
                  <c:v>0.67615165492834595</c:v>
                </c:pt>
                <c:pt idx="376">
                  <c:v>0.68590553289280254</c:v>
                </c:pt>
                <c:pt idx="377">
                  <c:v>0.69277575814059622</c:v>
                </c:pt>
                <c:pt idx="378">
                  <c:v>0.69926487619172073</c:v>
                </c:pt>
                <c:pt idx="379">
                  <c:v>0.70575482990550831</c:v>
                </c:pt>
                <c:pt idx="380">
                  <c:v>0.71347909962368516</c:v>
                </c:pt>
                <c:pt idx="381">
                  <c:v>0.72139427309356607</c:v>
                </c:pt>
                <c:pt idx="382">
                  <c:v>0.7292901299979262</c:v>
                </c:pt>
                <c:pt idx="383">
                  <c:v>0.74012162905896239</c:v>
                </c:pt>
                <c:pt idx="384">
                  <c:v>0.70256607921502712</c:v>
                </c:pt>
                <c:pt idx="385">
                  <c:v>0.70998011323141863</c:v>
                </c:pt>
                <c:pt idx="386">
                  <c:v>0.6718261113549423</c:v>
                </c:pt>
                <c:pt idx="387">
                  <c:v>0.6790100698650593</c:v>
                </c:pt>
                <c:pt idx="388">
                  <c:v>0.68599840752678254</c:v>
                </c:pt>
                <c:pt idx="389">
                  <c:v>0.69288189381625487</c:v>
                </c:pt>
                <c:pt idx="390">
                  <c:v>0.70134507317452943</c:v>
                </c:pt>
                <c:pt idx="391">
                  <c:v>0.66579728306951103</c:v>
                </c:pt>
                <c:pt idx="392">
                  <c:v>0.67354770229476912</c:v>
                </c:pt>
                <c:pt idx="393">
                  <c:v>0.63499577322963352</c:v>
                </c:pt>
                <c:pt idx="394">
                  <c:v>0.64235785666486467</c:v>
                </c:pt>
                <c:pt idx="395">
                  <c:v>0.65006472572460428</c:v>
                </c:pt>
                <c:pt idx="396">
                  <c:v>0.65933660494279944</c:v>
                </c:pt>
                <c:pt idx="397">
                  <c:v>0.66609381940154344</c:v>
                </c:pt>
                <c:pt idx="398">
                  <c:v>0.6260614768448387</c:v>
                </c:pt>
                <c:pt idx="399">
                  <c:v>0.63229365995683684</c:v>
                </c:pt>
                <c:pt idx="400">
                  <c:v>0.59257175617820357</c:v>
                </c:pt>
                <c:pt idx="401">
                  <c:v>0.599017747272242</c:v>
                </c:pt>
                <c:pt idx="402">
                  <c:v>0.60610203239268623</c:v>
                </c:pt>
                <c:pt idx="403">
                  <c:v>0.61202141960322964</c:v>
                </c:pt>
                <c:pt idx="404">
                  <c:v>0.61769719005002799</c:v>
                </c:pt>
                <c:pt idx="405">
                  <c:v>0.57520798653995642</c:v>
                </c:pt>
                <c:pt idx="406">
                  <c:v>0.58025770897165174</c:v>
                </c:pt>
                <c:pt idx="407">
                  <c:v>-1.0011605077305873E-4</c:v>
                </c:pt>
                <c:pt idx="408">
                  <c:v>0.54778892568926862</c:v>
                </c:pt>
                <c:pt idx="409">
                  <c:v>0.55373005357923211</c:v>
                </c:pt>
                <c:pt idx="410">
                  <c:v>0.55947831195314701</c:v>
                </c:pt>
                <c:pt idx="411">
                  <c:v>0.56684547778188354</c:v>
                </c:pt>
                <c:pt idx="412">
                  <c:v>0.57413388323671855</c:v>
                </c:pt>
                <c:pt idx="413">
                  <c:v>0.5803296025215926</c:v>
                </c:pt>
                <c:pt idx="414">
                  <c:v>0.58988296691585551</c:v>
                </c:pt>
                <c:pt idx="415">
                  <c:v>0.59700843187313746</c:v>
                </c:pt>
                <c:pt idx="416">
                  <c:v>0.60408106220580615</c:v>
                </c:pt>
                <c:pt idx="417">
                  <c:v>0.61090745059511542</c:v>
                </c:pt>
                <c:pt idx="418">
                  <c:v>0.61660903039855075</c:v>
                </c:pt>
                <c:pt idx="419">
                  <c:v>0.62323245968262375</c:v>
                </c:pt>
                <c:pt idx="420">
                  <c:v>0.62974872153361661</c:v>
                </c:pt>
                <c:pt idx="421">
                  <c:v>0.63723030282041926</c:v>
                </c:pt>
                <c:pt idx="422">
                  <c:v>0.64732106931246447</c:v>
                </c:pt>
                <c:pt idx="423">
                  <c:v>0.65468278854579387</c:v>
                </c:pt>
                <c:pt idx="424">
                  <c:v>0.66187702158363837</c:v>
                </c:pt>
                <c:pt idx="425">
                  <c:v>0.66907575168558364</c:v>
                </c:pt>
                <c:pt idx="426">
                  <c:v>0.67615165492834595</c:v>
                </c:pt>
                <c:pt idx="427">
                  <c:v>0.68590553289280254</c:v>
                </c:pt>
                <c:pt idx="428">
                  <c:v>0.69277575814059622</c:v>
                </c:pt>
                <c:pt idx="429">
                  <c:v>0.69926487619172073</c:v>
                </c:pt>
                <c:pt idx="430">
                  <c:v>0.70575482990550831</c:v>
                </c:pt>
                <c:pt idx="431">
                  <c:v>0.71347909962368516</c:v>
                </c:pt>
                <c:pt idx="432">
                  <c:v>0.72139427309356607</c:v>
                </c:pt>
                <c:pt idx="433">
                  <c:v>0.7292901299979262</c:v>
                </c:pt>
                <c:pt idx="434">
                  <c:v>0.74012162905896239</c:v>
                </c:pt>
                <c:pt idx="435">
                  <c:v>0.70256607921502712</c:v>
                </c:pt>
                <c:pt idx="436">
                  <c:v>0.70998011323141863</c:v>
                </c:pt>
                <c:pt idx="437">
                  <c:v>0.6718261113549423</c:v>
                </c:pt>
                <c:pt idx="438">
                  <c:v>0.6790100698650593</c:v>
                </c:pt>
                <c:pt idx="439">
                  <c:v>0.68599840752678254</c:v>
                </c:pt>
                <c:pt idx="440">
                  <c:v>0.69288189381625487</c:v>
                </c:pt>
                <c:pt idx="441">
                  <c:v>0.70134507317452943</c:v>
                </c:pt>
                <c:pt idx="442">
                  <c:v>0.66579728306951103</c:v>
                </c:pt>
                <c:pt idx="443">
                  <c:v>0.67354770229476912</c:v>
                </c:pt>
                <c:pt idx="444">
                  <c:v>0.63499577322963352</c:v>
                </c:pt>
                <c:pt idx="445">
                  <c:v>0.64235785666486467</c:v>
                </c:pt>
                <c:pt idx="446">
                  <c:v>0.65006472572460428</c:v>
                </c:pt>
                <c:pt idx="447">
                  <c:v>0.65933660494279944</c:v>
                </c:pt>
                <c:pt idx="448">
                  <c:v>0.66609381940154344</c:v>
                </c:pt>
                <c:pt idx="449">
                  <c:v>0.6260614768448387</c:v>
                </c:pt>
                <c:pt idx="450">
                  <c:v>0.63229365995683684</c:v>
                </c:pt>
                <c:pt idx="451">
                  <c:v>0.59257175617820357</c:v>
                </c:pt>
                <c:pt idx="452">
                  <c:v>0.599017747272242</c:v>
                </c:pt>
                <c:pt idx="453">
                  <c:v>0.60610203239268623</c:v>
                </c:pt>
                <c:pt idx="454">
                  <c:v>0.61202141960322964</c:v>
                </c:pt>
                <c:pt idx="455">
                  <c:v>0.61769719005002799</c:v>
                </c:pt>
                <c:pt idx="456">
                  <c:v>0.57520798653995642</c:v>
                </c:pt>
                <c:pt idx="457">
                  <c:v>0.58025770897165174</c:v>
                </c:pt>
                <c:pt idx="458">
                  <c:v>-1.0011605077305873E-4</c:v>
                </c:pt>
                <c:pt idx="459">
                  <c:v>0.54778892568926862</c:v>
                </c:pt>
                <c:pt idx="460">
                  <c:v>0.55373005357923211</c:v>
                </c:pt>
                <c:pt idx="461">
                  <c:v>0.55947831195314701</c:v>
                </c:pt>
                <c:pt idx="462">
                  <c:v>0.56684547778188354</c:v>
                </c:pt>
                <c:pt idx="463">
                  <c:v>0.57413388323671855</c:v>
                </c:pt>
                <c:pt idx="464">
                  <c:v>0.5803296025215926</c:v>
                </c:pt>
                <c:pt idx="465">
                  <c:v>0.58988296691585551</c:v>
                </c:pt>
                <c:pt idx="466">
                  <c:v>0.59700843187313746</c:v>
                </c:pt>
                <c:pt idx="467">
                  <c:v>0.60408106220580615</c:v>
                </c:pt>
                <c:pt idx="468">
                  <c:v>0.61090745059511542</c:v>
                </c:pt>
                <c:pt idx="469">
                  <c:v>0.61660903039855075</c:v>
                </c:pt>
                <c:pt idx="470">
                  <c:v>0.62323245968262375</c:v>
                </c:pt>
                <c:pt idx="471">
                  <c:v>0.62974872153361661</c:v>
                </c:pt>
                <c:pt idx="472">
                  <c:v>0.63723030282041926</c:v>
                </c:pt>
                <c:pt idx="473">
                  <c:v>0.64732106931246447</c:v>
                </c:pt>
                <c:pt idx="474">
                  <c:v>0.65468278854579387</c:v>
                </c:pt>
                <c:pt idx="475">
                  <c:v>0.66187702158363837</c:v>
                </c:pt>
                <c:pt idx="476">
                  <c:v>0.66907575168558364</c:v>
                </c:pt>
                <c:pt idx="477">
                  <c:v>0.67615165492834595</c:v>
                </c:pt>
                <c:pt idx="478">
                  <c:v>0.68590553289280254</c:v>
                </c:pt>
                <c:pt idx="479">
                  <c:v>0.69277575814059622</c:v>
                </c:pt>
                <c:pt idx="480">
                  <c:v>0.69926487619172073</c:v>
                </c:pt>
                <c:pt idx="481">
                  <c:v>0.70575482990550831</c:v>
                </c:pt>
                <c:pt idx="482">
                  <c:v>0.71347909962368516</c:v>
                </c:pt>
                <c:pt idx="483">
                  <c:v>0.72139427309356607</c:v>
                </c:pt>
                <c:pt idx="484">
                  <c:v>0.7292901299979262</c:v>
                </c:pt>
                <c:pt idx="485">
                  <c:v>0.74012162905896239</c:v>
                </c:pt>
                <c:pt idx="486">
                  <c:v>0.70256607921502712</c:v>
                </c:pt>
                <c:pt idx="487">
                  <c:v>0.70998011323141863</c:v>
                </c:pt>
                <c:pt idx="488">
                  <c:v>0.6718261113549423</c:v>
                </c:pt>
                <c:pt idx="489">
                  <c:v>0.6790100698650593</c:v>
                </c:pt>
                <c:pt idx="490">
                  <c:v>0.68599840752678254</c:v>
                </c:pt>
                <c:pt idx="491">
                  <c:v>0.69288189381625487</c:v>
                </c:pt>
                <c:pt idx="492">
                  <c:v>0.70134507317452943</c:v>
                </c:pt>
                <c:pt idx="493">
                  <c:v>0.66579728306951103</c:v>
                </c:pt>
                <c:pt idx="494">
                  <c:v>0.67354770229476912</c:v>
                </c:pt>
                <c:pt idx="495">
                  <c:v>0.63499577322963352</c:v>
                </c:pt>
                <c:pt idx="496">
                  <c:v>0.64235785666486467</c:v>
                </c:pt>
                <c:pt idx="497">
                  <c:v>0.65006472572460428</c:v>
                </c:pt>
                <c:pt idx="498">
                  <c:v>0.65933660494279944</c:v>
                </c:pt>
                <c:pt idx="499">
                  <c:v>0.66609381940154344</c:v>
                </c:pt>
                <c:pt idx="500">
                  <c:v>0.6260614768448387</c:v>
                </c:pt>
                <c:pt idx="501">
                  <c:v>0.63229365995683684</c:v>
                </c:pt>
                <c:pt idx="502">
                  <c:v>0.59257175617820357</c:v>
                </c:pt>
                <c:pt idx="503">
                  <c:v>0.599017747272242</c:v>
                </c:pt>
                <c:pt idx="504">
                  <c:v>0.60610203239268623</c:v>
                </c:pt>
                <c:pt idx="505">
                  <c:v>0.61202141960322964</c:v>
                </c:pt>
                <c:pt idx="506">
                  <c:v>0.61769719005002799</c:v>
                </c:pt>
                <c:pt idx="507">
                  <c:v>0.57520798653995642</c:v>
                </c:pt>
                <c:pt idx="508">
                  <c:v>0.58025770897165174</c:v>
                </c:pt>
                <c:pt idx="509">
                  <c:v>-1.0011605077305873E-4</c:v>
                </c:pt>
                <c:pt idx="510">
                  <c:v>0.54778892568926862</c:v>
                </c:pt>
                <c:pt idx="511">
                  <c:v>0.55373005357923211</c:v>
                </c:pt>
                <c:pt idx="512">
                  <c:v>0.55947831195314701</c:v>
                </c:pt>
                <c:pt idx="513">
                  <c:v>0.56684547778188354</c:v>
                </c:pt>
                <c:pt idx="514">
                  <c:v>0.57413388323671855</c:v>
                </c:pt>
                <c:pt idx="515">
                  <c:v>0.5803296025215926</c:v>
                </c:pt>
                <c:pt idx="516">
                  <c:v>0.58988296691585551</c:v>
                </c:pt>
                <c:pt idx="517">
                  <c:v>0.59700843187313746</c:v>
                </c:pt>
                <c:pt idx="518">
                  <c:v>0.60408106220580615</c:v>
                </c:pt>
                <c:pt idx="519">
                  <c:v>0.61090745059511542</c:v>
                </c:pt>
                <c:pt idx="520">
                  <c:v>0.61660903039855075</c:v>
                </c:pt>
                <c:pt idx="521">
                  <c:v>0.62323245968262375</c:v>
                </c:pt>
                <c:pt idx="522">
                  <c:v>0.62974872153361661</c:v>
                </c:pt>
                <c:pt idx="523">
                  <c:v>0.63723030282041926</c:v>
                </c:pt>
                <c:pt idx="524">
                  <c:v>0.64732106931246447</c:v>
                </c:pt>
                <c:pt idx="525">
                  <c:v>0.65468278854579387</c:v>
                </c:pt>
                <c:pt idx="526">
                  <c:v>0.66187702158363837</c:v>
                </c:pt>
                <c:pt idx="527">
                  <c:v>0.66907575168558364</c:v>
                </c:pt>
                <c:pt idx="528">
                  <c:v>0.67615165492834595</c:v>
                </c:pt>
                <c:pt idx="529">
                  <c:v>0.68590553289280254</c:v>
                </c:pt>
                <c:pt idx="530">
                  <c:v>0.69277575814059622</c:v>
                </c:pt>
                <c:pt idx="531">
                  <c:v>0.69926487619172073</c:v>
                </c:pt>
                <c:pt idx="532">
                  <c:v>0.70575482990550831</c:v>
                </c:pt>
                <c:pt idx="533">
                  <c:v>0.71347909962368516</c:v>
                </c:pt>
                <c:pt idx="534">
                  <c:v>0.72139427309356607</c:v>
                </c:pt>
                <c:pt idx="535">
                  <c:v>0.7292901299979262</c:v>
                </c:pt>
                <c:pt idx="536">
                  <c:v>0.74012162905896239</c:v>
                </c:pt>
                <c:pt idx="537">
                  <c:v>0.70256607921502712</c:v>
                </c:pt>
                <c:pt idx="538">
                  <c:v>0.70998011323141863</c:v>
                </c:pt>
                <c:pt idx="539">
                  <c:v>0.6718261113549423</c:v>
                </c:pt>
                <c:pt idx="540">
                  <c:v>0.6790100698650593</c:v>
                </c:pt>
                <c:pt idx="541">
                  <c:v>0.68599840752678254</c:v>
                </c:pt>
                <c:pt idx="542">
                  <c:v>0.69288189381625487</c:v>
                </c:pt>
                <c:pt idx="543">
                  <c:v>0.70134507317452943</c:v>
                </c:pt>
                <c:pt idx="544">
                  <c:v>0.66579728306951103</c:v>
                </c:pt>
                <c:pt idx="545">
                  <c:v>0.67354770229476912</c:v>
                </c:pt>
                <c:pt idx="546">
                  <c:v>0.63499577322963352</c:v>
                </c:pt>
                <c:pt idx="547">
                  <c:v>0.64235785666486467</c:v>
                </c:pt>
                <c:pt idx="548">
                  <c:v>0.65006472572460428</c:v>
                </c:pt>
                <c:pt idx="549">
                  <c:v>0.65933660494279944</c:v>
                </c:pt>
                <c:pt idx="550">
                  <c:v>0.66609381940154344</c:v>
                </c:pt>
                <c:pt idx="551">
                  <c:v>0.6260614768448387</c:v>
                </c:pt>
                <c:pt idx="552">
                  <c:v>0.63229365995683684</c:v>
                </c:pt>
                <c:pt idx="553">
                  <c:v>0.59257175617820357</c:v>
                </c:pt>
                <c:pt idx="554">
                  <c:v>0.599017747272242</c:v>
                </c:pt>
                <c:pt idx="555">
                  <c:v>0.60610203239268623</c:v>
                </c:pt>
                <c:pt idx="556">
                  <c:v>0.61202141960322964</c:v>
                </c:pt>
                <c:pt idx="557">
                  <c:v>0.61769719005002799</c:v>
                </c:pt>
                <c:pt idx="558">
                  <c:v>0.57520798653995642</c:v>
                </c:pt>
                <c:pt idx="559">
                  <c:v>0.58025770897165174</c:v>
                </c:pt>
                <c:pt idx="560">
                  <c:v>-1.0011605077305873E-4</c:v>
                </c:pt>
                <c:pt idx="561">
                  <c:v>0.54778892568926862</c:v>
                </c:pt>
                <c:pt idx="562">
                  <c:v>0.55373005357923211</c:v>
                </c:pt>
                <c:pt idx="563">
                  <c:v>0.55947831195314701</c:v>
                </c:pt>
                <c:pt idx="564">
                  <c:v>0.56684547778188354</c:v>
                </c:pt>
                <c:pt idx="565">
                  <c:v>0.57413388323671855</c:v>
                </c:pt>
                <c:pt idx="566">
                  <c:v>0.5803296025215926</c:v>
                </c:pt>
                <c:pt idx="567">
                  <c:v>0.58988296691585551</c:v>
                </c:pt>
                <c:pt idx="568">
                  <c:v>0.59700843187313746</c:v>
                </c:pt>
                <c:pt idx="569">
                  <c:v>0.60408106220580615</c:v>
                </c:pt>
                <c:pt idx="570">
                  <c:v>0.61090745059511542</c:v>
                </c:pt>
                <c:pt idx="571">
                  <c:v>0.61660903039855075</c:v>
                </c:pt>
                <c:pt idx="572">
                  <c:v>0.62323245968262375</c:v>
                </c:pt>
                <c:pt idx="573">
                  <c:v>0.62974872153361661</c:v>
                </c:pt>
                <c:pt idx="574">
                  <c:v>0.63723030282041926</c:v>
                </c:pt>
                <c:pt idx="575">
                  <c:v>0.64732106931246447</c:v>
                </c:pt>
                <c:pt idx="576">
                  <c:v>0.65468278854579387</c:v>
                </c:pt>
                <c:pt idx="577">
                  <c:v>0.66187702158363837</c:v>
                </c:pt>
                <c:pt idx="578">
                  <c:v>0.66907575168558364</c:v>
                </c:pt>
                <c:pt idx="579">
                  <c:v>0.67615165492834595</c:v>
                </c:pt>
                <c:pt idx="580">
                  <c:v>0.68590553289280254</c:v>
                </c:pt>
                <c:pt idx="581">
                  <c:v>0.69277575814059622</c:v>
                </c:pt>
                <c:pt idx="582">
                  <c:v>0.69926487619172073</c:v>
                </c:pt>
                <c:pt idx="583">
                  <c:v>0.70575482990550831</c:v>
                </c:pt>
                <c:pt idx="584">
                  <c:v>0.71347909962368516</c:v>
                </c:pt>
                <c:pt idx="585">
                  <c:v>0.72139427309356607</c:v>
                </c:pt>
                <c:pt idx="586">
                  <c:v>0.7292901299979262</c:v>
                </c:pt>
                <c:pt idx="587">
                  <c:v>0.74012162905896239</c:v>
                </c:pt>
                <c:pt idx="588">
                  <c:v>0.70256607921502712</c:v>
                </c:pt>
                <c:pt idx="589">
                  <c:v>0.70998011323141863</c:v>
                </c:pt>
                <c:pt idx="590">
                  <c:v>0.6718261113549423</c:v>
                </c:pt>
                <c:pt idx="591">
                  <c:v>0.6790100698650593</c:v>
                </c:pt>
                <c:pt idx="592">
                  <c:v>0.68599840752678254</c:v>
                </c:pt>
                <c:pt idx="593">
                  <c:v>0.69288189381625487</c:v>
                </c:pt>
                <c:pt idx="594">
                  <c:v>0.70134507317452943</c:v>
                </c:pt>
                <c:pt idx="595">
                  <c:v>0.66579728306951103</c:v>
                </c:pt>
                <c:pt idx="596">
                  <c:v>0.67354770229476912</c:v>
                </c:pt>
                <c:pt idx="597">
                  <c:v>0.63499577322963352</c:v>
                </c:pt>
                <c:pt idx="598">
                  <c:v>0.64235785666486467</c:v>
                </c:pt>
                <c:pt idx="599">
                  <c:v>0.65006472572460428</c:v>
                </c:pt>
                <c:pt idx="600">
                  <c:v>0.65933660494279944</c:v>
                </c:pt>
                <c:pt idx="601">
                  <c:v>0.66609381940154344</c:v>
                </c:pt>
                <c:pt idx="602">
                  <c:v>0.6260614768448387</c:v>
                </c:pt>
                <c:pt idx="603">
                  <c:v>0.63229365995683684</c:v>
                </c:pt>
                <c:pt idx="604">
                  <c:v>0.59257175617820357</c:v>
                </c:pt>
                <c:pt idx="605">
                  <c:v>0.599017747272242</c:v>
                </c:pt>
                <c:pt idx="606">
                  <c:v>0.60610203239268623</c:v>
                </c:pt>
                <c:pt idx="607">
                  <c:v>0.61202141960322964</c:v>
                </c:pt>
                <c:pt idx="608">
                  <c:v>0.61769719005002799</c:v>
                </c:pt>
                <c:pt idx="609">
                  <c:v>0.57520798653995642</c:v>
                </c:pt>
                <c:pt idx="610">
                  <c:v>0.58025770897165174</c:v>
                </c:pt>
                <c:pt idx="611">
                  <c:v>-1.0011605077305873E-4</c:v>
                </c:pt>
                <c:pt idx="612">
                  <c:v>0.54778892568926862</c:v>
                </c:pt>
                <c:pt idx="613">
                  <c:v>0.55373005357923211</c:v>
                </c:pt>
                <c:pt idx="614">
                  <c:v>0.55947831195314701</c:v>
                </c:pt>
                <c:pt idx="615">
                  <c:v>0.56684547778188354</c:v>
                </c:pt>
                <c:pt idx="616">
                  <c:v>0.57413388323671855</c:v>
                </c:pt>
                <c:pt idx="617">
                  <c:v>0.5803296025215926</c:v>
                </c:pt>
                <c:pt idx="618">
                  <c:v>0.58988296691585551</c:v>
                </c:pt>
                <c:pt idx="619">
                  <c:v>0.59700843187313746</c:v>
                </c:pt>
                <c:pt idx="620">
                  <c:v>0.60408106220580615</c:v>
                </c:pt>
                <c:pt idx="621">
                  <c:v>0.61090745059511542</c:v>
                </c:pt>
                <c:pt idx="622">
                  <c:v>0.61660903039855075</c:v>
                </c:pt>
                <c:pt idx="623">
                  <c:v>0.62323245968262375</c:v>
                </c:pt>
                <c:pt idx="624">
                  <c:v>0.62974872153361661</c:v>
                </c:pt>
                <c:pt idx="625">
                  <c:v>0.63723030282041926</c:v>
                </c:pt>
                <c:pt idx="626">
                  <c:v>0.64732106931246447</c:v>
                </c:pt>
                <c:pt idx="627">
                  <c:v>0.65468278854579387</c:v>
                </c:pt>
                <c:pt idx="628">
                  <c:v>0.66187702158363837</c:v>
                </c:pt>
                <c:pt idx="629">
                  <c:v>0.66907575168558364</c:v>
                </c:pt>
                <c:pt idx="630">
                  <c:v>0.67615165492834595</c:v>
                </c:pt>
                <c:pt idx="631">
                  <c:v>0.68590553289280254</c:v>
                </c:pt>
                <c:pt idx="632">
                  <c:v>0.69277575814059622</c:v>
                </c:pt>
                <c:pt idx="633">
                  <c:v>0.69926487619172073</c:v>
                </c:pt>
                <c:pt idx="634">
                  <c:v>0.70575482990550831</c:v>
                </c:pt>
                <c:pt idx="635">
                  <c:v>0.71347909962368516</c:v>
                </c:pt>
                <c:pt idx="636">
                  <c:v>0.72139427309356607</c:v>
                </c:pt>
                <c:pt idx="637">
                  <c:v>0.7292901299979262</c:v>
                </c:pt>
                <c:pt idx="638">
                  <c:v>0.74012162905896239</c:v>
                </c:pt>
                <c:pt idx="639">
                  <c:v>0.70256607921502712</c:v>
                </c:pt>
                <c:pt idx="640">
                  <c:v>0.70998011323141863</c:v>
                </c:pt>
                <c:pt idx="641">
                  <c:v>0.6718261113549423</c:v>
                </c:pt>
                <c:pt idx="642">
                  <c:v>0.6790100698650593</c:v>
                </c:pt>
                <c:pt idx="643">
                  <c:v>0.68599840752678254</c:v>
                </c:pt>
                <c:pt idx="644">
                  <c:v>0.69288189381625487</c:v>
                </c:pt>
                <c:pt idx="645">
                  <c:v>0.70134507317452943</c:v>
                </c:pt>
                <c:pt idx="646">
                  <c:v>0.66579728306951103</c:v>
                </c:pt>
                <c:pt idx="647">
                  <c:v>0.67354770229476912</c:v>
                </c:pt>
                <c:pt idx="648">
                  <c:v>0.63499577322963352</c:v>
                </c:pt>
                <c:pt idx="649">
                  <c:v>0.64235785666486467</c:v>
                </c:pt>
                <c:pt idx="650">
                  <c:v>0.65006472572460428</c:v>
                </c:pt>
                <c:pt idx="651">
                  <c:v>0.65933660494279944</c:v>
                </c:pt>
                <c:pt idx="652">
                  <c:v>0.66609381940154344</c:v>
                </c:pt>
                <c:pt idx="653">
                  <c:v>0.6260614768448387</c:v>
                </c:pt>
                <c:pt idx="654">
                  <c:v>0.63229365995683684</c:v>
                </c:pt>
                <c:pt idx="655">
                  <c:v>0.59257175617820357</c:v>
                </c:pt>
                <c:pt idx="656">
                  <c:v>0.599017747272242</c:v>
                </c:pt>
                <c:pt idx="657">
                  <c:v>0.60610203239268623</c:v>
                </c:pt>
                <c:pt idx="658">
                  <c:v>0.61202141960322964</c:v>
                </c:pt>
                <c:pt idx="659">
                  <c:v>0.61769719005002799</c:v>
                </c:pt>
                <c:pt idx="660">
                  <c:v>0.57520798653995642</c:v>
                </c:pt>
                <c:pt idx="661">
                  <c:v>0.58025770897165174</c:v>
                </c:pt>
                <c:pt idx="662">
                  <c:v>-1.0011605077305873E-4</c:v>
                </c:pt>
                <c:pt idx="663">
                  <c:v>0.5272408006892686</c:v>
                </c:pt>
                <c:pt idx="664">
                  <c:v>0.53128134976226782</c:v>
                </c:pt>
                <c:pt idx="665">
                  <c:v>0.53492181798478999</c:v>
                </c:pt>
                <c:pt idx="666">
                  <c:v>0.54003506753448438</c:v>
                </c:pt>
                <c:pt idx="667">
                  <c:v>0.54497826254483162</c:v>
                </c:pt>
                <c:pt idx="668">
                  <c:v>0.54864560922538586</c:v>
                </c:pt>
                <c:pt idx="669">
                  <c:v>0.55546402362200797</c:v>
                </c:pt>
                <c:pt idx="670">
                  <c:v>0.55970637846367421</c:v>
                </c:pt>
                <c:pt idx="671">
                  <c:v>0.56374057507036435</c:v>
                </c:pt>
                <c:pt idx="672">
                  <c:v>0.56747450743440919</c:v>
                </c:pt>
                <c:pt idx="673">
                  <c:v>0.56989622915899851</c:v>
                </c:pt>
                <c:pt idx="674">
                  <c:v>0.5731140218499019</c:v>
                </c:pt>
                <c:pt idx="675">
                  <c:v>0.57603310861588153</c:v>
                </c:pt>
                <c:pt idx="676">
                  <c:v>0.57979458788700455</c:v>
                </c:pt>
                <c:pt idx="677">
                  <c:v>0.58609477210944283</c:v>
                </c:pt>
                <c:pt idx="678">
                  <c:v>0.58957750915868401</c:v>
                </c:pt>
                <c:pt idx="679">
                  <c:v>0.59287604580670306</c:v>
                </c:pt>
                <c:pt idx="680">
                  <c:v>0.59598437036644325</c:v>
                </c:pt>
                <c:pt idx="681">
                  <c:v>0.59882408190124492</c:v>
                </c:pt>
                <c:pt idx="682">
                  <c:v>0.60428783228391114</c:v>
                </c:pt>
                <c:pt idx="683">
                  <c:v>0.60673752475903941</c:v>
                </c:pt>
                <c:pt idx="684">
                  <c:v>0.60897512330476722</c:v>
                </c:pt>
                <c:pt idx="685">
                  <c:v>0.61092779989331025</c:v>
                </c:pt>
                <c:pt idx="686">
                  <c:v>0.61410830863228782</c:v>
                </c:pt>
                <c:pt idx="687">
                  <c:v>0.61714922060789779</c:v>
                </c:pt>
                <c:pt idx="688">
                  <c:v>0.62004665862208763</c:v>
                </c:pt>
                <c:pt idx="689">
                  <c:v>0.62586388466521869</c:v>
                </c:pt>
                <c:pt idx="690">
                  <c:v>0.58318961082893661</c:v>
                </c:pt>
                <c:pt idx="691">
                  <c:v>0.58549350989359972</c:v>
                </c:pt>
                <c:pt idx="692">
                  <c:v>0.5421474668766294</c:v>
                </c:pt>
                <c:pt idx="693">
                  <c:v>0.54406623475979898</c:v>
                </c:pt>
                <c:pt idx="694">
                  <c:v>0.54583676408698723</c:v>
                </c:pt>
                <c:pt idx="695">
                  <c:v>0.54745584767196775</c:v>
                </c:pt>
                <c:pt idx="696">
                  <c:v>0.55061897422387607</c:v>
                </c:pt>
                <c:pt idx="697">
                  <c:v>0.50986197959897406</c:v>
                </c:pt>
                <c:pt idx="698">
                  <c:v>0.51284269140899252</c:v>
                </c:pt>
                <c:pt idx="699">
                  <c:v>0.46924257723736174</c:v>
                </c:pt>
                <c:pt idx="700">
                  <c:v>0.47207376204186335</c:v>
                </c:pt>
                <c:pt idx="701">
                  <c:v>0.47484884313916814</c:v>
                </c:pt>
                <c:pt idx="702">
                  <c:v>0.4793622278618852</c:v>
                </c:pt>
                <c:pt idx="703">
                  <c:v>0.48199752915665089</c:v>
                </c:pt>
                <c:pt idx="704">
                  <c:v>0.43742527944371185</c:v>
                </c:pt>
                <c:pt idx="705">
                  <c:v>0.43994902803821118</c:v>
                </c:pt>
                <c:pt idx="706">
                  <c:v>0.3960885628495513</c:v>
                </c:pt>
                <c:pt idx="707">
                  <c:v>0.39854050124088219</c:v>
                </c:pt>
                <c:pt idx="708">
                  <c:v>0.40190134214778467</c:v>
                </c:pt>
                <c:pt idx="709">
                  <c:v>0.40427468232743985</c:v>
                </c:pt>
                <c:pt idx="710">
                  <c:v>0.40659704662892654</c:v>
                </c:pt>
                <c:pt idx="711">
                  <c:v>0.36106878837347328</c:v>
                </c:pt>
                <c:pt idx="712">
                  <c:v>0.36330309020451307</c:v>
                </c:pt>
                <c:pt idx="713">
                  <c:v>-1.0011605077305873E-4</c:v>
                </c:pt>
                <c:pt idx="714">
                  <c:v>0.31315255950725324</c:v>
                </c:pt>
                <c:pt idx="715">
                  <c:v>0.31530287025634079</c:v>
                </c:pt>
                <c:pt idx="716">
                  <c:v>0.31741487876442126</c:v>
                </c:pt>
                <c:pt idx="717">
                  <c:v>0.31948737000475302</c:v>
                </c:pt>
                <c:pt idx="718">
                  <c:v>0.32151913048534075</c:v>
                </c:pt>
                <c:pt idx="719">
                  <c:v>0.32345136601587943</c:v>
                </c:pt>
                <c:pt idx="720">
                  <c:v>0.3277863578868509</c:v>
                </c:pt>
                <c:pt idx="721">
                  <c:v>0.32970049750532932</c:v>
                </c:pt>
                <c:pt idx="722">
                  <c:v>0.33156945567941698</c:v>
                </c:pt>
                <c:pt idx="723">
                  <c:v>0.33339204828297142</c:v>
                </c:pt>
                <c:pt idx="724">
                  <c:v>0.33516709693523178</c:v>
                </c:pt>
                <c:pt idx="725">
                  <c:v>0.33689342974379632</c:v>
                </c:pt>
                <c:pt idx="726">
                  <c:v>0.33851355713250081</c:v>
                </c:pt>
                <c:pt idx="727">
                  <c:v>0.34008254823608502</c:v>
                </c:pt>
                <c:pt idx="728">
                  <c:v>0.34431039264256552</c:v>
                </c:pt>
                <c:pt idx="729">
                  <c:v>0.3458459874180555</c:v>
                </c:pt>
                <c:pt idx="730">
                  <c:v>0.34732756068666648</c:v>
                </c:pt>
                <c:pt idx="731">
                  <c:v>0.34875400340317375</c:v>
                </c:pt>
                <c:pt idx="732">
                  <c:v>0.3501242179957233</c:v>
                </c:pt>
                <c:pt idx="733">
                  <c:v>0.35426276493203229</c:v>
                </c:pt>
                <c:pt idx="734">
                  <c:v>0.35553600090750376</c:v>
                </c:pt>
                <c:pt idx="735">
                  <c:v>0.35675021954681602</c:v>
                </c:pt>
                <c:pt idx="736">
                  <c:v>0.35790438220342397</c:v>
                </c:pt>
                <c:pt idx="737">
                  <c:v>0.35899746508158042</c:v>
                </c:pt>
                <c:pt idx="738">
                  <c:v>0.36002845997327354</c:v>
                </c:pt>
                <c:pt idx="739">
                  <c:v>0.3609963749931635</c:v>
                </c:pt>
                <c:pt idx="740">
                  <c:v>0.36496733511808832</c:v>
                </c:pt>
                <c:pt idx="741">
                  <c:v>0.32059728918031322</c:v>
                </c:pt>
                <c:pt idx="742">
                  <c:v>0.32129437332441219</c:v>
                </c:pt>
                <c:pt idx="743">
                  <c:v>0.27643316417482822</c:v>
                </c:pt>
                <c:pt idx="744">
                  <c:v>0.27693106718398525</c:v>
                </c:pt>
                <c:pt idx="745">
                  <c:v>0.27737764235623874</c:v>
                </c:pt>
                <c:pt idx="746">
                  <c:v>0.27777224507363829</c:v>
                </c:pt>
                <c:pt idx="747">
                  <c:v>0.27807693930939875</c:v>
                </c:pt>
                <c:pt idx="748">
                  <c:v>0.23453599847526113</c:v>
                </c:pt>
                <c:pt idx="749">
                  <c:v>0.23474832267288179</c:v>
                </c:pt>
                <c:pt idx="750">
                  <c:v>0.18839656938177834</c:v>
                </c:pt>
                <c:pt idx="751">
                  <c:v>0.18849406479812714</c:v>
                </c:pt>
                <c:pt idx="752">
                  <c:v>0.18855461829865999</c:v>
                </c:pt>
                <c:pt idx="753">
                  <c:v>0.19037385956092617</c:v>
                </c:pt>
                <c:pt idx="754">
                  <c:v>0.19039734545071238</c:v>
                </c:pt>
                <c:pt idx="755">
                  <c:v>0.14323682963659684</c:v>
                </c:pt>
                <c:pt idx="756">
                  <c:v>0.14319708535145045</c:v>
                </c:pt>
                <c:pt idx="757">
                  <c:v>9.6799131571787794E-2</c:v>
                </c:pt>
                <c:pt idx="758">
                  <c:v>9.6740823272609702E-2</c:v>
                </c:pt>
                <c:pt idx="759">
                  <c:v>9.7619902927565158E-2</c:v>
                </c:pt>
                <c:pt idx="760">
                  <c:v>9.7541216126015282E-2</c:v>
                </c:pt>
                <c:pt idx="761">
                  <c:v>9.7442541197949775E-2</c:v>
                </c:pt>
                <c:pt idx="762">
                  <c:v>4.9585543573078449E-2</c:v>
                </c:pt>
                <c:pt idx="763">
                  <c:v>4.9525092327783259E-2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BC-471E-92D0-026278F2D637}"/>
            </c:ext>
          </c:extLst>
        </c:ser>
        <c:ser>
          <c:idx val="4"/>
          <c:order val="1"/>
          <c:tx>
            <c:strRef>
              <c:f>Clarias_Bioplan!$A$13</c:f>
              <c:strCache>
                <c:ptCount val="1"/>
                <c:pt idx="0">
                  <c:v>FECES HIGH DM FEED - HIGH DIGEST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Clarias_Bioplan!$C$13:$ACL$13</c:f>
              <c:numCache>
                <c:formatCode>0.000</c:formatCode>
                <c:ptCount val="764"/>
                <c:pt idx="0">
                  <c:v>2.1689687500000002E-2</c:v>
                </c:pt>
                <c:pt idx="1">
                  <c:v>2.3695854029017856E-2</c:v>
                </c:pt>
                <c:pt idx="2">
                  <c:v>2.5920743633265703E-2</c:v>
                </c:pt>
                <c:pt idx="3">
                  <c:v>2.8299877483365769E-2</c:v>
                </c:pt>
                <c:pt idx="4">
                  <c:v>3.0775377396991779E-2</c:v>
                </c:pt>
                <c:pt idx="5">
                  <c:v>3.3444215145996006E-2</c:v>
                </c:pt>
                <c:pt idx="6">
                  <c:v>3.6331106810172424E-2</c:v>
                </c:pt>
                <c:pt idx="7">
                  <c:v>3.9374389709989029E-2</c:v>
                </c:pt>
                <c:pt idx="8">
                  <c:v>4.2581625309633005E-2</c:v>
                </c:pt>
                <c:pt idx="9">
                  <c:v>4.584588444741225E-2</c:v>
                </c:pt>
                <c:pt idx="10">
                  <c:v>4.9307956863971797E-2</c:v>
                </c:pt>
                <c:pt idx="11">
                  <c:v>5.2902795490095259E-2</c:v>
                </c:pt>
                <c:pt idx="12">
                  <c:v>5.6699813635386946E-2</c:v>
                </c:pt>
                <c:pt idx="13">
                  <c:v>6.0626587985270979E-2</c:v>
                </c:pt>
                <c:pt idx="14">
                  <c:v>6.4627758158745094E-2</c:v>
                </c:pt>
                <c:pt idx="15">
                  <c:v>6.8722239353060433E-2</c:v>
                </c:pt>
                <c:pt idx="16">
                  <c:v>7.2834363320098364E-2</c:v>
                </c:pt>
                <c:pt idx="17">
                  <c:v>7.7152013614648268E-2</c:v>
                </c:pt>
                <c:pt idx="18">
                  <c:v>8.1623549306384352E-2</c:v>
                </c:pt>
                <c:pt idx="19">
                  <c:v>8.615201730938532E-2</c:v>
                </c:pt>
                <c:pt idx="20">
                  <c:v>9.0818135236087547E-2</c:v>
                </c:pt>
                <c:pt idx="21">
                  <c:v>9.5305850269562023E-2</c:v>
                </c:pt>
                <c:pt idx="22">
                  <c:v>0.10009519834620909</c:v>
                </c:pt>
                <c:pt idx="23">
                  <c:v>0.10489139049091938</c:v>
                </c:pt>
                <c:pt idx="24">
                  <c:v>0.11003644429042762</c:v>
                </c:pt>
                <c:pt idx="25">
                  <c:v>0.11531255311894059</c:v>
                </c:pt>
                <c:pt idx="26">
                  <c:v>0.12060539686006268</c:v>
                </c:pt>
                <c:pt idx="27">
                  <c:v>0.12600849440753994</c:v>
                </c:pt>
                <c:pt idx="28">
                  <c:v>0.13140252574547553</c:v>
                </c:pt>
                <c:pt idx="29">
                  <c:v>0.13688301361599681</c:v>
                </c:pt>
                <c:pt idx="30">
                  <c:v>0.14244071483333015</c:v>
                </c:pt>
                <c:pt idx="31">
                  <c:v>0.1479484014086728</c:v>
                </c:pt>
                <c:pt idx="32">
                  <c:v>0.15350527093008079</c:v>
                </c:pt>
                <c:pt idx="33">
                  <c:v>0.15909977111457868</c:v>
                </c:pt>
                <c:pt idx="34">
                  <c:v>0.16459837588556686</c:v>
                </c:pt>
                <c:pt idx="35">
                  <c:v>0.16963306704609762</c:v>
                </c:pt>
                <c:pt idx="36">
                  <c:v>0.17496170688073126</c:v>
                </c:pt>
                <c:pt idx="37">
                  <c:v>0.17974432210205693</c:v>
                </c:pt>
                <c:pt idx="38">
                  <c:v>0.18495009828462708</c:v>
                </c:pt>
                <c:pt idx="39">
                  <c:v>0.18997295358540953</c:v>
                </c:pt>
                <c:pt idx="40">
                  <c:v>0.19432386192516429</c:v>
                </c:pt>
                <c:pt idx="41">
                  <c:v>0.19911598614563378</c:v>
                </c:pt>
                <c:pt idx="42">
                  <c:v>0.20303044480299381</c:v>
                </c:pt>
                <c:pt idx="43">
                  <c:v>0.20739892629135503</c:v>
                </c:pt>
                <c:pt idx="44">
                  <c:v>0.21161487081087976</c:v>
                </c:pt>
                <c:pt idx="45">
                  <c:v>0.21554517303628509</c:v>
                </c:pt>
                <c:pt idx="46">
                  <c:v>0.21928822268000031</c:v>
                </c:pt>
                <c:pt idx="47">
                  <c:v>0.22282792916671834</c:v>
                </c:pt>
                <c:pt idx="48">
                  <c:v>0.22603582028684333</c:v>
                </c:pt>
                <c:pt idx="49">
                  <c:v>0.22900765314309085</c:v>
                </c:pt>
                <c:pt idx="50">
                  <c:v>0</c:v>
                </c:pt>
                <c:pt idx="51">
                  <c:v>0.24767171985879405</c:v>
                </c:pt>
                <c:pt idx="52">
                  <c:v>0.2516731379519408</c:v>
                </c:pt>
                <c:pt idx="53">
                  <c:v>0.25551140169921055</c:v>
                </c:pt>
                <c:pt idx="54">
                  <c:v>0.26110022487585993</c:v>
                </c:pt>
                <c:pt idx="55">
                  <c:v>0.26664890568200988</c:v>
                </c:pt>
                <c:pt idx="56">
                  <c:v>0.27114924964491949</c:v>
                </c:pt>
                <c:pt idx="57">
                  <c:v>0.27665753175283814</c:v>
                </c:pt>
                <c:pt idx="58">
                  <c:v>0.28215837516601977</c:v>
                </c:pt>
                <c:pt idx="59">
                  <c:v>0.28765114022229965</c:v>
                </c:pt>
                <c:pt idx="60">
                  <c:v>0.29293292466281867</c:v>
                </c:pt>
                <c:pt idx="61">
                  <c:v>0.29707759643350329</c:v>
                </c:pt>
                <c:pt idx="62">
                  <c:v>0.30224675382431776</c:v>
                </c:pt>
                <c:pt idx="63">
                  <c:v>0.3074148957567332</c:v>
                </c:pt>
                <c:pt idx="64">
                  <c:v>0.31365596317235273</c:v>
                </c:pt>
                <c:pt idx="65">
                  <c:v>0.31984460315156005</c:v>
                </c:pt>
                <c:pt idx="66">
                  <c:v>0.32599440119039058</c:v>
                </c:pt>
                <c:pt idx="67">
                  <c:v>0.33202443094680373</c:v>
                </c:pt>
                <c:pt idx="68">
                  <c:v>0.33811740096476606</c:v>
                </c:pt>
                <c:pt idx="69">
                  <c:v>0.34414007231776833</c:v>
                </c:pt>
                <c:pt idx="70">
                  <c:v>0.35006736618081286</c:v>
                </c:pt>
                <c:pt idx="71">
                  <c:v>0.35597529930159738</c:v>
                </c:pt>
                <c:pt idx="72">
                  <c:v>0.36154324868073279</c:v>
                </c:pt>
                <c:pt idx="73">
                  <c:v>0.36717547257442235</c:v>
                </c:pt>
                <c:pt idx="74">
                  <c:v>0.37417505868333273</c:v>
                </c:pt>
                <c:pt idx="75">
                  <c:v>0.38144169162697544</c:v>
                </c:pt>
                <c:pt idx="76">
                  <c:v>0.38875451917169385</c:v>
                </c:pt>
                <c:pt idx="77">
                  <c:v>0.39599619915981138</c:v>
                </c:pt>
                <c:pt idx="78">
                  <c:v>0.40318927836997565</c:v>
                </c:pt>
                <c:pt idx="79">
                  <c:v>0.41027939212406234</c:v>
                </c:pt>
                <c:pt idx="80">
                  <c:v>0.4173592220234536</c:v>
                </c:pt>
                <c:pt idx="81">
                  <c:v>0.42441672505224465</c:v>
                </c:pt>
                <c:pt idx="82">
                  <c:v>0.43132191879112952</c:v>
                </c:pt>
                <c:pt idx="83">
                  <c:v>0.43817129589498405</c:v>
                </c:pt>
                <c:pt idx="84">
                  <c:v>0.44678303019097138</c:v>
                </c:pt>
                <c:pt idx="85">
                  <c:v>0.45522024484948598</c:v>
                </c:pt>
                <c:pt idx="86">
                  <c:v>0.46317712293421442</c:v>
                </c:pt>
                <c:pt idx="87">
                  <c:v>0.4714102707282915</c:v>
                </c:pt>
                <c:pt idx="88">
                  <c:v>0.4790784469704451</c:v>
                </c:pt>
                <c:pt idx="89">
                  <c:v>0.48714955783849678</c:v>
                </c:pt>
                <c:pt idx="90">
                  <c:v>0.4950162312364218</c:v>
                </c:pt>
                <c:pt idx="91">
                  <c:v>0.50212405583698827</c:v>
                </c:pt>
                <c:pt idx="92">
                  <c:v>0.5096482387198108</c:v>
                </c:pt>
                <c:pt idx="93">
                  <c:v>0.51626860652790796</c:v>
                </c:pt>
                <c:pt idx="94">
                  <c:v>0.52331554819566095</c:v>
                </c:pt>
                <c:pt idx="95">
                  <c:v>0.53018119755516735</c:v>
                </c:pt>
                <c:pt idx="96">
                  <c:v>0.53673113665762784</c:v>
                </c:pt>
                <c:pt idx="97">
                  <c:v>0.54306243700372625</c:v>
                </c:pt>
                <c:pt idx="98">
                  <c:v>0.54915768489941597</c:v>
                </c:pt>
                <c:pt idx="99">
                  <c:v>0.55482368979837127</c:v>
                </c:pt>
                <c:pt idx="100">
                  <c:v>0.56021776201297224</c:v>
                </c:pt>
                <c:pt idx="101">
                  <c:v>0</c:v>
                </c:pt>
                <c:pt idx="102">
                  <c:v>0.5782216437831168</c:v>
                </c:pt>
                <c:pt idx="103">
                  <c:v>0.58449283433363386</c:v>
                </c:pt>
                <c:pt idx="104">
                  <c:v>0.59056044039498845</c:v>
                </c:pt>
                <c:pt idx="105">
                  <c:v>0.59833689321421035</c:v>
                </c:pt>
                <c:pt idx="106">
                  <c:v>0.6060302100832029</c:v>
                </c:pt>
                <c:pt idx="107">
                  <c:v>0.61257013599501442</c:v>
                </c:pt>
                <c:pt idx="108">
                  <c:v>0.62265424285562521</c:v>
                </c:pt>
                <c:pt idx="109">
                  <c:v>0.63017556697720056</c:v>
                </c:pt>
                <c:pt idx="110">
                  <c:v>0.6376411212172397</c:v>
                </c:pt>
                <c:pt idx="111">
                  <c:v>0.64484675340595521</c:v>
                </c:pt>
                <c:pt idx="112">
                  <c:v>0.65086508764291473</c:v>
                </c:pt>
                <c:pt idx="113">
                  <c:v>0.65785648522054718</c:v>
                </c:pt>
                <c:pt idx="114">
                  <c:v>0.66473476161881739</c:v>
                </c:pt>
                <c:pt idx="115">
                  <c:v>0.67263198631044241</c:v>
                </c:pt>
                <c:pt idx="116">
                  <c:v>0.68328335094093462</c:v>
                </c:pt>
                <c:pt idx="117">
                  <c:v>0.69105405457611568</c:v>
                </c:pt>
                <c:pt idx="118">
                  <c:v>0.69864796722717371</c:v>
                </c:pt>
                <c:pt idx="119">
                  <c:v>0.70624662677922723</c:v>
                </c:pt>
                <c:pt idx="120">
                  <c:v>0.71371563575769836</c:v>
                </c:pt>
                <c:pt idx="121">
                  <c:v>0.72401139583129148</c:v>
                </c:pt>
                <c:pt idx="122">
                  <c:v>0.73126330025951813</c:v>
                </c:pt>
                <c:pt idx="123">
                  <c:v>0.73811292486903846</c:v>
                </c:pt>
                <c:pt idx="124">
                  <c:v>0.74496343156692535</c:v>
                </c:pt>
                <c:pt idx="125">
                  <c:v>0.75311682738055652</c:v>
                </c:pt>
                <c:pt idx="126">
                  <c:v>0.76147173270987512</c:v>
                </c:pt>
                <c:pt idx="127">
                  <c:v>0.76980624833114419</c:v>
                </c:pt>
                <c:pt idx="128">
                  <c:v>0.78123949734001563</c:v>
                </c:pt>
                <c:pt idx="129">
                  <c:v>0.74159752806030621</c:v>
                </c:pt>
                <c:pt idx="130">
                  <c:v>0.74942345285538636</c:v>
                </c:pt>
                <c:pt idx="131">
                  <c:v>0.70914978420799457</c:v>
                </c:pt>
                <c:pt idx="132">
                  <c:v>0.71673285152422916</c:v>
                </c:pt>
                <c:pt idx="133">
                  <c:v>0.72410943016715934</c:v>
                </c:pt>
                <c:pt idx="134">
                  <c:v>0.73137533236160235</c:v>
                </c:pt>
                <c:pt idx="135">
                  <c:v>0.74030868835089214</c:v>
                </c:pt>
                <c:pt idx="136">
                  <c:v>0.70278602101781706</c:v>
                </c:pt>
                <c:pt idx="137">
                  <c:v>0.71096701908892301</c:v>
                </c:pt>
                <c:pt idx="138">
                  <c:v>0.67027331618683528</c:v>
                </c:pt>
                <c:pt idx="139">
                  <c:v>0.67804440425735713</c:v>
                </c:pt>
                <c:pt idx="140">
                  <c:v>0.68617943270930448</c:v>
                </c:pt>
                <c:pt idx="141">
                  <c:v>0.69596641632851053</c:v>
                </c:pt>
                <c:pt idx="142">
                  <c:v>0.70309903159051801</c:v>
                </c:pt>
                <c:pt idx="143">
                  <c:v>0.66084267000288521</c:v>
                </c:pt>
                <c:pt idx="144">
                  <c:v>0.66742108550999435</c:v>
                </c:pt>
                <c:pt idx="145">
                  <c:v>0.62549240929921479</c:v>
                </c:pt>
                <c:pt idx="146">
                  <c:v>0.63229651100958861</c:v>
                </c:pt>
                <c:pt idx="147">
                  <c:v>0.63977436752561323</c:v>
                </c:pt>
                <c:pt idx="148">
                  <c:v>0.64602260958118674</c:v>
                </c:pt>
                <c:pt idx="149">
                  <c:v>0.65201370060836294</c:v>
                </c:pt>
                <c:pt idx="150">
                  <c:v>0.60716398579217623</c:v>
                </c:pt>
                <c:pt idx="151">
                  <c:v>0.61249424835896571</c:v>
                </c:pt>
                <c:pt idx="152">
                  <c:v>-1.0567805359378422E-4</c:v>
                </c:pt>
                <c:pt idx="153">
                  <c:v>0.5782216437831168</c:v>
                </c:pt>
                <c:pt idx="154">
                  <c:v>0.58449283433363386</c:v>
                </c:pt>
                <c:pt idx="155">
                  <c:v>0.59056044039498845</c:v>
                </c:pt>
                <c:pt idx="156">
                  <c:v>0.59833689321421035</c:v>
                </c:pt>
                <c:pt idx="157">
                  <c:v>0.6060302100832029</c:v>
                </c:pt>
                <c:pt idx="158">
                  <c:v>0.61257013599501442</c:v>
                </c:pt>
                <c:pt idx="159">
                  <c:v>0.62265424285562521</c:v>
                </c:pt>
                <c:pt idx="160">
                  <c:v>0.63017556697720056</c:v>
                </c:pt>
                <c:pt idx="161">
                  <c:v>0.6376411212172397</c:v>
                </c:pt>
                <c:pt idx="162">
                  <c:v>0.64484675340595521</c:v>
                </c:pt>
                <c:pt idx="163">
                  <c:v>0.65086508764291473</c:v>
                </c:pt>
                <c:pt idx="164">
                  <c:v>0.65785648522054718</c:v>
                </c:pt>
                <c:pt idx="165">
                  <c:v>0.66473476161881739</c:v>
                </c:pt>
                <c:pt idx="166">
                  <c:v>0.67263198631044241</c:v>
                </c:pt>
                <c:pt idx="167">
                  <c:v>0.68328335094093462</c:v>
                </c:pt>
                <c:pt idx="168">
                  <c:v>0.69105405457611568</c:v>
                </c:pt>
                <c:pt idx="169">
                  <c:v>0.69864796722717371</c:v>
                </c:pt>
                <c:pt idx="170">
                  <c:v>0.70624662677922723</c:v>
                </c:pt>
                <c:pt idx="171">
                  <c:v>0.71371563575769836</c:v>
                </c:pt>
                <c:pt idx="172">
                  <c:v>0.72401139583129148</c:v>
                </c:pt>
                <c:pt idx="173">
                  <c:v>0.73126330025951813</c:v>
                </c:pt>
                <c:pt idx="174">
                  <c:v>0.73811292486903846</c:v>
                </c:pt>
                <c:pt idx="175">
                  <c:v>0.74496343156692535</c:v>
                </c:pt>
                <c:pt idx="176">
                  <c:v>0.75311682738055652</c:v>
                </c:pt>
                <c:pt idx="177">
                  <c:v>0.76147173270987512</c:v>
                </c:pt>
                <c:pt idx="178">
                  <c:v>0.76980624833114419</c:v>
                </c:pt>
                <c:pt idx="179">
                  <c:v>0.78123949734001563</c:v>
                </c:pt>
                <c:pt idx="180">
                  <c:v>0.74159752806030621</c:v>
                </c:pt>
                <c:pt idx="181">
                  <c:v>0.74942345285538636</c:v>
                </c:pt>
                <c:pt idx="182">
                  <c:v>0.70914978420799457</c:v>
                </c:pt>
                <c:pt idx="183">
                  <c:v>0.71673285152422916</c:v>
                </c:pt>
                <c:pt idx="184">
                  <c:v>0.72410943016715934</c:v>
                </c:pt>
                <c:pt idx="185">
                  <c:v>0.73137533236160235</c:v>
                </c:pt>
                <c:pt idx="186">
                  <c:v>0.74030868835089214</c:v>
                </c:pt>
                <c:pt idx="187">
                  <c:v>0.70278602101781706</c:v>
                </c:pt>
                <c:pt idx="188">
                  <c:v>0.71096701908892301</c:v>
                </c:pt>
                <c:pt idx="189">
                  <c:v>0.67027331618683528</c:v>
                </c:pt>
                <c:pt idx="190">
                  <c:v>0.67804440425735713</c:v>
                </c:pt>
                <c:pt idx="191">
                  <c:v>0.68617943270930448</c:v>
                </c:pt>
                <c:pt idx="192">
                  <c:v>0.69596641632851053</c:v>
                </c:pt>
                <c:pt idx="193">
                  <c:v>0.70309903159051801</c:v>
                </c:pt>
                <c:pt idx="194">
                  <c:v>0.66084267000288521</c:v>
                </c:pt>
                <c:pt idx="195">
                  <c:v>0.66742108550999435</c:v>
                </c:pt>
                <c:pt idx="196">
                  <c:v>0.62549240929921479</c:v>
                </c:pt>
                <c:pt idx="197">
                  <c:v>0.63229651100958861</c:v>
                </c:pt>
                <c:pt idx="198">
                  <c:v>0.63977436752561323</c:v>
                </c:pt>
                <c:pt idx="199">
                  <c:v>0.64602260958118674</c:v>
                </c:pt>
                <c:pt idx="200">
                  <c:v>0.65201370060836294</c:v>
                </c:pt>
                <c:pt idx="201">
                  <c:v>0.60716398579217623</c:v>
                </c:pt>
                <c:pt idx="202">
                  <c:v>0.61249424835896571</c:v>
                </c:pt>
                <c:pt idx="203">
                  <c:v>-1.0567805359378422E-4</c:v>
                </c:pt>
                <c:pt idx="204">
                  <c:v>0.5782216437831168</c:v>
                </c:pt>
                <c:pt idx="205">
                  <c:v>0.58449283433363386</c:v>
                </c:pt>
                <c:pt idx="206">
                  <c:v>0.59056044039498845</c:v>
                </c:pt>
                <c:pt idx="207">
                  <c:v>0.59833689321421035</c:v>
                </c:pt>
                <c:pt idx="208">
                  <c:v>0.6060302100832029</c:v>
                </c:pt>
                <c:pt idx="209">
                  <c:v>0.61257013599501442</c:v>
                </c:pt>
                <c:pt idx="210">
                  <c:v>0.62265424285562521</c:v>
                </c:pt>
                <c:pt idx="211">
                  <c:v>0.63017556697720056</c:v>
                </c:pt>
                <c:pt idx="212">
                  <c:v>0.6376411212172397</c:v>
                </c:pt>
                <c:pt idx="213">
                  <c:v>0.64484675340595521</c:v>
                </c:pt>
                <c:pt idx="214">
                  <c:v>0.65086508764291473</c:v>
                </c:pt>
                <c:pt idx="215">
                  <c:v>0.65785648522054718</c:v>
                </c:pt>
                <c:pt idx="216">
                  <c:v>0.66473476161881739</c:v>
                </c:pt>
                <c:pt idx="217">
                  <c:v>0.67263198631044241</c:v>
                </c:pt>
                <c:pt idx="218">
                  <c:v>0.68328335094093462</c:v>
                </c:pt>
                <c:pt idx="219">
                  <c:v>0.69105405457611568</c:v>
                </c:pt>
                <c:pt idx="220">
                  <c:v>0.69864796722717371</c:v>
                </c:pt>
                <c:pt idx="221">
                  <c:v>0.70624662677922723</c:v>
                </c:pt>
                <c:pt idx="222">
                  <c:v>0.71371563575769836</c:v>
                </c:pt>
                <c:pt idx="223">
                  <c:v>0.72401139583129148</c:v>
                </c:pt>
                <c:pt idx="224">
                  <c:v>0.73126330025951813</c:v>
                </c:pt>
                <c:pt idx="225">
                  <c:v>0.73811292486903846</c:v>
                </c:pt>
                <c:pt idx="226">
                  <c:v>0.74496343156692535</c:v>
                </c:pt>
                <c:pt idx="227">
                  <c:v>0.75311682738055652</c:v>
                </c:pt>
                <c:pt idx="228">
                  <c:v>0.76147173270987512</c:v>
                </c:pt>
                <c:pt idx="229">
                  <c:v>0.76980624833114419</c:v>
                </c:pt>
                <c:pt idx="230">
                  <c:v>0.78123949734001563</c:v>
                </c:pt>
                <c:pt idx="231">
                  <c:v>0.74159752806030621</c:v>
                </c:pt>
                <c:pt idx="232">
                  <c:v>0.74942345285538636</c:v>
                </c:pt>
                <c:pt idx="233">
                  <c:v>0.70914978420799457</c:v>
                </c:pt>
                <c:pt idx="234">
                  <c:v>0.71673285152422916</c:v>
                </c:pt>
                <c:pt idx="235">
                  <c:v>0.72410943016715934</c:v>
                </c:pt>
                <c:pt idx="236">
                  <c:v>0.73137533236160235</c:v>
                </c:pt>
                <c:pt idx="237">
                  <c:v>0.74030868835089214</c:v>
                </c:pt>
                <c:pt idx="238">
                  <c:v>0.70278602101781706</c:v>
                </c:pt>
                <c:pt idx="239">
                  <c:v>0.71096701908892301</c:v>
                </c:pt>
                <c:pt idx="240">
                  <c:v>0.67027331618683528</c:v>
                </c:pt>
                <c:pt idx="241">
                  <c:v>0.67804440425735713</c:v>
                </c:pt>
                <c:pt idx="242">
                  <c:v>0.68617943270930448</c:v>
                </c:pt>
                <c:pt idx="243">
                  <c:v>0.69596641632851053</c:v>
                </c:pt>
                <c:pt idx="244">
                  <c:v>0.70309903159051801</c:v>
                </c:pt>
                <c:pt idx="245">
                  <c:v>0.66084267000288521</c:v>
                </c:pt>
                <c:pt idx="246">
                  <c:v>0.66742108550999435</c:v>
                </c:pt>
                <c:pt idx="247">
                  <c:v>0.62549240929921479</c:v>
                </c:pt>
                <c:pt idx="248">
                  <c:v>0.63229651100958861</c:v>
                </c:pt>
                <c:pt idx="249">
                  <c:v>0.63977436752561323</c:v>
                </c:pt>
                <c:pt idx="250">
                  <c:v>0.64602260958118674</c:v>
                </c:pt>
                <c:pt idx="251">
                  <c:v>0.65201370060836294</c:v>
                </c:pt>
                <c:pt idx="252">
                  <c:v>0.60716398579217623</c:v>
                </c:pt>
                <c:pt idx="253">
                  <c:v>0.61249424835896571</c:v>
                </c:pt>
                <c:pt idx="254">
                  <c:v>-1.0567805359378422E-4</c:v>
                </c:pt>
                <c:pt idx="255">
                  <c:v>0.5782216437831168</c:v>
                </c:pt>
                <c:pt idx="256">
                  <c:v>0.58449283433363386</c:v>
                </c:pt>
                <c:pt idx="257">
                  <c:v>0.59056044039498845</c:v>
                </c:pt>
                <c:pt idx="258">
                  <c:v>0.59833689321421035</c:v>
                </c:pt>
                <c:pt idx="259">
                  <c:v>0.6060302100832029</c:v>
                </c:pt>
                <c:pt idx="260">
                  <c:v>0.61257013599501442</c:v>
                </c:pt>
                <c:pt idx="261">
                  <c:v>0.62265424285562521</c:v>
                </c:pt>
                <c:pt idx="262">
                  <c:v>0.63017556697720056</c:v>
                </c:pt>
                <c:pt idx="263">
                  <c:v>0.6376411212172397</c:v>
                </c:pt>
                <c:pt idx="264">
                  <c:v>0.64484675340595521</c:v>
                </c:pt>
                <c:pt idx="265">
                  <c:v>0.65086508764291473</c:v>
                </c:pt>
                <c:pt idx="266">
                  <c:v>0.65785648522054718</c:v>
                </c:pt>
                <c:pt idx="267">
                  <c:v>0.66473476161881739</c:v>
                </c:pt>
                <c:pt idx="268">
                  <c:v>0.67263198631044241</c:v>
                </c:pt>
                <c:pt idx="269">
                  <c:v>0.68328335094093462</c:v>
                </c:pt>
                <c:pt idx="270">
                  <c:v>0.69105405457611568</c:v>
                </c:pt>
                <c:pt idx="271">
                  <c:v>0.69864796722717371</c:v>
                </c:pt>
                <c:pt idx="272">
                  <c:v>0.70624662677922723</c:v>
                </c:pt>
                <c:pt idx="273">
                  <c:v>0.71371563575769836</c:v>
                </c:pt>
                <c:pt idx="274">
                  <c:v>0.72401139583129148</c:v>
                </c:pt>
                <c:pt idx="275">
                  <c:v>0.73126330025951813</c:v>
                </c:pt>
                <c:pt idx="276">
                  <c:v>0.73811292486903846</c:v>
                </c:pt>
                <c:pt idx="277">
                  <c:v>0.74496343156692535</c:v>
                </c:pt>
                <c:pt idx="278">
                  <c:v>0.75311682738055652</c:v>
                </c:pt>
                <c:pt idx="279">
                  <c:v>0.76147173270987512</c:v>
                </c:pt>
                <c:pt idx="280">
                  <c:v>0.76980624833114419</c:v>
                </c:pt>
                <c:pt idx="281">
                  <c:v>0.78123949734001563</c:v>
                </c:pt>
                <c:pt idx="282">
                  <c:v>0.74159752806030621</c:v>
                </c:pt>
                <c:pt idx="283">
                  <c:v>0.74942345285538636</c:v>
                </c:pt>
                <c:pt idx="284">
                  <c:v>0.70914978420799457</c:v>
                </c:pt>
                <c:pt idx="285">
                  <c:v>0.71673285152422916</c:v>
                </c:pt>
                <c:pt idx="286">
                  <c:v>0.72410943016715934</c:v>
                </c:pt>
                <c:pt idx="287">
                  <c:v>0.73137533236160235</c:v>
                </c:pt>
                <c:pt idx="288">
                  <c:v>0.74030868835089214</c:v>
                </c:pt>
                <c:pt idx="289">
                  <c:v>0.70278602101781706</c:v>
                </c:pt>
                <c:pt idx="290">
                  <c:v>0.71096701908892301</c:v>
                </c:pt>
                <c:pt idx="291">
                  <c:v>0.67027331618683528</c:v>
                </c:pt>
                <c:pt idx="292">
                  <c:v>0.67804440425735713</c:v>
                </c:pt>
                <c:pt idx="293">
                  <c:v>0.68617943270930448</c:v>
                </c:pt>
                <c:pt idx="294">
                  <c:v>0.69596641632851053</c:v>
                </c:pt>
                <c:pt idx="295">
                  <c:v>0.70309903159051801</c:v>
                </c:pt>
                <c:pt idx="296">
                  <c:v>0.66084267000288521</c:v>
                </c:pt>
                <c:pt idx="297">
                  <c:v>0.66742108550999435</c:v>
                </c:pt>
                <c:pt idx="298">
                  <c:v>0.62549240929921479</c:v>
                </c:pt>
                <c:pt idx="299">
                  <c:v>0.63229651100958861</c:v>
                </c:pt>
                <c:pt idx="300">
                  <c:v>0.63977436752561323</c:v>
                </c:pt>
                <c:pt idx="301">
                  <c:v>0.64602260958118674</c:v>
                </c:pt>
                <c:pt idx="302">
                  <c:v>0.65201370060836294</c:v>
                </c:pt>
                <c:pt idx="303">
                  <c:v>0.60716398579217623</c:v>
                </c:pt>
                <c:pt idx="304">
                  <c:v>0.61249424835896571</c:v>
                </c:pt>
                <c:pt idx="305">
                  <c:v>-1.0567805359378422E-4</c:v>
                </c:pt>
                <c:pt idx="306">
                  <c:v>0.5782216437831168</c:v>
                </c:pt>
                <c:pt idx="307">
                  <c:v>0.58449283433363386</c:v>
                </c:pt>
                <c:pt idx="308">
                  <c:v>0.59056044039498845</c:v>
                </c:pt>
                <c:pt idx="309">
                  <c:v>0.59833689321421035</c:v>
                </c:pt>
                <c:pt idx="310">
                  <c:v>0.6060302100832029</c:v>
                </c:pt>
                <c:pt idx="311">
                  <c:v>0.61257013599501442</c:v>
                </c:pt>
                <c:pt idx="312">
                  <c:v>0.62265424285562521</c:v>
                </c:pt>
                <c:pt idx="313">
                  <c:v>0.63017556697720056</c:v>
                </c:pt>
                <c:pt idx="314">
                  <c:v>0.6376411212172397</c:v>
                </c:pt>
                <c:pt idx="315">
                  <c:v>0.64484675340595521</c:v>
                </c:pt>
                <c:pt idx="316">
                  <c:v>0.65086508764291473</c:v>
                </c:pt>
                <c:pt idx="317">
                  <c:v>0.65785648522054718</c:v>
                </c:pt>
                <c:pt idx="318">
                  <c:v>0.66473476161881739</c:v>
                </c:pt>
                <c:pt idx="319">
                  <c:v>0.67263198631044241</c:v>
                </c:pt>
                <c:pt idx="320">
                  <c:v>0.68328335094093462</c:v>
                </c:pt>
                <c:pt idx="321">
                  <c:v>0.69105405457611568</c:v>
                </c:pt>
                <c:pt idx="322">
                  <c:v>0.69864796722717371</c:v>
                </c:pt>
                <c:pt idx="323">
                  <c:v>0.70624662677922723</c:v>
                </c:pt>
                <c:pt idx="324">
                  <c:v>0.71371563575769836</c:v>
                </c:pt>
                <c:pt idx="325">
                  <c:v>0.72401139583129148</c:v>
                </c:pt>
                <c:pt idx="326">
                  <c:v>0.73126330025951813</c:v>
                </c:pt>
                <c:pt idx="327">
                  <c:v>0.73811292486903846</c:v>
                </c:pt>
                <c:pt idx="328">
                  <c:v>0.74496343156692535</c:v>
                </c:pt>
                <c:pt idx="329">
                  <c:v>0.75311682738055652</c:v>
                </c:pt>
                <c:pt idx="330">
                  <c:v>0.76147173270987512</c:v>
                </c:pt>
                <c:pt idx="331">
                  <c:v>0.76980624833114419</c:v>
                </c:pt>
                <c:pt idx="332">
                  <c:v>0.78123949734001563</c:v>
                </c:pt>
                <c:pt idx="333">
                  <c:v>0.74159752806030621</c:v>
                </c:pt>
                <c:pt idx="334">
                  <c:v>0.74942345285538636</c:v>
                </c:pt>
                <c:pt idx="335">
                  <c:v>0.70914978420799457</c:v>
                </c:pt>
                <c:pt idx="336">
                  <c:v>0.71673285152422916</c:v>
                </c:pt>
                <c:pt idx="337">
                  <c:v>0.72410943016715934</c:v>
                </c:pt>
                <c:pt idx="338">
                  <c:v>0.73137533236160235</c:v>
                </c:pt>
                <c:pt idx="339">
                  <c:v>0.74030868835089214</c:v>
                </c:pt>
                <c:pt idx="340">
                  <c:v>0.70278602101781706</c:v>
                </c:pt>
                <c:pt idx="341">
                  <c:v>0.71096701908892301</c:v>
                </c:pt>
                <c:pt idx="342">
                  <c:v>0.67027331618683528</c:v>
                </c:pt>
                <c:pt idx="343">
                  <c:v>0.67804440425735713</c:v>
                </c:pt>
                <c:pt idx="344">
                  <c:v>0.68617943270930448</c:v>
                </c:pt>
                <c:pt idx="345">
                  <c:v>0.69596641632851053</c:v>
                </c:pt>
                <c:pt idx="346">
                  <c:v>0.70309903159051801</c:v>
                </c:pt>
                <c:pt idx="347">
                  <c:v>0.66084267000288521</c:v>
                </c:pt>
                <c:pt idx="348">
                  <c:v>0.66742108550999435</c:v>
                </c:pt>
                <c:pt idx="349">
                  <c:v>0.62549240929921479</c:v>
                </c:pt>
                <c:pt idx="350">
                  <c:v>0.63229651100958861</c:v>
                </c:pt>
                <c:pt idx="351">
                  <c:v>0.63977436752561323</c:v>
                </c:pt>
                <c:pt idx="352">
                  <c:v>0.64602260958118674</c:v>
                </c:pt>
                <c:pt idx="353">
                  <c:v>0.65201370060836294</c:v>
                </c:pt>
                <c:pt idx="354">
                  <c:v>0.60716398579217623</c:v>
                </c:pt>
                <c:pt idx="355">
                  <c:v>0.61249424835896571</c:v>
                </c:pt>
                <c:pt idx="356">
                  <c:v>-1.0567805359378422E-4</c:v>
                </c:pt>
                <c:pt idx="357">
                  <c:v>0.5782216437831168</c:v>
                </c:pt>
                <c:pt idx="358">
                  <c:v>0.58449283433363386</c:v>
                </c:pt>
                <c:pt idx="359">
                  <c:v>0.59056044039498845</c:v>
                </c:pt>
                <c:pt idx="360">
                  <c:v>0.59833689321421035</c:v>
                </c:pt>
                <c:pt idx="361">
                  <c:v>0.6060302100832029</c:v>
                </c:pt>
                <c:pt idx="362">
                  <c:v>0.61257013599501442</c:v>
                </c:pt>
                <c:pt idx="363">
                  <c:v>0.62265424285562521</c:v>
                </c:pt>
                <c:pt idx="364">
                  <c:v>0.63017556697720056</c:v>
                </c:pt>
                <c:pt idx="365">
                  <c:v>0.6376411212172397</c:v>
                </c:pt>
                <c:pt idx="366">
                  <c:v>0.64484675340595521</c:v>
                </c:pt>
                <c:pt idx="367">
                  <c:v>0.65086508764291473</c:v>
                </c:pt>
                <c:pt idx="368">
                  <c:v>0.65785648522054718</c:v>
                </c:pt>
                <c:pt idx="369">
                  <c:v>0.66473476161881739</c:v>
                </c:pt>
                <c:pt idx="370">
                  <c:v>0.67263198631044241</c:v>
                </c:pt>
                <c:pt idx="371">
                  <c:v>0.68328335094093462</c:v>
                </c:pt>
                <c:pt idx="372">
                  <c:v>0.69105405457611568</c:v>
                </c:pt>
                <c:pt idx="373">
                  <c:v>0.69864796722717371</c:v>
                </c:pt>
                <c:pt idx="374">
                  <c:v>0.70624662677922723</c:v>
                </c:pt>
                <c:pt idx="375">
                  <c:v>0.71371563575769836</c:v>
                </c:pt>
                <c:pt idx="376">
                  <c:v>0.72401139583129148</c:v>
                </c:pt>
                <c:pt idx="377">
                  <c:v>0.73126330025951813</c:v>
                </c:pt>
                <c:pt idx="378">
                  <c:v>0.73811292486903846</c:v>
                </c:pt>
                <c:pt idx="379">
                  <c:v>0.74496343156692535</c:v>
                </c:pt>
                <c:pt idx="380">
                  <c:v>0.75311682738055652</c:v>
                </c:pt>
                <c:pt idx="381">
                  <c:v>0.76147173270987512</c:v>
                </c:pt>
                <c:pt idx="382">
                  <c:v>0.76980624833114419</c:v>
                </c:pt>
                <c:pt idx="383">
                  <c:v>0.78123949734001563</c:v>
                </c:pt>
                <c:pt idx="384">
                  <c:v>0.74159752806030621</c:v>
                </c:pt>
                <c:pt idx="385">
                  <c:v>0.74942345285538636</c:v>
                </c:pt>
                <c:pt idx="386">
                  <c:v>0.70914978420799457</c:v>
                </c:pt>
                <c:pt idx="387">
                  <c:v>0.71673285152422916</c:v>
                </c:pt>
                <c:pt idx="388">
                  <c:v>0.72410943016715934</c:v>
                </c:pt>
                <c:pt idx="389">
                  <c:v>0.73137533236160235</c:v>
                </c:pt>
                <c:pt idx="390">
                  <c:v>0.74030868835089214</c:v>
                </c:pt>
                <c:pt idx="391">
                  <c:v>0.70278602101781706</c:v>
                </c:pt>
                <c:pt idx="392">
                  <c:v>0.71096701908892301</c:v>
                </c:pt>
                <c:pt idx="393">
                  <c:v>0.67027331618683528</c:v>
                </c:pt>
                <c:pt idx="394">
                  <c:v>0.67804440425735713</c:v>
                </c:pt>
                <c:pt idx="395">
                  <c:v>0.68617943270930448</c:v>
                </c:pt>
                <c:pt idx="396">
                  <c:v>0.69596641632851053</c:v>
                </c:pt>
                <c:pt idx="397">
                  <c:v>0.70309903159051801</c:v>
                </c:pt>
                <c:pt idx="398">
                  <c:v>0.66084267000288521</c:v>
                </c:pt>
                <c:pt idx="399">
                  <c:v>0.66742108550999435</c:v>
                </c:pt>
                <c:pt idx="400">
                  <c:v>0.62549240929921479</c:v>
                </c:pt>
                <c:pt idx="401">
                  <c:v>0.63229651100958861</c:v>
                </c:pt>
                <c:pt idx="402">
                  <c:v>0.63977436752561323</c:v>
                </c:pt>
                <c:pt idx="403">
                  <c:v>0.64602260958118674</c:v>
                </c:pt>
                <c:pt idx="404">
                  <c:v>0.65201370060836294</c:v>
                </c:pt>
                <c:pt idx="405">
                  <c:v>0.60716398579217623</c:v>
                </c:pt>
                <c:pt idx="406">
                  <c:v>0.61249424835896571</c:v>
                </c:pt>
                <c:pt idx="407">
                  <c:v>-1.0567805359378422E-4</c:v>
                </c:pt>
                <c:pt idx="408">
                  <c:v>0.5782216437831168</c:v>
                </c:pt>
                <c:pt idx="409">
                  <c:v>0.58449283433363386</c:v>
                </c:pt>
                <c:pt idx="410">
                  <c:v>0.59056044039498845</c:v>
                </c:pt>
                <c:pt idx="411">
                  <c:v>0.59833689321421035</c:v>
                </c:pt>
                <c:pt idx="412">
                  <c:v>0.6060302100832029</c:v>
                </c:pt>
                <c:pt idx="413">
                  <c:v>0.61257013599501442</c:v>
                </c:pt>
                <c:pt idx="414">
                  <c:v>0.62265424285562521</c:v>
                </c:pt>
                <c:pt idx="415">
                  <c:v>0.63017556697720056</c:v>
                </c:pt>
                <c:pt idx="416">
                  <c:v>0.6376411212172397</c:v>
                </c:pt>
                <c:pt idx="417">
                  <c:v>0.64484675340595521</c:v>
                </c:pt>
                <c:pt idx="418">
                  <c:v>0.65086508764291473</c:v>
                </c:pt>
                <c:pt idx="419">
                  <c:v>0.65785648522054718</c:v>
                </c:pt>
                <c:pt idx="420">
                  <c:v>0.66473476161881739</c:v>
                </c:pt>
                <c:pt idx="421">
                  <c:v>0.67263198631044241</c:v>
                </c:pt>
                <c:pt idx="422">
                  <c:v>0.68328335094093462</c:v>
                </c:pt>
                <c:pt idx="423">
                  <c:v>0.69105405457611568</c:v>
                </c:pt>
                <c:pt idx="424">
                  <c:v>0.69864796722717371</c:v>
                </c:pt>
                <c:pt idx="425">
                  <c:v>0.70624662677922723</c:v>
                </c:pt>
                <c:pt idx="426">
                  <c:v>0.71371563575769836</c:v>
                </c:pt>
                <c:pt idx="427">
                  <c:v>0.72401139583129148</c:v>
                </c:pt>
                <c:pt idx="428">
                  <c:v>0.73126330025951813</c:v>
                </c:pt>
                <c:pt idx="429">
                  <c:v>0.73811292486903846</c:v>
                </c:pt>
                <c:pt idx="430">
                  <c:v>0.74496343156692535</c:v>
                </c:pt>
                <c:pt idx="431">
                  <c:v>0.75311682738055652</c:v>
                </c:pt>
                <c:pt idx="432">
                  <c:v>0.76147173270987512</c:v>
                </c:pt>
                <c:pt idx="433">
                  <c:v>0.76980624833114419</c:v>
                </c:pt>
                <c:pt idx="434">
                  <c:v>0.78123949734001563</c:v>
                </c:pt>
                <c:pt idx="435">
                  <c:v>0.74159752806030621</c:v>
                </c:pt>
                <c:pt idx="436">
                  <c:v>0.74942345285538636</c:v>
                </c:pt>
                <c:pt idx="437">
                  <c:v>0.70914978420799457</c:v>
                </c:pt>
                <c:pt idx="438">
                  <c:v>0.71673285152422916</c:v>
                </c:pt>
                <c:pt idx="439">
                  <c:v>0.72410943016715934</c:v>
                </c:pt>
                <c:pt idx="440">
                  <c:v>0.73137533236160235</c:v>
                </c:pt>
                <c:pt idx="441">
                  <c:v>0.74030868835089214</c:v>
                </c:pt>
                <c:pt idx="442">
                  <c:v>0.70278602101781706</c:v>
                </c:pt>
                <c:pt idx="443">
                  <c:v>0.71096701908892301</c:v>
                </c:pt>
                <c:pt idx="444">
                  <c:v>0.67027331618683528</c:v>
                </c:pt>
                <c:pt idx="445">
                  <c:v>0.67804440425735713</c:v>
                </c:pt>
                <c:pt idx="446">
                  <c:v>0.68617943270930448</c:v>
                </c:pt>
                <c:pt idx="447">
                  <c:v>0.69596641632851053</c:v>
                </c:pt>
                <c:pt idx="448">
                  <c:v>0.70309903159051801</c:v>
                </c:pt>
                <c:pt idx="449">
                  <c:v>0.66084267000288521</c:v>
                </c:pt>
                <c:pt idx="450">
                  <c:v>0.66742108550999435</c:v>
                </c:pt>
                <c:pt idx="451">
                  <c:v>0.62549240929921479</c:v>
                </c:pt>
                <c:pt idx="452">
                  <c:v>0.63229651100958861</c:v>
                </c:pt>
                <c:pt idx="453">
                  <c:v>0.63977436752561323</c:v>
                </c:pt>
                <c:pt idx="454">
                  <c:v>0.64602260958118674</c:v>
                </c:pt>
                <c:pt idx="455">
                  <c:v>0.65201370060836294</c:v>
                </c:pt>
                <c:pt idx="456">
                  <c:v>0.60716398579217623</c:v>
                </c:pt>
                <c:pt idx="457">
                  <c:v>0.61249424835896571</c:v>
                </c:pt>
                <c:pt idx="458">
                  <c:v>-1.0567805359378422E-4</c:v>
                </c:pt>
                <c:pt idx="459">
                  <c:v>0.5782216437831168</c:v>
                </c:pt>
                <c:pt idx="460">
                  <c:v>0.58449283433363386</c:v>
                </c:pt>
                <c:pt idx="461">
                  <c:v>0.59056044039498845</c:v>
                </c:pt>
                <c:pt idx="462">
                  <c:v>0.59833689321421035</c:v>
                </c:pt>
                <c:pt idx="463">
                  <c:v>0.6060302100832029</c:v>
                </c:pt>
                <c:pt idx="464">
                  <c:v>0.61257013599501442</c:v>
                </c:pt>
                <c:pt idx="465">
                  <c:v>0.62265424285562521</c:v>
                </c:pt>
                <c:pt idx="466">
                  <c:v>0.63017556697720056</c:v>
                </c:pt>
                <c:pt idx="467">
                  <c:v>0.6376411212172397</c:v>
                </c:pt>
                <c:pt idx="468">
                  <c:v>0.64484675340595521</c:v>
                </c:pt>
                <c:pt idx="469">
                  <c:v>0.65086508764291473</c:v>
                </c:pt>
                <c:pt idx="470">
                  <c:v>0.65785648522054718</c:v>
                </c:pt>
                <c:pt idx="471">
                  <c:v>0.66473476161881739</c:v>
                </c:pt>
                <c:pt idx="472">
                  <c:v>0.67263198631044241</c:v>
                </c:pt>
                <c:pt idx="473">
                  <c:v>0.68328335094093462</c:v>
                </c:pt>
                <c:pt idx="474">
                  <c:v>0.69105405457611568</c:v>
                </c:pt>
                <c:pt idx="475">
                  <c:v>0.69864796722717371</c:v>
                </c:pt>
                <c:pt idx="476">
                  <c:v>0.70624662677922723</c:v>
                </c:pt>
                <c:pt idx="477">
                  <c:v>0.71371563575769836</c:v>
                </c:pt>
                <c:pt idx="478">
                  <c:v>0.72401139583129148</c:v>
                </c:pt>
                <c:pt idx="479">
                  <c:v>0.73126330025951813</c:v>
                </c:pt>
                <c:pt idx="480">
                  <c:v>0.73811292486903846</c:v>
                </c:pt>
                <c:pt idx="481">
                  <c:v>0.74496343156692535</c:v>
                </c:pt>
                <c:pt idx="482">
                  <c:v>0.75311682738055652</c:v>
                </c:pt>
                <c:pt idx="483">
                  <c:v>0.76147173270987512</c:v>
                </c:pt>
                <c:pt idx="484">
                  <c:v>0.76980624833114419</c:v>
                </c:pt>
                <c:pt idx="485">
                  <c:v>0.78123949734001563</c:v>
                </c:pt>
                <c:pt idx="486">
                  <c:v>0.74159752806030621</c:v>
                </c:pt>
                <c:pt idx="487">
                  <c:v>0.74942345285538636</c:v>
                </c:pt>
                <c:pt idx="488">
                  <c:v>0.70914978420799457</c:v>
                </c:pt>
                <c:pt idx="489">
                  <c:v>0.71673285152422916</c:v>
                </c:pt>
                <c:pt idx="490">
                  <c:v>0.72410943016715934</c:v>
                </c:pt>
                <c:pt idx="491">
                  <c:v>0.73137533236160235</c:v>
                </c:pt>
                <c:pt idx="492">
                  <c:v>0.74030868835089214</c:v>
                </c:pt>
                <c:pt idx="493">
                  <c:v>0.70278602101781706</c:v>
                </c:pt>
                <c:pt idx="494">
                  <c:v>0.71096701908892301</c:v>
                </c:pt>
                <c:pt idx="495">
                  <c:v>0.67027331618683528</c:v>
                </c:pt>
                <c:pt idx="496">
                  <c:v>0.67804440425735713</c:v>
                </c:pt>
                <c:pt idx="497">
                  <c:v>0.68617943270930448</c:v>
                </c:pt>
                <c:pt idx="498">
                  <c:v>0.69596641632851053</c:v>
                </c:pt>
                <c:pt idx="499">
                  <c:v>0.70309903159051801</c:v>
                </c:pt>
                <c:pt idx="500">
                  <c:v>0.66084267000288521</c:v>
                </c:pt>
                <c:pt idx="501">
                  <c:v>0.66742108550999435</c:v>
                </c:pt>
                <c:pt idx="502">
                  <c:v>0.62549240929921479</c:v>
                </c:pt>
                <c:pt idx="503">
                  <c:v>0.63229651100958861</c:v>
                </c:pt>
                <c:pt idx="504">
                  <c:v>0.63977436752561323</c:v>
                </c:pt>
                <c:pt idx="505">
                  <c:v>0.64602260958118674</c:v>
                </c:pt>
                <c:pt idx="506">
                  <c:v>0.65201370060836294</c:v>
                </c:pt>
                <c:pt idx="507">
                  <c:v>0.60716398579217623</c:v>
                </c:pt>
                <c:pt idx="508">
                  <c:v>0.61249424835896571</c:v>
                </c:pt>
                <c:pt idx="509">
                  <c:v>-1.0567805359378422E-4</c:v>
                </c:pt>
                <c:pt idx="510">
                  <c:v>0.5782216437831168</c:v>
                </c:pt>
                <c:pt idx="511">
                  <c:v>0.58449283433363386</c:v>
                </c:pt>
                <c:pt idx="512">
                  <c:v>0.59056044039498845</c:v>
                </c:pt>
                <c:pt idx="513">
                  <c:v>0.59833689321421035</c:v>
                </c:pt>
                <c:pt idx="514">
                  <c:v>0.6060302100832029</c:v>
                </c:pt>
                <c:pt idx="515">
                  <c:v>0.61257013599501442</c:v>
                </c:pt>
                <c:pt idx="516">
                  <c:v>0.62265424285562521</c:v>
                </c:pt>
                <c:pt idx="517">
                  <c:v>0.63017556697720056</c:v>
                </c:pt>
                <c:pt idx="518">
                  <c:v>0.6376411212172397</c:v>
                </c:pt>
                <c:pt idx="519">
                  <c:v>0.64484675340595521</c:v>
                </c:pt>
                <c:pt idx="520">
                  <c:v>0.65086508764291473</c:v>
                </c:pt>
                <c:pt idx="521">
                  <c:v>0.65785648522054718</c:v>
                </c:pt>
                <c:pt idx="522">
                  <c:v>0.66473476161881739</c:v>
                </c:pt>
                <c:pt idx="523">
                  <c:v>0.67263198631044241</c:v>
                </c:pt>
                <c:pt idx="524">
                  <c:v>0.68328335094093462</c:v>
                </c:pt>
                <c:pt idx="525">
                  <c:v>0.69105405457611568</c:v>
                </c:pt>
                <c:pt idx="526">
                  <c:v>0.69864796722717371</c:v>
                </c:pt>
                <c:pt idx="527">
                  <c:v>0.70624662677922723</c:v>
                </c:pt>
                <c:pt idx="528">
                  <c:v>0.71371563575769836</c:v>
                </c:pt>
                <c:pt idx="529">
                  <c:v>0.72401139583129148</c:v>
                </c:pt>
                <c:pt idx="530">
                  <c:v>0.73126330025951813</c:v>
                </c:pt>
                <c:pt idx="531">
                  <c:v>0.73811292486903846</c:v>
                </c:pt>
                <c:pt idx="532">
                  <c:v>0.74496343156692535</c:v>
                </c:pt>
                <c:pt idx="533">
                  <c:v>0.75311682738055652</c:v>
                </c:pt>
                <c:pt idx="534">
                  <c:v>0.76147173270987512</c:v>
                </c:pt>
                <c:pt idx="535">
                  <c:v>0.76980624833114419</c:v>
                </c:pt>
                <c:pt idx="536">
                  <c:v>0.78123949734001563</c:v>
                </c:pt>
                <c:pt idx="537">
                  <c:v>0.74159752806030621</c:v>
                </c:pt>
                <c:pt idx="538">
                  <c:v>0.74942345285538636</c:v>
                </c:pt>
                <c:pt idx="539">
                  <c:v>0.70914978420799457</c:v>
                </c:pt>
                <c:pt idx="540">
                  <c:v>0.71673285152422916</c:v>
                </c:pt>
                <c:pt idx="541">
                  <c:v>0.72410943016715934</c:v>
                </c:pt>
                <c:pt idx="542">
                  <c:v>0.73137533236160235</c:v>
                </c:pt>
                <c:pt idx="543">
                  <c:v>0.74030868835089214</c:v>
                </c:pt>
                <c:pt idx="544">
                  <c:v>0.70278602101781706</c:v>
                </c:pt>
                <c:pt idx="545">
                  <c:v>0.71096701908892301</c:v>
                </c:pt>
                <c:pt idx="546">
                  <c:v>0.67027331618683528</c:v>
                </c:pt>
                <c:pt idx="547">
                  <c:v>0.67804440425735713</c:v>
                </c:pt>
                <c:pt idx="548">
                  <c:v>0.68617943270930448</c:v>
                </c:pt>
                <c:pt idx="549">
                  <c:v>0.69596641632851053</c:v>
                </c:pt>
                <c:pt idx="550">
                  <c:v>0.70309903159051801</c:v>
                </c:pt>
                <c:pt idx="551">
                  <c:v>0.66084267000288521</c:v>
                </c:pt>
                <c:pt idx="552">
                  <c:v>0.66742108550999435</c:v>
                </c:pt>
                <c:pt idx="553">
                  <c:v>0.62549240929921479</c:v>
                </c:pt>
                <c:pt idx="554">
                  <c:v>0.63229651100958861</c:v>
                </c:pt>
                <c:pt idx="555">
                  <c:v>0.63977436752561323</c:v>
                </c:pt>
                <c:pt idx="556">
                  <c:v>0.64602260958118674</c:v>
                </c:pt>
                <c:pt idx="557">
                  <c:v>0.65201370060836294</c:v>
                </c:pt>
                <c:pt idx="558">
                  <c:v>0.60716398579217623</c:v>
                </c:pt>
                <c:pt idx="559">
                  <c:v>0.61249424835896571</c:v>
                </c:pt>
                <c:pt idx="560">
                  <c:v>-1.0567805359378422E-4</c:v>
                </c:pt>
                <c:pt idx="561">
                  <c:v>0.5782216437831168</c:v>
                </c:pt>
                <c:pt idx="562">
                  <c:v>0.58449283433363386</c:v>
                </c:pt>
                <c:pt idx="563">
                  <c:v>0.59056044039498845</c:v>
                </c:pt>
                <c:pt idx="564">
                  <c:v>0.59833689321421035</c:v>
                </c:pt>
                <c:pt idx="565">
                  <c:v>0.6060302100832029</c:v>
                </c:pt>
                <c:pt idx="566">
                  <c:v>0.61257013599501442</c:v>
                </c:pt>
                <c:pt idx="567">
                  <c:v>0.62265424285562521</c:v>
                </c:pt>
                <c:pt idx="568">
                  <c:v>0.63017556697720056</c:v>
                </c:pt>
                <c:pt idx="569">
                  <c:v>0.6376411212172397</c:v>
                </c:pt>
                <c:pt idx="570">
                  <c:v>0.64484675340595521</c:v>
                </c:pt>
                <c:pt idx="571">
                  <c:v>0.65086508764291473</c:v>
                </c:pt>
                <c:pt idx="572">
                  <c:v>0.65785648522054718</c:v>
                </c:pt>
                <c:pt idx="573">
                  <c:v>0.66473476161881739</c:v>
                </c:pt>
                <c:pt idx="574">
                  <c:v>0.67263198631044241</c:v>
                </c:pt>
                <c:pt idx="575">
                  <c:v>0.68328335094093462</c:v>
                </c:pt>
                <c:pt idx="576">
                  <c:v>0.69105405457611568</c:v>
                </c:pt>
                <c:pt idx="577">
                  <c:v>0.69864796722717371</c:v>
                </c:pt>
                <c:pt idx="578">
                  <c:v>0.70624662677922723</c:v>
                </c:pt>
                <c:pt idx="579">
                  <c:v>0.71371563575769836</c:v>
                </c:pt>
                <c:pt idx="580">
                  <c:v>0.72401139583129148</c:v>
                </c:pt>
                <c:pt idx="581">
                  <c:v>0.73126330025951813</c:v>
                </c:pt>
                <c:pt idx="582">
                  <c:v>0.73811292486903846</c:v>
                </c:pt>
                <c:pt idx="583">
                  <c:v>0.74496343156692535</c:v>
                </c:pt>
                <c:pt idx="584">
                  <c:v>0.75311682738055652</c:v>
                </c:pt>
                <c:pt idx="585">
                  <c:v>0.76147173270987512</c:v>
                </c:pt>
                <c:pt idx="586">
                  <c:v>0.76980624833114419</c:v>
                </c:pt>
                <c:pt idx="587">
                  <c:v>0.78123949734001563</c:v>
                </c:pt>
                <c:pt idx="588">
                  <c:v>0.74159752806030621</c:v>
                </c:pt>
                <c:pt idx="589">
                  <c:v>0.74942345285538636</c:v>
                </c:pt>
                <c:pt idx="590">
                  <c:v>0.70914978420799457</c:v>
                </c:pt>
                <c:pt idx="591">
                  <c:v>0.71673285152422916</c:v>
                </c:pt>
                <c:pt idx="592">
                  <c:v>0.72410943016715934</c:v>
                </c:pt>
                <c:pt idx="593">
                  <c:v>0.73137533236160235</c:v>
                </c:pt>
                <c:pt idx="594">
                  <c:v>0.74030868835089214</c:v>
                </c:pt>
                <c:pt idx="595">
                  <c:v>0.70278602101781706</c:v>
                </c:pt>
                <c:pt idx="596">
                  <c:v>0.71096701908892301</c:v>
                </c:pt>
                <c:pt idx="597">
                  <c:v>0.67027331618683528</c:v>
                </c:pt>
                <c:pt idx="598">
                  <c:v>0.67804440425735713</c:v>
                </c:pt>
                <c:pt idx="599">
                  <c:v>0.68617943270930448</c:v>
                </c:pt>
                <c:pt idx="600">
                  <c:v>0.69596641632851053</c:v>
                </c:pt>
                <c:pt idx="601">
                  <c:v>0.70309903159051801</c:v>
                </c:pt>
                <c:pt idx="602">
                  <c:v>0.66084267000288521</c:v>
                </c:pt>
                <c:pt idx="603">
                  <c:v>0.66742108550999435</c:v>
                </c:pt>
                <c:pt idx="604">
                  <c:v>0.62549240929921479</c:v>
                </c:pt>
                <c:pt idx="605">
                  <c:v>0.63229651100958861</c:v>
                </c:pt>
                <c:pt idx="606">
                  <c:v>0.63977436752561323</c:v>
                </c:pt>
                <c:pt idx="607">
                  <c:v>0.64602260958118674</c:v>
                </c:pt>
                <c:pt idx="608">
                  <c:v>0.65201370060836294</c:v>
                </c:pt>
                <c:pt idx="609">
                  <c:v>0.60716398579217623</c:v>
                </c:pt>
                <c:pt idx="610">
                  <c:v>0.61249424835896571</c:v>
                </c:pt>
                <c:pt idx="611">
                  <c:v>-1.0567805359378422E-4</c:v>
                </c:pt>
                <c:pt idx="612">
                  <c:v>0.5782216437831168</c:v>
                </c:pt>
                <c:pt idx="613">
                  <c:v>0.58449283433363386</c:v>
                </c:pt>
                <c:pt idx="614">
                  <c:v>0.59056044039498845</c:v>
                </c:pt>
                <c:pt idx="615">
                  <c:v>0.59833689321421035</c:v>
                </c:pt>
                <c:pt idx="616">
                  <c:v>0.6060302100832029</c:v>
                </c:pt>
                <c:pt idx="617">
                  <c:v>0.61257013599501442</c:v>
                </c:pt>
                <c:pt idx="618">
                  <c:v>0.62265424285562521</c:v>
                </c:pt>
                <c:pt idx="619">
                  <c:v>0.63017556697720056</c:v>
                </c:pt>
                <c:pt idx="620">
                  <c:v>0.6376411212172397</c:v>
                </c:pt>
                <c:pt idx="621">
                  <c:v>0.64484675340595521</c:v>
                </c:pt>
                <c:pt idx="622">
                  <c:v>0.65086508764291473</c:v>
                </c:pt>
                <c:pt idx="623">
                  <c:v>0.65785648522054718</c:v>
                </c:pt>
                <c:pt idx="624">
                  <c:v>0.66473476161881739</c:v>
                </c:pt>
                <c:pt idx="625">
                  <c:v>0.67263198631044241</c:v>
                </c:pt>
                <c:pt idx="626">
                  <c:v>0.68328335094093462</c:v>
                </c:pt>
                <c:pt idx="627">
                  <c:v>0.69105405457611568</c:v>
                </c:pt>
                <c:pt idx="628">
                  <c:v>0.69864796722717371</c:v>
                </c:pt>
                <c:pt idx="629">
                  <c:v>0.70624662677922723</c:v>
                </c:pt>
                <c:pt idx="630">
                  <c:v>0.71371563575769836</c:v>
                </c:pt>
                <c:pt idx="631">
                  <c:v>0.72401139583129148</c:v>
                </c:pt>
                <c:pt idx="632">
                  <c:v>0.73126330025951813</c:v>
                </c:pt>
                <c:pt idx="633">
                  <c:v>0.73811292486903846</c:v>
                </c:pt>
                <c:pt idx="634">
                  <c:v>0.74496343156692535</c:v>
                </c:pt>
                <c:pt idx="635">
                  <c:v>0.75311682738055652</c:v>
                </c:pt>
                <c:pt idx="636">
                  <c:v>0.76147173270987512</c:v>
                </c:pt>
                <c:pt idx="637">
                  <c:v>0.76980624833114419</c:v>
                </c:pt>
                <c:pt idx="638">
                  <c:v>0.78123949734001563</c:v>
                </c:pt>
                <c:pt idx="639">
                  <c:v>0.74159752806030621</c:v>
                </c:pt>
                <c:pt idx="640">
                  <c:v>0.74942345285538636</c:v>
                </c:pt>
                <c:pt idx="641">
                  <c:v>0.70914978420799457</c:v>
                </c:pt>
                <c:pt idx="642">
                  <c:v>0.71673285152422916</c:v>
                </c:pt>
                <c:pt idx="643">
                  <c:v>0.72410943016715934</c:v>
                </c:pt>
                <c:pt idx="644">
                  <c:v>0.73137533236160235</c:v>
                </c:pt>
                <c:pt idx="645">
                  <c:v>0.74030868835089214</c:v>
                </c:pt>
                <c:pt idx="646">
                  <c:v>0.70278602101781706</c:v>
                </c:pt>
                <c:pt idx="647">
                  <c:v>0.71096701908892301</c:v>
                </c:pt>
                <c:pt idx="648">
                  <c:v>0.67027331618683528</c:v>
                </c:pt>
                <c:pt idx="649">
                  <c:v>0.67804440425735713</c:v>
                </c:pt>
                <c:pt idx="650">
                  <c:v>0.68617943270930448</c:v>
                </c:pt>
                <c:pt idx="651">
                  <c:v>0.69596641632851053</c:v>
                </c:pt>
                <c:pt idx="652">
                  <c:v>0.70309903159051801</c:v>
                </c:pt>
                <c:pt idx="653">
                  <c:v>0.66084267000288521</c:v>
                </c:pt>
                <c:pt idx="654">
                  <c:v>0.66742108550999435</c:v>
                </c:pt>
                <c:pt idx="655">
                  <c:v>0.62549240929921479</c:v>
                </c:pt>
                <c:pt idx="656">
                  <c:v>0.63229651100958861</c:v>
                </c:pt>
                <c:pt idx="657">
                  <c:v>0.63977436752561323</c:v>
                </c:pt>
                <c:pt idx="658">
                  <c:v>0.64602260958118674</c:v>
                </c:pt>
                <c:pt idx="659">
                  <c:v>0.65201370060836294</c:v>
                </c:pt>
                <c:pt idx="660">
                  <c:v>0.60716398579217623</c:v>
                </c:pt>
                <c:pt idx="661">
                  <c:v>0.61249424835896571</c:v>
                </c:pt>
                <c:pt idx="662">
                  <c:v>-1.0567805359378422E-4</c:v>
                </c:pt>
                <c:pt idx="663">
                  <c:v>0.5565319562831168</c:v>
                </c:pt>
                <c:pt idx="664">
                  <c:v>0.560796980304616</c:v>
                </c:pt>
                <c:pt idx="665">
                  <c:v>0.56463969676172276</c:v>
                </c:pt>
                <c:pt idx="666">
                  <c:v>0.57003701573084453</c:v>
                </c:pt>
                <c:pt idx="667">
                  <c:v>0.57525483268621114</c:v>
                </c:pt>
                <c:pt idx="668">
                  <c:v>0.57912592084901837</c:v>
                </c:pt>
                <c:pt idx="669">
                  <c:v>0.58632313604545283</c:v>
                </c:pt>
                <c:pt idx="670">
                  <c:v>0.5908011772672116</c:v>
                </c:pt>
                <c:pt idx="671">
                  <c:v>0.59505949590760676</c:v>
                </c:pt>
                <c:pt idx="672">
                  <c:v>0.59900086895854299</c:v>
                </c:pt>
                <c:pt idx="673">
                  <c:v>0.60155713077894291</c:v>
                </c:pt>
                <c:pt idx="674">
                  <c:v>0.60495368973045194</c:v>
                </c:pt>
                <c:pt idx="675">
                  <c:v>0.6080349479834305</c:v>
                </c:pt>
                <c:pt idx="676">
                  <c:v>0.61200539832517153</c:v>
                </c:pt>
                <c:pt idx="677">
                  <c:v>0.61865559278218962</c:v>
                </c:pt>
                <c:pt idx="678">
                  <c:v>0.62233181522305536</c:v>
                </c:pt>
                <c:pt idx="679">
                  <c:v>0.62581360390707541</c:v>
                </c:pt>
                <c:pt idx="680">
                  <c:v>0.62909461316457893</c:v>
                </c:pt>
                <c:pt idx="681">
                  <c:v>0.63209208645131409</c:v>
                </c:pt>
                <c:pt idx="682">
                  <c:v>0.63785937852190611</c:v>
                </c:pt>
                <c:pt idx="683">
                  <c:v>0.64044516502343052</c:v>
                </c:pt>
                <c:pt idx="684">
                  <c:v>0.6428070745994765</c:v>
                </c:pt>
                <c:pt idx="685">
                  <c:v>0.64486823322071629</c:v>
                </c:pt>
                <c:pt idx="686">
                  <c:v>0.64822543688963719</c:v>
                </c:pt>
                <c:pt idx="687">
                  <c:v>0.65143528841944753</c:v>
                </c:pt>
                <c:pt idx="688">
                  <c:v>0.65449369521220357</c:v>
                </c:pt>
                <c:pt idx="689">
                  <c:v>0.66063410047995308</c:v>
                </c:pt>
                <c:pt idx="690">
                  <c:v>0.6155890336527664</c:v>
                </c:pt>
                <c:pt idx="691">
                  <c:v>0.61802092710991074</c:v>
                </c:pt>
                <c:pt idx="692">
                  <c:v>0.5722667705919976</c:v>
                </c:pt>
                <c:pt idx="693">
                  <c:v>0.57429213669089896</c:v>
                </c:pt>
                <c:pt idx="694">
                  <c:v>0.5761610287584864</c:v>
                </c:pt>
                <c:pt idx="695">
                  <c:v>0.57787006143152153</c:v>
                </c:pt>
                <c:pt idx="696">
                  <c:v>0.58120891723631352</c:v>
                </c:pt>
                <c:pt idx="697">
                  <c:v>0.53818764513225037</c:v>
                </c:pt>
                <c:pt idx="698">
                  <c:v>0.54133395204282531</c:v>
                </c:pt>
                <c:pt idx="699">
                  <c:v>0.49531160930610402</c:v>
                </c:pt>
                <c:pt idx="700">
                  <c:v>0.49830008215530014</c:v>
                </c:pt>
                <c:pt idx="701">
                  <c:v>0.50122933442467743</c:v>
                </c:pt>
                <c:pt idx="702">
                  <c:v>0.50599346274310097</c:v>
                </c:pt>
                <c:pt idx="703">
                  <c:v>0.50877516966535363</c:v>
                </c:pt>
                <c:pt idx="704">
                  <c:v>0.46172668385725141</c:v>
                </c:pt>
                <c:pt idx="705">
                  <c:v>0.46439064070700065</c:v>
                </c:pt>
                <c:pt idx="706">
                  <c:v>0.4180934830078597</c:v>
                </c:pt>
                <c:pt idx="707">
                  <c:v>0.42068164019870896</c:v>
                </c:pt>
                <c:pt idx="708">
                  <c:v>0.42422919448932822</c:v>
                </c:pt>
                <c:pt idx="709">
                  <c:v>0.42673438690118642</c:v>
                </c:pt>
                <c:pt idx="710">
                  <c:v>0.4291857714416446</c:v>
                </c:pt>
                <c:pt idx="711">
                  <c:v>0.38112816550533291</c:v>
                </c:pt>
                <c:pt idx="712">
                  <c:v>0.38348659521587491</c:v>
                </c:pt>
                <c:pt idx="713">
                  <c:v>-1.0567805359378422E-4</c:v>
                </c:pt>
                <c:pt idx="714">
                  <c:v>0.33054992392432281</c:v>
                </c:pt>
                <c:pt idx="715">
                  <c:v>0.33281969638169312</c:v>
                </c:pt>
                <c:pt idx="716">
                  <c:v>0.33504903869577796</c:v>
                </c:pt>
                <c:pt idx="717">
                  <c:v>0.33723666833835042</c:v>
                </c:pt>
                <c:pt idx="718">
                  <c:v>0.33938130440119296</c:v>
                </c:pt>
                <c:pt idx="719">
                  <c:v>0.34142088635009499</c:v>
                </c:pt>
                <c:pt idx="720">
                  <c:v>0.34599671110278707</c:v>
                </c:pt>
                <c:pt idx="721">
                  <c:v>0.3480171918111809</c:v>
                </c:pt>
                <c:pt idx="722">
                  <c:v>0.34998998099494016</c:v>
                </c:pt>
                <c:pt idx="723">
                  <c:v>0.35191382874313648</c:v>
                </c:pt>
                <c:pt idx="724">
                  <c:v>0.35378749120941133</c:v>
                </c:pt>
                <c:pt idx="725">
                  <c:v>0.35560973139622942</c:v>
                </c:pt>
                <c:pt idx="726">
                  <c:v>0.3573198658620842</c:v>
                </c:pt>
                <c:pt idx="727">
                  <c:v>0.35897602313808974</c:v>
                </c:pt>
                <c:pt idx="728">
                  <c:v>0.36343874778937474</c:v>
                </c:pt>
                <c:pt idx="729">
                  <c:v>0.36505965338572527</c:v>
                </c:pt>
                <c:pt idx="730">
                  <c:v>0.36662353628037014</c:v>
                </c:pt>
                <c:pt idx="731">
                  <c:v>0.36812922581446117</c:v>
                </c:pt>
                <c:pt idx="732">
                  <c:v>0.36957556343993014</c:v>
                </c:pt>
                <c:pt idx="733">
                  <c:v>0.37394402965047852</c:v>
                </c:pt>
                <c:pt idx="734">
                  <c:v>0.37528800095792064</c:v>
                </c:pt>
                <c:pt idx="735">
                  <c:v>0.37656967618830578</c:v>
                </c:pt>
                <c:pt idx="736">
                  <c:v>0.377787958992503</c:v>
                </c:pt>
                <c:pt idx="737">
                  <c:v>0.37894176869722374</c:v>
                </c:pt>
                <c:pt idx="738">
                  <c:v>0.38003004108289973</c:v>
                </c:pt>
                <c:pt idx="739">
                  <c:v>0.3810517291594504</c:v>
                </c:pt>
                <c:pt idx="740">
                  <c:v>0.38524329818020431</c:v>
                </c:pt>
                <c:pt idx="741">
                  <c:v>0.33840824969033068</c:v>
                </c:pt>
                <c:pt idx="742">
                  <c:v>0.33914406073132397</c:v>
                </c:pt>
                <c:pt idx="743">
                  <c:v>0.29179056218454086</c:v>
                </c:pt>
                <c:pt idx="744">
                  <c:v>0.29231612647198441</c:v>
                </c:pt>
                <c:pt idx="745">
                  <c:v>0.29278751137602976</c:v>
                </c:pt>
                <c:pt idx="746">
                  <c:v>0.29320403646661819</c:v>
                </c:pt>
                <c:pt idx="747">
                  <c:v>0.29352565815992088</c:v>
                </c:pt>
                <c:pt idx="748">
                  <c:v>0.24756577616833117</c:v>
                </c:pt>
                <c:pt idx="749">
                  <c:v>0.24778989615470856</c:v>
                </c:pt>
                <c:pt idx="750">
                  <c:v>0.1988630454585438</c:v>
                </c:pt>
                <c:pt idx="751">
                  <c:v>0.19896595728691197</c:v>
                </c:pt>
                <c:pt idx="752">
                  <c:v>0.19902987487080773</c:v>
                </c:pt>
                <c:pt idx="753">
                  <c:v>0.20095018509208873</c:v>
                </c:pt>
                <c:pt idx="754">
                  <c:v>0.20097497575352971</c:v>
                </c:pt>
                <c:pt idx="755">
                  <c:v>0.15119443128307444</c:v>
                </c:pt>
                <c:pt idx="756">
                  <c:v>0.15115247898208659</c:v>
                </c:pt>
                <c:pt idx="757">
                  <c:v>0.10217686110355377</c:v>
                </c:pt>
                <c:pt idx="758">
                  <c:v>0.10211531345442133</c:v>
                </c:pt>
                <c:pt idx="759">
                  <c:v>0.10304323086798543</c:v>
                </c:pt>
                <c:pt idx="760">
                  <c:v>0.10296017257746055</c:v>
                </c:pt>
                <c:pt idx="761">
                  <c:v>0.10285601570894698</c:v>
                </c:pt>
                <c:pt idx="762">
                  <c:v>5.2340295993805012E-2</c:v>
                </c:pt>
                <c:pt idx="763">
                  <c:v>5.2276486345993432E-2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ABC-471E-92D0-026278F2D637}"/>
            </c:ext>
          </c:extLst>
        </c:ser>
        <c:ser>
          <c:idx val="2"/>
          <c:order val="2"/>
          <c:tx>
            <c:strRef>
              <c:f>Clarias_Bioplan!$A$12:$B$12</c:f>
              <c:strCache>
                <c:ptCount val="2"/>
                <c:pt idx="0">
                  <c:v>FECES HIGH DM FEED - LOW DIGEST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Clarias_Bioplan!$C$12:$ACL$12</c:f>
              <c:numCache>
                <c:formatCode>0.000</c:formatCode>
                <c:ptCount val="764"/>
                <c:pt idx="0">
                  <c:v>3.0365562500000002E-2</c:v>
                </c:pt>
                <c:pt idx="1">
                  <c:v>3.3174195640624994E-2</c:v>
                </c:pt>
                <c:pt idx="2">
                  <c:v>3.6289041086571987E-2</c:v>
                </c:pt>
                <c:pt idx="3">
                  <c:v>3.9619828476712075E-2</c:v>
                </c:pt>
                <c:pt idx="4">
                  <c:v>4.3085528355788487E-2</c:v>
                </c:pt>
                <c:pt idx="5">
                  <c:v>4.6821901204394403E-2</c:v>
                </c:pt>
                <c:pt idx="6">
                  <c:v>5.0863549534241395E-2</c:v>
                </c:pt>
                <c:pt idx="7">
                  <c:v>5.5124145593984639E-2</c:v>
                </c:pt>
                <c:pt idx="8">
                  <c:v>5.96142754334862E-2</c:v>
                </c:pt>
                <c:pt idx="9">
                  <c:v>6.4184238226377144E-2</c:v>
                </c:pt>
                <c:pt idx="10">
                  <c:v>6.9031139609560505E-2</c:v>
                </c:pt>
                <c:pt idx="11">
                  <c:v>7.4063913686133367E-2</c:v>
                </c:pt>
                <c:pt idx="12">
                  <c:v>7.9379739089541712E-2</c:v>
                </c:pt>
                <c:pt idx="13">
                  <c:v>8.4877223179379374E-2</c:v>
                </c:pt>
                <c:pt idx="14">
                  <c:v>9.0478861422243123E-2</c:v>
                </c:pt>
                <c:pt idx="15">
                  <c:v>9.6211135094284583E-2</c:v>
                </c:pt>
                <c:pt idx="16">
                  <c:v>0.1019681086481377</c:v>
                </c:pt>
                <c:pt idx="17">
                  <c:v>0.10801281906050757</c:v>
                </c:pt>
                <c:pt idx="18">
                  <c:v>0.11427296902893809</c:v>
                </c:pt>
                <c:pt idx="19">
                  <c:v>0.12061282423313945</c:v>
                </c:pt>
                <c:pt idx="20">
                  <c:v>0.12714538933052255</c:v>
                </c:pt>
                <c:pt idx="21">
                  <c:v>0.13342819037738682</c:v>
                </c:pt>
                <c:pt idx="22">
                  <c:v>0.14013327768469272</c:v>
                </c:pt>
                <c:pt idx="23">
                  <c:v>0.1468479466872871</c:v>
                </c:pt>
                <c:pt idx="24">
                  <c:v>0.15405102200659865</c:v>
                </c:pt>
                <c:pt idx="25">
                  <c:v>0.16143757436651682</c:v>
                </c:pt>
                <c:pt idx="26">
                  <c:v>0.16884755560408776</c:v>
                </c:pt>
                <c:pt idx="27">
                  <c:v>0.17641189217055589</c:v>
                </c:pt>
                <c:pt idx="28">
                  <c:v>0.18396353604366575</c:v>
                </c:pt>
                <c:pt idx="29">
                  <c:v>0.1916362190623955</c:v>
                </c:pt>
                <c:pt idx="30">
                  <c:v>0.19941700076666222</c:v>
                </c:pt>
                <c:pt idx="31">
                  <c:v>0.20712776197214192</c:v>
                </c:pt>
                <c:pt idx="32">
                  <c:v>0.21490737930211309</c:v>
                </c:pt>
                <c:pt idx="33">
                  <c:v>0.22273967956041016</c:v>
                </c:pt>
                <c:pt idx="34">
                  <c:v>0.23043772623979358</c:v>
                </c:pt>
                <c:pt idx="35">
                  <c:v>0.23748629386453665</c:v>
                </c:pt>
                <c:pt idx="36">
                  <c:v>0.24494638963302376</c:v>
                </c:pt>
                <c:pt idx="37">
                  <c:v>0.25164205094287972</c:v>
                </c:pt>
                <c:pt idx="38">
                  <c:v>0.25893013759847794</c:v>
                </c:pt>
                <c:pt idx="39">
                  <c:v>0.26596213501957333</c:v>
                </c:pt>
                <c:pt idx="40">
                  <c:v>0.27205340669522998</c:v>
                </c:pt>
                <c:pt idx="41">
                  <c:v>0.27876238060388725</c:v>
                </c:pt>
                <c:pt idx="42">
                  <c:v>0.28424262272419132</c:v>
                </c:pt>
                <c:pt idx="43">
                  <c:v>0.29035849680789705</c:v>
                </c:pt>
                <c:pt idx="44">
                  <c:v>0.29626081913523161</c:v>
                </c:pt>
                <c:pt idx="45">
                  <c:v>0.30176324225079915</c:v>
                </c:pt>
                <c:pt idx="46">
                  <c:v>0.30700351175200041</c:v>
                </c:pt>
                <c:pt idx="47">
                  <c:v>0.31195910083340567</c:v>
                </c:pt>
                <c:pt idx="48">
                  <c:v>0.31645014840158059</c:v>
                </c:pt>
                <c:pt idx="49">
                  <c:v>0.32061071440032718</c:v>
                </c:pt>
                <c:pt idx="50">
                  <c:v>0</c:v>
                </c:pt>
                <c:pt idx="51">
                  <c:v>0.34674040780231163</c:v>
                </c:pt>
                <c:pt idx="52">
                  <c:v>0.35234239313271709</c:v>
                </c:pt>
                <c:pt idx="53">
                  <c:v>0.35771596237889475</c:v>
                </c:pt>
                <c:pt idx="54">
                  <c:v>0.36554031482620386</c:v>
                </c:pt>
                <c:pt idx="55">
                  <c:v>0.37330846795481376</c:v>
                </c:pt>
                <c:pt idx="56">
                  <c:v>0.37960894950288721</c:v>
                </c:pt>
                <c:pt idx="57">
                  <c:v>0.3873205444539734</c:v>
                </c:pt>
                <c:pt idx="58">
                  <c:v>0.39502172523242762</c:v>
                </c:pt>
                <c:pt idx="59">
                  <c:v>0.4027115963112195</c:v>
                </c:pt>
                <c:pt idx="60">
                  <c:v>0.41010609452794611</c:v>
                </c:pt>
                <c:pt idx="61">
                  <c:v>0.41590863500690456</c:v>
                </c:pt>
                <c:pt idx="62">
                  <c:v>0.42314545535404485</c:v>
                </c:pt>
                <c:pt idx="63">
                  <c:v>0.4303808540594265</c:v>
                </c:pt>
                <c:pt idx="64">
                  <c:v>0.43911834844129377</c:v>
                </c:pt>
                <c:pt idx="65">
                  <c:v>0.44778244441218407</c:v>
                </c:pt>
                <c:pt idx="66">
                  <c:v>0.45639216166654678</c:v>
                </c:pt>
                <c:pt idx="67">
                  <c:v>0.46483420332552522</c:v>
                </c:pt>
                <c:pt idx="68">
                  <c:v>0.47336436135067245</c:v>
                </c:pt>
                <c:pt idx="69">
                  <c:v>0.48179610124487565</c:v>
                </c:pt>
                <c:pt idx="70">
                  <c:v>0.49009431265313796</c:v>
                </c:pt>
                <c:pt idx="71">
                  <c:v>0.49836541902223624</c:v>
                </c:pt>
                <c:pt idx="72">
                  <c:v>0.5061605481530258</c:v>
                </c:pt>
                <c:pt idx="73">
                  <c:v>0.5140456616041913</c:v>
                </c:pt>
                <c:pt idx="74">
                  <c:v>0.52384508215666581</c:v>
                </c:pt>
                <c:pt idx="75">
                  <c:v>0.5340183682777655</c:v>
                </c:pt>
                <c:pt idx="76">
                  <c:v>0.5442563268403714</c:v>
                </c:pt>
                <c:pt idx="77">
                  <c:v>0.55439467882373594</c:v>
                </c:pt>
                <c:pt idx="78">
                  <c:v>0.56446498971796588</c:v>
                </c:pt>
                <c:pt idx="79">
                  <c:v>0.57439114897368726</c:v>
                </c:pt>
                <c:pt idx="80">
                  <c:v>0.58430291083283503</c:v>
                </c:pt>
                <c:pt idx="81">
                  <c:v>0.59418341507314243</c:v>
                </c:pt>
                <c:pt idx="82">
                  <c:v>0.60385068630758132</c:v>
                </c:pt>
                <c:pt idx="83">
                  <c:v>0.61343981425297767</c:v>
                </c:pt>
                <c:pt idx="84">
                  <c:v>0.62549624226735989</c:v>
                </c:pt>
                <c:pt idx="85">
                  <c:v>0.63730834278928039</c:v>
                </c:pt>
                <c:pt idx="86">
                  <c:v>0.64844797210790017</c:v>
                </c:pt>
                <c:pt idx="87">
                  <c:v>0.65997437901960798</c:v>
                </c:pt>
                <c:pt idx="88">
                  <c:v>0.67070982575862303</c:v>
                </c:pt>
                <c:pt idx="89">
                  <c:v>0.68200938097389552</c:v>
                </c:pt>
                <c:pt idx="90">
                  <c:v>0.6930227237309905</c:v>
                </c:pt>
                <c:pt idx="91">
                  <c:v>0.70297367817178347</c:v>
                </c:pt>
                <c:pt idx="92">
                  <c:v>0.71350753420773516</c:v>
                </c:pt>
                <c:pt idx="93">
                  <c:v>0.72277604913907112</c:v>
                </c:pt>
                <c:pt idx="94">
                  <c:v>0.73264176747392518</c:v>
                </c:pt>
                <c:pt idx="95">
                  <c:v>0.74225367657723418</c:v>
                </c:pt>
                <c:pt idx="96">
                  <c:v>0.75142359132067893</c:v>
                </c:pt>
                <c:pt idx="97">
                  <c:v>0.76028741180521664</c:v>
                </c:pt>
                <c:pt idx="98">
                  <c:v>0.76882075885918233</c:v>
                </c:pt>
                <c:pt idx="99">
                  <c:v>0.77675316571771968</c:v>
                </c:pt>
                <c:pt idx="100">
                  <c:v>0.78430486681816114</c:v>
                </c:pt>
                <c:pt idx="101">
                  <c:v>0</c:v>
                </c:pt>
                <c:pt idx="102">
                  <c:v>0.80951030129636348</c:v>
                </c:pt>
                <c:pt idx="103">
                  <c:v>0.81828996806708731</c:v>
                </c:pt>
                <c:pt idx="104">
                  <c:v>0.82678461655298385</c:v>
                </c:pt>
                <c:pt idx="105">
                  <c:v>0.83767165049989445</c:v>
                </c:pt>
                <c:pt idx="106">
                  <c:v>0.84844229411648409</c:v>
                </c:pt>
                <c:pt idx="107">
                  <c:v>0.85759819039302021</c:v>
                </c:pt>
                <c:pt idx="108">
                  <c:v>0.87171593999787522</c:v>
                </c:pt>
                <c:pt idx="109">
                  <c:v>0.88224579376808077</c:v>
                </c:pt>
                <c:pt idx="110">
                  <c:v>0.8926975697041355</c:v>
                </c:pt>
                <c:pt idx="111">
                  <c:v>0.90278545476833727</c:v>
                </c:pt>
                <c:pt idx="112">
                  <c:v>0.91121112270008053</c:v>
                </c:pt>
                <c:pt idx="113">
                  <c:v>0.92099907930876601</c:v>
                </c:pt>
                <c:pt idx="114">
                  <c:v>0.93062866626634433</c:v>
                </c:pt>
                <c:pt idx="115">
                  <c:v>0.94168478083461937</c:v>
                </c:pt>
                <c:pt idx="116">
                  <c:v>0.9565966913173084</c:v>
                </c:pt>
                <c:pt idx="117">
                  <c:v>0.96747567640656196</c:v>
                </c:pt>
                <c:pt idx="118">
                  <c:v>0.97810715411804316</c:v>
                </c:pt>
                <c:pt idx="119">
                  <c:v>0.98874527749091801</c:v>
                </c:pt>
                <c:pt idx="120">
                  <c:v>0.99920189006077775</c:v>
                </c:pt>
                <c:pt idx="121">
                  <c:v>1.0136159541638079</c:v>
                </c:pt>
                <c:pt idx="122">
                  <c:v>1.0237686203633254</c:v>
                </c:pt>
                <c:pt idx="123">
                  <c:v>1.0333580948166539</c:v>
                </c:pt>
                <c:pt idx="124">
                  <c:v>1.0429488041936954</c:v>
                </c:pt>
                <c:pt idx="125">
                  <c:v>1.0543635583327791</c:v>
                </c:pt>
                <c:pt idx="126">
                  <c:v>1.0660604257938251</c:v>
                </c:pt>
                <c:pt idx="127">
                  <c:v>1.0777287476636017</c:v>
                </c:pt>
                <c:pt idx="128">
                  <c:v>1.0937352962760218</c:v>
                </c:pt>
                <c:pt idx="129">
                  <c:v>1.0382365392844286</c:v>
                </c:pt>
                <c:pt idx="130">
                  <c:v>1.0491928339975409</c:v>
                </c:pt>
                <c:pt idx="131">
                  <c:v>0.99280969789119233</c:v>
                </c:pt>
                <c:pt idx="132">
                  <c:v>1.0034259921339208</c:v>
                </c:pt>
                <c:pt idx="133">
                  <c:v>1.013753202234023</c:v>
                </c:pt>
                <c:pt idx="134">
                  <c:v>1.0239254653062433</c:v>
                </c:pt>
                <c:pt idx="135">
                  <c:v>1.036432163691249</c:v>
                </c:pt>
                <c:pt idx="136">
                  <c:v>0.98390042942494382</c:v>
                </c:pt>
                <c:pt idx="137">
                  <c:v>0.99535382672449213</c:v>
                </c:pt>
                <c:pt idx="138">
                  <c:v>0.93838264266156934</c:v>
                </c:pt>
                <c:pt idx="139">
                  <c:v>0.94926216596029989</c:v>
                </c:pt>
                <c:pt idx="140">
                  <c:v>0.96065120579302621</c:v>
                </c:pt>
                <c:pt idx="141">
                  <c:v>0.97435298285991467</c:v>
                </c:pt>
                <c:pt idx="142">
                  <c:v>0.98433864422672512</c:v>
                </c:pt>
                <c:pt idx="143">
                  <c:v>0.9251797380040393</c:v>
                </c:pt>
                <c:pt idx="144">
                  <c:v>0.93438951971399209</c:v>
                </c:pt>
                <c:pt idx="145">
                  <c:v>0.8756893730189006</c:v>
                </c:pt>
                <c:pt idx="146">
                  <c:v>0.88521511541342413</c:v>
                </c:pt>
                <c:pt idx="147">
                  <c:v>0.89568411453585861</c:v>
                </c:pt>
                <c:pt idx="148">
                  <c:v>0.90443165341366138</c:v>
                </c:pt>
                <c:pt idx="149">
                  <c:v>0.91281918085170799</c:v>
                </c:pt>
                <c:pt idx="150">
                  <c:v>0.85002958010904661</c:v>
                </c:pt>
                <c:pt idx="151">
                  <c:v>0.85749194770255199</c:v>
                </c:pt>
                <c:pt idx="152">
                  <c:v>-1.479492750312979E-4</c:v>
                </c:pt>
                <c:pt idx="153">
                  <c:v>0.80951030129636348</c:v>
                </c:pt>
                <c:pt idx="154">
                  <c:v>0.81828996806708731</c:v>
                </c:pt>
                <c:pt idx="155">
                  <c:v>0.82678461655298385</c:v>
                </c:pt>
                <c:pt idx="156">
                  <c:v>0.83767165049989445</c:v>
                </c:pt>
                <c:pt idx="157">
                  <c:v>0.84844229411648409</c:v>
                </c:pt>
                <c:pt idx="158">
                  <c:v>0.85759819039302021</c:v>
                </c:pt>
                <c:pt idx="159">
                  <c:v>0.87171593999787522</c:v>
                </c:pt>
                <c:pt idx="160">
                  <c:v>0.88224579376808077</c:v>
                </c:pt>
                <c:pt idx="161">
                  <c:v>0.8926975697041355</c:v>
                </c:pt>
                <c:pt idx="162">
                  <c:v>0.90278545476833727</c:v>
                </c:pt>
                <c:pt idx="163">
                  <c:v>0.91121112270008053</c:v>
                </c:pt>
                <c:pt idx="164">
                  <c:v>0.92099907930876601</c:v>
                </c:pt>
                <c:pt idx="165">
                  <c:v>0.93062866626634433</c:v>
                </c:pt>
                <c:pt idx="166">
                  <c:v>0.94168478083461937</c:v>
                </c:pt>
                <c:pt idx="167">
                  <c:v>0.9565966913173084</c:v>
                </c:pt>
                <c:pt idx="168">
                  <c:v>0.96747567640656196</c:v>
                </c:pt>
                <c:pt idx="169">
                  <c:v>0.97810715411804316</c:v>
                </c:pt>
                <c:pt idx="170">
                  <c:v>0.98874527749091801</c:v>
                </c:pt>
                <c:pt idx="171">
                  <c:v>0.99920189006077775</c:v>
                </c:pt>
                <c:pt idx="172">
                  <c:v>1.0136159541638079</c:v>
                </c:pt>
                <c:pt idx="173">
                  <c:v>1.0237686203633254</c:v>
                </c:pt>
                <c:pt idx="174">
                  <c:v>1.0333580948166539</c:v>
                </c:pt>
                <c:pt idx="175">
                  <c:v>1.0429488041936954</c:v>
                </c:pt>
                <c:pt idx="176">
                  <c:v>1.0543635583327791</c:v>
                </c:pt>
                <c:pt idx="177">
                  <c:v>1.0660604257938251</c:v>
                </c:pt>
                <c:pt idx="178">
                  <c:v>1.0777287476636017</c:v>
                </c:pt>
                <c:pt idx="179">
                  <c:v>1.0937352962760218</c:v>
                </c:pt>
                <c:pt idx="180">
                  <c:v>1.0382365392844286</c:v>
                </c:pt>
                <c:pt idx="181">
                  <c:v>1.0491928339975409</c:v>
                </c:pt>
                <c:pt idx="182">
                  <c:v>0.99280969789119233</c:v>
                </c:pt>
                <c:pt idx="183">
                  <c:v>1.0034259921339208</c:v>
                </c:pt>
                <c:pt idx="184">
                  <c:v>1.013753202234023</c:v>
                </c:pt>
                <c:pt idx="185">
                  <c:v>1.0239254653062433</c:v>
                </c:pt>
                <c:pt idx="186">
                  <c:v>1.036432163691249</c:v>
                </c:pt>
                <c:pt idx="187">
                  <c:v>0.98390042942494382</c:v>
                </c:pt>
                <c:pt idx="188">
                  <c:v>0.99535382672449213</c:v>
                </c:pt>
                <c:pt idx="189">
                  <c:v>0.93838264266156934</c:v>
                </c:pt>
                <c:pt idx="190">
                  <c:v>0.94926216596029989</c:v>
                </c:pt>
                <c:pt idx="191">
                  <c:v>0.96065120579302621</c:v>
                </c:pt>
                <c:pt idx="192">
                  <c:v>0.97435298285991467</c:v>
                </c:pt>
                <c:pt idx="193">
                  <c:v>0.98433864422672512</c:v>
                </c:pt>
                <c:pt idx="194">
                  <c:v>0.9251797380040393</c:v>
                </c:pt>
                <c:pt idx="195">
                  <c:v>0.93438951971399209</c:v>
                </c:pt>
                <c:pt idx="196">
                  <c:v>0.8756893730189006</c:v>
                </c:pt>
                <c:pt idx="197">
                  <c:v>0.88521511541342413</c:v>
                </c:pt>
                <c:pt idx="198">
                  <c:v>0.89568411453585861</c:v>
                </c:pt>
                <c:pt idx="199">
                  <c:v>0.90443165341366138</c:v>
                </c:pt>
                <c:pt idx="200">
                  <c:v>0.91281918085170799</c:v>
                </c:pt>
                <c:pt idx="201">
                  <c:v>0.85002958010904661</c:v>
                </c:pt>
                <c:pt idx="202">
                  <c:v>0.85749194770255199</c:v>
                </c:pt>
                <c:pt idx="203">
                  <c:v>-1.479492750312979E-4</c:v>
                </c:pt>
                <c:pt idx="204">
                  <c:v>0.80951030129636348</c:v>
                </c:pt>
                <c:pt idx="205">
                  <c:v>0.81828996806708731</c:v>
                </c:pt>
                <c:pt idx="206">
                  <c:v>0.82678461655298385</c:v>
                </c:pt>
                <c:pt idx="207">
                  <c:v>0.83767165049989445</c:v>
                </c:pt>
                <c:pt idx="208">
                  <c:v>0.84844229411648409</c:v>
                </c:pt>
                <c:pt idx="209">
                  <c:v>0.85759819039302021</c:v>
                </c:pt>
                <c:pt idx="210">
                  <c:v>0.87171593999787522</c:v>
                </c:pt>
                <c:pt idx="211">
                  <c:v>0.88224579376808077</c:v>
                </c:pt>
                <c:pt idx="212">
                  <c:v>0.8926975697041355</c:v>
                </c:pt>
                <c:pt idx="213">
                  <c:v>0.90278545476833727</c:v>
                </c:pt>
                <c:pt idx="214">
                  <c:v>0.91121112270008053</c:v>
                </c:pt>
                <c:pt idx="215">
                  <c:v>0.92099907930876601</c:v>
                </c:pt>
                <c:pt idx="216">
                  <c:v>0.93062866626634433</c:v>
                </c:pt>
                <c:pt idx="217">
                  <c:v>0.94168478083461937</c:v>
                </c:pt>
                <c:pt idx="218">
                  <c:v>0.9565966913173084</c:v>
                </c:pt>
                <c:pt idx="219">
                  <c:v>0.96747567640656196</c:v>
                </c:pt>
                <c:pt idx="220">
                  <c:v>0.97810715411804316</c:v>
                </c:pt>
                <c:pt idx="221">
                  <c:v>0.98874527749091801</c:v>
                </c:pt>
                <c:pt idx="222">
                  <c:v>0.99920189006077775</c:v>
                </c:pt>
                <c:pt idx="223">
                  <c:v>1.0136159541638079</c:v>
                </c:pt>
                <c:pt idx="224">
                  <c:v>1.0237686203633254</c:v>
                </c:pt>
                <c:pt idx="225">
                  <c:v>1.0333580948166539</c:v>
                </c:pt>
                <c:pt idx="226">
                  <c:v>1.0429488041936954</c:v>
                </c:pt>
                <c:pt idx="227">
                  <c:v>1.0543635583327791</c:v>
                </c:pt>
                <c:pt idx="228">
                  <c:v>1.0660604257938251</c:v>
                </c:pt>
                <c:pt idx="229">
                  <c:v>1.0777287476636017</c:v>
                </c:pt>
                <c:pt idx="230">
                  <c:v>1.0937352962760218</c:v>
                </c:pt>
                <c:pt idx="231">
                  <c:v>1.0382365392844286</c:v>
                </c:pt>
                <c:pt idx="232">
                  <c:v>1.0491928339975409</c:v>
                </c:pt>
                <c:pt idx="233">
                  <c:v>0.99280969789119233</c:v>
                </c:pt>
                <c:pt idx="234">
                  <c:v>1.0034259921339208</c:v>
                </c:pt>
                <c:pt idx="235">
                  <c:v>1.013753202234023</c:v>
                </c:pt>
                <c:pt idx="236">
                  <c:v>1.0239254653062433</c:v>
                </c:pt>
                <c:pt idx="237">
                  <c:v>1.036432163691249</c:v>
                </c:pt>
                <c:pt idx="238">
                  <c:v>0.98390042942494382</c:v>
                </c:pt>
                <c:pt idx="239">
                  <c:v>0.99535382672449213</c:v>
                </c:pt>
                <c:pt idx="240">
                  <c:v>0.93838264266156934</c:v>
                </c:pt>
                <c:pt idx="241">
                  <c:v>0.94926216596029989</c:v>
                </c:pt>
                <c:pt idx="242">
                  <c:v>0.96065120579302621</c:v>
                </c:pt>
                <c:pt idx="243">
                  <c:v>0.97435298285991467</c:v>
                </c:pt>
                <c:pt idx="244">
                  <c:v>0.98433864422672512</c:v>
                </c:pt>
                <c:pt idx="245">
                  <c:v>0.9251797380040393</c:v>
                </c:pt>
                <c:pt idx="246">
                  <c:v>0.93438951971399209</c:v>
                </c:pt>
                <c:pt idx="247">
                  <c:v>0.8756893730189006</c:v>
                </c:pt>
                <c:pt idx="248">
                  <c:v>0.88521511541342413</c:v>
                </c:pt>
                <c:pt idx="249">
                  <c:v>0.89568411453585861</c:v>
                </c:pt>
                <c:pt idx="250">
                  <c:v>0.90443165341366138</c:v>
                </c:pt>
                <c:pt idx="251">
                  <c:v>0.91281918085170799</c:v>
                </c:pt>
                <c:pt idx="252">
                  <c:v>0.85002958010904661</c:v>
                </c:pt>
                <c:pt idx="253">
                  <c:v>0.85749194770255199</c:v>
                </c:pt>
                <c:pt idx="254">
                  <c:v>-1.479492750312979E-4</c:v>
                </c:pt>
                <c:pt idx="255">
                  <c:v>0.80951030129636348</c:v>
                </c:pt>
                <c:pt idx="256">
                  <c:v>0.81828996806708731</c:v>
                </c:pt>
                <c:pt idx="257">
                  <c:v>0.82678461655298385</c:v>
                </c:pt>
                <c:pt idx="258">
                  <c:v>0.83767165049989445</c:v>
                </c:pt>
                <c:pt idx="259">
                  <c:v>0.84844229411648409</c:v>
                </c:pt>
                <c:pt idx="260">
                  <c:v>0.85759819039302021</c:v>
                </c:pt>
                <c:pt idx="261">
                  <c:v>0.87171593999787522</c:v>
                </c:pt>
                <c:pt idx="262">
                  <c:v>0.88224579376808077</c:v>
                </c:pt>
                <c:pt idx="263">
                  <c:v>0.8926975697041355</c:v>
                </c:pt>
                <c:pt idx="264">
                  <c:v>0.90278545476833727</c:v>
                </c:pt>
                <c:pt idx="265">
                  <c:v>0.91121112270008053</c:v>
                </c:pt>
                <c:pt idx="266">
                  <c:v>0.92099907930876601</c:v>
                </c:pt>
                <c:pt idx="267">
                  <c:v>0.93062866626634433</c:v>
                </c:pt>
                <c:pt idx="268">
                  <c:v>0.94168478083461937</c:v>
                </c:pt>
                <c:pt idx="269">
                  <c:v>0.9565966913173084</c:v>
                </c:pt>
                <c:pt idx="270">
                  <c:v>0.96747567640656196</c:v>
                </c:pt>
                <c:pt idx="271">
                  <c:v>0.97810715411804316</c:v>
                </c:pt>
                <c:pt idx="272">
                  <c:v>0.98874527749091801</c:v>
                </c:pt>
                <c:pt idx="273">
                  <c:v>0.99920189006077775</c:v>
                </c:pt>
                <c:pt idx="274">
                  <c:v>1.0136159541638079</c:v>
                </c:pt>
                <c:pt idx="275">
                  <c:v>1.0237686203633254</c:v>
                </c:pt>
                <c:pt idx="276">
                  <c:v>1.0333580948166539</c:v>
                </c:pt>
                <c:pt idx="277">
                  <c:v>1.0429488041936954</c:v>
                </c:pt>
                <c:pt idx="278">
                  <c:v>1.0543635583327791</c:v>
                </c:pt>
                <c:pt idx="279">
                  <c:v>1.0660604257938251</c:v>
                </c:pt>
                <c:pt idx="280">
                  <c:v>1.0777287476636017</c:v>
                </c:pt>
                <c:pt idx="281">
                  <c:v>1.0937352962760218</c:v>
                </c:pt>
                <c:pt idx="282">
                  <c:v>1.0382365392844286</c:v>
                </c:pt>
                <c:pt idx="283">
                  <c:v>1.0491928339975409</c:v>
                </c:pt>
                <c:pt idx="284">
                  <c:v>0.99280969789119233</c:v>
                </c:pt>
                <c:pt idx="285">
                  <c:v>1.0034259921339208</c:v>
                </c:pt>
                <c:pt idx="286">
                  <c:v>1.013753202234023</c:v>
                </c:pt>
                <c:pt idx="287">
                  <c:v>1.0239254653062433</c:v>
                </c:pt>
                <c:pt idx="288">
                  <c:v>1.036432163691249</c:v>
                </c:pt>
                <c:pt idx="289">
                  <c:v>0.98390042942494382</c:v>
                </c:pt>
                <c:pt idx="290">
                  <c:v>0.99535382672449213</c:v>
                </c:pt>
                <c:pt idx="291">
                  <c:v>0.93838264266156934</c:v>
                </c:pt>
                <c:pt idx="292">
                  <c:v>0.94926216596029989</c:v>
                </c:pt>
                <c:pt idx="293">
                  <c:v>0.96065120579302621</c:v>
                </c:pt>
                <c:pt idx="294">
                  <c:v>0.97435298285991467</c:v>
                </c:pt>
                <c:pt idx="295">
                  <c:v>0.98433864422672512</c:v>
                </c:pt>
                <c:pt idx="296">
                  <c:v>0.9251797380040393</c:v>
                </c:pt>
                <c:pt idx="297">
                  <c:v>0.93438951971399209</c:v>
                </c:pt>
                <c:pt idx="298">
                  <c:v>0.8756893730189006</c:v>
                </c:pt>
                <c:pt idx="299">
                  <c:v>0.88521511541342413</c:v>
                </c:pt>
                <c:pt idx="300">
                  <c:v>0.89568411453585861</c:v>
                </c:pt>
                <c:pt idx="301">
                  <c:v>0.90443165341366138</c:v>
                </c:pt>
                <c:pt idx="302">
                  <c:v>0.91281918085170799</c:v>
                </c:pt>
                <c:pt idx="303">
                  <c:v>0.85002958010904661</c:v>
                </c:pt>
                <c:pt idx="304">
                  <c:v>0.85749194770255199</c:v>
                </c:pt>
                <c:pt idx="305">
                  <c:v>-1.479492750312979E-4</c:v>
                </c:pt>
                <c:pt idx="306">
                  <c:v>0.80951030129636348</c:v>
                </c:pt>
                <c:pt idx="307">
                  <c:v>0.81828996806708731</c:v>
                </c:pt>
                <c:pt idx="308">
                  <c:v>0.82678461655298385</c:v>
                </c:pt>
                <c:pt idx="309">
                  <c:v>0.83767165049989445</c:v>
                </c:pt>
                <c:pt idx="310">
                  <c:v>0.84844229411648409</c:v>
                </c:pt>
                <c:pt idx="311">
                  <c:v>0.85759819039302021</c:v>
                </c:pt>
                <c:pt idx="312">
                  <c:v>0.87171593999787522</c:v>
                </c:pt>
                <c:pt idx="313">
                  <c:v>0.88224579376808077</c:v>
                </c:pt>
                <c:pt idx="314">
                  <c:v>0.8926975697041355</c:v>
                </c:pt>
                <c:pt idx="315">
                  <c:v>0.90278545476833727</c:v>
                </c:pt>
                <c:pt idx="316">
                  <c:v>0.91121112270008053</c:v>
                </c:pt>
                <c:pt idx="317">
                  <c:v>0.92099907930876601</c:v>
                </c:pt>
                <c:pt idx="318">
                  <c:v>0.93062866626634433</c:v>
                </c:pt>
                <c:pt idx="319">
                  <c:v>0.94168478083461937</c:v>
                </c:pt>
                <c:pt idx="320">
                  <c:v>0.9565966913173084</c:v>
                </c:pt>
                <c:pt idx="321">
                  <c:v>0.96747567640656196</c:v>
                </c:pt>
                <c:pt idx="322">
                  <c:v>0.97810715411804316</c:v>
                </c:pt>
                <c:pt idx="323">
                  <c:v>0.98874527749091801</c:v>
                </c:pt>
                <c:pt idx="324">
                  <c:v>0.99920189006077775</c:v>
                </c:pt>
                <c:pt idx="325">
                  <c:v>1.0136159541638079</c:v>
                </c:pt>
                <c:pt idx="326">
                  <c:v>1.0237686203633254</c:v>
                </c:pt>
                <c:pt idx="327">
                  <c:v>1.0333580948166539</c:v>
                </c:pt>
                <c:pt idx="328">
                  <c:v>1.0429488041936954</c:v>
                </c:pt>
                <c:pt idx="329">
                  <c:v>1.0543635583327791</c:v>
                </c:pt>
                <c:pt idx="330">
                  <c:v>1.0660604257938251</c:v>
                </c:pt>
                <c:pt idx="331">
                  <c:v>1.0777287476636017</c:v>
                </c:pt>
                <c:pt idx="332">
                  <c:v>1.0937352962760218</c:v>
                </c:pt>
                <c:pt idx="333">
                  <c:v>1.0382365392844286</c:v>
                </c:pt>
                <c:pt idx="334">
                  <c:v>1.0491928339975409</c:v>
                </c:pt>
                <c:pt idx="335">
                  <c:v>0.99280969789119233</c:v>
                </c:pt>
                <c:pt idx="336">
                  <c:v>1.0034259921339208</c:v>
                </c:pt>
                <c:pt idx="337">
                  <c:v>1.013753202234023</c:v>
                </c:pt>
                <c:pt idx="338">
                  <c:v>1.0239254653062433</c:v>
                </c:pt>
                <c:pt idx="339">
                  <c:v>1.036432163691249</c:v>
                </c:pt>
                <c:pt idx="340">
                  <c:v>0.98390042942494382</c:v>
                </c:pt>
                <c:pt idx="341">
                  <c:v>0.99535382672449213</c:v>
                </c:pt>
                <c:pt idx="342">
                  <c:v>0.93838264266156934</c:v>
                </c:pt>
                <c:pt idx="343">
                  <c:v>0.94926216596029989</c:v>
                </c:pt>
                <c:pt idx="344">
                  <c:v>0.96065120579302621</c:v>
                </c:pt>
                <c:pt idx="345">
                  <c:v>0.97435298285991467</c:v>
                </c:pt>
                <c:pt idx="346">
                  <c:v>0.98433864422672512</c:v>
                </c:pt>
                <c:pt idx="347">
                  <c:v>0.9251797380040393</c:v>
                </c:pt>
                <c:pt idx="348">
                  <c:v>0.93438951971399209</c:v>
                </c:pt>
                <c:pt idx="349">
                  <c:v>0.8756893730189006</c:v>
                </c:pt>
                <c:pt idx="350">
                  <c:v>0.88521511541342413</c:v>
                </c:pt>
                <c:pt idx="351">
                  <c:v>0.89568411453585861</c:v>
                </c:pt>
                <c:pt idx="352">
                  <c:v>0.90443165341366138</c:v>
                </c:pt>
                <c:pt idx="353">
                  <c:v>0.91281918085170799</c:v>
                </c:pt>
                <c:pt idx="354">
                  <c:v>0.85002958010904661</c:v>
                </c:pt>
                <c:pt idx="355">
                  <c:v>0.85749194770255199</c:v>
                </c:pt>
                <c:pt idx="356">
                  <c:v>-1.479492750312979E-4</c:v>
                </c:pt>
                <c:pt idx="357">
                  <c:v>0.80951030129636348</c:v>
                </c:pt>
                <c:pt idx="358">
                  <c:v>0.81828996806708731</c:v>
                </c:pt>
                <c:pt idx="359">
                  <c:v>0.82678461655298385</c:v>
                </c:pt>
                <c:pt idx="360">
                  <c:v>0.83767165049989445</c:v>
                </c:pt>
                <c:pt idx="361">
                  <c:v>0.84844229411648409</c:v>
                </c:pt>
                <c:pt idx="362">
                  <c:v>0.85759819039302021</c:v>
                </c:pt>
                <c:pt idx="363">
                  <c:v>0.87171593999787522</c:v>
                </c:pt>
                <c:pt idx="364">
                  <c:v>0.88224579376808077</c:v>
                </c:pt>
                <c:pt idx="365">
                  <c:v>0.8926975697041355</c:v>
                </c:pt>
                <c:pt idx="366">
                  <c:v>0.90278545476833727</c:v>
                </c:pt>
                <c:pt idx="367">
                  <c:v>0.91121112270008053</c:v>
                </c:pt>
                <c:pt idx="368">
                  <c:v>0.92099907930876601</c:v>
                </c:pt>
                <c:pt idx="369">
                  <c:v>0.93062866626634433</c:v>
                </c:pt>
                <c:pt idx="370">
                  <c:v>0.94168478083461937</c:v>
                </c:pt>
                <c:pt idx="371">
                  <c:v>0.9565966913173084</c:v>
                </c:pt>
                <c:pt idx="372">
                  <c:v>0.96747567640656196</c:v>
                </c:pt>
                <c:pt idx="373">
                  <c:v>0.97810715411804316</c:v>
                </c:pt>
                <c:pt idx="374">
                  <c:v>0.98874527749091801</c:v>
                </c:pt>
                <c:pt idx="375">
                  <c:v>0.99920189006077775</c:v>
                </c:pt>
                <c:pt idx="376">
                  <c:v>1.0136159541638079</c:v>
                </c:pt>
                <c:pt idx="377">
                  <c:v>1.0237686203633254</c:v>
                </c:pt>
                <c:pt idx="378">
                  <c:v>1.0333580948166539</c:v>
                </c:pt>
                <c:pt idx="379">
                  <c:v>1.0429488041936954</c:v>
                </c:pt>
                <c:pt idx="380">
                  <c:v>1.0543635583327791</c:v>
                </c:pt>
                <c:pt idx="381">
                  <c:v>1.0660604257938251</c:v>
                </c:pt>
                <c:pt idx="382">
                  <c:v>1.0777287476636017</c:v>
                </c:pt>
                <c:pt idx="383">
                  <c:v>1.0937352962760218</c:v>
                </c:pt>
                <c:pt idx="384">
                  <c:v>1.0382365392844286</c:v>
                </c:pt>
                <c:pt idx="385">
                  <c:v>1.0491928339975409</c:v>
                </c:pt>
                <c:pt idx="386">
                  <c:v>0.99280969789119233</c:v>
                </c:pt>
                <c:pt idx="387">
                  <c:v>1.0034259921339208</c:v>
                </c:pt>
                <c:pt idx="388">
                  <c:v>1.013753202234023</c:v>
                </c:pt>
                <c:pt idx="389">
                  <c:v>1.0239254653062433</c:v>
                </c:pt>
                <c:pt idx="390">
                  <c:v>1.036432163691249</c:v>
                </c:pt>
                <c:pt idx="391">
                  <c:v>0.98390042942494382</c:v>
                </c:pt>
                <c:pt idx="392">
                  <c:v>0.99535382672449213</c:v>
                </c:pt>
                <c:pt idx="393">
                  <c:v>0.93838264266156934</c:v>
                </c:pt>
                <c:pt idx="394">
                  <c:v>0.94926216596029989</c:v>
                </c:pt>
                <c:pt idx="395">
                  <c:v>0.96065120579302621</c:v>
                </c:pt>
                <c:pt idx="396">
                  <c:v>0.97435298285991467</c:v>
                </c:pt>
                <c:pt idx="397">
                  <c:v>0.98433864422672512</c:v>
                </c:pt>
                <c:pt idx="398">
                  <c:v>0.9251797380040393</c:v>
                </c:pt>
                <c:pt idx="399">
                  <c:v>0.93438951971399209</c:v>
                </c:pt>
                <c:pt idx="400">
                  <c:v>0.8756893730189006</c:v>
                </c:pt>
                <c:pt idx="401">
                  <c:v>0.88521511541342413</c:v>
                </c:pt>
                <c:pt idx="402">
                  <c:v>0.89568411453585861</c:v>
                </c:pt>
                <c:pt idx="403">
                  <c:v>0.90443165341366138</c:v>
                </c:pt>
                <c:pt idx="404">
                  <c:v>0.91281918085170799</c:v>
                </c:pt>
                <c:pt idx="405">
                  <c:v>0.85002958010904661</c:v>
                </c:pt>
                <c:pt idx="406">
                  <c:v>0.85749194770255199</c:v>
                </c:pt>
                <c:pt idx="407">
                  <c:v>-1.479492750312979E-4</c:v>
                </c:pt>
                <c:pt idx="408">
                  <c:v>0.80951030129636348</c:v>
                </c:pt>
                <c:pt idx="409">
                  <c:v>0.81828996806708731</c:v>
                </c:pt>
                <c:pt idx="410">
                  <c:v>0.82678461655298385</c:v>
                </c:pt>
                <c:pt idx="411">
                  <c:v>0.83767165049989445</c:v>
                </c:pt>
                <c:pt idx="412">
                  <c:v>0.84844229411648409</c:v>
                </c:pt>
                <c:pt idx="413">
                  <c:v>0.85759819039302021</c:v>
                </c:pt>
                <c:pt idx="414">
                  <c:v>0.87171593999787522</c:v>
                </c:pt>
                <c:pt idx="415">
                  <c:v>0.88224579376808077</c:v>
                </c:pt>
                <c:pt idx="416">
                  <c:v>0.8926975697041355</c:v>
                </c:pt>
                <c:pt idx="417">
                  <c:v>0.90278545476833727</c:v>
                </c:pt>
                <c:pt idx="418">
                  <c:v>0.91121112270008053</c:v>
                </c:pt>
                <c:pt idx="419">
                  <c:v>0.92099907930876601</c:v>
                </c:pt>
                <c:pt idx="420">
                  <c:v>0.93062866626634433</c:v>
                </c:pt>
                <c:pt idx="421">
                  <c:v>0.94168478083461937</c:v>
                </c:pt>
                <c:pt idx="422">
                  <c:v>0.9565966913173084</c:v>
                </c:pt>
                <c:pt idx="423">
                  <c:v>0.96747567640656196</c:v>
                </c:pt>
                <c:pt idx="424">
                  <c:v>0.97810715411804316</c:v>
                </c:pt>
                <c:pt idx="425">
                  <c:v>0.98874527749091801</c:v>
                </c:pt>
                <c:pt idx="426">
                  <c:v>0.99920189006077775</c:v>
                </c:pt>
                <c:pt idx="427">
                  <c:v>1.0136159541638079</c:v>
                </c:pt>
                <c:pt idx="428">
                  <c:v>1.0237686203633254</c:v>
                </c:pt>
                <c:pt idx="429">
                  <c:v>1.0333580948166539</c:v>
                </c:pt>
                <c:pt idx="430">
                  <c:v>1.0429488041936954</c:v>
                </c:pt>
                <c:pt idx="431">
                  <c:v>1.0543635583327791</c:v>
                </c:pt>
                <c:pt idx="432">
                  <c:v>1.0660604257938251</c:v>
                </c:pt>
                <c:pt idx="433">
                  <c:v>1.0777287476636017</c:v>
                </c:pt>
                <c:pt idx="434">
                  <c:v>1.0937352962760218</c:v>
                </c:pt>
                <c:pt idx="435">
                  <c:v>1.0382365392844286</c:v>
                </c:pt>
                <c:pt idx="436">
                  <c:v>1.0491928339975409</c:v>
                </c:pt>
                <c:pt idx="437">
                  <c:v>0.99280969789119233</c:v>
                </c:pt>
                <c:pt idx="438">
                  <c:v>1.0034259921339208</c:v>
                </c:pt>
                <c:pt idx="439">
                  <c:v>1.013753202234023</c:v>
                </c:pt>
                <c:pt idx="440">
                  <c:v>1.0239254653062433</c:v>
                </c:pt>
                <c:pt idx="441">
                  <c:v>1.036432163691249</c:v>
                </c:pt>
                <c:pt idx="442">
                  <c:v>0.98390042942494382</c:v>
                </c:pt>
                <c:pt idx="443">
                  <c:v>0.99535382672449213</c:v>
                </c:pt>
                <c:pt idx="444">
                  <c:v>0.93838264266156934</c:v>
                </c:pt>
                <c:pt idx="445">
                  <c:v>0.94926216596029989</c:v>
                </c:pt>
                <c:pt idx="446">
                  <c:v>0.96065120579302621</c:v>
                </c:pt>
                <c:pt idx="447">
                  <c:v>0.97435298285991467</c:v>
                </c:pt>
                <c:pt idx="448">
                  <c:v>0.98433864422672512</c:v>
                </c:pt>
                <c:pt idx="449">
                  <c:v>0.9251797380040393</c:v>
                </c:pt>
                <c:pt idx="450">
                  <c:v>0.93438951971399209</c:v>
                </c:pt>
                <c:pt idx="451">
                  <c:v>0.8756893730189006</c:v>
                </c:pt>
                <c:pt idx="452">
                  <c:v>0.88521511541342413</c:v>
                </c:pt>
                <c:pt idx="453">
                  <c:v>0.89568411453585861</c:v>
                </c:pt>
                <c:pt idx="454">
                  <c:v>0.90443165341366138</c:v>
                </c:pt>
                <c:pt idx="455">
                  <c:v>0.91281918085170799</c:v>
                </c:pt>
                <c:pt idx="456">
                  <c:v>0.85002958010904661</c:v>
                </c:pt>
                <c:pt idx="457">
                  <c:v>0.85749194770255199</c:v>
                </c:pt>
                <c:pt idx="458">
                  <c:v>-1.479492750312979E-4</c:v>
                </c:pt>
                <c:pt idx="459">
                  <c:v>0.80951030129636348</c:v>
                </c:pt>
                <c:pt idx="460">
                  <c:v>0.81828996806708731</c:v>
                </c:pt>
                <c:pt idx="461">
                  <c:v>0.82678461655298385</c:v>
                </c:pt>
                <c:pt idx="462">
                  <c:v>0.83767165049989445</c:v>
                </c:pt>
                <c:pt idx="463">
                  <c:v>0.84844229411648409</c:v>
                </c:pt>
                <c:pt idx="464">
                  <c:v>0.85759819039302021</c:v>
                </c:pt>
                <c:pt idx="465">
                  <c:v>0.87171593999787522</c:v>
                </c:pt>
                <c:pt idx="466">
                  <c:v>0.88224579376808077</c:v>
                </c:pt>
                <c:pt idx="467">
                  <c:v>0.8926975697041355</c:v>
                </c:pt>
                <c:pt idx="468">
                  <c:v>0.90278545476833727</c:v>
                </c:pt>
                <c:pt idx="469">
                  <c:v>0.91121112270008053</c:v>
                </c:pt>
                <c:pt idx="470">
                  <c:v>0.92099907930876601</c:v>
                </c:pt>
                <c:pt idx="471">
                  <c:v>0.93062866626634433</c:v>
                </c:pt>
                <c:pt idx="472">
                  <c:v>0.94168478083461937</c:v>
                </c:pt>
                <c:pt idx="473">
                  <c:v>0.9565966913173084</c:v>
                </c:pt>
                <c:pt idx="474">
                  <c:v>0.96747567640656196</c:v>
                </c:pt>
                <c:pt idx="475">
                  <c:v>0.97810715411804316</c:v>
                </c:pt>
                <c:pt idx="476">
                  <c:v>0.98874527749091801</c:v>
                </c:pt>
                <c:pt idx="477">
                  <c:v>0.99920189006077775</c:v>
                </c:pt>
                <c:pt idx="478">
                  <c:v>1.0136159541638079</c:v>
                </c:pt>
                <c:pt idx="479">
                  <c:v>1.0237686203633254</c:v>
                </c:pt>
                <c:pt idx="480">
                  <c:v>1.0333580948166539</c:v>
                </c:pt>
                <c:pt idx="481">
                  <c:v>1.0429488041936954</c:v>
                </c:pt>
                <c:pt idx="482">
                  <c:v>1.0543635583327791</c:v>
                </c:pt>
                <c:pt idx="483">
                  <c:v>1.0660604257938251</c:v>
                </c:pt>
                <c:pt idx="484">
                  <c:v>1.0777287476636017</c:v>
                </c:pt>
                <c:pt idx="485">
                  <c:v>1.0937352962760218</c:v>
                </c:pt>
                <c:pt idx="486">
                  <c:v>1.0382365392844286</c:v>
                </c:pt>
                <c:pt idx="487">
                  <c:v>1.0491928339975409</c:v>
                </c:pt>
                <c:pt idx="488">
                  <c:v>0.99280969789119233</c:v>
                </c:pt>
                <c:pt idx="489">
                  <c:v>1.0034259921339208</c:v>
                </c:pt>
                <c:pt idx="490">
                  <c:v>1.013753202234023</c:v>
                </c:pt>
                <c:pt idx="491">
                  <c:v>1.0239254653062433</c:v>
                </c:pt>
                <c:pt idx="492">
                  <c:v>1.036432163691249</c:v>
                </c:pt>
                <c:pt idx="493">
                  <c:v>0.98390042942494382</c:v>
                </c:pt>
                <c:pt idx="494">
                  <c:v>0.99535382672449213</c:v>
                </c:pt>
                <c:pt idx="495">
                  <c:v>0.93838264266156934</c:v>
                </c:pt>
                <c:pt idx="496">
                  <c:v>0.94926216596029989</c:v>
                </c:pt>
                <c:pt idx="497">
                  <c:v>0.96065120579302621</c:v>
                </c:pt>
                <c:pt idx="498">
                  <c:v>0.97435298285991467</c:v>
                </c:pt>
                <c:pt idx="499">
                  <c:v>0.98433864422672512</c:v>
                </c:pt>
                <c:pt idx="500">
                  <c:v>0.9251797380040393</c:v>
                </c:pt>
                <c:pt idx="501">
                  <c:v>0.93438951971399209</c:v>
                </c:pt>
                <c:pt idx="502">
                  <c:v>0.8756893730189006</c:v>
                </c:pt>
                <c:pt idx="503">
                  <c:v>0.88521511541342413</c:v>
                </c:pt>
                <c:pt idx="504">
                  <c:v>0.89568411453585861</c:v>
                </c:pt>
                <c:pt idx="505">
                  <c:v>0.90443165341366138</c:v>
                </c:pt>
                <c:pt idx="506">
                  <c:v>0.91281918085170799</c:v>
                </c:pt>
                <c:pt idx="507">
                  <c:v>0.85002958010904661</c:v>
                </c:pt>
                <c:pt idx="508">
                  <c:v>0.85749194770255199</c:v>
                </c:pt>
                <c:pt idx="509">
                  <c:v>-1.479492750312979E-4</c:v>
                </c:pt>
                <c:pt idx="510">
                  <c:v>0.80951030129636348</c:v>
                </c:pt>
                <c:pt idx="511">
                  <c:v>0.81828996806708731</c:v>
                </c:pt>
                <c:pt idx="512">
                  <c:v>0.82678461655298385</c:v>
                </c:pt>
                <c:pt idx="513">
                  <c:v>0.83767165049989445</c:v>
                </c:pt>
                <c:pt idx="514">
                  <c:v>0.84844229411648409</c:v>
                </c:pt>
                <c:pt idx="515">
                  <c:v>0.85759819039302021</c:v>
                </c:pt>
                <c:pt idx="516">
                  <c:v>0.87171593999787522</c:v>
                </c:pt>
                <c:pt idx="517">
                  <c:v>0.88224579376808077</c:v>
                </c:pt>
                <c:pt idx="518">
                  <c:v>0.8926975697041355</c:v>
                </c:pt>
                <c:pt idx="519">
                  <c:v>0.90278545476833727</c:v>
                </c:pt>
                <c:pt idx="520">
                  <c:v>0.91121112270008053</c:v>
                </c:pt>
                <c:pt idx="521">
                  <c:v>0.92099907930876601</c:v>
                </c:pt>
                <c:pt idx="522">
                  <c:v>0.93062866626634433</c:v>
                </c:pt>
                <c:pt idx="523">
                  <c:v>0.94168478083461937</c:v>
                </c:pt>
                <c:pt idx="524">
                  <c:v>0.9565966913173084</c:v>
                </c:pt>
                <c:pt idx="525">
                  <c:v>0.96747567640656196</c:v>
                </c:pt>
                <c:pt idx="526">
                  <c:v>0.97810715411804316</c:v>
                </c:pt>
                <c:pt idx="527">
                  <c:v>0.98874527749091801</c:v>
                </c:pt>
                <c:pt idx="528">
                  <c:v>0.99920189006077775</c:v>
                </c:pt>
                <c:pt idx="529">
                  <c:v>1.0136159541638079</c:v>
                </c:pt>
                <c:pt idx="530">
                  <c:v>1.0237686203633254</c:v>
                </c:pt>
                <c:pt idx="531">
                  <c:v>1.0333580948166539</c:v>
                </c:pt>
                <c:pt idx="532">
                  <c:v>1.0429488041936954</c:v>
                </c:pt>
                <c:pt idx="533">
                  <c:v>1.0543635583327791</c:v>
                </c:pt>
                <c:pt idx="534">
                  <c:v>1.0660604257938251</c:v>
                </c:pt>
                <c:pt idx="535">
                  <c:v>1.0777287476636017</c:v>
                </c:pt>
                <c:pt idx="536">
                  <c:v>1.0937352962760218</c:v>
                </c:pt>
                <c:pt idx="537">
                  <c:v>1.0382365392844286</c:v>
                </c:pt>
                <c:pt idx="538">
                  <c:v>1.0491928339975409</c:v>
                </c:pt>
                <c:pt idx="539">
                  <c:v>0.99280969789119233</c:v>
                </c:pt>
                <c:pt idx="540">
                  <c:v>1.0034259921339208</c:v>
                </c:pt>
                <c:pt idx="541">
                  <c:v>1.013753202234023</c:v>
                </c:pt>
                <c:pt idx="542">
                  <c:v>1.0239254653062433</c:v>
                </c:pt>
                <c:pt idx="543">
                  <c:v>1.036432163691249</c:v>
                </c:pt>
                <c:pt idx="544">
                  <c:v>0.98390042942494382</c:v>
                </c:pt>
                <c:pt idx="545">
                  <c:v>0.99535382672449213</c:v>
                </c:pt>
                <c:pt idx="546">
                  <c:v>0.93838264266156934</c:v>
                </c:pt>
                <c:pt idx="547">
                  <c:v>0.94926216596029989</c:v>
                </c:pt>
                <c:pt idx="548">
                  <c:v>0.96065120579302621</c:v>
                </c:pt>
                <c:pt idx="549">
                  <c:v>0.97435298285991467</c:v>
                </c:pt>
                <c:pt idx="550">
                  <c:v>0.98433864422672512</c:v>
                </c:pt>
                <c:pt idx="551">
                  <c:v>0.9251797380040393</c:v>
                </c:pt>
                <c:pt idx="552">
                  <c:v>0.93438951971399209</c:v>
                </c:pt>
                <c:pt idx="553">
                  <c:v>0.8756893730189006</c:v>
                </c:pt>
                <c:pt idx="554">
                  <c:v>0.88521511541342413</c:v>
                </c:pt>
                <c:pt idx="555">
                  <c:v>0.89568411453585861</c:v>
                </c:pt>
                <c:pt idx="556">
                  <c:v>0.90443165341366138</c:v>
                </c:pt>
                <c:pt idx="557">
                  <c:v>0.91281918085170799</c:v>
                </c:pt>
                <c:pt idx="558">
                  <c:v>0.85002958010904661</c:v>
                </c:pt>
                <c:pt idx="559">
                  <c:v>0.85749194770255199</c:v>
                </c:pt>
                <c:pt idx="560">
                  <c:v>-1.479492750312979E-4</c:v>
                </c:pt>
                <c:pt idx="561">
                  <c:v>0.80951030129636348</c:v>
                </c:pt>
                <c:pt idx="562">
                  <c:v>0.81828996806708731</c:v>
                </c:pt>
                <c:pt idx="563">
                  <c:v>0.82678461655298385</c:v>
                </c:pt>
                <c:pt idx="564">
                  <c:v>0.83767165049989445</c:v>
                </c:pt>
                <c:pt idx="565">
                  <c:v>0.84844229411648409</c:v>
                </c:pt>
                <c:pt idx="566">
                  <c:v>0.85759819039302021</c:v>
                </c:pt>
                <c:pt idx="567">
                  <c:v>0.87171593999787522</c:v>
                </c:pt>
                <c:pt idx="568">
                  <c:v>0.88224579376808077</c:v>
                </c:pt>
                <c:pt idx="569">
                  <c:v>0.8926975697041355</c:v>
                </c:pt>
                <c:pt idx="570">
                  <c:v>0.90278545476833727</c:v>
                </c:pt>
                <c:pt idx="571">
                  <c:v>0.91121112270008053</c:v>
                </c:pt>
                <c:pt idx="572">
                  <c:v>0.92099907930876601</c:v>
                </c:pt>
                <c:pt idx="573">
                  <c:v>0.93062866626634433</c:v>
                </c:pt>
                <c:pt idx="574">
                  <c:v>0.94168478083461937</c:v>
                </c:pt>
                <c:pt idx="575">
                  <c:v>0.9565966913173084</c:v>
                </c:pt>
                <c:pt idx="576">
                  <c:v>0.96747567640656196</c:v>
                </c:pt>
                <c:pt idx="577">
                  <c:v>0.97810715411804316</c:v>
                </c:pt>
                <c:pt idx="578">
                  <c:v>0.98874527749091801</c:v>
                </c:pt>
                <c:pt idx="579">
                  <c:v>0.99920189006077775</c:v>
                </c:pt>
                <c:pt idx="580">
                  <c:v>1.0136159541638079</c:v>
                </c:pt>
                <c:pt idx="581">
                  <c:v>1.0237686203633254</c:v>
                </c:pt>
                <c:pt idx="582">
                  <c:v>1.0333580948166539</c:v>
                </c:pt>
                <c:pt idx="583">
                  <c:v>1.0429488041936954</c:v>
                </c:pt>
                <c:pt idx="584">
                  <c:v>1.0543635583327791</c:v>
                </c:pt>
                <c:pt idx="585">
                  <c:v>1.0660604257938251</c:v>
                </c:pt>
                <c:pt idx="586">
                  <c:v>1.0777287476636017</c:v>
                </c:pt>
                <c:pt idx="587">
                  <c:v>1.0937352962760218</c:v>
                </c:pt>
                <c:pt idx="588">
                  <c:v>1.0382365392844286</c:v>
                </c:pt>
                <c:pt idx="589">
                  <c:v>1.0491928339975409</c:v>
                </c:pt>
                <c:pt idx="590">
                  <c:v>0.99280969789119233</c:v>
                </c:pt>
                <c:pt idx="591">
                  <c:v>1.0034259921339208</c:v>
                </c:pt>
                <c:pt idx="592">
                  <c:v>1.013753202234023</c:v>
                </c:pt>
                <c:pt idx="593">
                  <c:v>1.0239254653062433</c:v>
                </c:pt>
                <c:pt idx="594">
                  <c:v>1.036432163691249</c:v>
                </c:pt>
                <c:pt idx="595">
                  <c:v>0.98390042942494382</c:v>
                </c:pt>
                <c:pt idx="596">
                  <c:v>0.99535382672449213</c:v>
                </c:pt>
                <c:pt idx="597">
                  <c:v>0.93838264266156934</c:v>
                </c:pt>
                <c:pt idx="598">
                  <c:v>0.94926216596029989</c:v>
                </c:pt>
                <c:pt idx="599">
                  <c:v>0.96065120579302621</c:v>
                </c:pt>
                <c:pt idx="600">
                  <c:v>0.97435298285991467</c:v>
                </c:pt>
                <c:pt idx="601">
                  <c:v>0.98433864422672512</c:v>
                </c:pt>
                <c:pt idx="602">
                  <c:v>0.9251797380040393</c:v>
                </c:pt>
                <c:pt idx="603">
                  <c:v>0.93438951971399209</c:v>
                </c:pt>
                <c:pt idx="604">
                  <c:v>0.8756893730189006</c:v>
                </c:pt>
                <c:pt idx="605">
                  <c:v>0.88521511541342413</c:v>
                </c:pt>
                <c:pt idx="606">
                  <c:v>0.89568411453585861</c:v>
                </c:pt>
                <c:pt idx="607">
                  <c:v>0.90443165341366138</c:v>
                </c:pt>
                <c:pt idx="608">
                  <c:v>0.91281918085170799</c:v>
                </c:pt>
                <c:pt idx="609">
                  <c:v>0.85002958010904661</c:v>
                </c:pt>
                <c:pt idx="610">
                  <c:v>0.85749194770255199</c:v>
                </c:pt>
                <c:pt idx="611">
                  <c:v>-1.479492750312979E-4</c:v>
                </c:pt>
                <c:pt idx="612">
                  <c:v>0.80951030129636348</c:v>
                </c:pt>
                <c:pt idx="613">
                  <c:v>0.81828996806708731</c:v>
                </c:pt>
                <c:pt idx="614">
                  <c:v>0.82678461655298385</c:v>
                </c:pt>
                <c:pt idx="615">
                  <c:v>0.83767165049989445</c:v>
                </c:pt>
                <c:pt idx="616">
                  <c:v>0.84844229411648409</c:v>
                </c:pt>
                <c:pt idx="617">
                  <c:v>0.85759819039302021</c:v>
                </c:pt>
                <c:pt idx="618">
                  <c:v>0.87171593999787522</c:v>
                </c:pt>
                <c:pt idx="619">
                  <c:v>0.88224579376808077</c:v>
                </c:pt>
                <c:pt idx="620">
                  <c:v>0.8926975697041355</c:v>
                </c:pt>
                <c:pt idx="621">
                  <c:v>0.90278545476833727</c:v>
                </c:pt>
                <c:pt idx="622">
                  <c:v>0.91121112270008053</c:v>
                </c:pt>
                <c:pt idx="623">
                  <c:v>0.92099907930876601</c:v>
                </c:pt>
                <c:pt idx="624">
                  <c:v>0.93062866626634433</c:v>
                </c:pt>
                <c:pt idx="625">
                  <c:v>0.94168478083461937</c:v>
                </c:pt>
                <c:pt idx="626">
                  <c:v>0.9565966913173084</c:v>
                </c:pt>
                <c:pt idx="627">
                  <c:v>0.96747567640656196</c:v>
                </c:pt>
                <c:pt idx="628">
                  <c:v>0.97810715411804316</c:v>
                </c:pt>
                <c:pt idx="629">
                  <c:v>0.98874527749091801</c:v>
                </c:pt>
                <c:pt idx="630">
                  <c:v>0.99920189006077775</c:v>
                </c:pt>
                <c:pt idx="631">
                  <c:v>1.0136159541638079</c:v>
                </c:pt>
                <c:pt idx="632">
                  <c:v>1.0237686203633254</c:v>
                </c:pt>
                <c:pt idx="633">
                  <c:v>1.0333580948166539</c:v>
                </c:pt>
                <c:pt idx="634">
                  <c:v>1.0429488041936954</c:v>
                </c:pt>
                <c:pt idx="635">
                  <c:v>1.0543635583327791</c:v>
                </c:pt>
                <c:pt idx="636">
                  <c:v>1.0660604257938251</c:v>
                </c:pt>
                <c:pt idx="637">
                  <c:v>1.0777287476636017</c:v>
                </c:pt>
                <c:pt idx="638">
                  <c:v>1.0937352962760218</c:v>
                </c:pt>
                <c:pt idx="639">
                  <c:v>1.0382365392844286</c:v>
                </c:pt>
                <c:pt idx="640">
                  <c:v>1.0491928339975409</c:v>
                </c:pt>
                <c:pt idx="641">
                  <c:v>0.99280969789119233</c:v>
                </c:pt>
                <c:pt idx="642">
                  <c:v>1.0034259921339208</c:v>
                </c:pt>
                <c:pt idx="643">
                  <c:v>1.013753202234023</c:v>
                </c:pt>
                <c:pt idx="644">
                  <c:v>1.0239254653062433</c:v>
                </c:pt>
                <c:pt idx="645">
                  <c:v>1.036432163691249</c:v>
                </c:pt>
                <c:pt idx="646">
                  <c:v>0.98390042942494382</c:v>
                </c:pt>
                <c:pt idx="647">
                  <c:v>0.99535382672449213</c:v>
                </c:pt>
                <c:pt idx="648">
                  <c:v>0.93838264266156934</c:v>
                </c:pt>
                <c:pt idx="649">
                  <c:v>0.94926216596029989</c:v>
                </c:pt>
                <c:pt idx="650">
                  <c:v>0.96065120579302621</c:v>
                </c:pt>
                <c:pt idx="651">
                  <c:v>0.97435298285991467</c:v>
                </c:pt>
                <c:pt idx="652">
                  <c:v>0.98433864422672512</c:v>
                </c:pt>
                <c:pt idx="653">
                  <c:v>0.9251797380040393</c:v>
                </c:pt>
                <c:pt idx="654">
                  <c:v>0.93438951971399209</c:v>
                </c:pt>
                <c:pt idx="655">
                  <c:v>0.8756893730189006</c:v>
                </c:pt>
                <c:pt idx="656">
                  <c:v>0.88521511541342413</c:v>
                </c:pt>
                <c:pt idx="657">
                  <c:v>0.89568411453585861</c:v>
                </c:pt>
                <c:pt idx="658">
                  <c:v>0.90443165341366138</c:v>
                </c:pt>
                <c:pt idx="659">
                  <c:v>0.91281918085170799</c:v>
                </c:pt>
                <c:pt idx="660">
                  <c:v>0.85002958010904661</c:v>
                </c:pt>
                <c:pt idx="661">
                  <c:v>0.85749194770255199</c:v>
                </c:pt>
                <c:pt idx="662">
                  <c:v>-1.479492750312979E-4</c:v>
                </c:pt>
                <c:pt idx="663">
                  <c:v>0.77914473879636348</c:v>
                </c:pt>
                <c:pt idx="664">
                  <c:v>0.78511577242646235</c:v>
                </c:pt>
                <c:pt idx="665">
                  <c:v>0.79049557546641191</c:v>
                </c:pt>
                <c:pt idx="666">
                  <c:v>0.79805182202318237</c:v>
                </c:pt>
                <c:pt idx="667">
                  <c:v>0.80535676576069548</c:v>
                </c:pt>
                <c:pt idx="668">
                  <c:v>0.81077628918862565</c:v>
                </c:pt>
                <c:pt idx="669">
                  <c:v>0.8208523904636339</c:v>
                </c:pt>
                <c:pt idx="670">
                  <c:v>0.82712164817409617</c:v>
                </c:pt>
                <c:pt idx="671">
                  <c:v>0.83308329427064942</c:v>
                </c:pt>
                <c:pt idx="672">
                  <c:v>0.83860121654196007</c:v>
                </c:pt>
                <c:pt idx="673">
                  <c:v>0.84217998309051989</c:v>
                </c:pt>
                <c:pt idx="674">
                  <c:v>0.84693516562263271</c:v>
                </c:pt>
                <c:pt idx="675">
                  <c:v>0.85124892717680267</c:v>
                </c:pt>
                <c:pt idx="676">
                  <c:v>0.85680755765524008</c:v>
                </c:pt>
                <c:pt idx="677">
                  <c:v>0.86611782989506536</c:v>
                </c:pt>
                <c:pt idx="678">
                  <c:v>0.87126454131227749</c:v>
                </c:pt>
                <c:pt idx="679">
                  <c:v>0.87613904546990562</c:v>
                </c:pt>
                <c:pt idx="680">
                  <c:v>0.88073245843041048</c:v>
                </c:pt>
                <c:pt idx="681">
                  <c:v>0.88492892103183962</c:v>
                </c:pt>
                <c:pt idx="682">
                  <c:v>0.89300312993066855</c:v>
                </c:pt>
                <c:pt idx="683">
                  <c:v>0.89662323103280273</c:v>
                </c:pt>
                <c:pt idx="684">
                  <c:v>0.89992990443926701</c:v>
                </c:pt>
                <c:pt idx="685">
                  <c:v>0.90281552650900276</c:v>
                </c:pt>
                <c:pt idx="686">
                  <c:v>0.90751561164549199</c:v>
                </c:pt>
                <c:pt idx="687">
                  <c:v>0.9120094037872265</c:v>
                </c:pt>
                <c:pt idx="688">
                  <c:v>0.91629117329708498</c:v>
                </c:pt>
                <c:pt idx="689">
                  <c:v>0.92488774067193424</c:v>
                </c:pt>
                <c:pt idx="690">
                  <c:v>0.86182464711387285</c:v>
                </c:pt>
                <c:pt idx="691">
                  <c:v>0.86522929795387493</c:v>
                </c:pt>
                <c:pt idx="692">
                  <c:v>0.80117347882879664</c:v>
                </c:pt>
                <c:pt idx="693">
                  <c:v>0.80400899136725856</c:v>
                </c:pt>
                <c:pt idx="694">
                  <c:v>0.80662544026188099</c:v>
                </c:pt>
                <c:pt idx="695">
                  <c:v>0.80901808600413005</c:v>
                </c:pt>
                <c:pt idx="696">
                  <c:v>0.81369248413083883</c:v>
                </c:pt>
                <c:pt idx="697">
                  <c:v>0.75346270318515041</c:v>
                </c:pt>
                <c:pt idx="698">
                  <c:v>0.75786753285995534</c:v>
                </c:pt>
                <c:pt idx="699">
                  <c:v>0.69343625302854561</c:v>
                </c:pt>
                <c:pt idx="700">
                  <c:v>0.69762011501742027</c:v>
                </c:pt>
                <c:pt idx="701">
                  <c:v>0.70172106819454838</c:v>
                </c:pt>
                <c:pt idx="702">
                  <c:v>0.70839084784034134</c:v>
                </c:pt>
                <c:pt idx="703">
                  <c:v>0.71228523753149497</c:v>
                </c:pt>
                <c:pt idx="704">
                  <c:v>0.64641735740015194</c:v>
                </c:pt>
                <c:pt idx="705">
                  <c:v>0.65014689698980099</c:v>
                </c:pt>
                <c:pt idx="706">
                  <c:v>0.58533087621100355</c:v>
                </c:pt>
                <c:pt idx="707">
                  <c:v>0.58895429627819251</c:v>
                </c:pt>
                <c:pt idx="708">
                  <c:v>0.59392087228505952</c:v>
                </c:pt>
                <c:pt idx="709">
                  <c:v>0.59742814166166092</c:v>
                </c:pt>
                <c:pt idx="710">
                  <c:v>0.60086008001830238</c:v>
                </c:pt>
                <c:pt idx="711">
                  <c:v>0.53357943170746602</c:v>
                </c:pt>
                <c:pt idx="712">
                  <c:v>0.53688123330222481</c:v>
                </c:pt>
                <c:pt idx="713">
                  <c:v>-1.479492750312979E-4</c:v>
                </c:pt>
                <c:pt idx="714">
                  <c:v>0.4627698934940519</c:v>
                </c:pt>
                <c:pt idx="715">
                  <c:v>0.46594757493437033</c:v>
                </c:pt>
                <c:pt idx="716">
                  <c:v>0.46906865417408905</c:v>
                </c:pt>
                <c:pt idx="717">
                  <c:v>0.47213133567369053</c:v>
                </c:pt>
                <c:pt idx="718">
                  <c:v>0.47513382616167016</c:v>
                </c:pt>
                <c:pt idx="719">
                  <c:v>0.47798924089013295</c:v>
                </c:pt>
                <c:pt idx="720">
                  <c:v>0.48439539554390187</c:v>
                </c:pt>
                <c:pt idx="721">
                  <c:v>0.48722406853565325</c:v>
                </c:pt>
                <c:pt idx="722">
                  <c:v>0.48998597339291616</c:v>
                </c:pt>
                <c:pt idx="723">
                  <c:v>0.492679360240391</c:v>
                </c:pt>
                <c:pt idx="724">
                  <c:v>0.49530248769317586</c:v>
                </c:pt>
                <c:pt idx="725">
                  <c:v>0.49785362395472116</c:v>
                </c:pt>
                <c:pt idx="726">
                  <c:v>0.50024781220691783</c:v>
                </c:pt>
                <c:pt idx="727">
                  <c:v>0.50256643239332555</c:v>
                </c:pt>
                <c:pt idx="728">
                  <c:v>0.50881424690512467</c:v>
                </c:pt>
                <c:pt idx="729">
                  <c:v>0.51108351474001534</c:v>
                </c:pt>
                <c:pt idx="730">
                  <c:v>0.51327295079251811</c:v>
                </c:pt>
                <c:pt idx="731">
                  <c:v>0.51538091614024562</c:v>
                </c:pt>
                <c:pt idx="732">
                  <c:v>0.51740578881590216</c:v>
                </c:pt>
                <c:pt idx="733">
                  <c:v>0.52352164151066982</c:v>
                </c:pt>
                <c:pt idx="734">
                  <c:v>0.52540320134108887</c:v>
                </c:pt>
                <c:pt idx="735">
                  <c:v>0.52719754666362806</c:v>
                </c:pt>
                <c:pt idx="736">
                  <c:v>0.52890314258950422</c:v>
                </c:pt>
                <c:pt idx="737">
                  <c:v>0.53051847617611325</c:v>
                </c:pt>
                <c:pt idx="738">
                  <c:v>0.5320420575160596</c:v>
                </c:pt>
                <c:pt idx="739">
                  <c:v>0.53347242082323054</c:v>
                </c:pt>
                <c:pt idx="740">
                  <c:v>0.53934061745228601</c:v>
                </c:pt>
                <c:pt idx="741">
                  <c:v>0.47377154956646295</c:v>
                </c:pt>
                <c:pt idx="742">
                  <c:v>0.4748016850238535</c:v>
                </c:pt>
                <c:pt idx="743">
                  <c:v>0.40850678705835713</c:v>
                </c:pt>
                <c:pt idx="744">
                  <c:v>0.40924257706077816</c:v>
                </c:pt>
                <c:pt idx="745">
                  <c:v>0.40990251592644167</c:v>
                </c:pt>
                <c:pt idx="746">
                  <c:v>0.41048565105326545</c:v>
                </c:pt>
                <c:pt idx="747">
                  <c:v>0.41093592142388924</c:v>
                </c:pt>
                <c:pt idx="748">
                  <c:v>0.3465920866356636</c:v>
                </c:pt>
                <c:pt idx="749">
                  <c:v>0.34690585461659196</c:v>
                </c:pt>
                <c:pt idx="750">
                  <c:v>0.27840826364196131</c:v>
                </c:pt>
                <c:pt idx="751">
                  <c:v>0.27855234020167674</c:v>
                </c:pt>
                <c:pt idx="752">
                  <c:v>0.2786418248191308</c:v>
                </c:pt>
                <c:pt idx="753">
                  <c:v>0.28133025912892418</c:v>
                </c:pt>
                <c:pt idx="754">
                  <c:v>0.2813649660549416</c:v>
                </c:pt>
                <c:pt idx="755">
                  <c:v>0.21167220379630419</c:v>
                </c:pt>
                <c:pt idx="756">
                  <c:v>0.21161347057492122</c:v>
                </c:pt>
                <c:pt idx="757">
                  <c:v>0.14304760554497528</c:v>
                </c:pt>
                <c:pt idx="758">
                  <c:v>0.14296143883618986</c:v>
                </c:pt>
                <c:pt idx="759">
                  <c:v>0.1442605232151796</c:v>
                </c:pt>
                <c:pt idx="760">
                  <c:v>0.14414424160844477</c:v>
                </c:pt>
                <c:pt idx="761">
                  <c:v>0.14399842199252577</c:v>
                </c:pt>
                <c:pt idx="762">
                  <c:v>7.3276414391327011E-2</c:v>
                </c:pt>
                <c:pt idx="763">
                  <c:v>7.3187080884390798E-2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ABC-471E-92D0-026278F2D637}"/>
            </c:ext>
          </c:extLst>
        </c:ser>
        <c:ser>
          <c:idx val="3"/>
          <c:order val="3"/>
          <c:tx>
            <c:strRef>
              <c:f>Clarias_Bioplan!$A$9</c:f>
              <c:strCache>
                <c:ptCount val="1"/>
                <c:pt idx="0">
                  <c:v>COLLECTED FECES DM - LOW DIGEST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Clarias_Bioplan!$C$9:$ACL$9</c:f>
              <c:numCache>
                <c:formatCode>0.000</c:formatCode>
                <c:ptCount val="764"/>
                <c:pt idx="0">
                  <c:v>2.8767375000000001E-2</c:v>
                </c:pt>
                <c:pt idx="1">
                  <c:v>3.1428185343749998E-2</c:v>
                </c:pt>
                <c:pt idx="2">
                  <c:v>3.4379091555699778E-2</c:v>
                </c:pt>
                <c:pt idx="3">
                  <c:v>3.7534574346358804E-2</c:v>
                </c:pt>
                <c:pt idx="4">
                  <c:v>4.081786896864173E-2</c:v>
                </c:pt>
                <c:pt idx="5">
                  <c:v>4.4357590614689434E-2</c:v>
                </c:pt>
                <c:pt idx="6">
                  <c:v>4.8186520611386591E-2</c:v>
                </c:pt>
                <c:pt idx="7">
                  <c:v>5.2222874773248606E-2</c:v>
                </c:pt>
                <c:pt idx="8">
                  <c:v>5.6476681989618513E-2</c:v>
                </c:pt>
                <c:pt idx="9">
                  <c:v>6.080612042498889E-2</c:v>
                </c:pt>
                <c:pt idx="10">
                  <c:v>6.5397921735373121E-2</c:v>
                </c:pt>
                <c:pt idx="11">
                  <c:v>7.0165812965810551E-2</c:v>
                </c:pt>
                <c:pt idx="12">
                  <c:v>7.5201858084829001E-2</c:v>
                </c:pt>
                <c:pt idx="13">
                  <c:v>8.0410000906780466E-2</c:v>
                </c:pt>
                <c:pt idx="14">
                  <c:v>8.5716816084230346E-2</c:v>
                </c:pt>
                <c:pt idx="15">
                  <c:v>9.1147391141953818E-2</c:v>
                </c:pt>
                <c:pt idx="16">
                  <c:v>9.6601366087709403E-2</c:v>
                </c:pt>
                <c:pt idx="17">
                  <c:v>0.10232793384679666</c:v>
                </c:pt>
                <c:pt idx="18">
                  <c:v>0.10825860223794137</c:v>
                </c:pt>
                <c:pt idx="19">
                  <c:v>0.11426478085244791</c:v>
                </c:pt>
                <c:pt idx="20">
                  <c:v>0.12045352673417928</c:v>
                </c:pt>
                <c:pt idx="21">
                  <c:v>0.1264056540417349</c:v>
                </c:pt>
                <c:pt idx="22">
                  <c:v>0.13275784201707733</c:v>
                </c:pt>
                <c:pt idx="23">
                  <c:v>0.13911910738795621</c:v>
                </c:pt>
                <c:pt idx="24">
                  <c:v>0.1459430734799356</c:v>
                </c:pt>
                <c:pt idx="25">
                  <c:v>0.15294085992617384</c:v>
                </c:pt>
                <c:pt idx="26">
                  <c:v>0.15996084215124107</c:v>
                </c:pt>
                <c:pt idx="27">
                  <c:v>0.16712705574052664</c:v>
                </c:pt>
                <c:pt idx="28">
                  <c:v>0.17428124467294656</c:v>
                </c:pt>
                <c:pt idx="29">
                  <c:v>0.18155010226963786</c:v>
                </c:pt>
                <c:pt idx="30">
                  <c:v>0.18892136914736421</c:v>
                </c:pt>
                <c:pt idx="31">
                  <c:v>0.19622630081571341</c:v>
                </c:pt>
                <c:pt idx="32">
                  <c:v>0.20359646460200187</c:v>
                </c:pt>
                <c:pt idx="33">
                  <c:v>0.21101653853091487</c:v>
                </c:pt>
                <c:pt idx="34">
                  <c:v>0.21830942485875185</c:v>
                </c:pt>
                <c:pt idx="35">
                  <c:v>0.22498701524008738</c:v>
                </c:pt>
                <c:pt idx="36">
                  <c:v>0.23205447438918039</c:v>
                </c:pt>
                <c:pt idx="37">
                  <c:v>0.23839773247220186</c:v>
                </c:pt>
                <c:pt idx="38">
                  <c:v>0.24530223561961068</c:v>
                </c:pt>
                <c:pt idx="39">
                  <c:v>0.25196412791327999</c:v>
                </c:pt>
                <c:pt idx="40">
                  <c:v>0.25773480634284951</c:v>
                </c:pt>
                <c:pt idx="41">
                  <c:v>0.26409067636157746</c:v>
                </c:pt>
                <c:pt idx="42">
                  <c:v>0.26928248468607602</c:v>
                </c:pt>
                <c:pt idx="43">
                  <c:v>0.27507647066011298</c:v>
                </c:pt>
                <c:pt idx="44">
                  <c:v>0.2806681444439037</c:v>
                </c:pt>
                <c:pt idx="45">
                  <c:v>0.28588096634286236</c:v>
                </c:pt>
                <c:pt idx="46">
                  <c:v>0.2908454321861057</c:v>
                </c:pt>
                <c:pt idx="47">
                  <c:v>0.29554020078954218</c:v>
                </c:pt>
                <c:pt idx="48">
                  <c:v>0.29979487743307637</c:v>
                </c:pt>
                <c:pt idx="49">
                  <c:v>0.3037364662739942</c:v>
                </c:pt>
                <c:pt idx="50">
                  <c:v>0</c:v>
                </c:pt>
                <c:pt idx="51">
                  <c:v>0.32849091265482161</c:v>
                </c:pt>
                <c:pt idx="52">
                  <c:v>0.33379805665204776</c:v>
                </c:pt>
                <c:pt idx="53">
                  <c:v>0.3388888064642161</c:v>
                </c:pt>
                <c:pt idx="54">
                  <c:v>0.34630135088798258</c:v>
                </c:pt>
                <c:pt idx="55">
                  <c:v>0.35366065385192891</c:v>
                </c:pt>
                <c:pt idx="56">
                  <c:v>0.35962953110799845</c:v>
                </c:pt>
                <c:pt idx="57">
                  <c:v>0.36693525264060645</c:v>
                </c:pt>
                <c:pt idx="58">
                  <c:v>0.37423110811493149</c:v>
                </c:pt>
                <c:pt idx="59">
                  <c:v>0.38151624913694482</c:v>
                </c:pt>
                <c:pt idx="60">
                  <c:v>0.38852156323700171</c:v>
                </c:pt>
                <c:pt idx="61">
                  <c:v>0.39401870684864648</c:v>
                </c:pt>
                <c:pt idx="62">
                  <c:v>0.40087464191435834</c:v>
                </c:pt>
                <c:pt idx="63">
                  <c:v>0.40772923016156198</c:v>
                </c:pt>
                <c:pt idx="64">
                  <c:v>0.41600685641806784</c:v>
                </c:pt>
                <c:pt idx="65">
                  <c:v>0.42421494733785864</c:v>
                </c:pt>
                <c:pt idx="66">
                  <c:v>0.4323715215788338</c:v>
                </c:pt>
                <c:pt idx="67">
                  <c:v>0.44036924525576077</c:v>
                </c:pt>
                <c:pt idx="68">
                  <c:v>0.448450447595374</c:v>
                </c:pt>
                <c:pt idx="69">
                  <c:v>0.45643841170567168</c:v>
                </c:pt>
                <c:pt idx="70">
                  <c:v>0.46429987514507814</c:v>
                </c:pt>
                <c:pt idx="71">
                  <c:v>0.47213566012632918</c:v>
                </c:pt>
                <c:pt idx="72">
                  <c:v>0.4795205193028666</c:v>
                </c:pt>
                <c:pt idx="73">
                  <c:v>0.48699062678291805</c:v>
                </c:pt>
                <c:pt idx="74">
                  <c:v>0.49627428835894649</c:v>
                </c:pt>
                <c:pt idx="75">
                  <c:v>0.50591213836840943</c:v>
                </c:pt>
                <c:pt idx="76">
                  <c:v>0.51561125700666766</c:v>
                </c:pt>
                <c:pt idx="77">
                  <c:v>0.52521601151722352</c:v>
                </c:pt>
                <c:pt idx="78">
                  <c:v>0.53475630604859936</c:v>
                </c:pt>
                <c:pt idx="79">
                  <c:v>0.54416003586980899</c:v>
                </c:pt>
                <c:pt idx="80">
                  <c:v>0.55355012605215959</c:v>
                </c:pt>
                <c:pt idx="81">
                  <c:v>0.56291060375350355</c:v>
                </c:pt>
                <c:pt idx="82">
                  <c:v>0.57206907123876127</c:v>
                </c:pt>
                <c:pt idx="83">
                  <c:v>0.58115350823966305</c:v>
                </c:pt>
                <c:pt idx="84">
                  <c:v>0.59257538741118299</c:v>
                </c:pt>
                <c:pt idx="85">
                  <c:v>0.60376579843194988</c:v>
                </c:pt>
                <c:pt idx="86">
                  <c:v>0.61431913147064232</c:v>
                </c:pt>
                <c:pt idx="87">
                  <c:v>0.62523888538699712</c:v>
                </c:pt>
                <c:pt idx="88">
                  <c:v>0.63540930861343248</c:v>
                </c:pt>
                <c:pt idx="89">
                  <c:v>0.64611415039632214</c:v>
                </c:pt>
                <c:pt idx="90">
                  <c:v>0.65654784353462259</c:v>
                </c:pt>
                <c:pt idx="91">
                  <c:v>0.66597506353116331</c:v>
                </c:pt>
                <c:pt idx="92">
                  <c:v>0.67595450609153851</c:v>
                </c:pt>
                <c:pt idx="93">
                  <c:v>0.68473520444754088</c:v>
                </c:pt>
                <c:pt idx="94">
                  <c:v>0.69408167444898194</c:v>
                </c:pt>
                <c:pt idx="95">
                  <c:v>0.70318769359948519</c:v>
                </c:pt>
                <c:pt idx="96">
                  <c:v>0.71187498125116955</c:v>
                </c:pt>
                <c:pt idx="97">
                  <c:v>0.72027228486810002</c:v>
                </c:pt>
                <c:pt idx="98">
                  <c:v>0.72835650839290966</c:v>
                </c:pt>
                <c:pt idx="99">
                  <c:v>0.73587142015362927</c:v>
                </c:pt>
                <c:pt idx="100">
                  <c:v>0.74302566330141595</c:v>
                </c:pt>
                <c:pt idx="101">
                  <c:v>0</c:v>
                </c:pt>
                <c:pt idx="102">
                  <c:v>0.76690449596497601</c:v>
                </c:pt>
                <c:pt idx="103">
                  <c:v>0.77522207501092488</c:v>
                </c:pt>
                <c:pt idx="104">
                  <c:v>0.78326963673440586</c:v>
                </c:pt>
                <c:pt idx="105">
                  <c:v>0.79358366889463683</c:v>
                </c:pt>
                <c:pt idx="106">
                  <c:v>0.80378743653140594</c:v>
                </c:pt>
                <c:pt idx="107">
                  <c:v>0.81246144353022964</c:v>
                </c:pt>
                <c:pt idx="108">
                  <c:v>0.82583615368219754</c:v>
                </c:pt>
                <c:pt idx="109">
                  <c:v>0.83581180462239235</c:v>
                </c:pt>
                <c:pt idx="110">
                  <c:v>0.84571348708812855</c:v>
                </c:pt>
                <c:pt idx="111">
                  <c:v>0.85527043083316157</c:v>
                </c:pt>
                <c:pt idx="112">
                  <c:v>0.86325264255797096</c:v>
                </c:pt>
                <c:pt idx="113">
                  <c:v>0.87252544355567319</c:v>
                </c:pt>
                <c:pt idx="114">
                  <c:v>0.88164821014706318</c:v>
                </c:pt>
                <c:pt idx="115">
                  <c:v>0.89212242394858687</c:v>
                </c:pt>
                <c:pt idx="116">
                  <c:v>0.90624949703745017</c:v>
                </c:pt>
                <c:pt idx="117">
                  <c:v>0.91655590396411135</c:v>
                </c:pt>
                <c:pt idx="118">
                  <c:v>0.92662783021709361</c:v>
                </c:pt>
                <c:pt idx="119">
                  <c:v>0.93670605235981708</c:v>
                </c:pt>
                <c:pt idx="120">
                  <c:v>0.94661231689968428</c:v>
                </c:pt>
                <c:pt idx="121">
                  <c:v>0.96026774604992349</c:v>
                </c:pt>
                <c:pt idx="122">
                  <c:v>0.96988606139683464</c:v>
                </c:pt>
                <c:pt idx="123">
                  <c:v>0.97897082666840896</c:v>
                </c:pt>
                <c:pt idx="124">
                  <c:v>0.98805676186771163</c:v>
                </c:pt>
                <c:pt idx="125">
                  <c:v>0.99887073947315919</c:v>
                </c:pt>
                <c:pt idx="126">
                  <c:v>1.0099519823309924</c:v>
                </c:pt>
                <c:pt idx="127">
                  <c:v>1.0210061819970968</c:v>
                </c:pt>
                <c:pt idx="128">
                  <c:v>1.0361702806825472</c:v>
                </c:pt>
                <c:pt idx="129">
                  <c:v>0.98359251090103794</c:v>
                </c:pt>
                <c:pt idx="130">
                  <c:v>0.99397215852398602</c:v>
                </c:pt>
                <c:pt idx="131">
                  <c:v>0.94055655589691911</c:v>
                </c:pt>
                <c:pt idx="132">
                  <c:v>0.95061409781108286</c:v>
                </c:pt>
                <c:pt idx="133">
                  <c:v>0.96039777053749553</c:v>
                </c:pt>
                <c:pt idx="134">
                  <c:v>0.97003465134275679</c:v>
                </c:pt>
                <c:pt idx="135">
                  <c:v>0.98188310244434118</c:v>
                </c:pt>
                <c:pt idx="136">
                  <c:v>0.93211619629731535</c:v>
                </c:pt>
                <c:pt idx="137">
                  <c:v>0.9429667832126768</c:v>
                </c:pt>
                <c:pt idx="138">
                  <c:v>0.88899408252148682</c:v>
                </c:pt>
                <c:pt idx="139">
                  <c:v>0.89930099933081054</c:v>
                </c:pt>
                <c:pt idx="140">
                  <c:v>0.91009061601444596</c:v>
                </c:pt>
                <c:pt idx="141">
                  <c:v>0.92307124691991915</c:v>
                </c:pt>
                <c:pt idx="142">
                  <c:v>0.93253134716216068</c:v>
                </c:pt>
                <c:pt idx="143">
                  <c:v>0.87648606758277414</c:v>
                </c:pt>
                <c:pt idx="144">
                  <c:v>0.88521112393957146</c:v>
                </c:pt>
                <c:pt idx="145">
                  <c:v>0.82960045864948495</c:v>
                </c:pt>
                <c:pt idx="146">
                  <c:v>0.83862484618113864</c:v>
                </c:pt>
                <c:pt idx="147">
                  <c:v>0.84854284534976077</c:v>
                </c:pt>
                <c:pt idx="148">
                  <c:v>0.85682998744452143</c:v>
                </c:pt>
                <c:pt idx="149">
                  <c:v>0.86477606607003921</c:v>
                </c:pt>
                <c:pt idx="150">
                  <c:v>0.8052911811559389</c:v>
                </c:pt>
                <c:pt idx="151">
                  <c:v>0.81236079256031246</c:v>
                </c:pt>
                <c:pt idx="152">
                  <c:v>-1.401624710822822E-4</c:v>
                </c:pt>
                <c:pt idx="153">
                  <c:v>0.76690449596497601</c:v>
                </c:pt>
                <c:pt idx="154">
                  <c:v>0.77522207501092488</c:v>
                </c:pt>
                <c:pt idx="155">
                  <c:v>0.78326963673440586</c:v>
                </c:pt>
                <c:pt idx="156">
                  <c:v>0.79358366889463683</c:v>
                </c:pt>
                <c:pt idx="157">
                  <c:v>0.80378743653140594</c:v>
                </c:pt>
                <c:pt idx="158">
                  <c:v>0.81246144353022964</c:v>
                </c:pt>
                <c:pt idx="159">
                  <c:v>0.82583615368219754</c:v>
                </c:pt>
                <c:pt idx="160">
                  <c:v>0.83581180462239235</c:v>
                </c:pt>
                <c:pt idx="161">
                  <c:v>0.84571348708812855</c:v>
                </c:pt>
                <c:pt idx="162">
                  <c:v>0.85527043083316157</c:v>
                </c:pt>
                <c:pt idx="163">
                  <c:v>0.86325264255797096</c:v>
                </c:pt>
                <c:pt idx="164">
                  <c:v>0.87252544355567319</c:v>
                </c:pt>
                <c:pt idx="165">
                  <c:v>0.88164821014706318</c:v>
                </c:pt>
                <c:pt idx="166">
                  <c:v>0.89212242394858687</c:v>
                </c:pt>
                <c:pt idx="167">
                  <c:v>0.90624949703745017</c:v>
                </c:pt>
                <c:pt idx="168">
                  <c:v>0.91655590396411135</c:v>
                </c:pt>
                <c:pt idx="169">
                  <c:v>0.92662783021709361</c:v>
                </c:pt>
                <c:pt idx="170">
                  <c:v>0.93670605235981708</c:v>
                </c:pt>
                <c:pt idx="171">
                  <c:v>0.94661231689968428</c:v>
                </c:pt>
                <c:pt idx="172">
                  <c:v>0.96026774604992349</c:v>
                </c:pt>
                <c:pt idx="173">
                  <c:v>0.96988606139683464</c:v>
                </c:pt>
                <c:pt idx="174">
                  <c:v>0.97897082666840896</c:v>
                </c:pt>
                <c:pt idx="175">
                  <c:v>0.98805676186771163</c:v>
                </c:pt>
                <c:pt idx="176">
                  <c:v>0.99887073947315919</c:v>
                </c:pt>
                <c:pt idx="177">
                  <c:v>1.0099519823309924</c:v>
                </c:pt>
                <c:pt idx="178">
                  <c:v>1.0210061819970968</c:v>
                </c:pt>
                <c:pt idx="179">
                  <c:v>1.0361702806825472</c:v>
                </c:pt>
                <c:pt idx="180">
                  <c:v>0.98359251090103794</c:v>
                </c:pt>
                <c:pt idx="181">
                  <c:v>0.99397215852398602</c:v>
                </c:pt>
                <c:pt idx="182">
                  <c:v>0.94055655589691911</c:v>
                </c:pt>
                <c:pt idx="183">
                  <c:v>0.95061409781108286</c:v>
                </c:pt>
                <c:pt idx="184">
                  <c:v>0.96039777053749553</c:v>
                </c:pt>
                <c:pt idx="185">
                  <c:v>0.97003465134275679</c:v>
                </c:pt>
                <c:pt idx="186">
                  <c:v>0.98188310244434118</c:v>
                </c:pt>
                <c:pt idx="187">
                  <c:v>0.93211619629731535</c:v>
                </c:pt>
                <c:pt idx="188">
                  <c:v>0.9429667832126768</c:v>
                </c:pt>
                <c:pt idx="189">
                  <c:v>0.88899408252148682</c:v>
                </c:pt>
                <c:pt idx="190">
                  <c:v>0.89930099933081054</c:v>
                </c:pt>
                <c:pt idx="191">
                  <c:v>0.91009061601444596</c:v>
                </c:pt>
                <c:pt idx="192">
                  <c:v>0.92307124691991915</c:v>
                </c:pt>
                <c:pt idx="193">
                  <c:v>0.93253134716216068</c:v>
                </c:pt>
                <c:pt idx="194">
                  <c:v>0.87648606758277414</c:v>
                </c:pt>
                <c:pt idx="195">
                  <c:v>0.88521112393957146</c:v>
                </c:pt>
                <c:pt idx="196">
                  <c:v>0.82960045864948495</c:v>
                </c:pt>
                <c:pt idx="197">
                  <c:v>0.83862484618113864</c:v>
                </c:pt>
                <c:pt idx="198">
                  <c:v>0.84854284534976077</c:v>
                </c:pt>
                <c:pt idx="199">
                  <c:v>0.85682998744452143</c:v>
                </c:pt>
                <c:pt idx="200">
                  <c:v>0.86477606607003921</c:v>
                </c:pt>
                <c:pt idx="201">
                  <c:v>0.8052911811559389</c:v>
                </c:pt>
                <c:pt idx="202">
                  <c:v>0.81236079256031246</c:v>
                </c:pt>
                <c:pt idx="203">
                  <c:v>-1.401624710822822E-4</c:v>
                </c:pt>
                <c:pt idx="204">
                  <c:v>0.76690449596497601</c:v>
                </c:pt>
                <c:pt idx="205">
                  <c:v>0.77522207501092488</c:v>
                </c:pt>
                <c:pt idx="206">
                  <c:v>0.78326963673440586</c:v>
                </c:pt>
                <c:pt idx="207">
                  <c:v>0.79358366889463683</c:v>
                </c:pt>
                <c:pt idx="208">
                  <c:v>0.80378743653140594</c:v>
                </c:pt>
                <c:pt idx="209">
                  <c:v>0.81246144353022964</c:v>
                </c:pt>
                <c:pt idx="210">
                  <c:v>0.82583615368219754</c:v>
                </c:pt>
                <c:pt idx="211">
                  <c:v>0.83581180462239235</c:v>
                </c:pt>
                <c:pt idx="212">
                  <c:v>0.84571348708812855</c:v>
                </c:pt>
                <c:pt idx="213">
                  <c:v>0.85527043083316157</c:v>
                </c:pt>
                <c:pt idx="214">
                  <c:v>0.86325264255797096</c:v>
                </c:pt>
                <c:pt idx="215">
                  <c:v>0.87252544355567319</c:v>
                </c:pt>
                <c:pt idx="216">
                  <c:v>0.88164821014706318</c:v>
                </c:pt>
                <c:pt idx="217">
                  <c:v>0.89212242394858687</c:v>
                </c:pt>
                <c:pt idx="218">
                  <c:v>0.90624949703745017</c:v>
                </c:pt>
                <c:pt idx="219">
                  <c:v>0.91655590396411135</c:v>
                </c:pt>
                <c:pt idx="220">
                  <c:v>0.92662783021709361</c:v>
                </c:pt>
                <c:pt idx="221">
                  <c:v>0.93670605235981708</c:v>
                </c:pt>
                <c:pt idx="222">
                  <c:v>0.94661231689968428</c:v>
                </c:pt>
                <c:pt idx="223">
                  <c:v>0.96026774604992349</c:v>
                </c:pt>
                <c:pt idx="224">
                  <c:v>0.96988606139683464</c:v>
                </c:pt>
                <c:pt idx="225">
                  <c:v>0.97897082666840896</c:v>
                </c:pt>
                <c:pt idx="226">
                  <c:v>0.98805676186771163</c:v>
                </c:pt>
                <c:pt idx="227">
                  <c:v>0.99887073947315919</c:v>
                </c:pt>
                <c:pt idx="228">
                  <c:v>1.0099519823309924</c:v>
                </c:pt>
                <c:pt idx="229">
                  <c:v>1.0210061819970968</c:v>
                </c:pt>
                <c:pt idx="230">
                  <c:v>1.0361702806825472</c:v>
                </c:pt>
                <c:pt idx="231">
                  <c:v>0.98359251090103794</c:v>
                </c:pt>
                <c:pt idx="232">
                  <c:v>0.99397215852398602</c:v>
                </c:pt>
                <c:pt idx="233">
                  <c:v>0.94055655589691911</c:v>
                </c:pt>
                <c:pt idx="234">
                  <c:v>0.95061409781108286</c:v>
                </c:pt>
                <c:pt idx="235">
                  <c:v>0.96039777053749553</c:v>
                </c:pt>
                <c:pt idx="236">
                  <c:v>0.97003465134275679</c:v>
                </c:pt>
                <c:pt idx="237">
                  <c:v>0.98188310244434118</c:v>
                </c:pt>
                <c:pt idx="238">
                  <c:v>0.93211619629731535</c:v>
                </c:pt>
                <c:pt idx="239">
                  <c:v>0.9429667832126768</c:v>
                </c:pt>
                <c:pt idx="240">
                  <c:v>0.88899408252148682</c:v>
                </c:pt>
                <c:pt idx="241">
                  <c:v>0.89930099933081054</c:v>
                </c:pt>
                <c:pt idx="242">
                  <c:v>0.91009061601444596</c:v>
                </c:pt>
                <c:pt idx="243">
                  <c:v>0.92307124691991915</c:v>
                </c:pt>
                <c:pt idx="244">
                  <c:v>0.93253134716216068</c:v>
                </c:pt>
                <c:pt idx="245">
                  <c:v>0.87648606758277414</c:v>
                </c:pt>
                <c:pt idx="246">
                  <c:v>0.88521112393957146</c:v>
                </c:pt>
                <c:pt idx="247">
                  <c:v>0.82960045864948495</c:v>
                </c:pt>
                <c:pt idx="248">
                  <c:v>0.83862484618113864</c:v>
                </c:pt>
                <c:pt idx="249">
                  <c:v>0.84854284534976077</c:v>
                </c:pt>
                <c:pt idx="250">
                  <c:v>0.85682998744452143</c:v>
                </c:pt>
                <c:pt idx="251">
                  <c:v>0.86477606607003921</c:v>
                </c:pt>
                <c:pt idx="252">
                  <c:v>0.8052911811559389</c:v>
                </c:pt>
                <c:pt idx="253">
                  <c:v>0.81236079256031246</c:v>
                </c:pt>
                <c:pt idx="254">
                  <c:v>-1.401624710822822E-4</c:v>
                </c:pt>
                <c:pt idx="255">
                  <c:v>0.76690449596497601</c:v>
                </c:pt>
                <c:pt idx="256">
                  <c:v>0.77522207501092488</c:v>
                </c:pt>
                <c:pt idx="257">
                  <c:v>0.78326963673440586</c:v>
                </c:pt>
                <c:pt idx="258">
                  <c:v>0.79358366889463683</c:v>
                </c:pt>
                <c:pt idx="259">
                  <c:v>0.80378743653140594</c:v>
                </c:pt>
                <c:pt idx="260">
                  <c:v>0.81246144353022964</c:v>
                </c:pt>
                <c:pt idx="261">
                  <c:v>0.82583615368219754</c:v>
                </c:pt>
                <c:pt idx="262">
                  <c:v>0.83581180462239235</c:v>
                </c:pt>
                <c:pt idx="263">
                  <c:v>0.84571348708812855</c:v>
                </c:pt>
                <c:pt idx="264">
                  <c:v>0.85527043083316157</c:v>
                </c:pt>
                <c:pt idx="265">
                  <c:v>0.86325264255797096</c:v>
                </c:pt>
                <c:pt idx="266">
                  <c:v>0.87252544355567319</c:v>
                </c:pt>
                <c:pt idx="267">
                  <c:v>0.88164821014706318</c:v>
                </c:pt>
                <c:pt idx="268">
                  <c:v>0.89212242394858687</c:v>
                </c:pt>
                <c:pt idx="269">
                  <c:v>0.90624949703745017</c:v>
                </c:pt>
                <c:pt idx="270">
                  <c:v>0.91655590396411135</c:v>
                </c:pt>
                <c:pt idx="271">
                  <c:v>0.92662783021709361</c:v>
                </c:pt>
                <c:pt idx="272">
                  <c:v>0.93670605235981708</c:v>
                </c:pt>
                <c:pt idx="273">
                  <c:v>0.94661231689968428</c:v>
                </c:pt>
                <c:pt idx="274">
                  <c:v>0.96026774604992349</c:v>
                </c:pt>
                <c:pt idx="275">
                  <c:v>0.96988606139683464</c:v>
                </c:pt>
                <c:pt idx="276">
                  <c:v>0.97897082666840896</c:v>
                </c:pt>
                <c:pt idx="277">
                  <c:v>0.98805676186771163</c:v>
                </c:pt>
                <c:pt idx="278">
                  <c:v>0.99887073947315919</c:v>
                </c:pt>
                <c:pt idx="279">
                  <c:v>1.0099519823309924</c:v>
                </c:pt>
                <c:pt idx="280">
                  <c:v>1.0210061819970968</c:v>
                </c:pt>
                <c:pt idx="281">
                  <c:v>1.0361702806825472</c:v>
                </c:pt>
                <c:pt idx="282">
                  <c:v>0.98359251090103794</c:v>
                </c:pt>
                <c:pt idx="283">
                  <c:v>0.99397215852398602</c:v>
                </c:pt>
                <c:pt idx="284">
                  <c:v>0.94055655589691911</c:v>
                </c:pt>
                <c:pt idx="285">
                  <c:v>0.95061409781108286</c:v>
                </c:pt>
                <c:pt idx="286">
                  <c:v>0.96039777053749553</c:v>
                </c:pt>
                <c:pt idx="287">
                  <c:v>0.97003465134275679</c:v>
                </c:pt>
                <c:pt idx="288">
                  <c:v>0.98188310244434118</c:v>
                </c:pt>
                <c:pt idx="289">
                  <c:v>0.93211619629731535</c:v>
                </c:pt>
                <c:pt idx="290">
                  <c:v>0.9429667832126768</c:v>
                </c:pt>
                <c:pt idx="291">
                  <c:v>0.88899408252148682</c:v>
                </c:pt>
                <c:pt idx="292">
                  <c:v>0.89930099933081054</c:v>
                </c:pt>
                <c:pt idx="293">
                  <c:v>0.91009061601444596</c:v>
                </c:pt>
                <c:pt idx="294">
                  <c:v>0.92307124691991915</c:v>
                </c:pt>
                <c:pt idx="295">
                  <c:v>0.93253134716216068</c:v>
                </c:pt>
                <c:pt idx="296">
                  <c:v>0.87648606758277414</c:v>
                </c:pt>
                <c:pt idx="297">
                  <c:v>0.88521112393957146</c:v>
                </c:pt>
                <c:pt idx="298">
                  <c:v>0.82960045864948495</c:v>
                </c:pt>
                <c:pt idx="299">
                  <c:v>0.83862484618113864</c:v>
                </c:pt>
                <c:pt idx="300">
                  <c:v>0.84854284534976077</c:v>
                </c:pt>
                <c:pt idx="301">
                  <c:v>0.85682998744452143</c:v>
                </c:pt>
                <c:pt idx="302">
                  <c:v>0.86477606607003921</c:v>
                </c:pt>
                <c:pt idx="303">
                  <c:v>0.8052911811559389</c:v>
                </c:pt>
                <c:pt idx="304">
                  <c:v>0.81236079256031246</c:v>
                </c:pt>
                <c:pt idx="305">
                  <c:v>-1.401624710822822E-4</c:v>
                </c:pt>
                <c:pt idx="306">
                  <c:v>0.76690449596497601</c:v>
                </c:pt>
                <c:pt idx="307">
                  <c:v>0.77522207501092488</c:v>
                </c:pt>
                <c:pt idx="308">
                  <c:v>0.78326963673440586</c:v>
                </c:pt>
                <c:pt idx="309">
                  <c:v>0.79358366889463683</c:v>
                </c:pt>
                <c:pt idx="310">
                  <c:v>0.80378743653140594</c:v>
                </c:pt>
                <c:pt idx="311">
                  <c:v>0.81246144353022964</c:v>
                </c:pt>
                <c:pt idx="312">
                  <c:v>0.82583615368219754</c:v>
                </c:pt>
                <c:pt idx="313">
                  <c:v>0.83581180462239235</c:v>
                </c:pt>
                <c:pt idx="314">
                  <c:v>0.84571348708812855</c:v>
                </c:pt>
                <c:pt idx="315">
                  <c:v>0.85527043083316157</c:v>
                </c:pt>
                <c:pt idx="316">
                  <c:v>0.86325264255797096</c:v>
                </c:pt>
                <c:pt idx="317">
                  <c:v>0.87252544355567319</c:v>
                </c:pt>
                <c:pt idx="318">
                  <c:v>0.88164821014706318</c:v>
                </c:pt>
                <c:pt idx="319">
                  <c:v>0.89212242394858687</c:v>
                </c:pt>
                <c:pt idx="320">
                  <c:v>0.90624949703745017</c:v>
                </c:pt>
                <c:pt idx="321">
                  <c:v>0.91655590396411135</c:v>
                </c:pt>
                <c:pt idx="322">
                  <c:v>0.92662783021709361</c:v>
                </c:pt>
                <c:pt idx="323">
                  <c:v>0.93670605235981708</c:v>
                </c:pt>
                <c:pt idx="324">
                  <c:v>0.94661231689968428</c:v>
                </c:pt>
                <c:pt idx="325">
                  <c:v>0.96026774604992349</c:v>
                </c:pt>
                <c:pt idx="326">
                  <c:v>0.96988606139683464</c:v>
                </c:pt>
                <c:pt idx="327">
                  <c:v>0.97897082666840896</c:v>
                </c:pt>
                <c:pt idx="328">
                  <c:v>0.98805676186771163</c:v>
                </c:pt>
                <c:pt idx="329">
                  <c:v>0.99887073947315919</c:v>
                </c:pt>
                <c:pt idx="330">
                  <c:v>1.0099519823309924</c:v>
                </c:pt>
                <c:pt idx="331">
                  <c:v>1.0210061819970968</c:v>
                </c:pt>
                <c:pt idx="332">
                  <c:v>1.0361702806825472</c:v>
                </c:pt>
                <c:pt idx="333">
                  <c:v>0.98359251090103794</c:v>
                </c:pt>
                <c:pt idx="334">
                  <c:v>0.99397215852398602</c:v>
                </c:pt>
                <c:pt idx="335">
                  <c:v>0.94055655589691911</c:v>
                </c:pt>
                <c:pt idx="336">
                  <c:v>0.95061409781108286</c:v>
                </c:pt>
                <c:pt idx="337">
                  <c:v>0.96039777053749553</c:v>
                </c:pt>
                <c:pt idx="338">
                  <c:v>0.97003465134275679</c:v>
                </c:pt>
                <c:pt idx="339">
                  <c:v>0.98188310244434118</c:v>
                </c:pt>
                <c:pt idx="340">
                  <c:v>0.93211619629731535</c:v>
                </c:pt>
                <c:pt idx="341">
                  <c:v>0.9429667832126768</c:v>
                </c:pt>
                <c:pt idx="342">
                  <c:v>0.88899408252148682</c:v>
                </c:pt>
                <c:pt idx="343">
                  <c:v>0.89930099933081054</c:v>
                </c:pt>
                <c:pt idx="344">
                  <c:v>0.91009061601444596</c:v>
                </c:pt>
                <c:pt idx="345">
                  <c:v>0.92307124691991915</c:v>
                </c:pt>
                <c:pt idx="346">
                  <c:v>0.93253134716216068</c:v>
                </c:pt>
                <c:pt idx="347">
                  <c:v>0.87648606758277414</c:v>
                </c:pt>
                <c:pt idx="348">
                  <c:v>0.88521112393957146</c:v>
                </c:pt>
                <c:pt idx="349">
                  <c:v>0.82960045864948495</c:v>
                </c:pt>
                <c:pt idx="350">
                  <c:v>0.83862484618113864</c:v>
                </c:pt>
                <c:pt idx="351">
                  <c:v>0.84854284534976077</c:v>
                </c:pt>
                <c:pt idx="352">
                  <c:v>0.85682998744452143</c:v>
                </c:pt>
                <c:pt idx="353">
                  <c:v>0.86477606607003921</c:v>
                </c:pt>
                <c:pt idx="354">
                  <c:v>0.8052911811559389</c:v>
                </c:pt>
                <c:pt idx="355">
                  <c:v>0.81236079256031246</c:v>
                </c:pt>
                <c:pt idx="356">
                  <c:v>-1.401624710822822E-4</c:v>
                </c:pt>
                <c:pt idx="357">
                  <c:v>0.76690449596497601</c:v>
                </c:pt>
                <c:pt idx="358">
                  <c:v>0.77522207501092488</c:v>
                </c:pt>
                <c:pt idx="359">
                  <c:v>0.78326963673440586</c:v>
                </c:pt>
                <c:pt idx="360">
                  <c:v>0.79358366889463683</c:v>
                </c:pt>
                <c:pt idx="361">
                  <c:v>0.80378743653140594</c:v>
                </c:pt>
                <c:pt idx="362">
                  <c:v>0.81246144353022964</c:v>
                </c:pt>
                <c:pt idx="363">
                  <c:v>0.82583615368219754</c:v>
                </c:pt>
                <c:pt idx="364">
                  <c:v>0.83581180462239235</c:v>
                </c:pt>
                <c:pt idx="365">
                  <c:v>0.84571348708812855</c:v>
                </c:pt>
                <c:pt idx="366">
                  <c:v>0.85527043083316157</c:v>
                </c:pt>
                <c:pt idx="367">
                  <c:v>0.86325264255797096</c:v>
                </c:pt>
                <c:pt idx="368">
                  <c:v>0.87252544355567319</c:v>
                </c:pt>
                <c:pt idx="369">
                  <c:v>0.88164821014706318</c:v>
                </c:pt>
                <c:pt idx="370">
                  <c:v>0.89212242394858687</c:v>
                </c:pt>
                <c:pt idx="371">
                  <c:v>0.90624949703745017</c:v>
                </c:pt>
                <c:pt idx="372">
                  <c:v>0.91655590396411135</c:v>
                </c:pt>
                <c:pt idx="373">
                  <c:v>0.92662783021709361</c:v>
                </c:pt>
                <c:pt idx="374">
                  <c:v>0.93670605235981708</c:v>
                </c:pt>
                <c:pt idx="375">
                  <c:v>0.94661231689968428</c:v>
                </c:pt>
                <c:pt idx="376">
                  <c:v>0.96026774604992349</c:v>
                </c:pt>
                <c:pt idx="377">
                  <c:v>0.96988606139683464</c:v>
                </c:pt>
                <c:pt idx="378">
                  <c:v>0.97897082666840896</c:v>
                </c:pt>
                <c:pt idx="379">
                  <c:v>0.98805676186771163</c:v>
                </c:pt>
                <c:pt idx="380">
                  <c:v>0.99887073947315919</c:v>
                </c:pt>
                <c:pt idx="381">
                  <c:v>1.0099519823309924</c:v>
                </c:pt>
                <c:pt idx="382">
                  <c:v>1.0210061819970968</c:v>
                </c:pt>
                <c:pt idx="383">
                  <c:v>1.0361702806825472</c:v>
                </c:pt>
                <c:pt idx="384">
                  <c:v>0.98359251090103794</c:v>
                </c:pt>
                <c:pt idx="385">
                  <c:v>0.99397215852398602</c:v>
                </c:pt>
                <c:pt idx="386">
                  <c:v>0.94055655589691911</c:v>
                </c:pt>
                <c:pt idx="387">
                  <c:v>0.95061409781108286</c:v>
                </c:pt>
                <c:pt idx="388">
                  <c:v>0.96039777053749553</c:v>
                </c:pt>
                <c:pt idx="389">
                  <c:v>0.97003465134275679</c:v>
                </c:pt>
                <c:pt idx="390">
                  <c:v>0.98188310244434118</c:v>
                </c:pt>
                <c:pt idx="391">
                  <c:v>0.93211619629731535</c:v>
                </c:pt>
                <c:pt idx="392">
                  <c:v>0.9429667832126768</c:v>
                </c:pt>
                <c:pt idx="393">
                  <c:v>0.88899408252148682</c:v>
                </c:pt>
                <c:pt idx="394">
                  <c:v>0.89930099933081054</c:v>
                </c:pt>
                <c:pt idx="395">
                  <c:v>0.91009061601444596</c:v>
                </c:pt>
                <c:pt idx="396">
                  <c:v>0.92307124691991915</c:v>
                </c:pt>
                <c:pt idx="397">
                  <c:v>0.93253134716216068</c:v>
                </c:pt>
                <c:pt idx="398">
                  <c:v>0.87648606758277414</c:v>
                </c:pt>
                <c:pt idx="399">
                  <c:v>0.88521112393957146</c:v>
                </c:pt>
                <c:pt idx="400">
                  <c:v>0.82960045864948495</c:v>
                </c:pt>
                <c:pt idx="401">
                  <c:v>0.83862484618113864</c:v>
                </c:pt>
                <c:pt idx="402">
                  <c:v>0.84854284534976077</c:v>
                </c:pt>
                <c:pt idx="403">
                  <c:v>0.85682998744452143</c:v>
                </c:pt>
                <c:pt idx="404">
                  <c:v>0.86477606607003921</c:v>
                </c:pt>
                <c:pt idx="405">
                  <c:v>0.8052911811559389</c:v>
                </c:pt>
                <c:pt idx="406">
                  <c:v>0.81236079256031246</c:v>
                </c:pt>
                <c:pt idx="407">
                  <c:v>-1.401624710822822E-4</c:v>
                </c:pt>
                <c:pt idx="408">
                  <c:v>0.76690449596497601</c:v>
                </c:pt>
                <c:pt idx="409">
                  <c:v>0.77522207501092488</c:v>
                </c:pt>
                <c:pt idx="410">
                  <c:v>0.78326963673440586</c:v>
                </c:pt>
                <c:pt idx="411">
                  <c:v>0.79358366889463683</c:v>
                </c:pt>
                <c:pt idx="412">
                  <c:v>0.80378743653140594</c:v>
                </c:pt>
                <c:pt idx="413">
                  <c:v>0.81246144353022964</c:v>
                </c:pt>
                <c:pt idx="414">
                  <c:v>0.82583615368219754</c:v>
                </c:pt>
                <c:pt idx="415">
                  <c:v>0.83581180462239235</c:v>
                </c:pt>
                <c:pt idx="416">
                  <c:v>0.84571348708812855</c:v>
                </c:pt>
                <c:pt idx="417">
                  <c:v>0.85527043083316157</c:v>
                </c:pt>
                <c:pt idx="418">
                  <c:v>0.86325264255797096</c:v>
                </c:pt>
                <c:pt idx="419">
                  <c:v>0.87252544355567319</c:v>
                </c:pt>
                <c:pt idx="420">
                  <c:v>0.88164821014706318</c:v>
                </c:pt>
                <c:pt idx="421">
                  <c:v>0.89212242394858687</c:v>
                </c:pt>
                <c:pt idx="422">
                  <c:v>0.90624949703745017</c:v>
                </c:pt>
                <c:pt idx="423">
                  <c:v>0.91655590396411135</c:v>
                </c:pt>
                <c:pt idx="424">
                  <c:v>0.92662783021709361</c:v>
                </c:pt>
                <c:pt idx="425">
                  <c:v>0.93670605235981708</c:v>
                </c:pt>
                <c:pt idx="426">
                  <c:v>0.94661231689968428</c:v>
                </c:pt>
                <c:pt idx="427">
                  <c:v>0.96026774604992349</c:v>
                </c:pt>
                <c:pt idx="428">
                  <c:v>0.96988606139683464</c:v>
                </c:pt>
                <c:pt idx="429">
                  <c:v>0.97897082666840896</c:v>
                </c:pt>
                <c:pt idx="430">
                  <c:v>0.98805676186771163</c:v>
                </c:pt>
                <c:pt idx="431">
                  <c:v>0.99887073947315919</c:v>
                </c:pt>
                <c:pt idx="432">
                  <c:v>1.0099519823309924</c:v>
                </c:pt>
                <c:pt idx="433">
                  <c:v>1.0210061819970968</c:v>
                </c:pt>
                <c:pt idx="434">
                  <c:v>1.0361702806825472</c:v>
                </c:pt>
                <c:pt idx="435">
                  <c:v>0.98359251090103794</c:v>
                </c:pt>
                <c:pt idx="436">
                  <c:v>0.99397215852398602</c:v>
                </c:pt>
                <c:pt idx="437">
                  <c:v>0.94055655589691911</c:v>
                </c:pt>
                <c:pt idx="438">
                  <c:v>0.95061409781108286</c:v>
                </c:pt>
                <c:pt idx="439">
                  <c:v>0.96039777053749553</c:v>
                </c:pt>
                <c:pt idx="440">
                  <c:v>0.97003465134275679</c:v>
                </c:pt>
                <c:pt idx="441">
                  <c:v>0.98188310244434118</c:v>
                </c:pt>
                <c:pt idx="442">
                  <c:v>0.93211619629731535</c:v>
                </c:pt>
                <c:pt idx="443">
                  <c:v>0.9429667832126768</c:v>
                </c:pt>
                <c:pt idx="444">
                  <c:v>0.88899408252148682</c:v>
                </c:pt>
                <c:pt idx="445">
                  <c:v>0.89930099933081054</c:v>
                </c:pt>
                <c:pt idx="446">
                  <c:v>0.91009061601444596</c:v>
                </c:pt>
                <c:pt idx="447">
                  <c:v>0.92307124691991915</c:v>
                </c:pt>
                <c:pt idx="448">
                  <c:v>0.93253134716216068</c:v>
                </c:pt>
                <c:pt idx="449">
                  <c:v>0.87648606758277414</c:v>
                </c:pt>
                <c:pt idx="450">
                  <c:v>0.88521112393957146</c:v>
                </c:pt>
                <c:pt idx="451">
                  <c:v>0.82960045864948495</c:v>
                </c:pt>
                <c:pt idx="452">
                  <c:v>0.83862484618113864</c:v>
                </c:pt>
                <c:pt idx="453">
                  <c:v>0.84854284534976077</c:v>
                </c:pt>
                <c:pt idx="454">
                  <c:v>0.85682998744452143</c:v>
                </c:pt>
                <c:pt idx="455">
                  <c:v>0.86477606607003921</c:v>
                </c:pt>
                <c:pt idx="456">
                  <c:v>0.8052911811559389</c:v>
                </c:pt>
                <c:pt idx="457">
                  <c:v>0.81236079256031246</c:v>
                </c:pt>
                <c:pt idx="458">
                  <c:v>-1.401624710822822E-4</c:v>
                </c:pt>
                <c:pt idx="459">
                  <c:v>0.76690449596497601</c:v>
                </c:pt>
                <c:pt idx="460">
                  <c:v>0.77522207501092488</c:v>
                </c:pt>
                <c:pt idx="461">
                  <c:v>0.78326963673440586</c:v>
                </c:pt>
                <c:pt idx="462">
                  <c:v>0.79358366889463683</c:v>
                </c:pt>
                <c:pt idx="463">
                  <c:v>0.80378743653140594</c:v>
                </c:pt>
                <c:pt idx="464">
                  <c:v>0.81246144353022964</c:v>
                </c:pt>
                <c:pt idx="465">
                  <c:v>0.82583615368219754</c:v>
                </c:pt>
                <c:pt idx="466">
                  <c:v>0.83581180462239235</c:v>
                </c:pt>
                <c:pt idx="467">
                  <c:v>0.84571348708812855</c:v>
                </c:pt>
                <c:pt idx="468">
                  <c:v>0.85527043083316157</c:v>
                </c:pt>
                <c:pt idx="469">
                  <c:v>0.86325264255797096</c:v>
                </c:pt>
                <c:pt idx="470">
                  <c:v>0.87252544355567319</c:v>
                </c:pt>
                <c:pt idx="471">
                  <c:v>0.88164821014706318</c:v>
                </c:pt>
                <c:pt idx="472">
                  <c:v>0.89212242394858687</c:v>
                </c:pt>
                <c:pt idx="473">
                  <c:v>0.90624949703745017</c:v>
                </c:pt>
                <c:pt idx="474">
                  <c:v>0.91655590396411135</c:v>
                </c:pt>
                <c:pt idx="475">
                  <c:v>0.92662783021709361</c:v>
                </c:pt>
                <c:pt idx="476">
                  <c:v>0.93670605235981708</c:v>
                </c:pt>
                <c:pt idx="477">
                  <c:v>0.94661231689968428</c:v>
                </c:pt>
                <c:pt idx="478">
                  <c:v>0.96026774604992349</c:v>
                </c:pt>
                <c:pt idx="479">
                  <c:v>0.96988606139683464</c:v>
                </c:pt>
                <c:pt idx="480">
                  <c:v>0.97897082666840896</c:v>
                </c:pt>
                <c:pt idx="481">
                  <c:v>0.98805676186771163</c:v>
                </c:pt>
                <c:pt idx="482">
                  <c:v>0.99887073947315919</c:v>
                </c:pt>
                <c:pt idx="483">
                  <c:v>1.0099519823309924</c:v>
                </c:pt>
                <c:pt idx="484">
                  <c:v>1.0210061819970968</c:v>
                </c:pt>
                <c:pt idx="485">
                  <c:v>1.0361702806825472</c:v>
                </c:pt>
                <c:pt idx="486">
                  <c:v>0.98359251090103794</c:v>
                </c:pt>
                <c:pt idx="487">
                  <c:v>0.99397215852398602</c:v>
                </c:pt>
                <c:pt idx="488">
                  <c:v>0.94055655589691911</c:v>
                </c:pt>
                <c:pt idx="489">
                  <c:v>0.95061409781108286</c:v>
                </c:pt>
                <c:pt idx="490">
                  <c:v>0.96039777053749553</c:v>
                </c:pt>
                <c:pt idx="491">
                  <c:v>0.97003465134275679</c:v>
                </c:pt>
                <c:pt idx="492">
                  <c:v>0.98188310244434118</c:v>
                </c:pt>
                <c:pt idx="493">
                  <c:v>0.93211619629731535</c:v>
                </c:pt>
                <c:pt idx="494">
                  <c:v>0.9429667832126768</c:v>
                </c:pt>
                <c:pt idx="495">
                  <c:v>0.88899408252148682</c:v>
                </c:pt>
                <c:pt idx="496">
                  <c:v>0.89930099933081054</c:v>
                </c:pt>
                <c:pt idx="497">
                  <c:v>0.91009061601444596</c:v>
                </c:pt>
                <c:pt idx="498">
                  <c:v>0.92307124691991915</c:v>
                </c:pt>
                <c:pt idx="499">
                  <c:v>0.93253134716216068</c:v>
                </c:pt>
                <c:pt idx="500">
                  <c:v>0.87648606758277414</c:v>
                </c:pt>
                <c:pt idx="501">
                  <c:v>0.88521112393957146</c:v>
                </c:pt>
                <c:pt idx="502">
                  <c:v>0.82960045864948495</c:v>
                </c:pt>
                <c:pt idx="503">
                  <c:v>0.83862484618113864</c:v>
                </c:pt>
                <c:pt idx="504">
                  <c:v>0.84854284534976077</c:v>
                </c:pt>
                <c:pt idx="505">
                  <c:v>0.85682998744452143</c:v>
                </c:pt>
                <c:pt idx="506">
                  <c:v>0.86477606607003921</c:v>
                </c:pt>
                <c:pt idx="507">
                  <c:v>0.8052911811559389</c:v>
                </c:pt>
                <c:pt idx="508">
                  <c:v>0.81236079256031246</c:v>
                </c:pt>
                <c:pt idx="509">
                  <c:v>-1.401624710822822E-4</c:v>
                </c:pt>
                <c:pt idx="510">
                  <c:v>0.76690449596497601</c:v>
                </c:pt>
                <c:pt idx="511">
                  <c:v>0.77522207501092488</c:v>
                </c:pt>
                <c:pt idx="512">
                  <c:v>0.78326963673440586</c:v>
                </c:pt>
                <c:pt idx="513">
                  <c:v>0.79358366889463683</c:v>
                </c:pt>
                <c:pt idx="514">
                  <c:v>0.80378743653140594</c:v>
                </c:pt>
                <c:pt idx="515">
                  <c:v>0.81246144353022964</c:v>
                </c:pt>
                <c:pt idx="516">
                  <c:v>0.82583615368219754</c:v>
                </c:pt>
                <c:pt idx="517">
                  <c:v>0.83581180462239235</c:v>
                </c:pt>
                <c:pt idx="518">
                  <c:v>0.84571348708812855</c:v>
                </c:pt>
                <c:pt idx="519">
                  <c:v>0.85527043083316157</c:v>
                </c:pt>
                <c:pt idx="520">
                  <c:v>0.86325264255797096</c:v>
                </c:pt>
                <c:pt idx="521">
                  <c:v>0.87252544355567319</c:v>
                </c:pt>
                <c:pt idx="522">
                  <c:v>0.88164821014706318</c:v>
                </c:pt>
                <c:pt idx="523">
                  <c:v>0.89212242394858687</c:v>
                </c:pt>
                <c:pt idx="524">
                  <c:v>0.90624949703745017</c:v>
                </c:pt>
                <c:pt idx="525">
                  <c:v>0.91655590396411135</c:v>
                </c:pt>
                <c:pt idx="526">
                  <c:v>0.92662783021709361</c:v>
                </c:pt>
                <c:pt idx="527">
                  <c:v>0.93670605235981708</c:v>
                </c:pt>
                <c:pt idx="528">
                  <c:v>0.94661231689968428</c:v>
                </c:pt>
                <c:pt idx="529">
                  <c:v>0.96026774604992349</c:v>
                </c:pt>
                <c:pt idx="530">
                  <c:v>0.96988606139683464</c:v>
                </c:pt>
                <c:pt idx="531">
                  <c:v>0.97897082666840896</c:v>
                </c:pt>
                <c:pt idx="532">
                  <c:v>0.98805676186771163</c:v>
                </c:pt>
                <c:pt idx="533">
                  <c:v>0.99887073947315919</c:v>
                </c:pt>
                <c:pt idx="534">
                  <c:v>1.0099519823309924</c:v>
                </c:pt>
                <c:pt idx="535">
                  <c:v>1.0210061819970968</c:v>
                </c:pt>
                <c:pt idx="536">
                  <c:v>1.0361702806825472</c:v>
                </c:pt>
                <c:pt idx="537">
                  <c:v>0.98359251090103794</c:v>
                </c:pt>
                <c:pt idx="538">
                  <c:v>0.99397215852398602</c:v>
                </c:pt>
                <c:pt idx="539">
                  <c:v>0.94055655589691911</c:v>
                </c:pt>
                <c:pt idx="540">
                  <c:v>0.95061409781108286</c:v>
                </c:pt>
                <c:pt idx="541">
                  <c:v>0.96039777053749553</c:v>
                </c:pt>
                <c:pt idx="542">
                  <c:v>0.97003465134275679</c:v>
                </c:pt>
                <c:pt idx="543">
                  <c:v>0.98188310244434118</c:v>
                </c:pt>
                <c:pt idx="544">
                  <c:v>0.93211619629731535</c:v>
                </c:pt>
                <c:pt idx="545">
                  <c:v>0.9429667832126768</c:v>
                </c:pt>
                <c:pt idx="546">
                  <c:v>0.88899408252148682</c:v>
                </c:pt>
                <c:pt idx="547">
                  <c:v>0.89930099933081054</c:v>
                </c:pt>
                <c:pt idx="548">
                  <c:v>0.91009061601444596</c:v>
                </c:pt>
                <c:pt idx="549">
                  <c:v>0.92307124691991915</c:v>
                </c:pt>
                <c:pt idx="550">
                  <c:v>0.93253134716216068</c:v>
                </c:pt>
                <c:pt idx="551">
                  <c:v>0.87648606758277414</c:v>
                </c:pt>
                <c:pt idx="552">
                  <c:v>0.88521112393957146</c:v>
                </c:pt>
                <c:pt idx="553">
                  <c:v>0.82960045864948495</c:v>
                </c:pt>
                <c:pt idx="554">
                  <c:v>0.83862484618113864</c:v>
                </c:pt>
                <c:pt idx="555">
                  <c:v>0.84854284534976077</c:v>
                </c:pt>
                <c:pt idx="556">
                  <c:v>0.85682998744452143</c:v>
                </c:pt>
                <c:pt idx="557">
                  <c:v>0.86477606607003921</c:v>
                </c:pt>
                <c:pt idx="558">
                  <c:v>0.8052911811559389</c:v>
                </c:pt>
                <c:pt idx="559">
                  <c:v>0.81236079256031246</c:v>
                </c:pt>
                <c:pt idx="560">
                  <c:v>-1.401624710822822E-4</c:v>
                </c:pt>
                <c:pt idx="561">
                  <c:v>0.76690449596497601</c:v>
                </c:pt>
                <c:pt idx="562">
                  <c:v>0.77522207501092488</c:v>
                </c:pt>
                <c:pt idx="563">
                  <c:v>0.78326963673440586</c:v>
                </c:pt>
                <c:pt idx="564">
                  <c:v>0.79358366889463683</c:v>
                </c:pt>
                <c:pt idx="565">
                  <c:v>0.80378743653140594</c:v>
                </c:pt>
                <c:pt idx="566">
                  <c:v>0.81246144353022964</c:v>
                </c:pt>
                <c:pt idx="567">
                  <c:v>0.82583615368219754</c:v>
                </c:pt>
                <c:pt idx="568">
                  <c:v>0.83581180462239235</c:v>
                </c:pt>
                <c:pt idx="569">
                  <c:v>0.84571348708812855</c:v>
                </c:pt>
                <c:pt idx="570">
                  <c:v>0.85527043083316157</c:v>
                </c:pt>
                <c:pt idx="571">
                  <c:v>0.86325264255797096</c:v>
                </c:pt>
                <c:pt idx="572">
                  <c:v>0.87252544355567319</c:v>
                </c:pt>
                <c:pt idx="573">
                  <c:v>0.88164821014706318</c:v>
                </c:pt>
                <c:pt idx="574">
                  <c:v>0.89212242394858687</c:v>
                </c:pt>
                <c:pt idx="575">
                  <c:v>0.90624949703745017</c:v>
                </c:pt>
                <c:pt idx="576">
                  <c:v>0.91655590396411135</c:v>
                </c:pt>
                <c:pt idx="577">
                  <c:v>0.92662783021709361</c:v>
                </c:pt>
                <c:pt idx="578">
                  <c:v>0.93670605235981708</c:v>
                </c:pt>
                <c:pt idx="579">
                  <c:v>0.94661231689968428</c:v>
                </c:pt>
                <c:pt idx="580">
                  <c:v>0.96026774604992349</c:v>
                </c:pt>
                <c:pt idx="581">
                  <c:v>0.96988606139683464</c:v>
                </c:pt>
                <c:pt idx="582">
                  <c:v>0.97897082666840896</c:v>
                </c:pt>
                <c:pt idx="583">
                  <c:v>0.98805676186771163</c:v>
                </c:pt>
                <c:pt idx="584">
                  <c:v>0.99887073947315919</c:v>
                </c:pt>
                <c:pt idx="585">
                  <c:v>1.0099519823309924</c:v>
                </c:pt>
                <c:pt idx="586">
                  <c:v>1.0210061819970968</c:v>
                </c:pt>
                <c:pt idx="587">
                  <c:v>1.0361702806825472</c:v>
                </c:pt>
                <c:pt idx="588">
                  <c:v>0.98359251090103794</c:v>
                </c:pt>
                <c:pt idx="589">
                  <c:v>0.99397215852398602</c:v>
                </c:pt>
                <c:pt idx="590">
                  <c:v>0.94055655589691911</c:v>
                </c:pt>
                <c:pt idx="591">
                  <c:v>0.95061409781108286</c:v>
                </c:pt>
                <c:pt idx="592">
                  <c:v>0.96039777053749553</c:v>
                </c:pt>
                <c:pt idx="593">
                  <c:v>0.97003465134275679</c:v>
                </c:pt>
                <c:pt idx="594">
                  <c:v>0.98188310244434118</c:v>
                </c:pt>
                <c:pt idx="595">
                  <c:v>0.93211619629731535</c:v>
                </c:pt>
                <c:pt idx="596">
                  <c:v>0.9429667832126768</c:v>
                </c:pt>
                <c:pt idx="597">
                  <c:v>0.88899408252148682</c:v>
                </c:pt>
                <c:pt idx="598">
                  <c:v>0.89930099933081054</c:v>
                </c:pt>
                <c:pt idx="599">
                  <c:v>0.91009061601444596</c:v>
                </c:pt>
                <c:pt idx="600">
                  <c:v>0.92307124691991915</c:v>
                </c:pt>
                <c:pt idx="601">
                  <c:v>0.93253134716216068</c:v>
                </c:pt>
                <c:pt idx="602">
                  <c:v>0.87648606758277414</c:v>
                </c:pt>
                <c:pt idx="603">
                  <c:v>0.88521112393957146</c:v>
                </c:pt>
                <c:pt idx="604">
                  <c:v>0.82960045864948495</c:v>
                </c:pt>
                <c:pt idx="605">
                  <c:v>0.83862484618113864</c:v>
                </c:pt>
                <c:pt idx="606">
                  <c:v>0.84854284534976077</c:v>
                </c:pt>
                <c:pt idx="607">
                  <c:v>0.85682998744452143</c:v>
                </c:pt>
                <c:pt idx="608">
                  <c:v>0.86477606607003921</c:v>
                </c:pt>
                <c:pt idx="609">
                  <c:v>0.8052911811559389</c:v>
                </c:pt>
                <c:pt idx="610">
                  <c:v>0.81236079256031246</c:v>
                </c:pt>
                <c:pt idx="611">
                  <c:v>-1.401624710822822E-4</c:v>
                </c:pt>
                <c:pt idx="612">
                  <c:v>0.76690449596497601</c:v>
                </c:pt>
                <c:pt idx="613">
                  <c:v>0.77522207501092488</c:v>
                </c:pt>
                <c:pt idx="614">
                  <c:v>0.78326963673440586</c:v>
                </c:pt>
                <c:pt idx="615">
                  <c:v>0.79358366889463683</c:v>
                </c:pt>
                <c:pt idx="616">
                  <c:v>0.80378743653140594</c:v>
                </c:pt>
                <c:pt idx="617">
                  <c:v>0.81246144353022964</c:v>
                </c:pt>
                <c:pt idx="618">
                  <c:v>0.82583615368219754</c:v>
                </c:pt>
                <c:pt idx="619">
                  <c:v>0.83581180462239235</c:v>
                </c:pt>
                <c:pt idx="620">
                  <c:v>0.84571348708812855</c:v>
                </c:pt>
                <c:pt idx="621">
                  <c:v>0.85527043083316157</c:v>
                </c:pt>
                <c:pt idx="622">
                  <c:v>0.86325264255797096</c:v>
                </c:pt>
                <c:pt idx="623">
                  <c:v>0.87252544355567319</c:v>
                </c:pt>
                <c:pt idx="624">
                  <c:v>0.88164821014706318</c:v>
                </c:pt>
                <c:pt idx="625">
                  <c:v>0.89212242394858687</c:v>
                </c:pt>
                <c:pt idx="626">
                  <c:v>0.90624949703745017</c:v>
                </c:pt>
                <c:pt idx="627">
                  <c:v>0.91655590396411135</c:v>
                </c:pt>
                <c:pt idx="628">
                  <c:v>0.92662783021709361</c:v>
                </c:pt>
                <c:pt idx="629">
                  <c:v>0.93670605235981708</c:v>
                </c:pt>
                <c:pt idx="630">
                  <c:v>0.94661231689968428</c:v>
                </c:pt>
                <c:pt idx="631">
                  <c:v>0.96026774604992349</c:v>
                </c:pt>
                <c:pt idx="632">
                  <c:v>0.96988606139683464</c:v>
                </c:pt>
                <c:pt idx="633">
                  <c:v>0.97897082666840896</c:v>
                </c:pt>
                <c:pt idx="634">
                  <c:v>0.98805676186771163</c:v>
                </c:pt>
                <c:pt idx="635">
                  <c:v>0.99887073947315919</c:v>
                </c:pt>
                <c:pt idx="636">
                  <c:v>1.0099519823309924</c:v>
                </c:pt>
                <c:pt idx="637">
                  <c:v>1.0210061819970968</c:v>
                </c:pt>
                <c:pt idx="638">
                  <c:v>1.0361702806825472</c:v>
                </c:pt>
                <c:pt idx="639">
                  <c:v>0.98359251090103794</c:v>
                </c:pt>
                <c:pt idx="640">
                  <c:v>0.99397215852398602</c:v>
                </c:pt>
                <c:pt idx="641">
                  <c:v>0.94055655589691911</c:v>
                </c:pt>
                <c:pt idx="642">
                  <c:v>0.95061409781108286</c:v>
                </c:pt>
                <c:pt idx="643">
                  <c:v>0.96039777053749553</c:v>
                </c:pt>
                <c:pt idx="644">
                  <c:v>0.97003465134275679</c:v>
                </c:pt>
                <c:pt idx="645">
                  <c:v>0.98188310244434118</c:v>
                </c:pt>
                <c:pt idx="646">
                  <c:v>0.93211619629731535</c:v>
                </c:pt>
                <c:pt idx="647">
                  <c:v>0.9429667832126768</c:v>
                </c:pt>
                <c:pt idx="648">
                  <c:v>0.88899408252148682</c:v>
                </c:pt>
                <c:pt idx="649">
                  <c:v>0.89930099933081054</c:v>
                </c:pt>
                <c:pt idx="650">
                  <c:v>0.91009061601444596</c:v>
                </c:pt>
                <c:pt idx="651">
                  <c:v>0.92307124691991915</c:v>
                </c:pt>
                <c:pt idx="652">
                  <c:v>0.93253134716216068</c:v>
                </c:pt>
                <c:pt idx="653">
                  <c:v>0.87648606758277414</c:v>
                </c:pt>
                <c:pt idx="654">
                  <c:v>0.88521112393957146</c:v>
                </c:pt>
                <c:pt idx="655">
                  <c:v>0.82960045864948495</c:v>
                </c:pt>
                <c:pt idx="656">
                  <c:v>0.83862484618113864</c:v>
                </c:pt>
                <c:pt idx="657">
                  <c:v>0.84854284534976077</c:v>
                </c:pt>
                <c:pt idx="658">
                  <c:v>0.85682998744452143</c:v>
                </c:pt>
                <c:pt idx="659">
                  <c:v>0.86477606607003921</c:v>
                </c:pt>
                <c:pt idx="660">
                  <c:v>0.8052911811559389</c:v>
                </c:pt>
                <c:pt idx="661">
                  <c:v>0.81236079256031246</c:v>
                </c:pt>
                <c:pt idx="662">
                  <c:v>-1.401624710822822E-4</c:v>
                </c:pt>
                <c:pt idx="663">
                  <c:v>0.73813712096497608</c:v>
                </c:pt>
                <c:pt idx="664">
                  <c:v>0.74379388966717497</c:v>
                </c:pt>
                <c:pt idx="665">
                  <c:v>0.74889054517870601</c:v>
                </c:pt>
                <c:pt idx="666">
                  <c:v>0.75604909454827807</c:v>
                </c:pt>
                <c:pt idx="667">
                  <c:v>0.76296956756276424</c:v>
                </c:pt>
                <c:pt idx="668">
                  <c:v>0.76810385291554018</c:v>
                </c:pt>
                <c:pt idx="669">
                  <c:v>0.77764963307081114</c:v>
                </c:pt>
                <c:pt idx="670">
                  <c:v>0.78358892984914374</c:v>
                </c:pt>
                <c:pt idx="671">
                  <c:v>0.78923680509851013</c:v>
                </c:pt>
                <c:pt idx="672">
                  <c:v>0.79446431040817278</c:v>
                </c:pt>
                <c:pt idx="673">
                  <c:v>0.7978547208225979</c:v>
                </c:pt>
                <c:pt idx="674">
                  <c:v>0.80235963058986248</c:v>
                </c:pt>
                <c:pt idx="675">
                  <c:v>0.80644635206223414</c:v>
                </c:pt>
                <c:pt idx="676">
                  <c:v>0.81171242304180635</c:v>
                </c:pt>
                <c:pt idx="677">
                  <c:v>0.82053268095321996</c:v>
                </c:pt>
                <c:pt idx="678">
                  <c:v>0.82540851282215755</c:v>
                </c:pt>
                <c:pt idx="679">
                  <c:v>0.83002646412938419</c:v>
                </c:pt>
                <c:pt idx="680">
                  <c:v>0.83437811851302057</c:v>
                </c:pt>
                <c:pt idx="681">
                  <c:v>0.83835371466174291</c:v>
                </c:pt>
                <c:pt idx="682">
                  <c:v>0.84600296519747553</c:v>
                </c:pt>
                <c:pt idx="683">
                  <c:v>0.84943253466265523</c:v>
                </c:pt>
                <c:pt idx="684">
                  <c:v>0.85256517262667408</c:v>
                </c:pt>
                <c:pt idx="685">
                  <c:v>0.85529891985063433</c:v>
                </c:pt>
                <c:pt idx="686">
                  <c:v>0.85975163208520289</c:v>
                </c:pt>
                <c:pt idx="687">
                  <c:v>0.86400890885105674</c:v>
                </c:pt>
                <c:pt idx="688">
                  <c:v>0.86806532207092268</c:v>
                </c:pt>
                <c:pt idx="689">
                  <c:v>0.87620943853130617</c:v>
                </c:pt>
                <c:pt idx="690">
                  <c:v>0.81646545516051128</c:v>
                </c:pt>
                <c:pt idx="691">
                  <c:v>0.81969091385103954</c:v>
                </c:pt>
                <c:pt idx="692">
                  <c:v>0.75900645362728114</c:v>
                </c:pt>
                <c:pt idx="693">
                  <c:v>0.76169272866371851</c:v>
                </c:pt>
                <c:pt idx="694">
                  <c:v>0.76417146972178207</c:v>
                </c:pt>
                <c:pt idx="695">
                  <c:v>0.76643818674075481</c:v>
                </c:pt>
                <c:pt idx="696">
                  <c:v>0.77086656391342645</c:v>
                </c:pt>
                <c:pt idx="697">
                  <c:v>0.71380677143856353</c:v>
                </c:pt>
                <c:pt idx="698">
                  <c:v>0.71797976797258944</c:v>
                </c:pt>
                <c:pt idx="699">
                  <c:v>0.65693960813230634</c:v>
                </c:pt>
                <c:pt idx="700">
                  <c:v>0.66090326685860867</c:v>
                </c:pt>
                <c:pt idx="701">
                  <c:v>0.66478838039483545</c:v>
                </c:pt>
                <c:pt idx="702">
                  <c:v>0.67110711900663922</c:v>
                </c:pt>
                <c:pt idx="703">
                  <c:v>0.67479654081931117</c:v>
                </c:pt>
                <c:pt idx="704">
                  <c:v>0.61239539122119646</c:v>
                </c:pt>
                <c:pt idx="705">
                  <c:v>0.61592863925349561</c:v>
                </c:pt>
                <c:pt idx="706">
                  <c:v>0.55452398798937175</c:v>
                </c:pt>
                <c:pt idx="707">
                  <c:v>0.55795670173723511</c:v>
                </c:pt>
                <c:pt idx="708">
                  <c:v>0.56266187900689846</c:v>
                </c:pt>
                <c:pt idx="709">
                  <c:v>0.56598455525841573</c:v>
                </c:pt>
                <c:pt idx="710">
                  <c:v>0.56923586528049708</c:v>
                </c:pt>
                <c:pt idx="711">
                  <c:v>0.50549630372286258</c:v>
                </c:pt>
                <c:pt idx="712">
                  <c:v>0.50862432628631826</c:v>
                </c:pt>
                <c:pt idx="713">
                  <c:v>-1.401624710822822E-4</c:v>
                </c:pt>
                <c:pt idx="714">
                  <c:v>0.43841358331015451</c:v>
                </c:pt>
                <c:pt idx="715">
                  <c:v>0.44142401835887707</c:v>
                </c:pt>
                <c:pt idx="716">
                  <c:v>0.44438083027018971</c:v>
                </c:pt>
                <c:pt idx="717">
                  <c:v>0.44728231800665424</c:v>
                </c:pt>
                <c:pt idx="718">
                  <c:v>0.45012678267947703</c:v>
                </c:pt>
                <c:pt idx="719">
                  <c:v>0.4528319124222312</c:v>
                </c:pt>
                <c:pt idx="720">
                  <c:v>0.45890090104159126</c:v>
                </c:pt>
                <c:pt idx="721">
                  <c:v>0.46158069650746097</c:v>
                </c:pt>
                <c:pt idx="722">
                  <c:v>0.46419723795118373</c:v>
                </c:pt>
                <c:pt idx="723">
                  <c:v>0.46674886759615997</c:v>
                </c:pt>
                <c:pt idx="724">
                  <c:v>0.46923393570932448</c:v>
                </c:pt>
                <c:pt idx="725">
                  <c:v>0.47165080164131484</c:v>
                </c:pt>
                <c:pt idx="726">
                  <c:v>0.47391897998550114</c:v>
                </c:pt>
                <c:pt idx="727">
                  <c:v>0.47611556753051903</c:v>
                </c:pt>
                <c:pt idx="728">
                  <c:v>0.4820345496995917</c:v>
                </c:pt>
                <c:pt idx="729">
                  <c:v>0.48418438238527767</c:v>
                </c:pt>
                <c:pt idx="730">
                  <c:v>0.48625858496133301</c:v>
                </c:pt>
                <c:pt idx="731">
                  <c:v>0.4882556047644433</c:v>
                </c:pt>
                <c:pt idx="732">
                  <c:v>0.4901739051940126</c:v>
                </c:pt>
                <c:pt idx="733">
                  <c:v>0.49596787090484523</c:v>
                </c:pt>
                <c:pt idx="734">
                  <c:v>0.49775040127050524</c:v>
                </c:pt>
                <c:pt idx="735">
                  <c:v>0.49945030736554236</c:v>
                </c:pt>
                <c:pt idx="736">
                  <c:v>0.50106613508479347</c:v>
                </c:pt>
                <c:pt idx="737">
                  <c:v>0.50259645111421258</c:v>
                </c:pt>
                <c:pt idx="738">
                  <c:v>0.50403984396258295</c:v>
                </c:pt>
                <c:pt idx="739">
                  <c:v>0.50539492499042893</c:v>
                </c:pt>
                <c:pt idx="740">
                  <c:v>0.5109542691653236</c:v>
                </c:pt>
                <c:pt idx="741">
                  <c:v>0.44883620485243847</c:v>
                </c:pt>
                <c:pt idx="742">
                  <c:v>0.44981212265417703</c:v>
                </c:pt>
                <c:pt idx="743">
                  <c:v>0.38700642984475947</c:v>
                </c:pt>
                <c:pt idx="744">
                  <c:v>0.38770349405757931</c:v>
                </c:pt>
                <c:pt idx="745">
                  <c:v>0.38832869929873426</c:v>
                </c:pt>
                <c:pt idx="746">
                  <c:v>0.38888114310309363</c:v>
                </c:pt>
                <c:pt idx="747">
                  <c:v>0.3893077150331582</c:v>
                </c:pt>
                <c:pt idx="748">
                  <c:v>0.32835039786536557</c:v>
                </c:pt>
                <c:pt idx="749">
                  <c:v>0.32864765174203453</c:v>
                </c:pt>
                <c:pt idx="750">
                  <c:v>0.26375519713448964</c:v>
                </c:pt>
                <c:pt idx="751">
                  <c:v>0.263891690717378</c:v>
                </c:pt>
                <c:pt idx="752">
                  <c:v>0.26397646561812399</c:v>
                </c:pt>
                <c:pt idx="753">
                  <c:v>0.26652340338529662</c:v>
                </c:pt>
                <c:pt idx="754">
                  <c:v>0.26655628363099731</c:v>
                </c:pt>
                <c:pt idx="755">
                  <c:v>0.20053156149123555</c:v>
                </c:pt>
                <c:pt idx="756">
                  <c:v>0.20047591949203061</c:v>
                </c:pt>
                <c:pt idx="757">
                  <c:v>0.1355187842005029</c:v>
                </c:pt>
                <c:pt idx="758">
                  <c:v>0.13543715258165356</c:v>
                </c:pt>
                <c:pt idx="759">
                  <c:v>0.13666786409859119</c:v>
                </c:pt>
                <c:pt idx="760">
                  <c:v>0.13655770257642139</c:v>
                </c:pt>
                <c:pt idx="761">
                  <c:v>0.13641955767712968</c:v>
                </c:pt>
                <c:pt idx="762">
                  <c:v>6.9419761002309829E-2</c:v>
                </c:pt>
                <c:pt idx="763">
                  <c:v>6.9335129258896552E-2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ABC-471E-92D0-026278F2D637}"/>
            </c:ext>
          </c:extLst>
        </c:ser>
        <c:ser>
          <c:idx val="0"/>
          <c:order val="4"/>
          <c:tx>
            <c:strRef>
              <c:f>Clarias_Bioplan!$A$4:$B$4</c:f>
              <c:strCache>
                <c:ptCount val="2"/>
                <c:pt idx="0">
                  <c:v>TOTAL FEED SYSTEM (KG/D)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Clarias_Bioplan!$C$4:$ACL$4</c:f>
              <c:numCache>
                <c:formatCode>0.000</c:formatCode>
                <c:ptCount val="764"/>
                <c:pt idx="0">
                  <c:v>0.14050000000000001</c:v>
                </c:pt>
                <c:pt idx="1">
                  <c:v>0.15349541071428571</c:v>
                </c:pt>
                <c:pt idx="2">
                  <c:v>0.16790765106568878</c:v>
                </c:pt>
                <c:pt idx="3">
                  <c:v>0.18331904442666083</c:v>
                </c:pt>
                <c:pt idx="4">
                  <c:v>0.19935467139751761</c:v>
                </c:pt>
                <c:pt idx="5">
                  <c:v>0.2166426892048324</c:v>
                </c:pt>
                <c:pt idx="6">
                  <c:v>0.2353432020092141</c:v>
                </c:pt>
                <c:pt idx="7">
                  <c:v>0.25505677544932165</c:v>
                </c:pt>
                <c:pt idx="8">
                  <c:v>0.27583239066968751</c:v>
                </c:pt>
                <c:pt idx="9">
                  <c:v>0.29697738913303484</c:v>
                </c:pt>
                <c:pt idx="10">
                  <c:v>0.3194037691593315</c:v>
                </c:pt>
                <c:pt idx="11">
                  <c:v>0.34269017321519196</c:v>
                </c:pt>
                <c:pt idx="12">
                  <c:v>0.36728624217254702</c:v>
                </c:pt>
                <c:pt idx="13">
                  <c:v>0.39272283715155293</c:v>
                </c:pt>
                <c:pt idx="14">
                  <c:v>0.4186413483967294</c:v>
                </c:pt>
                <c:pt idx="15">
                  <c:v>0.44516430350160602</c:v>
                </c:pt>
                <c:pt idx="16">
                  <c:v>0.47180154377391648</c:v>
                </c:pt>
                <c:pt idx="17">
                  <c:v>0.49977012867788351</c:v>
                </c:pt>
                <c:pt idx="18">
                  <c:v>0.52873554206564766</c:v>
                </c:pt>
                <c:pt idx="19">
                  <c:v>0.55806974775310336</c:v>
                </c:pt>
                <c:pt idx="20">
                  <c:v>0.58829561286534438</c:v>
                </c:pt>
                <c:pt idx="21">
                  <c:v>0.61736583170566495</c:v>
                </c:pt>
                <c:pt idx="22">
                  <c:v>0.64838994880135448</c:v>
                </c:pt>
                <c:pt idx="23">
                  <c:v>0.67945839994117818</c:v>
                </c:pt>
                <c:pt idx="24">
                  <c:v>0.71278668366268905</c:v>
                </c:pt>
                <c:pt idx="25">
                  <c:v>0.74696390684333991</c:v>
                </c:pt>
                <c:pt idx="26">
                  <c:v>0.78124953431619559</c:v>
                </c:pt>
                <c:pt idx="27">
                  <c:v>0.81624935648608865</c:v>
                </c:pt>
                <c:pt idx="28">
                  <c:v>0.851190450173121</c:v>
                </c:pt>
                <c:pt idx="29">
                  <c:v>0.88669158617649757</c:v>
                </c:pt>
                <c:pt idx="30">
                  <c:v>0.9226928896086164</c:v>
                </c:pt>
                <c:pt idx="31">
                  <c:v>0.9583702115541558</c:v>
                </c:pt>
                <c:pt idx="32">
                  <c:v>0.99436612748230468</c:v>
                </c:pt>
                <c:pt idx="33">
                  <c:v>1.0306058047907931</c:v>
                </c:pt>
                <c:pt idx="34">
                  <c:v>1.0662242972344411</c:v>
                </c:pt>
                <c:pt idx="35">
                  <c:v>1.098837681270268</c:v>
                </c:pt>
                <c:pt idx="36">
                  <c:v>1.1333551862719433</c:v>
                </c:pt>
                <c:pt idx="37">
                  <c:v>1.1643356897299235</c:v>
                </c:pt>
                <c:pt idx="38">
                  <c:v>1.1980573168234954</c:v>
                </c:pt>
                <c:pt idx="39">
                  <c:v>1.230594031322491</c:v>
                </c:pt>
                <c:pt idx="40">
                  <c:v>1.25877805295653</c:v>
                </c:pt>
                <c:pt idx="41">
                  <c:v>1.2898201531700975</c:v>
                </c:pt>
                <c:pt idx="42">
                  <c:v>1.3151769703837655</c:v>
                </c:pt>
                <c:pt idx="43">
                  <c:v>1.3434748261788181</c:v>
                </c:pt>
                <c:pt idx="44">
                  <c:v>1.3707845882486138</c:v>
                </c:pt>
                <c:pt idx="45">
                  <c:v>1.3962440358625756</c:v>
                </c:pt>
                <c:pt idx="46">
                  <c:v>1.4204905112874515</c:v>
                </c:pt>
                <c:pt idx="47">
                  <c:v>1.4434197840759082</c:v>
                </c:pt>
                <c:pt idx="48">
                  <c:v>1.4641996455827908</c:v>
                </c:pt>
                <c:pt idx="49">
                  <c:v>1.4834503847325724</c:v>
                </c:pt>
                <c:pt idx="50">
                  <c:v>0</c:v>
                </c:pt>
                <c:pt idx="51">
                  <c:v>1.6043512217573703</c:v>
                </c:pt>
                <c:pt idx="52">
                  <c:v>1.6302713389599404</c:v>
                </c:pt>
                <c:pt idx="53">
                  <c:v>1.6551345859058173</c:v>
                </c:pt>
                <c:pt idx="54">
                  <c:v>1.6913374890743962</c:v>
                </c:pt>
                <c:pt idx="55">
                  <c:v>1.7272803606931815</c:v>
                </c:pt>
                <c:pt idx="56">
                  <c:v>1.7564323863638509</c:v>
                </c:pt>
                <c:pt idx="57">
                  <c:v>1.7921135660102878</c:v>
                </c:pt>
                <c:pt idx="58">
                  <c:v>1.827746559779885</c:v>
                </c:pt>
                <c:pt idx="59">
                  <c:v>1.8633272241120626</c:v>
                </c:pt>
                <c:pt idx="60">
                  <c:v>1.8975412123907285</c:v>
                </c:pt>
                <c:pt idx="61">
                  <c:v>1.9243892886380782</c:v>
                </c:pt>
                <c:pt idx="62">
                  <c:v>1.957873708983435</c:v>
                </c:pt>
                <c:pt idx="63">
                  <c:v>1.9913515514606202</c:v>
                </c:pt>
                <c:pt idx="64">
                  <c:v>2.031779518525362</c:v>
                </c:pt>
                <c:pt idx="65">
                  <c:v>2.0718678746659762</c:v>
                </c:pt>
                <c:pt idx="66">
                  <c:v>2.1117046230956475</c:v>
                </c:pt>
                <c:pt idx="67">
                  <c:v>2.1507655445946803</c:v>
                </c:pt>
                <c:pt idx="68">
                  <c:v>2.1902341762899828</c:v>
                </c:pt>
                <c:pt idx="69">
                  <c:v>2.2292474320179325</c:v>
                </c:pt>
                <c:pt idx="70">
                  <c:v>2.2676428578514196</c:v>
                </c:pt>
                <c:pt idx="71">
                  <c:v>2.3059128699698617</c:v>
                </c:pt>
                <c:pt idx="72">
                  <c:v>2.3419805582557589</c:v>
                </c:pt>
                <c:pt idx="73">
                  <c:v>2.3784645996723714</c:v>
                </c:pt>
                <c:pt idx="74">
                  <c:v>2.423806048151143</c:v>
                </c:pt>
                <c:pt idx="75">
                  <c:v>2.4708773546686666</c:v>
                </c:pt>
                <c:pt idx="76">
                  <c:v>2.5182478974684623</c:v>
                </c:pt>
                <c:pt idx="77">
                  <c:v>2.5651575654076852</c:v>
                </c:pt>
                <c:pt idx="78">
                  <c:v>2.6117524104937697</c:v>
                </c:pt>
                <c:pt idx="79">
                  <c:v>2.6576802728684203</c:v>
                </c:pt>
                <c:pt idx="80">
                  <c:v>2.7035415191802663</c:v>
                </c:pt>
                <c:pt idx="81">
                  <c:v>2.7492581379902488</c:v>
                </c:pt>
                <c:pt idx="82">
                  <c:v>2.7939881379182476</c:v>
                </c:pt>
                <c:pt idx="83">
                  <c:v>2.8383565725990869</c:v>
                </c:pt>
                <c:pt idx="84">
                  <c:v>2.8941410862573043</c:v>
                </c:pt>
                <c:pt idx="85">
                  <c:v>2.9487951083367516</c:v>
                </c:pt>
                <c:pt idx="86">
                  <c:v>3.0003376384402554</c:v>
                </c:pt>
                <c:pt idx="87">
                  <c:v>3.0536697698998641</c:v>
                </c:pt>
                <c:pt idx="88">
                  <c:v>3.1033421666101706</c:v>
                </c:pt>
                <c:pt idx="89">
                  <c:v>3.1556246661603033</c:v>
                </c:pt>
                <c:pt idx="90">
                  <c:v>3.2065828744059712</c:v>
                </c:pt>
                <c:pt idx="91">
                  <c:v>3.2526254629116647</c:v>
                </c:pt>
                <c:pt idx="92">
                  <c:v>3.3013651091161833</c:v>
                </c:pt>
                <c:pt idx="93">
                  <c:v>3.3442500827718731</c:v>
                </c:pt>
                <c:pt idx="94">
                  <c:v>3.3898982879071156</c:v>
                </c:pt>
                <c:pt idx="95">
                  <c:v>3.4343721299120151</c:v>
                </c:pt>
                <c:pt idx="96">
                  <c:v>3.4768008852315972</c:v>
                </c:pt>
                <c:pt idx="97">
                  <c:v>3.5178133571091577</c:v>
                </c:pt>
                <c:pt idx="98">
                  <c:v>3.557296744287715</c:v>
                </c:pt>
                <c:pt idx="99">
                  <c:v>3.5939996100299352</c:v>
                </c:pt>
                <c:pt idx="100">
                  <c:v>3.6289409685050837</c:v>
                </c:pt>
                <c:pt idx="101">
                  <c:v>0</c:v>
                </c:pt>
                <c:pt idx="102">
                  <c:v>3.7455653038582466</c:v>
                </c:pt>
                <c:pt idx="103">
                  <c:v>3.7861884005417576</c:v>
                </c:pt>
                <c:pt idx="104">
                  <c:v>3.8254927313035694</c:v>
                </c:pt>
                <c:pt idx="105">
                  <c:v>3.8758665147479214</c:v>
                </c:pt>
                <c:pt idx="106">
                  <c:v>3.9257017657211524</c:v>
                </c:pt>
                <c:pt idx="107">
                  <c:v>3.9680656582673</c:v>
                </c:pt>
                <c:pt idx="108">
                  <c:v>4.0333878079716614</c:v>
                </c:pt>
                <c:pt idx="109">
                  <c:v>4.0821089358847003</c:v>
                </c:pt>
                <c:pt idx="110">
                  <c:v>4.1304688014072211</c:v>
                </c:pt>
                <c:pt idx="111">
                  <c:v>4.1771449613341227</c:v>
                </c:pt>
                <c:pt idx="112">
                  <c:v>4.2161301223832526</c:v>
                </c:pt>
                <c:pt idx="113">
                  <c:v>4.2614185277444356</c:v>
                </c:pt>
                <c:pt idx="114">
                  <c:v>4.3059741643324205</c:v>
                </c:pt>
                <c:pt idx="115">
                  <c:v>4.357130275695174</c:v>
                </c:pt>
                <c:pt idx="116">
                  <c:v>4.4261269696578767</c:v>
                </c:pt>
                <c:pt idx="117">
                  <c:v>4.4764635114242317</c:v>
                </c:pt>
                <c:pt idx="118">
                  <c:v>4.525654848435134</c:v>
                </c:pt>
                <c:pt idx="119">
                  <c:v>4.5748769346022815</c:v>
                </c:pt>
                <c:pt idx="120">
                  <c:v>4.6232591789972366</c:v>
                </c:pt>
                <c:pt idx="121">
                  <c:v>4.6899523616601879</c:v>
                </c:pt>
                <c:pt idx="122">
                  <c:v>4.7369282607904006</c:v>
                </c:pt>
                <c:pt idx="123">
                  <c:v>4.7812982987468082</c:v>
                </c:pt>
                <c:pt idx="124">
                  <c:v>4.8256740506359543</c:v>
                </c:pt>
                <c:pt idx="125">
                  <c:v>4.8784895700764794</c:v>
                </c:pt>
                <c:pt idx="126">
                  <c:v>4.9326104143149809</c:v>
                </c:pt>
                <c:pt idx="127">
                  <c:v>4.9865991794729991</c:v>
                </c:pt>
                <c:pt idx="128">
                  <c:v>5.0606607115142719</c:v>
                </c:pt>
                <c:pt idx="129">
                  <c:v>4.8038706271112961</c:v>
                </c:pt>
                <c:pt idx="130">
                  <c:v>4.854564876796025</c:v>
                </c:pt>
                <c:pt idx="131">
                  <c:v>4.5936828126833653</c:v>
                </c:pt>
                <c:pt idx="132">
                  <c:v>4.6428038965132252</c:v>
                </c:pt>
                <c:pt idx="133">
                  <c:v>4.6905874018925298</c:v>
                </c:pt>
                <c:pt idx="134">
                  <c:v>4.737653974811999</c:v>
                </c:pt>
                <c:pt idx="135">
                  <c:v>4.79552186786003</c:v>
                </c:pt>
                <c:pt idx="136">
                  <c:v>4.5524600551761436</c:v>
                </c:pt>
                <c:pt idx="137">
                  <c:v>4.6054543746650882</c:v>
                </c:pt>
                <c:pt idx="138">
                  <c:v>4.3418514408863826</c:v>
                </c:pt>
                <c:pt idx="139">
                  <c:v>4.3921904729221515</c:v>
                </c:pt>
                <c:pt idx="140">
                  <c:v>4.4448870135015675</c:v>
                </c:pt>
                <c:pt idx="141">
                  <c:v>4.5082844782413636</c:v>
                </c:pt>
                <c:pt idx="142">
                  <c:v>4.5544876540276471</c:v>
                </c:pt>
                <c:pt idx="143">
                  <c:v>4.2807622348365033</c:v>
                </c:pt>
                <c:pt idx="144">
                  <c:v>4.32337545269632</c:v>
                </c:pt>
                <c:pt idx="145">
                  <c:v>4.051772691816776</c:v>
                </c:pt>
                <c:pt idx="146">
                  <c:v>4.0958478445965261</c:v>
                </c:pt>
                <c:pt idx="147">
                  <c:v>4.1442874009756325</c:v>
                </c:pt>
                <c:pt idx="148">
                  <c:v>4.184761843440886</c:v>
                </c:pt>
                <c:pt idx="149">
                  <c:v>4.2235705302566018</c:v>
                </c:pt>
                <c:pt idx="150">
                  <c:v>3.9330460618116678</c:v>
                </c:pt>
                <c:pt idx="151">
                  <c:v>3.9675740784386444</c:v>
                </c:pt>
                <c:pt idx="152">
                  <c:v>-6.845541933200597E-4</c:v>
                </c:pt>
                <c:pt idx="153">
                  <c:v>3.7455653038582466</c:v>
                </c:pt>
                <c:pt idx="154">
                  <c:v>3.7861884005417576</c:v>
                </c:pt>
                <c:pt idx="155">
                  <c:v>3.8254927313035694</c:v>
                </c:pt>
                <c:pt idx="156">
                  <c:v>3.8758665147479214</c:v>
                </c:pt>
                <c:pt idx="157">
                  <c:v>3.9257017657211524</c:v>
                </c:pt>
                <c:pt idx="158">
                  <c:v>3.9680656582673</c:v>
                </c:pt>
                <c:pt idx="159">
                  <c:v>4.0333878079716614</c:v>
                </c:pt>
                <c:pt idx="160">
                  <c:v>4.0821089358847003</c:v>
                </c:pt>
                <c:pt idx="161">
                  <c:v>4.1304688014072211</c:v>
                </c:pt>
                <c:pt idx="162">
                  <c:v>4.1771449613341227</c:v>
                </c:pt>
                <c:pt idx="163">
                  <c:v>4.2161301223832526</c:v>
                </c:pt>
                <c:pt idx="164">
                  <c:v>4.2614185277444356</c:v>
                </c:pt>
                <c:pt idx="165">
                  <c:v>4.3059741643324205</c:v>
                </c:pt>
                <c:pt idx="166">
                  <c:v>4.357130275695174</c:v>
                </c:pt>
                <c:pt idx="167">
                  <c:v>4.4261269696578767</c:v>
                </c:pt>
                <c:pt idx="168">
                  <c:v>4.4764635114242317</c:v>
                </c:pt>
                <c:pt idx="169">
                  <c:v>4.525654848435134</c:v>
                </c:pt>
                <c:pt idx="170">
                  <c:v>4.5748769346022815</c:v>
                </c:pt>
                <c:pt idx="171">
                  <c:v>4.6232591789972366</c:v>
                </c:pt>
                <c:pt idx="172">
                  <c:v>4.6899523616601879</c:v>
                </c:pt>
                <c:pt idx="173">
                  <c:v>4.7369282607904006</c:v>
                </c:pt>
                <c:pt idx="174">
                  <c:v>4.7812982987468082</c:v>
                </c:pt>
                <c:pt idx="175">
                  <c:v>4.8256740506359543</c:v>
                </c:pt>
                <c:pt idx="176">
                  <c:v>4.8784895700764794</c:v>
                </c:pt>
                <c:pt idx="177">
                  <c:v>4.9326104143149809</c:v>
                </c:pt>
                <c:pt idx="178">
                  <c:v>4.9865991794729991</c:v>
                </c:pt>
                <c:pt idx="179">
                  <c:v>5.0606607115142719</c:v>
                </c:pt>
                <c:pt idx="180">
                  <c:v>4.8038706271112961</c:v>
                </c:pt>
                <c:pt idx="181">
                  <c:v>4.854564876796025</c:v>
                </c:pt>
                <c:pt idx="182">
                  <c:v>4.5936828126833653</c:v>
                </c:pt>
                <c:pt idx="183">
                  <c:v>4.6428038965132252</c:v>
                </c:pt>
                <c:pt idx="184">
                  <c:v>4.6905874018925298</c:v>
                </c:pt>
                <c:pt idx="185">
                  <c:v>4.737653974811999</c:v>
                </c:pt>
                <c:pt idx="186">
                  <c:v>4.79552186786003</c:v>
                </c:pt>
                <c:pt idx="187">
                  <c:v>4.5524600551761436</c:v>
                </c:pt>
                <c:pt idx="188">
                  <c:v>4.6054543746650882</c:v>
                </c:pt>
                <c:pt idx="189">
                  <c:v>4.3418514408863826</c:v>
                </c:pt>
                <c:pt idx="190">
                  <c:v>4.3921904729221515</c:v>
                </c:pt>
                <c:pt idx="191">
                  <c:v>4.4448870135015675</c:v>
                </c:pt>
                <c:pt idx="192">
                  <c:v>4.5082844782413636</c:v>
                </c:pt>
                <c:pt idx="193">
                  <c:v>4.5544876540276471</c:v>
                </c:pt>
                <c:pt idx="194">
                  <c:v>4.2807622348365033</c:v>
                </c:pt>
                <c:pt idx="195">
                  <c:v>4.32337545269632</c:v>
                </c:pt>
                <c:pt idx="196">
                  <c:v>4.051772691816776</c:v>
                </c:pt>
                <c:pt idx="197">
                  <c:v>4.0958478445965261</c:v>
                </c:pt>
                <c:pt idx="198">
                  <c:v>4.1442874009756325</c:v>
                </c:pt>
                <c:pt idx="199">
                  <c:v>4.184761843440886</c:v>
                </c:pt>
                <c:pt idx="200">
                  <c:v>4.2235705302566018</c:v>
                </c:pt>
                <c:pt idx="201">
                  <c:v>3.9330460618116678</c:v>
                </c:pt>
                <c:pt idx="202">
                  <c:v>3.9675740784386444</c:v>
                </c:pt>
                <c:pt idx="203">
                  <c:v>-6.845541933200597E-4</c:v>
                </c:pt>
                <c:pt idx="204">
                  <c:v>3.7455653038582466</c:v>
                </c:pt>
                <c:pt idx="205">
                  <c:v>3.7861884005417576</c:v>
                </c:pt>
                <c:pt idx="206">
                  <c:v>3.8254927313035694</c:v>
                </c:pt>
                <c:pt idx="207">
                  <c:v>3.8758665147479214</c:v>
                </c:pt>
                <c:pt idx="208">
                  <c:v>3.9257017657211524</c:v>
                </c:pt>
                <c:pt idx="209">
                  <c:v>3.9680656582673</c:v>
                </c:pt>
                <c:pt idx="210">
                  <c:v>4.0333878079716614</c:v>
                </c:pt>
                <c:pt idx="211">
                  <c:v>4.0821089358847003</c:v>
                </c:pt>
                <c:pt idx="212">
                  <c:v>4.1304688014072211</c:v>
                </c:pt>
                <c:pt idx="213">
                  <c:v>4.1771449613341227</c:v>
                </c:pt>
                <c:pt idx="214">
                  <c:v>4.2161301223832526</c:v>
                </c:pt>
                <c:pt idx="215">
                  <c:v>4.2614185277444356</c:v>
                </c:pt>
                <c:pt idx="216">
                  <c:v>4.3059741643324205</c:v>
                </c:pt>
                <c:pt idx="217">
                  <c:v>4.357130275695174</c:v>
                </c:pt>
                <c:pt idx="218">
                  <c:v>4.4261269696578767</c:v>
                </c:pt>
                <c:pt idx="219">
                  <c:v>4.4764635114242317</c:v>
                </c:pt>
                <c:pt idx="220">
                  <c:v>4.525654848435134</c:v>
                </c:pt>
                <c:pt idx="221">
                  <c:v>4.5748769346022815</c:v>
                </c:pt>
                <c:pt idx="222">
                  <c:v>4.6232591789972366</c:v>
                </c:pt>
                <c:pt idx="223">
                  <c:v>4.6899523616601879</c:v>
                </c:pt>
                <c:pt idx="224">
                  <c:v>4.7369282607904006</c:v>
                </c:pt>
                <c:pt idx="225">
                  <c:v>4.7812982987468082</c:v>
                </c:pt>
                <c:pt idx="226">
                  <c:v>4.8256740506359543</c:v>
                </c:pt>
                <c:pt idx="227">
                  <c:v>4.8784895700764794</c:v>
                </c:pt>
                <c:pt idx="228">
                  <c:v>4.9326104143149809</c:v>
                </c:pt>
                <c:pt idx="229">
                  <c:v>4.9865991794729991</c:v>
                </c:pt>
                <c:pt idx="230">
                  <c:v>5.0606607115142719</c:v>
                </c:pt>
                <c:pt idx="231">
                  <c:v>4.8038706271112961</c:v>
                </c:pt>
                <c:pt idx="232">
                  <c:v>4.854564876796025</c:v>
                </c:pt>
                <c:pt idx="233">
                  <c:v>4.5936828126833653</c:v>
                </c:pt>
                <c:pt idx="234">
                  <c:v>4.6428038965132252</c:v>
                </c:pt>
                <c:pt idx="235">
                  <c:v>4.6905874018925298</c:v>
                </c:pt>
                <c:pt idx="236">
                  <c:v>4.737653974811999</c:v>
                </c:pt>
                <c:pt idx="237">
                  <c:v>4.79552186786003</c:v>
                </c:pt>
                <c:pt idx="238">
                  <c:v>4.5524600551761436</c:v>
                </c:pt>
                <c:pt idx="239">
                  <c:v>4.6054543746650882</c:v>
                </c:pt>
                <c:pt idx="240">
                  <c:v>4.3418514408863826</c:v>
                </c:pt>
                <c:pt idx="241">
                  <c:v>4.3921904729221515</c:v>
                </c:pt>
                <c:pt idx="242">
                  <c:v>4.4448870135015675</c:v>
                </c:pt>
                <c:pt idx="243">
                  <c:v>4.5082844782413636</c:v>
                </c:pt>
                <c:pt idx="244">
                  <c:v>4.5544876540276471</c:v>
                </c:pt>
                <c:pt idx="245">
                  <c:v>4.2807622348365033</c:v>
                </c:pt>
                <c:pt idx="246">
                  <c:v>4.32337545269632</c:v>
                </c:pt>
                <c:pt idx="247">
                  <c:v>4.051772691816776</c:v>
                </c:pt>
                <c:pt idx="248">
                  <c:v>4.0958478445965261</c:v>
                </c:pt>
                <c:pt idx="249">
                  <c:v>4.1442874009756325</c:v>
                </c:pt>
                <c:pt idx="250">
                  <c:v>4.184761843440886</c:v>
                </c:pt>
                <c:pt idx="251">
                  <c:v>4.2235705302566018</c:v>
                </c:pt>
                <c:pt idx="252">
                  <c:v>3.9330460618116678</c:v>
                </c:pt>
                <c:pt idx="253">
                  <c:v>3.9675740784386444</c:v>
                </c:pt>
                <c:pt idx="254">
                  <c:v>-6.845541933200597E-4</c:v>
                </c:pt>
                <c:pt idx="255">
                  <c:v>3.7455653038582466</c:v>
                </c:pt>
                <c:pt idx="256">
                  <c:v>3.7861884005417576</c:v>
                </c:pt>
                <c:pt idx="257">
                  <c:v>3.8254927313035694</c:v>
                </c:pt>
                <c:pt idx="258">
                  <c:v>3.8758665147479214</c:v>
                </c:pt>
                <c:pt idx="259">
                  <c:v>3.9257017657211524</c:v>
                </c:pt>
                <c:pt idx="260">
                  <c:v>3.9680656582673</c:v>
                </c:pt>
                <c:pt idx="261">
                  <c:v>4.0333878079716614</c:v>
                </c:pt>
                <c:pt idx="262">
                  <c:v>4.0821089358847003</c:v>
                </c:pt>
                <c:pt idx="263">
                  <c:v>4.1304688014072211</c:v>
                </c:pt>
                <c:pt idx="264">
                  <c:v>4.1771449613341227</c:v>
                </c:pt>
                <c:pt idx="265">
                  <c:v>4.2161301223832526</c:v>
                </c:pt>
                <c:pt idx="266">
                  <c:v>4.2614185277444356</c:v>
                </c:pt>
                <c:pt idx="267">
                  <c:v>4.3059741643324205</c:v>
                </c:pt>
                <c:pt idx="268">
                  <c:v>4.357130275695174</c:v>
                </c:pt>
                <c:pt idx="269">
                  <c:v>4.4261269696578767</c:v>
                </c:pt>
                <c:pt idx="270">
                  <c:v>4.4764635114242317</c:v>
                </c:pt>
                <c:pt idx="271">
                  <c:v>4.525654848435134</c:v>
                </c:pt>
                <c:pt idx="272">
                  <c:v>4.5748769346022815</c:v>
                </c:pt>
                <c:pt idx="273">
                  <c:v>4.6232591789972366</c:v>
                </c:pt>
                <c:pt idx="274">
                  <c:v>4.6899523616601879</c:v>
                </c:pt>
                <c:pt idx="275">
                  <c:v>4.7369282607904006</c:v>
                </c:pt>
                <c:pt idx="276">
                  <c:v>4.7812982987468082</c:v>
                </c:pt>
                <c:pt idx="277">
                  <c:v>4.8256740506359543</c:v>
                </c:pt>
                <c:pt idx="278">
                  <c:v>4.8784895700764794</c:v>
                </c:pt>
                <c:pt idx="279">
                  <c:v>4.9326104143149809</c:v>
                </c:pt>
                <c:pt idx="280">
                  <c:v>4.9865991794729991</c:v>
                </c:pt>
                <c:pt idx="281">
                  <c:v>5.0606607115142719</c:v>
                </c:pt>
                <c:pt idx="282">
                  <c:v>4.8038706271112961</c:v>
                </c:pt>
                <c:pt idx="283">
                  <c:v>4.854564876796025</c:v>
                </c:pt>
                <c:pt idx="284">
                  <c:v>4.5936828126833653</c:v>
                </c:pt>
                <c:pt idx="285">
                  <c:v>4.6428038965132252</c:v>
                </c:pt>
                <c:pt idx="286">
                  <c:v>4.6905874018925298</c:v>
                </c:pt>
                <c:pt idx="287">
                  <c:v>4.737653974811999</c:v>
                </c:pt>
                <c:pt idx="288">
                  <c:v>4.79552186786003</c:v>
                </c:pt>
                <c:pt idx="289">
                  <c:v>4.5524600551761436</c:v>
                </c:pt>
                <c:pt idx="290">
                  <c:v>4.6054543746650882</c:v>
                </c:pt>
                <c:pt idx="291">
                  <c:v>4.3418514408863826</c:v>
                </c:pt>
                <c:pt idx="292">
                  <c:v>4.3921904729221515</c:v>
                </c:pt>
                <c:pt idx="293">
                  <c:v>4.4448870135015675</c:v>
                </c:pt>
                <c:pt idx="294">
                  <c:v>4.5082844782413636</c:v>
                </c:pt>
                <c:pt idx="295">
                  <c:v>4.5544876540276471</c:v>
                </c:pt>
                <c:pt idx="296">
                  <c:v>4.2807622348365033</c:v>
                </c:pt>
                <c:pt idx="297">
                  <c:v>4.32337545269632</c:v>
                </c:pt>
                <c:pt idx="298">
                  <c:v>4.051772691816776</c:v>
                </c:pt>
                <c:pt idx="299">
                  <c:v>4.0958478445965261</c:v>
                </c:pt>
                <c:pt idx="300">
                  <c:v>4.1442874009756325</c:v>
                </c:pt>
                <c:pt idx="301">
                  <c:v>4.184761843440886</c:v>
                </c:pt>
                <c:pt idx="302">
                  <c:v>4.2235705302566018</c:v>
                </c:pt>
                <c:pt idx="303">
                  <c:v>3.9330460618116678</c:v>
                </c:pt>
                <c:pt idx="304">
                  <c:v>3.9675740784386444</c:v>
                </c:pt>
                <c:pt idx="305">
                  <c:v>-6.845541933200597E-4</c:v>
                </c:pt>
                <c:pt idx="306">
                  <c:v>3.7455653038582466</c:v>
                </c:pt>
                <c:pt idx="307">
                  <c:v>3.7861884005417576</c:v>
                </c:pt>
                <c:pt idx="308">
                  <c:v>3.8254927313035694</c:v>
                </c:pt>
                <c:pt idx="309">
                  <c:v>3.8758665147479214</c:v>
                </c:pt>
                <c:pt idx="310">
                  <c:v>3.9257017657211524</c:v>
                </c:pt>
                <c:pt idx="311">
                  <c:v>3.9680656582673</c:v>
                </c:pt>
                <c:pt idx="312">
                  <c:v>4.0333878079716614</c:v>
                </c:pt>
                <c:pt idx="313">
                  <c:v>4.0821089358847003</c:v>
                </c:pt>
                <c:pt idx="314">
                  <c:v>4.1304688014072211</c:v>
                </c:pt>
                <c:pt idx="315">
                  <c:v>4.1771449613341227</c:v>
                </c:pt>
                <c:pt idx="316">
                  <c:v>4.2161301223832526</c:v>
                </c:pt>
                <c:pt idx="317">
                  <c:v>4.2614185277444356</c:v>
                </c:pt>
                <c:pt idx="318">
                  <c:v>4.3059741643324205</c:v>
                </c:pt>
                <c:pt idx="319">
                  <c:v>4.357130275695174</c:v>
                </c:pt>
                <c:pt idx="320">
                  <c:v>4.4261269696578767</c:v>
                </c:pt>
                <c:pt idx="321">
                  <c:v>4.4764635114242317</c:v>
                </c:pt>
                <c:pt idx="322">
                  <c:v>4.525654848435134</c:v>
                </c:pt>
                <c:pt idx="323">
                  <c:v>4.5748769346022815</c:v>
                </c:pt>
                <c:pt idx="324">
                  <c:v>4.6232591789972366</c:v>
                </c:pt>
                <c:pt idx="325">
                  <c:v>4.6899523616601879</c:v>
                </c:pt>
                <c:pt idx="326">
                  <c:v>4.7369282607904006</c:v>
                </c:pt>
                <c:pt idx="327">
                  <c:v>4.7812982987468082</c:v>
                </c:pt>
                <c:pt idx="328">
                  <c:v>4.8256740506359543</c:v>
                </c:pt>
                <c:pt idx="329">
                  <c:v>4.8784895700764794</c:v>
                </c:pt>
                <c:pt idx="330">
                  <c:v>4.9326104143149809</c:v>
                </c:pt>
                <c:pt idx="331">
                  <c:v>4.9865991794729991</c:v>
                </c:pt>
                <c:pt idx="332">
                  <c:v>5.0606607115142719</c:v>
                </c:pt>
                <c:pt idx="333">
                  <c:v>4.8038706271112961</c:v>
                </c:pt>
                <c:pt idx="334">
                  <c:v>4.854564876796025</c:v>
                </c:pt>
                <c:pt idx="335">
                  <c:v>4.5936828126833653</c:v>
                </c:pt>
                <c:pt idx="336">
                  <c:v>4.6428038965132252</c:v>
                </c:pt>
                <c:pt idx="337">
                  <c:v>4.6905874018925298</c:v>
                </c:pt>
                <c:pt idx="338">
                  <c:v>4.737653974811999</c:v>
                </c:pt>
                <c:pt idx="339">
                  <c:v>4.79552186786003</c:v>
                </c:pt>
                <c:pt idx="340">
                  <c:v>4.5524600551761436</c:v>
                </c:pt>
                <c:pt idx="341">
                  <c:v>4.6054543746650882</c:v>
                </c:pt>
                <c:pt idx="342">
                  <c:v>4.3418514408863826</c:v>
                </c:pt>
                <c:pt idx="343">
                  <c:v>4.3921904729221515</c:v>
                </c:pt>
                <c:pt idx="344">
                  <c:v>4.4448870135015675</c:v>
                </c:pt>
                <c:pt idx="345">
                  <c:v>4.5082844782413636</c:v>
                </c:pt>
                <c:pt idx="346">
                  <c:v>4.5544876540276471</c:v>
                </c:pt>
                <c:pt idx="347">
                  <c:v>4.2807622348365033</c:v>
                </c:pt>
                <c:pt idx="348">
                  <c:v>4.32337545269632</c:v>
                </c:pt>
                <c:pt idx="349">
                  <c:v>4.051772691816776</c:v>
                </c:pt>
                <c:pt idx="350">
                  <c:v>4.0958478445965261</c:v>
                </c:pt>
                <c:pt idx="351">
                  <c:v>4.1442874009756325</c:v>
                </c:pt>
                <c:pt idx="352">
                  <c:v>4.184761843440886</c:v>
                </c:pt>
                <c:pt idx="353">
                  <c:v>4.2235705302566018</c:v>
                </c:pt>
                <c:pt idx="354">
                  <c:v>3.9330460618116678</c:v>
                </c:pt>
                <c:pt idx="355">
                  <c:v>3.9675740784386444</c:v>
                </c:pt>
                <c:pt idx="356">
                  <c:v>-6.845541933200597E-4</c:v>
                </c:pt>
                <c:pt idx="357">
                  <c:v>3.7455653038582466</c:v>
                </c:pt>
                <c:pt idx="358">
                  <c:v>3.7861884005417576</c:v>
                </c:pt>
                <c:pt idx="359">
                  <c:v>3.8254927313035694</c:v>
                </c:pt>
                <c:pt idx="360">
                  <c:v>3.8758665147479214</c:v>
                </c:pt>
                <c:pt idx="361">
                  <c:v>3.9257017657211524</c:v>
                </c:pt>
                <c:pt idx="362">
                  <c:v>3.9680656582673</c:v>
                </c:pt>
                <c:pt idx="363">
                  <c:v>4.0333878079716614</c:v>
                </c:pt>
                <c:pt idx="364">
                  <c:v>4.0821089358847003</c:v>
                </c:pt>
                <c:pt idx="365">
                  <c:v>4.1304688014072211</c:v>
                </c:pt>
                <c:pt idx="366">
                  <c:v>4.1771449613341227</c:v>
                </c:pt>
                <c:pt idx="367">
                  <c:v>4.2161301223832526</c:v>
                </c:pt>
                <c:pt idx="368">
                  <c:v>4.2614185277444356</c:v>
                </c:pt>
                <c:pt idx="369">
                  <c:v>4.3059741643324205</c:v>
                </c:pt>
                <c:pt idx="370">
                  <c:v>4.357130275695174</c:v>
                </c:pt>
                <c:pt idx="371">
                  <c:v>4.4261269696578767</c:v>
                </c:pt>
                <c:pt idx="372">
                  <c:v>4.4764635114242317</c:v>
                </c:pt>
                <c:pt idx="373">
                  <c:v>4.525654848435134</c:v>
                </c:pt>
                <c:pt idx="374">
                  <c:v>4.5748769346022815</c:v>
                </c:pt>
                <c:pt idx="375">
                  <c:v>4.6232591789972366</c:v>
                </c:pt>
                <c:pt idx="376">
                  <c:v>4.6899523616601879</c:v>
                </c:pt>
                <c:pt idx="377">
                  <c:v>4.7369282607904006</c:v>
                </c:pt>
                <c:pt idx="378">
                  <c:v>4.7812982987468082</c:v>
                </c:pt>
                <c:pt idx="379">
                  <c:v>4.8256740506359543</c:v>
                </c:pt>
                <c:pt idx="380">
                  <c:v>4.8784895700764794</c:v>
                </c:pt>
                <c:pt idx="381">
                  <c:v>4.9326104143149809</c:v>
                </c:pt>
                <c:pt idx="382">
                  <c:v>4.9865991794729991</c:v>
                </c:pt>
                <c:pt idx="383">
                  <c:v>5.0606607115142719</c:v>
                </c:pt>
                <c:pt idx="384">
                  <c:v>4.8038706271112961</c:v>
                </c:pt>
                <c:pt idx="385">
                  <c:v>4.854564876796025</c:v>
                </c:pt>
                <c:pt idx="386">
                  <c:v>4.5936828126833653</c:v>
                </c:pt>
                <c:pt idx="387">
                  <c:v>4.6428038965132252</c:v>
                </c:pt>
                <c:pt idx="388">
                  <c:v>4.6905874018925298</c:v>
                </c:pt>
                <c:pt idx="389">
                  <c:v>4.737653974811999</c:v>
                </c:pt>
                <c:pt idx="390">
                  <c:v>4.79552186786003</c:v>
                </c:pt>
                <c:pt idx="391">
                  <c:v>4.5524600551761436</c:v>
                </c:pt>
                <c:pt idx="392">
                  <c:v>4.6054543746650882</c:v>
                </c:pt>
                <c:pt idx="393">
                  <c:v>4.3418514408863826</c:v>
                </c:pt>
                <c:pt idx="394">
                  <c:v>4.3921904729221515</c:v>
                </c:pt>
                <c:pt idx="395">
                  <c:v>4.4448870135015675</c:v>
                </c:pt>
                <c:pt idx="396">
                  <c:v>4.5082844782413636</c:v>
                </c:pt>
                <c:pt idx="397">
                  <c:v>4.5544876540276471</c:v>
                </c:pt>
                <c:pt idx="398">
                  <c:v>4.2807622348365033</c:v>
                </c:pt>
                <c:pt idx="399">
                  <c:v>4.32337545269632</c:v>
                </c:pt>
                <c:pt idx="400">
                  <c:v>4.051772691816776</c:v>
                </c:pt>
                <c:pt idx="401">
                  <c:v>4.0958478445965261</c:v>
                </c:pt>
                <c:pt idx="402">
                  <c:v>4.1442874009756325</c:v>
                </c:pt>
                <c:pt idx="403">
                  <c:v>4.184761843440886</c:v>
                </c:pt>
                <c:pt idx="404">
                  <c:v>4.2235705302566018</c:v>
                </c:pt>
                <c:pt idx="405">
                  <c:v>3.9330460618116678</c:v>
                </c:pt>
                <c:pt idx="406">
                  <c:v>3.9675740784386444</c:v>
                </c:pt>
                <c:pt idx="407">
                  <c:v>-6.845541933200597E-4</c:v>
                </c:pt>
                <c:pt idx="408">
                  <c:v>3.7455653038582466</c:v>
                </c:pt>
                <c:pt idx="409">
                  <c:v>3.7861884005417576</c:v>
                </c:pt>
                <c:pt idx="410">
                  <c:v>3.8254927313035694</c:v>
                </c:pt>
                <c:pt idx="411">
                  <c:v>3.8758665147479214</c:v>
                </c:pt>
                <c:pt idx="412">
                  <c:v>3.9257017657211524</c:v>
                </c:pt>
                <c:pt idx="413">
                  <c:v>3.9680656582673</c:v>
                </c:pt>
                <c:pt idx="414">
                  <c:v>4.0333878079716614</c:v>
                </c:pt>
                <c:pt idx="415">
                  <c:v>4.0821089358847003</c:v>
                </c:pt>
                <c:pt idx="416">
                  <c:v>4.1304688014072211</c:v>
                </c:pt>
                <c:pt idx="417">
                  <c:v>4.1771449613341227</c:v>
                </c:pt>
                <c:pt idx="418">
                  <c:v>4.2161301223832526</c:v>
                </c:pt>
                <c:pt idx="419">
                  <c:v>4.2614185277444356</c:v>
                </c:pt>
                <c:pt idx="420">
                  <c:v>4.3059741643324205</c:v>
                </c:pt>
                <c:pt idx="421">
                  <c:v>4.357130275695174</c:v>
                </c:pt>
                <c:pt idx="422">
                  <c:v>4.4261269696578767</c:v>
                </c:pt>
                <c:pt idx="423">
                  <c:v>4.4764635114242317</c:v>
                </c:pt>
                <c:pt idx="424">
                  <c:v>4.525654848435134</c:v>
                </c:pt>
                <c:pt idx="425">
                  <c:v>4.5748769346022815</c:v>
                </c:pt>
                <c:pt idx="426">
                  <c:v>4.6232591789972366</c:v>
                </c:pt>
                <c:pt idx="427">
                  <c:v>4.6899523616601879</c:v>
                </c:pt>
                <c:pt idx="428">
                  <c:v>4.7369282607904006</c:v>
                </c:pt>
                <c:pt idx="429">
                  <c:v>4.7812982987468082</c:v>
                </c:pt>
                <c:pt idx="430">
                  <c:v>4.8256740506359543</c:v>
                </c:pt>
                <c:pt idx="431">
                  <c:v>4.8784895700764794</c:v>
                </c:pt>
                <c:pt idx="432">
                  <c:v>4.9326104143149809</c:v>
                </c:pt>
                <c:pt idx="433">
                  <c:v>4.9865991794729991</c:v>
                </c:pt>
                <c:pt idx="434">
                  <c:v>5.0606607115142719</c:v>
                </c:pt>
                <c:pt idx="435">
                  <c:v>4.8038706271112961</c:v>
                </c:pt>
                <c:pt idx="436">
                  <c:v>4.854564876796025</c:v>
                </c:pt>
                <c:pt idx="437">
                  <c:v>4.5936828126833653</c:v>
                </c:pt>
                <c:pt idx="438">
                  <c:v>4.6428038965132252</c:v>
                </c:pt>
                <c:pt idx="439">
                  <c:v>4.6905874018925298</c:v>
                </c:pt>
                <c:pt idx="440">
                  <c:v>4.737653974811999</c:v>
                </c:pt>
                <c:pt idx="441">
                  <c:v>4.79552186786003</c:v>
                </c:pt>
                <c:pt idx="442">
                  <c:v>4.5524600551761436</c:v>
                </c:pt>
                <c:pt idx="443">
                  <c:v>4.6054543746650882</c:v>
                </c:pt>
                <c:pt idx="444">
                  <c:v>4.3418514408863826</c:v>
                </c:pt>
                <c:pt idx="445">
                  <c:v>4.3921904729221515</c:v>
                </c:pt>
                <c:pt idx="446">
                  <c:v>4.4448870135015675</c:v>
                </c:pt>
                <c:pt idx="447">
                  <c:v>4.5082844782413636</c:v>
                </c:pt>
                <c:pt idx="448">
                  <c:v>4.5544876540276471</c:v>
                </c:pt>
                <c:pt idx="449">
                  <c:v>4.2807622348365033</c:v>
                </c:pt>
                <c:pt idx="450">
                  <c:v>4.32337545269632</c:v>
                </c:pt>
                <c:pt idx="451">
                  <c:v>4.051772691816776</c:v>
                </c:pt>
                <c:pt idx="452">
                  <c:v>4.0958478445965261</c:v>
                </c:pt>
                <c:pt idx="453">
                  <c:v>4.1442874009756325</c:v>
                </c:pt>
                <c:pt idx="454">
                  <c:v>4.184761843440886</c:v>
                </c:pt>
                <c:pt idx="455">
                  <c:v>4.2235705302566018</c:v>
                </c:pt>
                <c:pt idx="456">
                  <c:v>3.9330460618116678</c:v>
                </c:pt>
                <c:pt idx="457">
                  <c:v>3.9675740784386444</c:v>
                </c:pt>
                <c:pt idx="458">
                  <c:v>-6.845541933200597E-4</c:v>
                </c:pt>
                <c:pt idx="459">
                  <c:v>3.7455653038582466</c:v>
                </c:pt>
                <c:pt idx="460">
                  <c:v>3.7861884005417576</c:v>
                </c:pt>
                <c:pt idx="461">
                  <c:v>3.8254927313035694</c:v>
                </c:pt>
                <c:pt idx="462">
                  <c:v>3.8758665147479214</c:v>
                </c:pt>
                <c:pt idx="463">
                  <c:v>3.9257017657211524</c:v>
                </c:pt>
                <c:pt idx="464">
                  <c:v>3.9680656582673</c:v>
                </c:pt>
                <c:pt idx="465">
                  <c:v>4.0333878079716614</c:v>
                </c:pt>
                <c:pt idx="466">
                  <c:v>4.0821089358847003</c:v>
                </c:pt>
                <c:pt idx="467">
                  <c:v>4.1304688014072211</c:v>
                </c:pt>
                <c:pt idx="468">
                  <c:v>4.1771449613341227</c:v>
                </c:pt>
                <c:pt idx="469">
                  <c:v>4.2161301223832526</c:v>
                </c:pt>
                <c:pt idx="470">
                  <c:v>4.2614185277444356</c:v>
                </c:pt>
                <c:pt idx="471">
                  <c:v>4.3059741643324205</c:v>
                </c:pt>
                <c:pt idx="472">
                  <c:v>4.357130275695174</c:v>
                </c:pt>
                <c:pt idx="473">
                  <c:v>4.4261269696578767</c:v>
                </c:pt>
                <c:pt idx="474">
                  <c:v>4.4764635114242317</c:v>
                </c:pt>
                <c:pt idx="475">
                  <c:v>4.525654848435134</c:v>
                </c:pt>
                <c:pt idx="476">
                  <c:v>4.5748769346022815</c:v>
                </c:pt>
                <c:pt idx="477">
                  <c:v>4.6232591789972366</c:v>
                </c:pt>
                <c:pt idx="478">
                  <c:v>4.6899523616601879</c:v>
                </c:pt>
                <c:pt idx="479">
                  <c:v>4.7369282607904006</c:v>
                </c:pt>
                <c:pt idx="480">
                  <c:v>4.7812982987468082</c:v>
                </c:pt>
                <c:pt idx="481">
                  <c:v>4.8256740506359543</c:v>
                </c:pt>
                <c:pt idx="482">
                  <c:v>4.8784895700764794</c:v>
                </c:pt>
                <c:pt idx="483">
                  <c:v>4.9326104143149809</c:v>
                </c:pt>
                <c:pt idx="484">
                  <c:v>4.9865991794729991</c:v>
                </c:pt>
                <c:pt idx="485">
                  <c:v>5.0606607115142719</c:v>
                </c:pt>
                <c:pt idx="486">
                  <c:v>4.8038706271112961</c:v>
                </c:pt>
                <c:pt idx="487">
                  <c:v>4.854564876796025</c:v>
                </c:pt>
                <c:pt idx="488">
                  <c:v>4.5936828126833653</c:v>
                </c:pt>
                <c:pt idx="489">
                  <c:v>4.6428038965132252</c:v>
                </c:pt>
                <c:pt idx="490">
                  <c:v>4.6905874018925298</c:v>
                </c:pt>
                <c:pt idx="491">
                  <c:v>4.737653974811999</c:v>
                </c:pt>
                <c:pt idx="492">
                  <c:v>4.79552186786003</c:v>
                </c:pt>
                <c:pt idx="493">
                  <c:v>4.5524600551761436</c:v>
                </c:pt>
                <c:pt idx="494">
                  <c:v>4.6054543746650882</c:v>
                </c:pt>
                <c:pt idx="495">
                  <c:v>4.3418514408863826</c:v>
                </c:pt>
                <c:pt idx="496">
                  <c:v>4.3921904729221515</c:v>
                </c:pt>
                <c:pt idx="497">
                  <c:v>4.4448870135015675</c:v>
                </c:pt>
                <c:pt idx="498">
                  <c:v>4.5082844782413636</c:v>
                </c:pt>
                <c:pt idx="499">
                  <c:v>4.5544876540276471</c:v>
                </c:pt>
                <c:pt idx="500">
                  <c:v>4.2807622348365033</c:v>
                </c:pt>
                <c:pt idx="501">
                  <c:v>4.32337545269632</c:v>
                </c:pt>
                <c:pt idx="502">
                  <c:v>4.051772691816776</c:v>
                </c:pt>
                <c:pt idx="503">
                  <c:v>4.0958478445965261</c:v>
                </c:pt>
                <c:pt idx="504">
                  <c:v>4.1442874009756325</c:v>
                </c:pt>
                <c:pt idx="505">
                  <c:v>4.184761843440886</c:v>
                </c:pt>
                <c:pt idx="506">
                  <c:v>4.2235705302566018</c:v>
                </c:pt>
                <c:pt idx="507">
                  <c:v>3.9330460618116678</c:v>
                </c:pt>
                <c:pt idx="508">
                  <c:v>3.9675740784386444</c:v>
                </c:pt>
                <c:pt idx="509">
                  <c:v>-6.845541933200597E-4</c:v>
                </c:pt>
                <c:pt idx="510">
                  <c:v>3.7455653038582466</c:v>
                </c:pt>
                <c:pt idx="511">
                  <c:v>3.7861884005417576</c:v>
                </c:pt>
                <c:pt idx="512">
                  <c:v>3.8254927313035694</c:v>
                </c:pt>
                <c:pt idx="513">
                  <c:v>3.8758665147479214</c:v>
                </c:pt>
                <c:pt idx="514">
                  <c:v>3.9257017657211524</c:v>
                </c:pt>
                <c:pt idx="515">
                  <c:v>3.9680656582673</c:v>
                </c:pt>
                <c:pt idx="516">
                  <c:v>4.0333878079716614</c:v>
                </c:pt>
                <c:pt idx="517">
                  <c:v>4.0821089358847003</c:v>
                </c:pt>
                <c:pt idx="518">
                  <c:v>4.1304688014072211</c:v>
                </c:pt>
                <c:pt idx="519">
                  <c:v>4.1771449613341227</c:v>
                </c:pt>
                <c:pt idx="520">
                  <c:v>4.2161301223832526</c:v>
                </c:pt>
                <c:pt idx="521">
                  <c:v>4.2614185277444356</c:v>
                </c:pt>
                <c:pt idx="522">
                  <c:v>4.3059741643324205</c:v>
                </c:pt>
                <c:pt idx="523">
                  <c:v>4.357130275695174</c:v>
                </c:pt>
                <c:pt idx="524">
                  <c:v>4.4261269696578767</c:v>
                </c:pt>
                <c:pt idx="525">
                  <c:v>4.4764635114242317</c:v>
                </c:pt>
                <c:pt idx="526">
                  <c:v>4.525654848435134</c:v>
                </c:pt>
                <c:pt idx="527">
                  <c:v>4.5748769346022815</c:v>
                </c:pt>
                <c:pt idx="528">
                  <c:v>4.6232591789972366</c:v>
                </c:pt>
                <c:pt idx="529">
                  <c:v>4.6899523616601879</c:v>
                </c:pt>
                <c:pt idx="530">
                  <c:v>4.7369282607904006</c:v>
                </c:pt>
                <c:pt idx="531">
                  <c:v>4.7812982987468082</c:v>
                </c:pt>
                <c:pt idx="532">
                  <c:v>4.8256740506359543</c:v>
                </c:pt>
                <c:pt idx="533">
                  <c:v>4.8784895700764794</c:v>
                </c:pt>
                <c:pt idx="534">
                  <c:v>4.9326104143149809</c:v>
                </c:pt>
                <c:pt idx="535">
                  <c:v>4.9865991794729991</c:v>
                </c:pt>
                <c:pt idx="536">
                  <c:v>5.0606607115142719</c:v>
                </c:pt>
                <c:pt idx="537">
                  <c:v>4.8038706271112961</c:v>
                </c:pt>
                <c:pt idx="538">
                  <c:v>4.854564876796025</c:v>
                </c:pt>
                <c:pt idx="539">
                  <c:v>4.5936828126833653</c:v>
                </c:pt>
                <c:pt idx="540">
                  <c:v>4.6428038965132252</c:v>
                </c:pt>
                <c:pt idx="541">
                  <c:v>4.6905874018925298</c:v>
                </c:pt>
                <c:pt idx="542">
                  <c:v>4.737653974811999</c:v>
                </c:pt>
                <c:pt idx="543">
                  <c:v>4.79552186786003</c:v>
                </c:pt>
                <c:pt idx="544">
                  <c:v>4.5524600551761436</c:v>
                </c:pt>
                <c:pt idx="545">
                  <c:v>4.6054543746650882</c:v>
                </c:pt>
                <c:pt idx="546">
                  <c:v>4.3418514408863826</c:v>
                </c:pt>
                <c:pt idx="547">
                  <c:v>4.3921904729221515</c:v>
                </c:pt>
                <c:pt idx="548">
                  <c:v>4.4448870135015675</c:v>
                </c:pt>
                <c:pt idx="549">
                  <c:v>4.5082844782413636</c:v>
                </c:pt>
                <c:pt idx="550">
                  <c:v>4.5544876540276471</c:v>
                </c:pt>
                <c:pt idx="551">
                  <c:v>4.2807622348365033</c:v>
                </c:pt>
                <c:pt idx="552">
                  <c:v>4.32337545269632</c:v>
                </c:pt>
                <c:pt idx="553">
                  <c:v>4.051772691816776</c:v>
                </c:pt>
                <c:pt idx="554">
                  <c:v>4.0958478445965261</c:v>
                </c:pt>
                <c:pt idx="555">
                  <c:v>4.1442874009756325</c:v>
                </c:pt>
                <c:pt idx="556">
                  <c:v>4.184761843440886</c:v>
                </c:pt>
                <c:pt idx="557">
                  <c:v>4.2235705302566018</c:v>
                </c:pt>
                <c:pt idx="558">
                  <c:v>3.9330460618116678</c:v>
                </c:pt>
                <c:pt idx="559">
                  <c:v>3.9675740784386444</c:v>
                </c:pt>
                <c:pt idx="560">
                  <c:v>-6.845541933200597E-4</c:v>
                </c:pt>
                <c:pt idx="561">
                  <c:v>3.7455653038582466</c:v>
                </c:pt>
                <c:pt idx="562">
                  <c:v>3.7861884005417576</c:v>
                </c:pt>
                <c:pt idx="563">
                  <c:v>3.8254927313035694</c:v>
                </c:pt>
                <c:pt idx="564">
                  <c:v>3.8758665147479214</c:v>
                </c:pt>
                <c:pt idx="565">
                  <c:v>3.9257017657211524</c:v>
                </c:pt>
                <c:pt idx="566">
                  <c:v>3.9680656582673</c:v>
                </c:pt>
                <c:pt idx="567">
                  <c:v>4.0333878079716614</c:v>
                </c:pt>
                <c:pt idx="568">
                  <c:v>4.0821089358847003</c:v>
                </c:pt>
                <c:pt idx="569">
                  <c:v>4.1304688014072211</c:v>
                </c:pt>
                <c:pt idx="570">
                  <c:v>4.1771449613341227</c:v>
                </c:pt>
                <c:pt idx="571">
                  <c:v>4.2161301223832526</c:v>
                </c:pt>
                <c:pt idx="572">
                  <c:v>4.2614185277444356</c:v>
                </c:pt>
                <c:pt idx="573">
                  <c:v>4.3059741643324205</c:v>
                </c:pt>
                <c:pt idx="574">
                  <c:v>4.357130275695174</c:v>
                </c:pt>
                <c:pt idx="575">
                  <c:v>4.4261269696578767</c:v>
                </c:pt>
                <c:pt idx="576">
                  <c:v>4.4764635114242317</c:v>
                </c:pt>
                <c:pt idx="577">
                  <c:v>4.525654848435134</c:v>
                </c:pt>
                <c:pt idx="578">
                  <c:v>4.5748769346022815</c:v>
                </c:pt>
                <c:pt idx="579">
                  <c:v>4.6232591789972366</c:v>
                </c:pt>
                <c:pt idx="580">
                  <c:v>4.6899523616601879</c:v>
                </c:pt>
                <c:pt idx="581">
                  <c:v>4.7369282607904006</c:v>
                </c:pt>
                <c:pt idx="582">
                  <c:v>4.7812982987468082</c:v>
                </c:pt>
                <c:pt idx="583">
                  <c:v>4.8256740506359543</c:v>
                </c:pt>
                <c:pt idx="584">
                  <c:v>4.8784895700764794</c:v>
                </c:pt>
                <c:pt idx="585">
                  <c:v>4.9326104143149809</c:v>
                </c:pt>
                <c:pt idx="586">
                  <c:v>4.9865991794729991</c:v>
                </c:pt>
                <c:pt idx="587">
                  <c:v>5.0606607115142719</c:v>
                </c:pt>
                <c:pt idx="588">
                  <c:v>4.8038706271112961</c:v>
                </c:pt>
                <c:pt idx="589">
                  <c:v>4.854564876796025</c:v>
                </c:pt>
                <c:pt idx="590">
                  <c:v>4.5936828126833653</c:v>
                </c:pt>
                <c:pt idx="591">
                  <c:v>4.6428038965132252</c:v>
                </c:pt>
                <c:pt idx="592">
                  <c:v>4.6905874018925298</c:v>
                </c:pt>
                <c:pt idx="593">
                  <c:v>4.737653974811999</c:v>
                </c:pt>
                <c:pt idx="594">
                  <c:v>4.79552186786003</c:v>
                </c:pt>
                <c:pt idx="595">
                  <c:v>4.5524600551761436</c:v>
                </c:pt>
                <c:pt idx="596">
                  <c:v>4.6054543746650882</c:v>
                </c:pt>
                <c:pt idx="597">
                  <c:v>4.3418514408863826</c:v>
                </c:pt>
                <c:pt idx="598">
                  <c:v>4.3921904729221515</c:v>
                </c:pt>
                <c:pt idx="599">
                  <c:v>4.4448870135015675</c:v>
                </c:pt>
                <c:pt idx="600">
                  <c:v>4.5082844782413636</c:v>
                </c:pt>
                <c:pt idx="601">
                  <c:v>4.5544876540276471</c:v>
                </c:pt>
                <c:pt idx="602">
                  <c:v>4.2807622348365033</c:v>
                </c:pt>
                <c:pt idx="603">
                  <c:v>4.32337545269632</c:v>
                </c:pt>
                <c:pt idx="604">
                  <c:v>4.051772691816776</c:v>
                </c:pt>
                <c:pt idx="605">
                  <c:v>4.0958478445965261</c:v>
                </c:pt>
                <c:pt idx="606">
                  <c:v>4.1442874009756325</c:v>
                </c:pt>
                <c:pt idx="607">
                  <c:v>4.184761843440886</c:v>
                </c:pt>
                <c:pt idx="608">
                  <c:v>4.2235705302566018</c:v>
                </c:pt>
                <c:pt idx="609">
                  <c:v>3.9330460618116678</c:v>
                </c:pt>
                <c:pt idx="610">
                  <c:v>3.9675740784386444</c:v>
                </c:pt>
                <c:pt idx="611">
                  <c:v>-6.845541933200597E-4</c:v>
                </c:pt>
                <c:pt idx="612">
                  <c:v>3.7455653038582466</c:v>
                </c:pt>
                <c:pt idx="613">
                  <c:v>3.7861884005417576</c:v>
                </c:pt>
                <c:pt idx="614">
                  <c:v>3.8254927313035694</c:v>
                </c:pt>
                <c:pt idx="615">
                  <c:v>3.8758665147479214</c:v>
                </c:pt>
                <c:pt idx="616">
                  <c:v>3.9257017657211524</c:v>
                </c:pt>
                <c:pt idx="617">
                  <c:v>3.9680656582673</c:v>
                </c:pt>
                <c:pt idx="618">
                  <c:v>4.0333878079716614</c:v>
                </c:pt>
                <c:pt idx="619">
                  <c:v>4.0821089358847003</c:v>
                </c:pt>
                <c:pt idx="620">
                  <c:v>4.1304688014072211</c:v>
                </c:pt>
                <c:pt idx="621">
                  <c:v>4.1771449613341227</c:v>
                </c:pt>
                <c:pt idx="622">
                  <c:v>4.2161301223832526</c:v>
                </c:pt>
                <c:pt idx="623">
                  <c:v>4.2614185277444356</c:v>
                </c:pt>
                <c:pt idx="624">
                  <c:v>4.3059741643324205</c:v>
                </c:pt>
                <c:pt idx="625">
                  <c:v>4.357130275695174</c:v>
                </c:pt>
                <c:pt idx="626">
                  <c:v>4.4261269696578767</c:v>
                </c:pt>
                <c:pt idx="627">
                  <c:v>4.4764635114242317</c:v>
                </c:pt>
                <c:pt idx="628">
                  <c:v>4.525654848435134</c:v>
                </c:pt>
                <c:pt idx="629">
                  <c:v>4.5748769346022815</c:v>
                </c:pt>
                <c:pt idx="630">
                  <c:v>4.6232591789972366</c:v>
                </c:pt>
                <c:pt idx="631">
                  <c:v>4.6899523616601879</c:v>
                </c:pt>
                <c:pt idx="632">
                  <c:v>4.7369282607904006</c:v>
                </c:pt>
                <c:pt idx="633">
                  <c:v>4.7812982987468082</c:v>
                </c:pt>
                <c:pt idx="634">
                  <c:v>4.8256740506359543</c:v>
                </c:pt>
                <c:pt idx="635">
                  <c:v>4.8784895700764794</c:v>
                </c:pt>
                <c:pt idx="636">
                  <c:v>4.9326104143149809</c:v>
                </c:pt>
                <c:pt idx="637">
                  <c:v>4.9865991794729991</c:v>
                </c:pt>
                <c:pt idx="638">
                  <c:v>5.0606607115142719</c:v>
                </c:pt>
                <c:pt idx="639">
                  <c:v>4.8038706271112961</c:v>
                </c:pt>
                <c:pt idx="640">
                  <c:v>4.854564876796025</c:v>
                </c:pt>
                <c:pt idx="641">
                  <c:v>4.5936828126833653</c:v>
                </c:pt>
                <c:pt idx="642">
                  <c:v>4.6428038965132252</c:v>
                </c:pt>
                <c:pt idx="643">
                  <c:v>4.6905874018925298</c:v>
                </c:pt>
                <c:pt idx="644">
                  <c:v>4.737653974811999</c:v>
                </c:pt>
                <c:pt idx="645">
                  <c:v>4.79552186786003</c:v>
                </c:pt>
                <c:pt idx="646">
                  <c:v>4.5524600551761436</c:v>
                </c:pt>
                <c:pt idx="647">
                  <c:v>4.6054543746650882</c:v>
                </c:pt>
                <c:pt idx="648">
                  <c:v>4.3418514408863826</c:v>
                </c:pt>
                <c:pt idx="649">
                  <c:v>4.3921904729221515</c:v>
                </c:pt>
                <c:pt idx="650">
                  <c:v>4.4448870135015675</c:v>
                </c:pt>
                <c:pt idx="651">
                  <c:v>4.5082844782413636</c:v>
                </c:pt>
                <c:pt idx="652">
                  <c:v>4.5544876540276471</c:v>
                </c:pt>
                <c:pt idx="653">
                  <c:v>4.2807622348365033</c:v>
                </c:pt>
                <c:pt idx="654">
                  <c:v>4.32337545269632</c:v>
                </c:pt>
                <c:pt idx="655">
                  <c:v>4.051772691816776</c:v>
                </c:pt>
                <c:pt idx="656">
                  <c:v>4.0958478445965261</c:v>
                </c:pt>
                <c:pt idx="657">
                  <c:v>4.1442874009756325</c:v>
                </c:pt>
                <c:pt idx="658">
                  <c:v>4.184761843440886</c:v>
                </c:pt>
                <c:pt idx="659">
                  <c:v>4.2235705302566018</c:v>
                </c:pt>
                <c:pt idx="660">
                  <c:v>3.9330460618116678</c:v>
                </c:pt>
                <c:pt idx="661">
                  <c:v>3.9675740784386444</c:v>
                </c:pt>
                <c:pt idx="662">
                  <c:v>-6.845541933200597E-4</c:v>
                </c:pt>
                <c:pt idx="663">
                  <c:v>3.6050653038582468</c:v>
                </c:pt>
                <c:pt idx="664">
                  <c:v>3.632692989827472</c:v>
                </c:pt>
                <c:pt idx="665">
                  <c:v>3.6575850802378804</c:v>
                </c:pt>
                <c:pt idx="666">
                  <c:v>3.6925474703212604</c:v>
                </c:pt>
                <c:pt idx="667">
                  <c:v>3.7263470943236348</c:v>
                </c:pt>
                <c:pt idx="668">
                  <c:v>3.7514229690624674</c:v>
                </c:pt>
                <c:pt idx="669">
                  <c:v>3.7980446059624473</c:v>
                </c:pt>
                <c:pt idx="670">
                  <c:v>3.8270521604353789</c:v>
                </c:pt>
                <c:pt idx="671">
                  <c:v>3.8546364107375339</c:v>
                </c:pt>
                <c:pt idx="672">
                  <c:v>3.880167572201088</c:v>
                </c:pt>
                <c:pt idx="673">
                  <c:v>3.8967263532239214</c:v>
                </c:pt>
                <c:pt idx="674">
                  <c:v>3.9187283545292435</c:v>
                </c:pt>
                <c:pt idx="675">
                  <c:v>3.9386879221598736</c:v>
                </c:pt>
                <c:pt idx="676">
                  <c:v>3.964407438543621</c:v>
                </c:pt>
                <c:pt idx="677">
                  <c:v>4.0074856212611474</c:v>
                </c:pt>
                <c:pt idx="678">
                  <c:v>4.0312992079226255</c:v>
                </c:pt>
                <c:pt idx="679">
                  <c:v>4.0538533046612173</c:v>
                </c:pt>
                <c:pt idx="680">
                  <c:v>4.0751068059243982</c:v>
                </c:pt>
                <c:pt idx="681">
                  <c:v>4.0945236369315889</c:v>
                </c:pt>
                <c:pt idx="682">
                  <c:v>4.1318826139070843</c:v>
                </c:pt>
                <c:pt idx="683">
                  <c:v>4.1486326479250559</c:v>
                </c:pt>
                <c:pt idx="684">
                  <c:v>4.1639324670411435</c:v>
                </c:pt>
                <c:pt idx="685">
                  <c:v>4.1772841018345996</c:v>
                </c:pt>
                <c:pt idx="686">
                  <c:v>4.1990311701353011</c:v>
                </c:pt>
                <c:pt idx="687">
                  <c:v>4.2198237306522923</c:v>
                </c:pt>
                <c:pt idx="688">
                  <c:v>4.2396352726296591</c:v>
                </c:pt>
                <c:pt idx="689">
                  <c:v>4.2794111771980763</c:v>
                </c:pt>
                <c:pt idx="690">
                  <c:v>3.9876212706252074</c:v>
                </c:pt>
                <c:pt idx="691">
                  <c:v>4.0033744266229041</c:v>
                </c:pt>
                <c:pt idx="692">
                  <c:v>3.7069912265068674</c:v>
                </c:pt>
                <c:pt idx="693">
                  <c:v>3.7201110069046086</c:v>
                </c:pt>
                <c:pt idx="694">
                  <c:v>3.7322171903383738</c:v>
                </c:pt>
                <c:pt idx="695">
                  <c:v>3.743287847329694</c:v>
                </c:pt>
                <c:pt idx="696">
                  <c:v>3.7649160630692373</c:v>
                </c:pt>
                <c:pt idx="697">
                  <c:v>3.4862357579417025</c:v>
                </c:pt>
                <c:pt idx="698">
                  <c:v>3.50661669339482</c:v>
                </c:pt>
                <c:pt idx="699">
                  <c:v>3.2084962546144391</c:v>
                </c:pt>
                <c:pt idx="700">
                  <c:v>3.2278547831922277</c:v>
                </c:pt>
                <c:pt idx="701">
                  <c:v>3.2468296966780725</c:v>
                </c:pt>
                <c:pt idx="702">
                  <c:v>3.2776904469188728</c:v>
                </c:pt>
                <c:pt idx="703">
                  <c:v>3.2957096010711169</c:v>
                </c:pt>
                <c:pt idx="704">
                  <c:v>2.9909420816664056</c:v>
                </c:pt>
                <c:pt idx="705">
                  <c:v>3.0081984823125549</c:v>
                </c:pt>
                <c:pt idx="706">
                  <c:v>2.7082978656379577</c:v>
                </c:pt>
                <c:pt idx="707">
                  <c:v>2.7250632563479122</c:v>
                </c:pt>
                <c:pt idx="708">
                  <c:v>2.7480433651130571</c:v>
                </c:pt>
                <c:pt idx="709">
                  <c:v>2.7642713321534345</c:v>
                </c:pt>
                <c:pt idx="710">
                  <c:v>2.780150746180694</c:v>
                </c:pt>
                <c:pt idx="711">
                  <c:v>2.4688464162288772</c:v>
                </c:pt>
                <c:pt idx="712">
                  <c:v>2.484123693706072</c:v>
                </c:pt>
                <c:pt idx="713">
                  <c:v>-6.845541933200597E-4</c:v>
                </c:pt>
                <c:pt idx="714">
                  <c:v>2.1412140821008765</c:v>
                </c:pt>
                <c:pt idx="715">
                  <c:v>2.1559170615818175</c:v>
                </c:pt>
                <c:pt idx="716">
                  <c:v>2.1703581453977518</c:v>
                </c:pt>
                <c:pt idx="717">
                  <c:v>2.184529025673525</c:v>
                </c:pt>
                <c:pt idx="718">
                  <c:v>2.1984214050279709</c:v>
                </c:pt>
                <c:pt idx="719">
                  <c:v>2.211633271903449</c:v>
                </c:pt>
                <c:pt idx="720">
                  <c:v>2.2412742419613738</c:v>
                </c:pt>
                <c:pt idx="721">
                  <c:v>2.2543623761048157</c:v>
                </c:pt>
                <c:pt idx="722">
                  <c:v>2.2671415772951589</c:v>
                </c:pt>
                <c:pt idx="723">
                  <c:v>2.2796037489433942</c:v>
                </c:pt>
                <c:pt idx="724">
                  <c:v>2.2917408337451746</c:v>
                </c:pt>
                <c:pt idx="725">
                  <c:v>2.3035448187610004</c:v>
                </c:pt>
                <c:pt idx="726">
                  <c:v>2.3146226128718004</c:v>
                </c:pt>
                <c:pt idx="727">
                  <c:v>2.325350757169812</c:v>
                </c:pt>
                <c:pt idx="728">
                  <c:v>2.3542590949919009</c:v>
                </c:pt>
                <c:pt idx="729">
                  <c:v>2.3647588883285846</c:v>
                </c:pt>
                <c:pt idx="730">
                  <c:v>2.3748893038404542</c:v>
                </c:pt>
                <c:pt idx="731">
                  <c:v>2.3846427583122991</c:v>
                </c:pt>
                <c:pt idx="732">
                  <c:v>2.3940117469793045</c:v>
                </c:pt>
                <c:pt idx="733">
                  <c:v>2.4223095038087679</c:v>
                </c:pt>
                <c:pt idx="734">
                  <c:v>2.4310153908205385</c:v>
                </c:pt>
                <c:pt idx="735">
                  <c:v>2.4393177404910493</c:v>
                </c:pt>
                <c:pt idx="736">
                  <c:v>2.4472094509635824</c:v>
                </c:pt>
                <c:pt idx="737">
                  <c:v>2.454683521925336</c:v>
                </c:pt>
                <c:pt idx="738">
                  <c:v>2.4617330596463143</c:v>
                </c:pt>
                <c:pt idx="739">
                  <c:v>2.4683512820045368</c:v>
                </c:pt>
                <c:pt idx="740">
                  <c:v>2.4955031461065866</c:v>
                </c:pt>
                <c:pt idx="741">
                  <c:v>2.1921182166175264</c:v>
                </c:pt>
                <c:pt idx="742">
                  <c:v>2.1968846039276047</c:v>
                </c:pt>
                <c:pt idx="743">
                  <c:v>1.8901412935030988</c:v>
                </c:pt>
                <c:pt idx="744">
                  <c:v>1.893545758522976</c:v>
                </c:pt>
                <c:pt idx="745">
                  <c:v>1.8965992639742819</c:v>
                </c:pt>
                <c:pt idx="746">
                  <c:v>1.8992974022129114</c:v>
                </c:pt>
                <c:pt idx="747">
                  <c:v>1.9013807816027264</c:v>
                </c:pt>
                <c:pt idx="748">
                  <c:v>1.6036649468393922</c:v>
                </c:pt>
                <c:pt idx="749">
                  <c:v>1.6051167362248326</c:v>
                </c:pt>
                <c:pt idx="750">
                  <c:v>1.2881816709865186</c:v>
                </c:pt>
                <c:pt idx="751">
                  <c:v>1.2888483063119804</c:v>
                </c:pt>
                <c:pt idx="752">
                  <c:v>1.2892623473412648</c:v>
                </c:pt>
                <c:pt idx="753">
                  <c:v>1.3017016038353926</c:v>
                </c:pt>
                <c:pt idx="754">
                  <c:v>1.301862191115982</c:v>
                </c:pt>
                <c:pt idx="755">
                  <c:v>0.97939712572032023</c:v>
                </c:pt>
                <c:pt idx="756">
                  <c:v>0.97912536992444743</c:v>
                </c:pt>
                <c:pt idx="757">
                  <c:v>0.66187440390966013</c:v>
                </c:pt>
                <c:pt idx="758">
                  <c:v>0.66147571468451072</c:v>
                </c:pt>
                <c:pt idx="759">
                  <c:v>0.66748651574403517</c:v>
                </c:pt>
                <c:pt idx="760">
                  <c:v>0.66694848633172832</c:v>
                </c:pt>
                <c:pt idx="761">
                  <c:v>0.66627378596888731</c:v>
                </c:pt>
                <c:pt idx="762">
                  <c:v>0.33904645178173293</c:v>
                </c:pt>
                <c:pt idx="763">
                  <c:v>0.33863310993356072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BC-471E-92D0-026278F2D6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51730959"/>
        <c:axId val="44971727"/>
      </c:lineChart>
      <c:catAx>
        <c:axId val="6517309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/>
                  <a:t>DAYS</a:t>
                </a:r>
              </a:p>
            </c:rich>
          </c:tx>
          <c:layout>
            <c:manualLayout>
              <c:xMode val="edge"/>
              <c:yMode val="edge"/>
              <c:x val="0.51339270344287946"/>
              <c:y val="0.900303739408510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44971727"/>
        <c:crosses val="autoZero"/>
        <c:auto val="1"/>
        <c:lblAlgn val="ctr"/>
        <c:lblOffset val="100"/>
        <c:noMultiLvlLbl val="0"/>
      </c:catAx>
      <c:valAx>
        <c:axId val="44971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de-DE" b="1" baseline="0"/>
                  <a:t>MASS</a:t>
                </a:r>
                <a:r>
                  <a:rPr lang="de-DE" b="1"/>
                  <a:t> (KG)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" sourceLinked="0"/>
        <c:majorTickMark val="none"/>
        <c:minorTickMark val="in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651730959"/>
        <c:crosses val="autoZero"/>
        <c:crossBetween val="between"/>
        <c:majorUnit val="0.5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sng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 sz="2000" b="1" u="sng"/>
              <a:t>BIOMASS SYSTEM AND</a:t>
            </a:r>
            <a:r>
              <a:rPr lang="en-US" sz="2000" b="1" u="sng" baseline="0"/>
              <a:t> DAILY FEED INPUT</a:t>
            </a:r>
            <a:endParaRPr lang="en-US" sz="2000" b="1" u="s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sng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Clarias_Bioplan!$A$3:$B$3</c:f>
              <c:strCache>
                <c:ptCount val="2"/>
                <c:pt idx="0">
                  <c:v>REARING DENSITY TOTAL SYSTEM (KG/M3)</c:v>
                </c:pt>
              </c:strCache>
            </c:strRef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Clarias_Bioplan!$C$1:$ACL$1</c:f>
              <c:numCache>
                <c:formatCode>General</c:formatCode>
                <c:ptCount val="76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  <c:pt idx="145">
                  <c:v>146</c:v>
                </c:pt>
                <c:pt idx="146">
                  <c:v>147</c:v>
                </c:pt>
                <c:pt idx="147">
                  <c:v>148</c:v>
                </c:pt>
                <c:pt idx="148">
                  <c:v>149</c:v>
                </c:pt>
                <c:pt idx="149">
                  <c:v>150</c:v>
                </c:pt>
                <c:pt idx="150">
                  <c:v>151</c:v>
                </c:pt>
                <c:pt idx="151">
                  <c:v>152</c:v>
                </c:pt>
                <c:pt idx="152">
                  <c:v>153</c:v>
                </c:pt>
                <c:pt idx="153">
                  <c:v>154</c:v>
                </c:pt>
                <c:pt idx="154">
                  <c:v>155</c:v>
                </c:pt>
                <c:pt idx="155">
                  <c:v>156</c:v>
                </c:pt>
                <c:pt idx="156">
                  <c:v>157</c:v>
                </c:pt>
                <c:pt idx="157">
                  <c:v>158</c:v>
                </c:pt>
                <c:pt idx="158">
                  <c:v>159</c:v>
                </c:pt>
                <c:pt idx="159">
                  <c:v>160</c:v>
                </c:pt>
                <c:pt idx="160">
                  <c:v>161</c:v>
                </c:pt>
                <c:pt idx="161">
                  <c:v>162</c:v>
                </c:pt>
                <c:pt idx="162">
                  <c:v>163</c:v>
                </c:pt>
                <c:pt idx="163">
                  <c:v>164</c:v>
                </c:pt>
                <c:pt idx="164">
                  <c:v>165</c:v>
                </c:pt>
                <c:pt idx="165">
                  <c:v>166</c:v>
                </c:pt>
                <c:pt idx="166">
                  <c:v>167</c:v>
                </c:pt>
                <c:pt idx="167">
                  <c:v>168</c:v>
                </c:pt>
                <c:pt idx="168">
                  <c:v>169</c:v>
                </c:pt>
                <c:pt idx="169">
                  <c:v>170</c:v>
                </c:pt>
                <c:pt idx="170">
                  <c:v>171</c:v>
                </c:pt>
                <c:pt idx="171">
                  <c:v>172</c:v>
                </c:pt>
                <c:pt idx="172">
                  <c:v>173</c:v>
                </c:pt>
                <c:pt idx="173">
                  <c:v>174</c:v>
                </c:pt>
                <c:pt idx="174">
                  <c:v>175</c:v>
                </c:pt>
                <c:pt idx="175">
                  <c:v>176</c:v>
                </c:pt>
                <c:pt idx="176">
                  <c:v>177</c:v>
                </c:pt>
                <c:pt idx="177">
                  <c:v>178</c:v>
                </c:pt>
                <c:pt idx="178">
                  <c:v>179</c:v>
                </c:pt>
                <c:pt idx="179">
                  <c:v>180</c:v>
                </c:pt>
                <c:pt idx="180">
                  <c:v>181</c:v>
                </c:pt>
                <c:pt idx="181">
                  <c:v>182</c:v>
                </c:pt>
                <c:pt idx="182">
                  <c:v>183</c:v>
                </c:pt>
                <c:pt idx="183">
                  <c:v>184</c:v>
                </c:pt>
                <c:pt idx="184">
                  <c:v>185</c:v>
                </c:pt>
                <c:pt idx="185">
                  <c:v>186</c:v>
                </c:pt>
                <c:pt idx="186">
                  <c:v>187</c:v>
                </c:pt>
                <c:pt idx="187">
                  <c:v>188</c:v>
                </c:pt>
                <c:pt idx="188">
                  <c:v>189</c:v>
                </c:pt>
                <c:pt idx="189">
                  <c:v>190</c:v>
                </c:pt>
                <c:pt idx="190">
                  <c:v>191</c:v>
                </c:pt>
                <c:pt idx="191">
                  <c:v>192</c:v>
                </c:pt>
                <c:pt idx="192">
                  <c:v>193</c:v>
                </c:pt>
                <c:pt idx="193">
                  <c:v>194</c:v>
                </c:pt>
                <c:pt idx="194">
                  <c:v>195</c:v>
                </c:pt>
                <c:pt idx="195">
                  <c:v>196</c:v>
                </c:pt>
                <c:pt idx="196">
                  <c:v>197</c:v>
                </c:pt>
                <c:pt idx="197">
                  <c:v>198</c:v>
                </c:pt>
                <c:pt idx="198">
                  <c:v>199</c:v>
                </c:pt>
                <c:pt idx="199">
                  <c:v>200</c:v>
                </c:pt>
                <c:pt idx="200">
                  <c:v>201</c:v>
                </c:pt>
                <c:pt idx="201">
                  <c:v>202</c:v>
                </c:pt>
                <c:pt idx="202">
                  <c:v>203</c:v>
                </c:pt>
                <c:pt idx="203">
                  <c:v>204</c:v>
                </c:pt>
                <c:pt idx="204">
                  <c:v>205</c:v>
                </c:pt>
                <c:pt idx="205">
                  <c:v>206</c:v>
                </c:pt>
                <c:pt idx="206">
                  <c:v>207</c:v>
                </c:pt>
                <c:pt idx="207">
                  <c:v>208</c:v>
                </c:pt>
                <c:pt idx="208">
                  <c:v>209</c:v>
                </c:pt>
                <c:pt idx="209">
                  <c:v>210</c:v>
                </c:pt>
                <c:pt idx="210">
                  <c:v>211</c:v>
                </c:pt>
                <c:pt idx="211">
                  <c:v>212</c:v>
                </c:pt>
                <c:pt idx="212">
                  <c:v>213</c:v>
                </c:pt>
                <c:pt idx="213">
                  <c:v>214</c:v>
                </c:pt>
                <c:pt idx="214">
                  <c:v>215</c:v>
                </c:pt>
                <c:pt idx="215">
                  <c:v>216</c:v>
                </c:pt>
                <c:pt idx="216">
                  <c:v>217</c:v>
                </c:pt>
                <c:pt idx="217">
                  <c:v>218</c:v>
                </c:pt>
                <c:pt idx="218">
                  <c:v>219</c:v>
                </c:pt>
                <c:pt idx="219">
                  <c:v>220</c:v>
                </c:pt>
                <c:pt idx="220">
                  <c:v>221</c:v>
                </c:pt>
                <c:pt idx="221">
                  <c:v>222</c:v>
                </c:pt>
                <c:pt idx="222">
                  <c:v>223</c:v>
                </c:pt>
                <c:pt idx="223">
                  <c:v>224</c:v>
                </c:pt>
                <c:pt idx="224">
                  <c:v>225</c:v>
                </c:pt>
                <c:pt idx="225">
                  <c:v>226</c:v>
                </c:pt>
                <c:pt idx="226">
                  <c:v>227</c:v>
                </c:pt>
                <c:pt idx="227">
                  <c:v>228</c:v>
                </c:pt>
                <c:pt idx="228">
                  <c:v>229</c:v>
                </c:pt>
                <c:pt idx="229">
                  <c:v>230</c:v>
                </c:pt>
                <c:pt idx="230">
                  <c:v>231</c:v>
                </c:pt>
                <c:pt idx="231">
                  <c:v>232</c:v>
                </c:pt>
                <c:pt idx="232">
                  <c:v>233</c:v>
                </c:pt>
                <c:pt idx="233">
                  <c:v>234</c:v>
                </c:pt>
                <c:pt idx="234">
                  <c:v>235</c:v>
                </c:pt>
                <c:pt idx="235">
                  <c:v>236</c:v>
                </c:pt>
                <c:pt idx="236">
                  <c:v>237</c:v>
                </c:pt>
                <c:pt idx="237">
                  <c:v>238</c:v>
                </c:pt>
                <c:pt idx="238">
                  <c:v>239</c:v>
                </c:pt>
                <c:pt idx="239">
                  <c:v>240</c:v>
                </c:pt>
                <c:pt idx="240">
                  <c:v>241</c:v>
                </c:pt>
                <c:pt idx="241">
                  <c:v>242</c:v>
                </c:pt>
                <c:pt idx="242">
                  <c:v>243</c:v>
                </c:pt>
                <c:pt idx="243">
                  <c:v>244</c:v>
                </c:pt>
                <c:pt idx="244">
                  <c:v>245</c:v>
                </c:pt>
                <c:pt idx="245">
                  <c:v>246</c:v>
                </c:pt>
                <c:pt idx="246">
                  <c:v>247</c:v>
                </c:pt>
                <c:pt idx="247">
                  <c:v>248</c:v>
                </c:pt>
                <c:pt idx="248">
                  <c:v>249</c:v>
                </c:pt>
                <c:pt idx="249">
                  <c:v>250</c:v>
                </c:pt>
                <c:pt idx="250">
                  <c:v>251</c:v>
                </c:pt>
                <c:pt idx="251">
                  <c:v>252</c:v>
                </c:pt>
                <c:pt idx="252">
                  <c:v>253</c:v>
                </c:pt>
                <c:pt idx="253">
                  <c:v>254</c:v>
                </c:pt>
                <c:pt idx="254">
                  <c:v>255</c:v>
                </c:pt>
                <c:pt idx="255">
                  <c:v>256</c:v>
                </c:pt>
                <c:pt idx="256">
                  <c:v>257</c:v>
                </c:pt>
                <c:pt idx="257">
                  <c:v>258</c:v>
                </c:pt>
                <c:pt idx="258">
                  <c:v>259</c:v>
                </c:pt>
                <c:pt idx="259">
                  <c:v>260</c:v>
                </c:pt>
                <c:pt idx="260">
                  <c:v>261</c:v>
                </c:pt>
                <c:pt idx="261">
                  <c:v>262</c:v>
                </c:pt>
                <c:pt idx="262">
                  <c:v>263</c:v>
                </c:pt>
                <c:pt idx="263">
                  <c:v>264</c:v>
                </c:pt>
                <c:pt idx="264">
                  <c:v>265</c:v>
                </c:pt>
                <c:pt idx="265">
                  <c:v>266</c:v>
                </c:pt>
                <c:pt idx="266">
                  <c:v>267</c:v>
                </c:pt>
                <c:pt idx="267">
                  <c:v>268</c:v>
                </c:pt>
                <c:pt idx="268">
                  <c:v>269</c:v>
                </c:pt>
                <c:pt idx="269">
                  <c:v>270</c:v>
                </c:pt>
                <c:pt idx="270">
                  <c:v>271</c:v>
                </c:pt>
                <c:pt idx="271">
                  <c:v>272</c:v>
                </c:pt>
                <c:pt idx="272">
                  <c:v>273</c:v>
                </c:pt>
                <c:pt idx="273">
                  <c:v>274</c:v>
                </c:pt>
                <c:pt idx="274">
                  <c:v>275</c:v>
                </c:pt>
                <c:pt idx="275">
                  <c:v>276</c:v>
                </c:pt>
                <c:pt idx="276">
                  <c:v>277</c:v>
                </c:pt>
                <c:pt idx="277">
                  <c:v>278</c:v>
                </c:pt>
                <c:pt idx="278">
                  <c:v>279</c:v>
                </c:pt>
                <c:pt idx="279">
                  <c:v>280</c:v>
                </c:pt>
                <c:pt idx="280">
                  <c:v>281</c:v>
                </c:pt>
                <c:pt idx="281">
                  <c:v>282</c:v>
                </c:pt>
                <c:pt idx="282">
                  <c:v>283</c:v>
                </c:pt>
                <c:pt idx="283">
                  <c:v>284</c:v>
                </c:pt>
                <c:pt idx="284">
                  <c:v>285</c:v>
                </c:pt>
                <c:pt idx="285">
                  <c:v>286</c:v>
                </c:pt>
                <c:pt idx="286">
                  <c:v>287</c:v>
                </c:pt>
                <c:pt idx="287">
                  <c:v>288</c:v>
                </c:pt>
                <c:pt idx="288">
                  <c:v>289</c:v>
                </c:pt>
                <c:pt idx="289">
                  <c:v>290</c:v>
                </c:pt>
                <c:pt idx="290">
                  <c:v>291</c:v>
                </c:pt>
                <c:pt idx="291">
                  <c:v>292</c:v>
                </c:pt>
                <c:pt idx="292">
                  <c:v>293</c:v>
                </c:pt>
                <c:pt idx="293">
                  <c:v>294</c:v>
                </c:pt>
                <c:pt idx="294">
                  <c:v>295</c:v>
                </c:pt>
                <c:pt idx="295">
                  <c:v>296</c:v>
                </c:pt>
                <c:pt idx="296">
                  <c:v>297</c:v>
                </c:pt>
                <c:pt idx="297">
                  <c:v>298</c:v>
                </c:pt>
                <c:pt idx="298">
                  <c:v>299</c:v>
                </c:pt>
                <c:pt idx="299">
                  <c:v>300</c:v>
                </c:pt>
                <c:pt idx="300">
                  <c:v>301</c:v>
                </c:pt>
                <c:pt idx="301">
                  <c:v>302</c:v>
                </c:pt>
                <c:pt idx="302">
                  <c:v>303</c:v>
                </c:pt>
                <c:pt idx="303">
                  <c:v>304</c:v>
                </c:pt>
                <c:pt idx="304">
                  <c:v>305</c:v>
                </c:pt>
                <c:pt idx="305">
                  <c:v>306</c:v>
                </c:pt>
                <c:pt idx="306">
                  <c:v>307</c:v>
                </c:pt>
                <c:pt idx="307">
                  <c:v>308</c:v>
                </c:pt>
                <c:pt idx="308">
                  <c:v>309</c:v>
                </c:pt>
                <c:pt idx="309">
                  <c:v>310</c:v>
                </c:pt>
                <c:pt idx="310">
                  <c:v>311</c:v>
                </c:pt>
                <c:pt idx="311">
                  <c:v>312</c:v>
                </c:pt>
                <c:pt idx="312">
                  <c:v>313</c:v>
                </c:pt>
                <c:pt idx="313">
                  <c:v>314</c:v>
                </c:pt>
                <c:pt idx="314">
                  <c:v>315</c:v>
                </c:pt>
                <c:pt idx="315">
                  <c:v>316</c:v>
                </c:pt>
                <c:pt idx="316">
                  <c:v>317</c:v>
                </c:pt>
                <c:pt idx="317">
                  <c:v>318</c:v>
                </c:pt>
                <c:pt idx="318">
                  <c:v>319</c:v>
                </c:pt>
                <c:pt idx="319">
                  <c:v>320</c:v>
                </c:pt>
                <c:pt idx="320">
                  <c:v>321</c:v>
                </c:pt>
                <c:pt idx="321">
                  <c:v>322</c:v>
                </c:pt>
                <c:pt idx="322">
                  <c:v>323</c:v>
                </c:pt>
                <c:pt idx="323">
                  <c:v>324</c:v>
                </c:pt>
                <c:pt idx="324">
                  <c:v>325</c:v>
                </c:pt>
                <c:pt idx="325">
                  <c:v>326</c:v>
                </c:pt>
                <c:pt idx="326">
                  <c:v>327</c:v>
                </c:pt>
                <c:pt idx="327">
                  <c:v>328</c:v>
                </c:pt>
                <c:pt idx="328">
                  <c:v>329</c:v>
                </c:pt>
                <c:pt idx="329">
                  <c:v>330</c:v>
                </c:pt>
                <c:pt idx="330">
                  <c:v>331</c:v>
                </c:pt>
                <c:pt idx="331">
                  <c:v>332</c:v>
                </c:pt>
                <c:pt idx="332">
                  <c:v>333</c:v>
                </c:pt>
                <c:pt idx="333">
                  <c:v>334</c:v>
                </c:pt>
                <c:pt idx="334">
                  <c:v>335</c:v>
                </c:pt>
                <c:pt idx="335">
                  <c:v>336</c:v>
                </c:pt>
                <c:pt idx="336">
                  <c:v>337</c:v>
                </c:pt>
                <c:pt idx="337">
                  <c:v>338</c:v>
                </c:pt>
                <c:pt idx="338">
                  <c:v>339</c:v>
                </c:pt>
                <c:pt idx="339">
                  <c:v>340</c:v>
                </c:pt>
                <c:pt idx="340">
                  <c:v>341</c:v>
                </c:pt>
                <c:pt idx="341">
                  <c:v>342</c:v>
                </c:pt>
                <c:pt idx="342">
                  <c:v>343</c:v>
                </c:pt>
                <c:pt idx="343">
                  <c:v>344</c:v>
                </c:pt>
                <c:pt idx="344">
                  <c:v>345</c:v>
                </c:pt>
                <c:pt idx="345">
                  <c:v>346</c:v>
                </c:pt>
                <c:pt idx="346">
                  <c:v>347</c:v>
                </c:pt>
                <c:pt idx="347">
                  <c:v>348</c:v>
                </c:pt>
                <c:pt idx="348">
                  <c:v>349</c:v>
                </c:pt>
                <c:pt idx="349">
                  <c:v>350</c:v>
                </c:pt>
                <c:pt idx="350">
                  <c:v>351</c:v>
                </c:pt>
                <c:pt idx="351">
                  <c:v>352</c:v>
                </c:pt>
                <c:pt idx="352">
                  <c:v>353</c:v>
                </c:pt>
                <c:pt idx="353">
                  <c:v>354</c:v>
                </c:pt>
                <c:pt idx="354">
                  <c:v>355</c:v>
                </c:pt>
                <c:pt idx="355">
                  <c:v>356</c:v>
                </c:pt>
                <c:pt idx="356">
                  <c:v>357</c:v>
                </c:pt>
                <c:pt idx="357">
                  <c:v>358</c:v>
                </c:pt>
                <c:pt idx="358">
                  <c:v>359</c:v>
                </c:pt>
                <c:pt idx="359">
                  <c:v>360</c:v>
                </c:pt>
                <c:pt idx="360">
                  <c:v>361</c:v>
                </c:pt>
                <c:pt idx="361">
                  <c:v>362</c:v>
                </c:pt>
                <c:pt idx="362">
                  <c:v>363</c:v>
                </c:pt>
                <c:pt idx="363">
                  <c:v>364</c:v>
                </c:pt>
                <c:pt idx="364">
                  <c:v>365</c:v>
                </c:pt>
                <c:pt idx="365">
                  <c:v>366</c:v>
                </c:pt>
                <c:pt idx="366">
                  <c:v>367</c:v>
                </c:pt>
                <c:pt idx="367">
                  <c:v>368</c:v>
                </c:pt>
                <c:pt idx="368">
                  <c:v>369</c:v>
                </c:pt>
                <c:pt idx="369">
                  <c:v>370</c:v>
                </c:pt>
                <c:pt idx="370">
                  <c:v>371</c:v>
                </c:pt>
                <c:pt idx="371">
                  <c:v>372</c:v>
                </c:pt>
                <c:pt idx="372">
                  <c:v>373</c:v>
                </c:pt>
                <c:pt idx="373">
                  <c:v>374</c:v>
                </c:pt>
                <c:pt idx="374">
                  <c:v>375</c:v>
                </c:pt>
                <c:pt idx="375">
                  <c:v>376</c:v>
                </c:pt>
                <c:pt idx="376">
                  <c:v>377</c:v>
                </c:pt>
                <c:pt idx="377">
                  <c:v>378</c:v>
                </c:pt>
                <c:pt idx="378">
                  <c:v>379</c:v>
                </c:pt>
                <c:pt idx="379">
                  <c:v>380</c:v>
                </c:pt>
                <c:pt idx="380">
                  <c:v>381</c:v>
                </c:pt>
                <c:pt idx="381">
                  <c:v>382</c:v>
                </c:pt>
                <c:pt idx="382">
                  <c:v>383</c:v>
                </c:pt>
                <c:pt idx="383">
                  <c:v>384</c:v>
                </c:pt>
                <c:pt idx="384">
                  <c:v>385</c:v>
                </c:pt>
                <c:pt idx="385">
                  <c:v>386</c:v>
                </c:pt>
                <c:pt idx="386">
                  <c:v>387</c:v>
                </c:pt>
                <c:pt idx="387">
                  <c:v>388</c:v>
                </c:pt>
                <c:pt idx="388">
                  <c:v>389</c:v>
                </c:pt>
                <c:pt idx="389">
                  <c:v>390</c:v>
                </c:pt>
                <c:pt idx="390">
                  <c:v>391</c:v>
                </c:pt>
                <c:pt idx="391">
                  <c:v>392</c:v>
                </c:pt>
                <c:pt idx="392">
                  <c:v>393</c:v>
                </c:pt>
                <c:pt idx="393">
                  <c:v>394</c:v>
                </c:pt>
                <c:pt idx="394">
                  <c:v>395</c:v>
                </c:pt>
                <c:pt idx="395">
                  <c:v>396</c:v>
                </c:pt>
                <c:pt idx="396">
                  <c:v>397</c:v>
                </c:pt>
                <c:pt idx="397">
                  <c:v>398</c:v>
                </c:pt>
                <c:pt idx="398">
                  <c:v>399</c:v>
                </c:pt>
                <c:pt idx="399">
                  <c:v>400</c:v>
                </c:pt>
                <c:pt idx="400">
                  <c:v>401</c:v>
                </c:pt>
                <c:pt idx="401">
                  <c:v>402</c:v>
                </c:pt>
                <c:pt idx="402">
                  <c:v>403</c:v>
                </c:pt>
                <c:pt idx="403">
                  <c:v>404</c:v>
                </c:pt>
                <c:pt idx="404">
                  <c:v>405</c:v>
                </c:pt>
                <c:pt idx="405">
                  <c:v>406</c:v>
                </c:pt>
                <c:pt idx="406">
                  <c:v>407</c:v>
                </c:pt>
                <c:pt idx="407">
                  <c:v>408</c:v>
                </c:pt>
                <c:pt idx="408">
                  <c:v>409</c:v>
                </c:pt>
                <c:pt idx="409">
                  <c:v>410</c:v>
                </c:pt>
                <c:pt idx="410">
                  <c:v>411</c:v>
                </c:pt>
                <c:pt idx="411">
                  <c:v>412</c:v>
                </c:pt>
                <c:pt idx="412">
                  <c:v>413</c:v>
                </c:pt>
                <c:pt idx="413">
                  <c:v>414</c:v>
                </c:pt>
                <c:pt idx="414">
                  <c:v>415</c:v>
                </c:pt>
                <c:pt idx="415">
                  <c:v>416</c:v>
                </c:pt>
                <c:pt idx="416">
                  <c:v>417</c:v>
                </c:pt>
                <c:pt idx="417">
                  <c:v>418</c:v>
                </c:pt>
                <c:pt idx="418">
                  <c:v>419</c:v>
                </c:pt>
                <c:pt idx="419">
                  <c:v>420</c:v>
                </c:pt>
                <c:pt idx="420">
                  <c:v>421</c:v>
                </c:pt>
                <c:pt idx="421">
                  <c:v>422</c:v>
                </c:pt>
                <c:pt idx="422">
                  <c:v>423</c:v>
                </c:pt>
                <c:pt idx="423">
                  <c:v>424</c:v>
                </c:pt>
                <c:pt idx="424">
                  <c:v>425</c:v>
                </c:pt>
                <c:pt idx="425">
                  <c:v>426</c:v>
                </c:pt>
                <c:pt idx="426">
                  <c:v>427</c:v>
                </c:pt>
                <c:pt idx="427">
                  <c:v>428</c:v>
                </c:pt>
                <c:pt idx="428">
                  <c:v>429</c:v>
                </c:pt>
                <c:pt idx="429">
                  <c:v>430</c:v>
                </c:pt>
                <c:pt idx="430">
                  <c:v>431</c:v>
                </c:pt>
                <c:pt idx="431">
                  <c:v>432</c:v>
                </c:pt>
                <c:pt idx="432">
                  <c:v>433</c:v>
                </c:pt>
                <c:pt idx="433">
                  <c:v>434</c:v>
                </c:pt>
                <c:pt idx="434">
                  <c:v>435</c:v>
                </c:pt>
                <c:pt idx="435">
                  <c:v>436</c:v>
                </c:pt>
                <c:pt idx="436">
                  <c:v>437</c:v>
                </c:pt>
                <c:pt idx="437">
                  <c:v>438</c:v>
                </c:pt>
                <c:pt idx="438">
                  <c:v>439</c:v>
                </c:pt>
                <c:pt idx="439">
                  <c:v>440</c:v>
                </c:pt>
                <c:pt idx="440">
                  <c:v>441</c:v>
                </c:pt>
                <c:pt idx="441">
                  <c:v>442</c:v>
                </c:pt>
                <c:pt idx="442">
                  <c:v>443</c:v>
                </c:pt>
                <c:pt idx="443">
                  <c:v>444</c:v>
                </c:pt>
                <c:pt idx="444">
                  <c:v>445</c:v>
                </c:pt>
                <c:pt idx="445">
                  <c:v>446</c:v>
                </c:pt>
                <c:pt idx="446">
                  <c:v>447</c:v>
                </c:pt>
                <c:pt idx="447">
                  <c:v>448</c:v>
                </c:pt>
                <c:pt idx="448">
                  <c:v>449</c:v>
                </c:pt>
                <c:pt idx="449">
                  <c:v>450</c:v>
                </c:pt>
                <c:pt idx="450">
                  <c:v>451</c:v>
                </c:pt>
                <c:pt idx="451">
                  <c:v>452</c:v>
                </c:pt>
                <c:pt idx="452">
                  <c:v>453</c:v>
                </c:pt>
                <c:pt idx="453">
                  <c:v>454</c:v>
                </c:pt>
                <c:pt idx="454">
                  <c:v>455</c:v>
                </c:pt>
                <c:pt idx="455">
                  <c:v>456</c:v>
                </c:pt>
                <c:pt idx="456">
                  <c:v>457</c:v>
                </c:pt>
                <c:pt idx="457">
                  <c:v>458</c:v>
                </c:pt>
                <c:pt idx="458">
                  <c:v>459</c:v>
                </c:pt>
                <c:pt idx="459">
                  <c:v>460</c:v>
                </c:pt>
                <c:pt idx="460">
                  <c:v>461</c:v>
                </c:pt>
                <c:pt idx="461">
                  <c:v>462</c:v>
                </c:pt>
                <c:pt idx="462">
                  <c:v>463</c:v>
                </c:pt>
                <c:pt idx="463">
                  <c:v>464</c:v>
                </c:pt>
                <c:pt idx="464">
                  <c:v>465</c:v>
                </c:pt>
                <c:pt idx="465">
                  <c:v>466</c:v>
                </c:pt>
                <c:pt idx="466">
                  <c:v>467</c:v>
                </c:pt>
                <c:pt idx="467">
                  <c:v>468</c:v>
                </c:pt>
                <c:pt idx="468">
                  <c:v>469</c:v>
                </c:pt>
                <c:pt idx="469">
                  <c:v>470</c:v>
                </c:pt>
                <c:pt idx="470">
                  <c:v>471</c:v>
                </c:pt>
                <c:pt idx="471">
                  <c:v>472</c:v>
                </c:pt>
                <c:pt idx="472">
                  <c:v>473</c:v>
                </c:pt>
                <c:pt idx="473">
                  <c:v>474</c:v>
                </c:pt>
                <c:pt idx="474">
                  <c:v>475</c:v>
                </c:pt>
                <c:pt idx="475">
                  <c:v>476</c:v>
                </c:pt>
                <c:pt idx="476">
                  <c:v>477</c:v>
                </c:pt>
                <c:pt idx="477">
                  <c:v>478</c:v>
                </c:pt>
                <c:pt idx="478">
                  <c:v>479</c:v>
                </c:pt>
                <c:pt idx="479">
                  <c:v>480</c:v>
                </c:pt>
                <c:pt idx="480">
                  <c:v>481</c:v>
                </c:pt>
                <c:pt idx="481">
                  <c:v>482</c:v>
                </c:pt>
                <c:pt idx="482">
                  <c:v>483</c:v>
                </c:pt>
                <c:pt idx="483">
                  <c:v>484</c:v>
                </c:pt>
                <c:pt idx="484">
                  <c:v>485</c:v>
                </c:pt>
                <c:pt idx="485">
                  <c:v>486</c:v>
                </c:pt>
                <c:pt idx="486">
                  <c:v>487</c:v>
                </c:pt>
                <c:pt idx="487">
                  <c:v>488</c:v>
                </c:pt>
                <c:pt idx="488">
                  <c:v>489</c:v>
                </c:pt>
                <c:pt idx="489">
                  <c:v>490</c:v>
                </c:pt>
                <c:pt idx="490">
                  <c:v>491</c:v>
                </c:pt>
                <c:pt idx="491">
                  <c:v>492</c:v>
                </c:pt>
                <c:pt idx="492">
                  <c:v>493</c:v>
                </c:pt>
                <c:pt idx="493">
                  <c:v>494</c:v>
                </c:pt>
                <c:pt idx="494">
                  <c:v>495</c:v>
                </c:pt>
                <c:pt idx="495">
                  <c:v>496</c:v>
                </c:pt>
                <c:pt idx="496">
                  <c:v>497</c:v>
                </c:pt>
                <c:pt idx="497">
                  <c:v>498</c:v>
                </c:pt>
                <c:pt idx="498">
                  <c:v>499</c:v>
                </c:pt>
                <c:pt idx="499">
                  <c:v>500</c:v>
                </c:pt>
                <c:pt idx="500">
                  <c:v>501</c:v>
                </c:pt>
                <c:pt idx="501">
                  <c:v>502</c:v>
                </c:pt>
                <c:pt idx="502">
                  <c:v>503</c:v>
                </c:pt>
                <c:pt idx="503">
                  <c:v>504</c:v>
                </c:pt>
                <c:pt idx="504">
                  <c:v>505</c:v>
                </c:pt>
                <c:pt idx="505">
                  <c:v>506</c:v>
                </c:pt>
                <c:pt idx="506">
                  <c:v>507</c:v>
                </c:pt>
                <c:pt idx="507">
                  <c:v>508</c:v>
                </c:pt>
                <c:pt idx="508">
                  <c:v>509</c:v>
                </c:pt>
                <c:pt idx="509">
                  <c:v>510</c:v>
                </c:pt>
                <c:pt idx="510">
                  <c:v>511</c:v>
                </c:pt>
                <c:pt idx="511">
                  <c:v>512</c:v>
                </c:pt>
                <c:pt idx="512">
                  <c:v>513</c:v>
                </c:pt>
                <c:pt idx="513">
                  <c:v>514</c:v>
                </c:pt>
                <c:pt idx="514">
                  <c:v>515</c:v>
                </c:pt>
                <c:pt idx="515">
                  <c:v>516</c:v>
                </c:pt>
                <c:pt idx="516">
                  <c:v>517</c:v>
                </c:pt>
                <c:pt idx="517">
                  <c:v>518</c:v>
                </c:pt>
                <c:pt idx="518">
                  <c:v>519</c:v>
                </c:pt>
                <c:pt idx="519">
                  <c:v>520</c:v>
                </c:pt>
                <c:pt idx="520">
                  <c:v>521</c:v>
                </c:pt>
                <c:pt idx="521">
                  <c:v>522</c:v>
                </c:pt>
                <c:pt idx="522">
                  <c:v>523</c:v>
                </c:pt>
                <c:pt idx="523">
                  <c:v>524</c:v>
                </c:pt>
                <c:pt idx="524">
                  <c:v>525</c:v>
                </c:pt>
                <c:pt idx="525">
                  <c:v>526</c:v>
                </c:pt>
                <c:pt idx="526">
                  <c:v>527</c:v>
                </c:pt>
                <c:pt idx="527">
                  <c:v>528</c:v>
                </c:pt>
                <c:pt idx="528">
                  <c:v>529</c:v>
                </c:pt>
                <c:pt idx="529">
                  <c:v>530</c:v>
                </c:pt>
                <c:pt idx="530">
                  <c:v>531</c:v>
                </c:pt>
                <c:pt idx="531">
                  <c:v>532</c:v>
                </c:pt>
                <c:pt idx="532">
                  <c:v>533</c:v>
                </c:pt>
                <c:pt idx="533">
                  <c:v>534</c:v>
                </c:pt>
                <c:pt idx="534">
                  <c:v>535</c:v>
                </c:pt>
                <c:pt idx="535">
                  <c:v>536</c:v>
                </c:pt>
                <c:pt idx="536">
                  <c:v>537</c:v>
                </c:pt>
                <c:pt idx="537">
                  <c:v>538</c:v>
                </c:pt>
                <c:pt idx="538">
                  <c:v>539</c:v>
                </c:pt>
                <c:pt idx="539">
                  <c:v>540</c:v>
                </c:pt>
                <c:pt idx="540">
                  <c:v>541</c:v>
                </c:pt>
                <c:pt idx="541">
                  <c:v>542</c:v>
                </c:pt>
                <c:pt idx="542">
                  <c:v>543</c:v>
                </c:pt>
                <c:pt idx="543">
                  <c:v>544</c:v>
                </c:pt>
                <c:pt idx="544">
                  <c:v>545</c:v>
                </c:pt>
                <c:pt idx="545">
                  <c:v>546</c:v>
                </c:pt>
                <c:pt idx="546">
                  <c:v>547</c:v>
                </c:pt>
                <c:pt idx="547">
                  <c:v>548</c:v>
                </c:pt>
                <c:pt idx="548">
                  <c:v>549</c:v>
                </c:pt>
                <c:pt idx="549">
                  <c:v>550</c:v>
                </c:pt>
                <c:pt idx="550">
                  <c:v>551</c:v>
                </c:pt>
                <c:pt idx="551">
                  <c:v>552</c:v>
                </c:pt>
                <c:pt idx="552">
                  <c:v>553</c:v>
                </c:pt>
                <c:pt idx="553">
                  <c:v>554</c:v>
                </c:pt>
                <c:pt idx="554">
                  <c:v>555</c:v>
                </c:pt>
                <c:pt idx="555">
                  <c:v>556</c:v>
                </c:pt>
                <c:pt idx="556">
                  <c:v>557</c:v>
                </c:pt>
                <c:pt idx="557">
                  <c:v>558</c:v>
                </c:pt>
                <c:pt idx="558">
                  <c:v>559</c:v>
                </c:pt>
                <c:pt idx="559">
                  <c:v>560</c:v>
                </c:pt>
                <c:pt idx="560">
                  <c:v>561</c:v>
                </c:pt>
                <c:pt idx="561">
                  <c:v>562</c:v>
                </c:pt>
                <c:pt idx="562">
                  <c:v>563</c:v>
                </c:pt>
                <c:pt idx="563">
                  <c:v>564</c:v>
                </c:pt>
                <c:pt idx="564">
                  <c:v>565</c:v>
                </c:pt>
                <c:pt idx="565">
                  <c:v>566</c:v>
                </c:pt>
                <c:pt idx="566">
                  <c:v>567</c:v>
                </c:pt>
                <c:pt idx="567">
                  <c:v>568</c:v>
                </c:pt>
                <c:pt idx="568">
                  <c:v>569</c:v>
                </c:pt>
                <c:pt idx="569">
                  <c:v>570</c:v>
                </c:pt>
                <c:pt idx="570">
                  <c:v>571</c:v>
                </c:pt>
                <c:pt idx="571">
                  <c:v>572</c:v>
                </c:pt>
                <c:pt idx="572">
                  <c:v>573</c:v>
                </c:pt>
                <c:pt idx="573">
                  <c:v>574</c:v>
                </c:pt>
                <c:pt idx="574">
                  <c:v>575</c:v>
                </c:pt>
                <c:pt idx="575">
                  <c:v>576</c:v>
                </c:pt>
                <c:pt idx="576">
                  <c:v>577</c:v>
                </c:pt>
                <c:pt idx="577">
                  <c:v>578</c:v>
                </c:pt>
                <c:pt idx="578">
                  <c:v>579</c:v>
                </c:pt>
                <c:pt idx="579">
                  <c:v>580</c:v>
                </c:pt>
                <c:pt idx="580">
                  <c:v>581</c:v>
                </c:pt>
                <c:pt idx="581">
                  <c:v>582</c:v>
                </c:pt>
                <c:pt idx="582">
                  <c:v>583</c:v>
                </c:pt>
                <c:pt idx="583">
                  <c:v>584</c:v>
                </c:pt>
                <c:pt idx="584">
                  <c:v>585</c:v>
                </c:pt>
                <c:pt idx="585">
                  <c:v>586</c:v>
                </c:pt>
                <c:pt idx="586">
                  <c:v>587</c:v>
                </c:pt>
                <c:pt idx="587">
                  <c:v>588</c:v>
                </c:pt>
                <c:pt idx="588">
                  <c:v>589</c:v>
                </c:pt>
                <c:pt idx="589">
                  <c:v>590</c:v>
                </c:pt>
                <c:pt idx="590">
                  <c:v>591</c:v>
                </c:pt>
                <c:pt idx="591">
                  <c:v>592</c:v>
                </c:pt>
                <c:pt idx="592">
                  <c:v>593</c:v>
                </c:pt>
                <c:pt idx="593">
                  <c:v>594</c:v>
                </c:pt>
                <c:pt idx="594">
                  <c:v>595</c:v>
                </c:pt>
                <c:pt idx="595">
                  <c:v>596</c:v>
                </c:pt>
                <c:pt idx="596">
                  <c:v>597</c:v>
                </c:pt>
                <c:pt idx="597">
                  <c:v>598</c:v>
                </c:pt>
                <c:pt idx="598">
                  <c:v>599</c:v>
                </c:pt>
                <c:pt idx="599">
                  <c:v>600</c:v>
                </c:pt>
                <c:pt idx="600">
                  <c:v>601</c:v>
                </c:pt>
                <c:pt idx="601">
                  <c:v>602</c:v>
                </c:pt>
                <c:pt idx="602">
                  <c:v>603</c:v>
                </c:pt>
                <c:pt idx="603">
                  <c:v>604</c:v>
                </c:pt>
                <c:pt idx="604">
                  <c:v>605</c:v>
                </c:pt>
                <c:pt idx="605">
                  <c:v>606</c:v>
                </c:pt>
                <c:pt idx="606">
                  <c:v>607</c:v>
                </c:pt>
                <c:pt idx="607">
                  <c:v>608</c:v>
                </c:pt>
                <c:pt idx="608">
                  <c:v>609</c:v>
                </c:pt>
                <c:pt idx="609">
                  <c:v>610</c:v>
                </c:pt>
                <c:pt idx="610">
                  <c:v>611</c:v>
                </c:pt>
                <c:pt idx="611">
                  <c:v>612</c:v>
                </c:pt>
                <c:pt idx="612">
                  <c:v>613</c:v>
                </c:pt>
                <c:pt idx="613">
                  <c:v>614</c:v>
                </c:pt>
                <c:pt idx="614">
                  <c:v>615</c:v>
                </c:pt>
                <c:pt idx="615">
                  <c:v>616</c:v>
                </c:pt>
                <c:pt idx="616">
                  <c:v>617</c:v>
                </c:pt>
                <c:pt idx="617">
                  <c:v>618</c:v>
                </c:pt>
                <c:pt idx="618">
                  <c:v>619</c:v>
                </c:pt>
                <c:pt idx="619">
                  <c:v>620</c:v>
                </c:pt>
                <c:pt idx="620">
                  <c:v>621</c:v>
                </c:pt>
                <c:pt idx="621">
                  <c:v>622</c:v>
                </c:pt>
                <c:pt idx="622">
                  <c:v>623</c:v>
                </c:pt>
                <c:pt idx="623">
                  <c:v>624</c:v>
                </c:pt>
                <c:pt idx="624">
                  <c:v>625</c:v>
                </c:pt>
                <c:pt idx="625">
                  <c:v>626</c:v>
                </c:pt>
                <c:pt idx="626">
                  <c:v>627</c:v>
                </c:pt>
                <c:pt idx="627">
                  <c:v>628</c:v>
                </c:pt>
                <c:pt idx="628">
                  <c:v>629</c:v>
                </c:pt>
                <c:pt idx="629">
                  <c:v>630</c:v>
                </c:pt>
                <c:pt idx="630">
                  <c:v>631</c:v>
                </c:pt>
                <c:pt idx="631">
                  <c:v>632</c:v>
                </c:pt>
                <c:pt idx="632">
                  <c:v>633</c:v>
                </c:pt>
                <c:pt idx="633">
                  <c:v>634</c:v>
                </c:pt>
                <c:pt idx="634">
                  <c:v>635</c:v>
                </c:pt>
                <c:pt idx="635">
                  <c:v>636</c:v>
                </c:pt>
                <c:pt idx="636">
                  <c:v>637</c:v>
                </c:pt>
                <c:pt idx="637">
                  <c:v>638</c:v>
                </c:pt>
                <c:pt idx="638">
                  <c:v>639</c:v>
                </c:pt>
                <c:pt idx="639">
                  <c:v>640</c:v>
                </c:pt>
                <c:pt idx="640">
                  <c:v>641</c:v>
                </c:pt>
                <c:pt idx="641">
                  <c:v>642</c:v>
                </c:pt>
                <c:pt idx="642">
                  <c:v>643</c:v>
                </c:pt>
                <c:pt idx="643">
                  <c:v>644</c:v>
                </c:pt>
                <c:pt idx="644">
                  <c:v>645</c:v>
                </c:pt>
                <c:pt idx="645">
                  <c:v>646</c:v>
                </c:pt>
                <c:pt idx="646">
                  <c:v>647</c:v>
                </c:pt>
                <c:pt idx="647">
                  <c:v>648</c:v>
                </c:pt>
                <c:pt idx="648">
                  <c:v>649</c:v>
                </c:pt>
                <c:pt idx="649">
                  <c:v>650</c:v>
                </c:pt>
                <c:pt idx="650">
                  <c:v>651</c:v>
                </c:pt>
                <c:pt idx="651">
                  <c:v>652</c:v>
                </c:pt>
                <c:pt idx="652">
                  <c:v>653</c:v>
                </c:pt>
                <c:pt idx="653">
                  <c:v>654</c:v>
                </c:pt>
                <c:pt idx="654">
                  <c:v>655</c:v>
                </c:pt>
                <c:pt idx="655">
                  <c:v>656</c:v>
                </c:pt>
                <c:pt idx="656">
                  <c:v>657</c:v>
                </c:pt>
                <c:pt idx="657">
                  <c:v>658</c:v>
                </c:pt>
                <c:pt idx="658">
                  <c:v>659</c:v>
                </c:pt>
                <c:pt idx="659">
                  <c:v>660</c:v>
                </c:pt>
                <c:pt idx="660">
                  <c:v>661</c:v>
                </c:pt>
                <c:pt idx="661">
                  <c:v>662</c:v>
                </c:pt>
                <c:pt idx="662">
                  <c:v>663</c:v>
                </c:pt>
                <c:pt idx="663">
                  <c:v>664</c:v>
                </c:pt>
                <c:pt idx="664">
                  <c:v>665</c:v>
                </c:pt>
                <c:pt idx="665">
                  <c:v>666</c:v>
                </c:pt>
                <c:pt idx="666">
                  <c:v>667</c:v>
                </c:pt>
                <c:pt idx="667">
                  <c:v>668</c:v>
                </c:pt>
                <c:pt idx="668">
                  <c:v>669</c:v>
                </c:pt>
                <c:pt idx="669">
                  <c:v>670</c:v>
                </c:pt>
                <c:pt idx="670">
                  <c:v>671</c:v>
                </c:pt>
                <c:pt idx="671">
                  <c:v>672</c:v>
                </c:pt>
                <c:pt idx="672">
                  <c:v>673</c:v>
                </c:pt>
                <c:pt idx="673">
                  <c:v>674</c:v>
                </c:pt>
                <c:pt idx="674">
                  <c:v>675</c:v>
                </c:pt>
                <c:pt idx="675">
                  <c:v>676</c:v>
                </c:pt>
                <c:pt idx="676">
                  <c:v>677</c:v>
                </c:pt>
                <c:pt idx="677">
                  <c:v>678</c:v>
                </c:pt>
                <c:pt idx="678">
                  <c:v>679</c:v>
                </c:pt>
                <c:pt idx="679">
                  <c:v>680</c:v>
                </c:pt>
                <c:pt idx="680">
                  <c:v>681</c:v>
                </c:pt>
                <c:pt idx="681">
                  <c:v>682</c:v>
                </c:pt>
                <c:pt idx="682">
                  <c:v>683</c:v>
                </c:pt>
                <c:pt idx="683">
                  <c:v>684</c:v>
                </c:pt>
                <c:pt idx="684">
                  <c:v>685</c:v>
                </c:pt>
                <c:pt idx="685">
                  <c:v>686</c:v>
                </c:pt>
                <c:pt idx="686">
                  <c:v>687</c:v>
                </c:pt>
                <c:pt idx="687">
                  <c:v>688</c:v>
                </c:pt>
                <c:pt idx="688">
                  <c:v>689</c:v>
                </c:pt>
                <c:pt idx="689">
                  <c:v>690</c:v>
                </c:pt>
                <c:pt idx="690">
                  <c:v>691</c:v>
                </c:pt>
                <c:pt idx="691">
                  <c:v>692</c:v>
                </c:pt>
                <c:pt idx="692">
                  <c:v>693</c:v>
                </c:pt>
                <c:pt idx="693">
                  <c:v>694</c:v>
                </c:pt>
                <c:pt idx="694">
                  <c:v>695</c:v>
                </c:pt>
                <c:pt idx="695">
                  <c:v>696</c:v>
                </c:pt>
                <c:pt idx="696">
                  <c:v>697</c:v>
                </c:pt>
                <c:pt idx="697">
                  <c:v>698</c:v>
                </c:pt>
                <c:pt idx="698">
                  <c:v>699</c:v>
                </c:pt>
                <c:pt idx="699">
                  <c:v>700</c:v>
                </c:pt>
                <c:pt idx="700">
                  <c:v>701</c:v>
                </c:pt>
                <c:pt idx="701">
                  <c:v>702</c:v>
                </c:pt>
                <c:pt idx="702">
                  <c:v>703</c:v>
                </c:pt>
                <c:pt idx="703">
                  <c:v>704</c:v>
                </c:pt>
                <c:pt idx="704">
                  <c:v>705</c:v>
                </c:pt>
                <c:pt idx="705">
                  <c:v>706</c:v>
                </c:pt>
                <c:pt idx="706">
                  <c:v>707</c:v>
                </c:pt>
                <c:pt idx="707">
                  <c:v>708</c:v>
                </c:pt>
                <c:pt idx="708">
                  <c:v>709</c:v>
                </c:pt>
                <c:pt idx="709">
                  <c:v>710</c:v>
                </c:pt>
                <c:pt idx="710">
                  <c:v>711</c:v>
                </c:pt>
                <c:pt idx="711">
                  <c:v>712</c:v>
                </c:pt>
                <c:pt idx="712">
                  <c:v>713</c:v>
                </c:pt>
                <c:pt idx="713">
                  <c:v>714</c:v>
                </c:pt>
                <c:pt idx="714">
                  <c:v>715</c:v>
                </c:pt>
                <c:pt idx="715">
                  <c:v>716</c:v>
                </c:pt>
                <c:pt idx="716">
                  <c:v>717</c:v>
                </c:pt>
                <c:pt idx="717">
                  <c:v>718</c:v>
                </c:pt>
                <c:pt idx="718">
                  <c:v>719</c:v>
                </c:pt>
                <c:pt idx="719">
                  <c:v>720</c:v>
                </c:pt>
                <c:pt idx="720">
                  <c:v>721</c:v>
                </c:pt>
                <c:pt idx="721">
                  <c:v>722</c:v>
                </c:pt>
                <c:pt idx="722">
                  <c:v>723</c:v>
                </c:pt>
                <c:pt idx="723">
                  <c:v>724</c:v>
                </c:pt>
                <c:pt idx="724">
                  <c:v>725</c:v>
                </c:pt>
                <c:pt idx="725">
                  <c:v>726</c:v>
                </c:pt>
                <c:pt idx="726">
                  <c:v>727</c:v>
                </c:pt>
                <c:pt idx="727">
                  <c:v>728</c:v>
                </c:pt>
                <c:pt idx="728">
                  <c:v>729</c:v>
                </c:pt>
                <c:pt idx="729">
                  <c:v>730</c:v>
                </c:pt>
                <c:pt idx="730">
                  <c:v>731</c:v>
                </c:pt>
                <c:pt idx="731">
                  <c:v>732</c:v>
                </c:pt>
                <c:pt idx="732">
                  <c:v>733</c:v>
                </c:pt>
                <c:pt idx="733">
                  <c:v>734</c:v>
                </c:pt>
                <c:pt idx="734">
                  <c:v>735</c:v>
                </c:pt>
                <c:pt idx="735">
                  <c:v>736</c:v>
                </c:pt>
                <c:pt idx="736">
                  <c:v>737</c:v>
                </c:pt>
                <c:pt idx="737">
                  <c:v>738</c:v>
                </c:pt>
                <c:pt idx="738">
                  <c:v>739</c:v>
                </c:pt>
                <c:pt idx="739">
                  <c:v>740</c:v>
                </c:pt>
                <c:pt idx="740">
                  <c:v>741</c:v>
                </c:pt>
                <c:pt idx="741">
                  <c:v>742</c:v>
                </c:pt>
                <c:pt idx="742">
                  <c:v>743</c:v>
                </c:pt>
                <c:pt idx="743">
                  <c:v>744</c:v>
                </c:pt>
                <c:pt idx="744">
                  <c:v>745</c:v>
                </c:pt>
                <c:pt idx="745">
                  <c:v>746</c:v>
                </c:pt>
                <c:pt idx="746">
                  <c:v>747</c:v>
                </c:pt>
                <c:pt idx="747">
                  <c:v>748</c:v>
                </c:pt>
                <c:pt idx="748">
                  <c:v>749</c:v>
                </c:pt>
                <c:pt idx="749">
                  <c:v>750</c:v>
                </c:pt>
                <c:pt idx="750">
                  <c:v>751</c:v>
                </c:pt>
                <c:pt idx="751">
                  <c:v>752</c:v>
                </c:pt>
                <c:pt idx="752">
                  <c:v>753</c:v>
                </c:pt>
                <c:pt idx="753">
                  <c:v>754</c:v>
                </c:pt>
                <c:pt idx="754">
                  <c:v>755</c:v>
                </c:pt>
                <c:pt idx="755">
                  <c:v>756</c:v>
                </c:pt>
                <c:pt idx="756">
                  <c:v>757</c:v>
                </c:pt>
                <c:pt idx="757">
                  <c:v>758</c:v>
                </c:pt>
                <c:pt idx="758">
                  <c:v>759</c:v>
                </c:pt>
                <c:pt idx="759">
                  <c:v>760</c:v>
                </c:pt>
                <c:pt idx="760">
                  <c:v>761</c:v>
                </c:pt>
                <c:pt idx="761">
                  <c:v>762</c:v>
                </c:pt>
                <c:pt idx="762">
                  <c:v>763</c:v>
                </c:pt>
                <c:pt idx="763">
                  <c:v>764</c:v>
                </c:pt>
              </c:numCache>
            </c:numRef>
          </c:cat>
          <c:val>
            <c:numRef>
              <c:f>Clarias_Bioplan!$C$3:$ACL$3</c:f>
              <c:numCache>
                <c:formatCode>0.00</c:formatCode>
                <c:ptCount val="764"/>
                <c:pt idx="0">
                  <c:v>0.69444444444444453</c:v>
                </c:pt>
                <c:pt idx="1">
                  <c:v>0.76274801587301599</c:v>
                </c:pt>
                <c:pt idx="2">
                  <c:v>0.83736111642573707</c:v>
                </c:pt>
                <c:pt idx="3">
                  <c:v>0.91751273486817242</c:v>
                </c:pt>
                <c:pt idx="4">
                  <c:v>1.0050144756882318</c:v>
                </c:pt>
                <c:pt idx="5">
                  <c:v>1.1001558460533842</c:v>
                </c:pt>
                <c:pt idx="6">
                  <c:v>1.2017116115666571</c:v>
                </c:pt>
                <c:pt idx="7">
                  <c:v>1.3120204498421895</c:v>
                </c:pt>
                <c:pt idx="8">
                  <c:v>1.4294796365551801</c:v>
                </c:pt>
                <c:pt idx="9">
                  <c:v>1.5564852679928451</c:v>
                </c:pt>
                <c:pt idx="10">
                  <c:v>1.693192160513844</c:v>
                </c:pt>
                <c:pt idx="11">
                  <c:v>1.8376778915443588</c:v>
                </c:pt>
                <c:pt idx="12">
                  <c:v>1.9926553937312665</c:v>
                </c:pt>
                <c:pt idx="13">
                  <c:v>2.1559224700897723</c:v>
                </c:pt>
                <c:pt idx="14">
                  <c:v>2.3304461611931053</c:v>
                </c:pt>
                <c:pt idx="15">
                  <c:v>2.5133485970054545</c:v>
                </c:pt>
                <c:pt idx="16">
                  <c:v>2.7077682723480057</c:v>
                </c:pt>
                <c:pt idx="17">
                  <c:v>2.9103781078376638</c:v>
                </c:pt>
                <c:pt idx="18">
                  <c:v>3.124914551215412</c:v>
                </c:pt>
                <c:pt idx="19">
                  <c:v>3.3481506344678631</c:v>
                </c:pt>
                <c:pt idx="20">
                  <c:v>3.5836721056612113</c:v>
                </c:pt>
                <c:pt idx="21">
                  <c:v>3.8279131430162754</c:v>
                </c:pt>
                <c:pt idx="22">
                  <c:v>4.0840888687412109</c:v>
                </c:pt>
                <c:pt idx="23">
                  <c:v>4.3488120835968909</c:v>
                </c:pt>
                <c:pt idx="24">
                  <c:v>4.6260817994722805</c:v>
                </c:pt>
                <c:pt idx="25">
                  <c:v>4.9168240313542659</c:v>
                </c:pt>
                <c:pt idx="26">
                  <c:v>5.2166769118335719</c:v>
                </c:pt>
                <c:pt idx="27">
                  <c:v>5.5301446916401682</c:v>
                </c:pt>
                <c:pt idx="28">
                  <c:v>5.8525195968998975</c:v>
                </c:pt>
                <c:pt idx="29">
                  <c:v>6.1885230749336788</c:v>
                </c:pt>
                <c:pt idx="30">
                  <c:v>6.538356644051988</c:v>
                </c:pt>
                <c:pt idx="31">
                  <c:v>6.8967343951795916</c:v>
                </c:pt>
                <c:pt idx="32">
                  <c:v>7.2687582418297136</c:v>
                </c:pt>
                <c:pt idx="33">
                  <c:v>7.6545291502584156</c:v>
                </c:pt>
                <c:pt idx="34">
                  <c:v>8.048190649414563</c:v>
                </c:pt>
                <c:pt idx="35">
                  <c:v>8.455199147970669</c:v>
                </c:pt>
                <c:pt idx="36">
                  <c:v>8.8681939457898551</c:v>
                </c:pt>
                <c:pt idx="37">
                  <c:v>9.2938672551877701</c:v>
                </c:pt>
                <c:pt idx="38">
                  <c:v>9.730809915720398</c:v>
                </c:pt>
                <c:pt idx="39">
                  <c:v>10.173561766885676</c:v>
                </c:pt>
                <c:pt idx="40">
                  <c:v>10.627980859139903</c:v>
                </c:pt>
                <c:pt idx="41">
                  <c:v>11.092364578346212</c:v>
                </c:pt>
                <c:pt idx="42">
                  <c:v>11.560978994231412</c:v>
                </c:pt>
                <c:pt idx="43">
                  <c:v>12.038304894075432</c:v>
                </c:pt>
                <c:pt idx="44">
                  <c:v>12.525443971569938</c:v>
                </c:pt>
                <c:pt idx="45">
                  <c:v>13.014951862999402</c:v>
                </c:pt>
                <c:pt idx="46">
                  <c:v>13.513037588350947</c:v>
                </c:pt>
                <c:pt idx="47">
                  <c:v>14.01922867206593</c:v>
                </c:pt>
                <c:pt idx="48">
                  <c:v>14.525790134749911</c:v>
                </c:pt>
                <c:pt idx="49">
                  <c:v>15.039034719511076</c:v>
                </c:pt>
                <c:pt idx="50">
                  <c:v>15.551153428117583</c:v>
                </c:pt>
                <c:pt idx="51">
                  <c:v>16.214495565705793</c:v>
                </c:pt>
                <c:pt idx="52">
                  <c:v>16.786792376177431</c:v>
                </c:pt>
                <c:pt idx="53">
                  <c:v>17.362104836871609</c:v>
                </c:pt>
                <c:pt idx="54">
                  <c:v>17.945724621134381</c:v>
                </c:pt>
                <c:pt idx="55">
                  <c:v>18.543188136106778</c:v>
                </c:pt>
                <c:pt idx="56">
                  <c:v>19.147386239384595</c:v>
                </c:pt>
                <c:pt idx="57">
                  <c:v>19.761205698370116</c:v>
                </c:pt>
                <c:pt idx="58">
                  <c:v>20.388800948757321</c:v>
                </c:pt>
                <c:pt idx="59">
                  <c:v>21.028181283991913</c:v>
                </c:pt>
                <c:pt idx="60">
                  <c:v>21.674180381840184</c:v>
                </c:pt>
                <c:pt idx="61">
                  <c:v>22.333438038584152</c:v>
                </c:pt>
                <c:pt idx="62">
                  <c:v>23.000984177815891</c:v>
                </c:pt>
                <c:pt idx="63">
                  <c:v>23.681561767770706</c:v>
                </c:pt>
                <c:pt idx="64">
                  <c:v>24.365362597106159</c:v>
                </c:pt>
                <c:pt idx="65">
                  <c:v>25.064584311210254</c:v>
                </c:pt>
                <c:pt idx="66">
                  <c:v>25.776055459010497</c:v>
                </c:pt>
                <c:pt idx="67">
                  <c:v>26.502609553821415</c:v>
                </c:pt>
                <c:pt idx="68">
                  <c:v>27.24060331814422</c:v>
                </c:pt>
                <c:pt idx="69">
                  <c:v>27.986199492038292</c:v>
                </c:pt>
                <c:pt idx="70">
                  <c:v>28.742878948465435</c:v>
                </c:pt>
                <c:pt idx="71">
                  <c:v>29.513884320403324</c:v>
                </c:pt>
                <c:pt idx="72">
                  <c:v>30.295296914503293</c:v>
                </c:pt>
                <c:pt idx="73">
                  <c:v>31.082756953494908</c:v>
                </c:pt>
                <c:pt idx="74">
                  <c:v>31.879551480850125</c:v>
                </c:pt>
                <c:pt idx="75">
                  <c:v>32.692663392798877</c:v>
                </c:pt>
                <c:pt idx="76">
                  <c:v>33.522831631889197</c:v>
                </c:pt>
                <c:pt idx="77">
                  <c:v>34.36550094927621</c:v>
                </c:pt>
                <c:pt idx="78">
                  <c:v>35.217695187798917</c:v>
                </c:pt>
                <c:pt idx="79">
                  <c:v>36.081599628615088</c:v>
                </c:pt>
                <c:pt idx="80">
                  <c:v>36.96172654721974</c:v>
                </c:pt>
                <c:pt idx="81">
                  <c:v>37.858062549086839</c:v>
                </c:pt>
                <c:pt idx="82">
                  <c:v>38.765101172333971</c:v>
                </c:pt>
                <c:pt idx="83">
                  <c:v>39.687718247399019</c:v>
                </c:pt>
                <c:pt idx="84">
                  <c:v>40.625783245561159</c:v>
                </c:pt>
                <c:pt idx="85">
                  <c:v>41.5697506761651</c:v>
                </c:pt>
                <c:pt idx="86">
                  <c:v>42.53225931230736</c:v>
                </c:pt>
                <c:pt idx="87">
                  <c:v>43.505902885687419</c:v>
                </c:pt>
                <c:pt idx="88">
                  <c:v>44.497325441103662</c:v>
                </c:pt>
                <c:pt idx="89">
                  <c:v>45.505067030793647</c:v>
                </c:pt>
                <c:pt idx="90">
                  <c:v>46.52361406790628</c:v>
                </c:pt>
                <c:pt idx="91">
                  <c:v>47.551081043494257</c:v>
                </c:pt>
                <c:pt idx="92">
                  <c:v>48.593202683232221</c:v>
                </c:pt>
                <c:pt idx="93">
                  <c:v>49.644183055569769</c:v>
                </c:pt>
                <c:pt idx="94">
                  <c:v>50.708438335653241</c:v>
                </c:pt>
                <c:pt idx="95">
                  <c:v>51.787002983430696</c:v>
                </c:pt>
                <c:pt idx="96">
                  <c:v>52.872362770451929</c:v>
                </c:pt>
                <c:pt idx="97">
                  <c:v>53.970654212998063</c:v>
                </c:pt>
                <c:pt idx="98">
                  <c:v>55.081329686281293</c:v>
                </c:pt>
                <c:pt idx="99">
                  <c:v>56.188543742870891</c:v>
                </c:pt>
                <c:pt idx="100">
                  <c:v>57.306382705573164</c:v>
                </c:pt>
                <c:pt idx="101">
                  <c:v>58.426954632862753</c:v>
                </c:pt>
                <c:pt idx="102">
                  <c:v>59.004545168041467</c:v>
                </c:pt>
                <c:pt idx="103">
                  <c:v>60.182868494974088</c:v>
                </c:pt>
                <c:pt idx="104">
                  <c:v>61.367744443476468</c:v>
                </c:pt>
                <c:pt idx="105">
                  <c:v>62.564373021328933</c:v>
                </c:pt>
                <c:pt idx="106">
                  <c:v>63.778196470015651</c:v>
                </c:pt>
                <c:pt idx="107">
                  <c:v>64.993847099738019</c:v>
                </c:pt>
                <c:pt idx="108">
                  <c:v>66.222114528415176</c:v>
                </c:pt>
                <c:pt idx="109">
                  <c:v>67.472392763811953</c:v>
                </c:pt>
                <c:pt idx="110">
                  <c:v>68.737389560405191</c:v>
                </c:pt>
                <c:pt idx="111">
                  <c:v>70.011834091411728</c:v>
                </c:pt>
                <c:pt idx="112">
                  <c:v>71.302259272455402</c:v>
                </c:pt>
                <c:pt idx="113">
                  <c:v>72.60358578765657</c:v>
                </c:pt>
                <c:pt idx="114">
                  <c:v>73.912087220717751</c:v>
                </c:pt>
                <c:pt idx="115">
                  <c:v>75.226052823917456</c:v>
                </c:pt>
                <c:pt idx="116">
                  <c:v>76.557565391523042</c:v>
                </c:pt>
                <c:pt idx="117">
                  <c:v>77.909187917753556</c:v>
                </c:pt>
                <c:pt idx="118">
                  <c:v>79.277927416942632</c:v>
                </c:pt>
                <c:pt idx="119">
                  <c:v>80.660019947003974</c:v>
                </c:pt>
                <c:pt idx="120">
                  <c:v>82.051505431046976</c:v>
                </c:pt>
                <c:pt idx="121">
                  <c:v>83.447248953180164</c:v>
                </c:pt>
                <c:pt idx="122">
                  <c:v>84.864872271690629</c:v>
                </c:pt>
                <c:pt idx="123">
                  <c:v>86.294326769669723</c:v>
                </c:pt>
                <c:pt idx="124">
                  <c:v>87.731123873948206</c:v>
                </c:pt>
                <c:pt idx="125">
                  <c:v>89.178419873131546</c:v>
                </c:pt>
                <c:pt idx="126">
                  <c:v>90.64306498522626</c:v>
                </c:pt>
                <c:pt idx="127">
                  <c:v>92.125663588312207</c:v>
                </c:pt>
                <c:pt idx="128">
                  <c:v>93.612964057219898</c:v>
                </c:pt>
                <c:pt idx="129">
                  <c:v>87.710947501437005</c:v>
                </c:pt>
                <c:pt idx="130">
                  <c:v>89.146445134112795</c:v>
                </c:pt>
                <c:pt idx="131">
                  <c:v>83.017800950316698</c:v>
                </c:pt>
                <c:pt idx="132">
                  <c:v>84.405401745816832</c:v>
                </c:pt>
                <c:pt idx="133">
                  <c:v>85.803773393918334</c:v>
                </c:pt>
                <c:pt idx="134">
                  <c:v>87.21768326774216</c:v>
                </c:pt>
                <c:pt idx="135">
                  <c:v>88.640449447650212</c:v>
                </c:pt>
                <c:pt idx="136">
                  <c:v>82.066340242816437</c:v>
                </c:pt>
                <c:pt idx="137">
                  <c:v>83.437374914367325</c:v>
                </c:pt>
                <c:pt idx="138">
                  <c:v>76.638147509826283</c:v>
                </c:pt>
                <c:pt idx="139">
                  <c:v>77.956523424280732</c:v>
                </c:pt>
                <c:pt idx="140">
                  <c:v>79.290767956927411</c:v>
                </c:pt>
                <c:pt idx="141">
                  <c:v>80.635291317261448</c:v>
                </c:pt>
                <c:pt idx="142">
                  <c:v>81.991879750266264</c:v>
                </c:pt>
                <c:pt idx="143">
                  <c:v>74.752313947129679</c:v>
                </c:pt>
                <c:pt idx="144">
                  <c:v>76.049937368526827</c:v>
                </c:pt>
                <c:pt idx="145">
                  <c:v>68.558341353713118</c:v>
                </c:pt>
                <c:pt idx="146">
                  <c:v>69.801047500982733</c:v>
                </c:pt>
                <c:pt idx="147">
                  <c:v>71.050100127315645</c:v>
                </c:pt>
                <c:pt idx="148">
                  <c:v>72.313571878887174</c:v>
                </c:pt>
                <c:pt idx="149">
                  <c:v>73.588934852083739</c:v>
                </c:pt>
                <c:pt idx="150">
                  <c:v>65.606500736807931</c:v>
                </c:pt>
                <c:pt idx="151">
                  <c:v>66.807872883282499</c:v>
                </c:pt>
                <c:pt idx="152">
                  <c:v>58.407747163914372</c:v>
                </c:pt>
                <c:pt idx="153">
                  <c:v>59.004545168041467</c:v>
                </c:pt>
                <c:pt idx="154">
                  <c:v>60.182868494974088</c:v>
                </c:pt>
                <c:pt idx="155">
                  <c:v>61.367744443476468</c:v>
                </c:pt>
                <c:pt idx="156">
                  <c:v>62.564373021328933</c:v>
                </c:pt>
                <c:pt idx="157">
                  <c:v>63.778196470015651</c:v>
                </c:pt>
                <c:pt idx="158">
                  <c:v>64.993847099738019</c:v>
                </c:pt>
                <c:pt idx="159">
                  <c:v>66.222114528415176</c:v>
                </c:pt>
                <c:pt idx="160">
                  <c:v>67.472392763811953</c:v>
                </c:pt>
                <c:pt idx="161">
                  <c:v>68.737389560405191</c:v>
                </c:pt>
                <c:pt idx="162">
                  <c:v>70.011834091411728</c:v>
                </c:pt>
                <c:pt idx="163">
                  <c:v>71.302259272455402</c:v>
                </c:pt>
                <c:pt idx="164">
                  <c:v>72.60358578765657</c:v>
                </c:pt>
                <c:pt idx="165">
                  <c:v>73.912087220717751</c:v>
                </c:pt>
                <c:pt idx="166">
                  <c:v>75.226052823917456</c:v>
                </c:pt>
                <c:pt idx="167">
                  <c:v>76.557565391523042</c:v>
                </c:pt>
                <c:pt idx="168">
                  <c:v>77.909187917753556</c:v>
                </c:pt>
                <c:pt idx="169">
                  <c:v>79.277927416942632</c:v>
                </c:pt>
                <c:pt idx="170">
                  <c:v>80.660019947003974</c:v>
                </c:pt>
                <c:pt idx="171">
                  <c:v>82.051505431046976</c:v>
                </c:pt>
                <c:pt idx="172">
                  <c:v>83.447248953180164</c:v>
                </c:pt>
                <c:pt idx="173">
                  <c:v>84.864872271690629</c:v>
                </c:pt>
                <c:pt idx="174">
                  <c:v>86.294326769669723</c:v>
                </c:pt>
                <c:pt idx="175">
                  <c:v>87.731123873948206</c:v>
                </c:pt>
                <c:pt idx="176">
                  <c:v>89.178419873131546</c:v>
                </c:pt>
                <c:pt idx="177">
                  <c:v>90.64306498522626</c:v>
                </c:pt>
                <c:pt idx="178">
                  <c:v>92.125663588312207</c:v>
                </c:pt>
                <c:pt idx="179">
                  <c:v>93.612964057219898</c:v>
                </c:pt>
                <c:pt idx="180">
                  <c:v>87.710947501437005</c:v>
                </c:pt>
                <c:pt idx="181">
                  <c:v>89.146445134112795</c:v>
                </c:pt>
                <c:pt idx="182">
                  <c:v>83.017800950316698</c:v>
                </c:pt>
                <c:pt idx="183">
                  <c:v>84.405401745816832</c:v>
                </c:pt>
                <c:pt idx="184">
                  <c:v>85.803773393918334</c:v>
                </c:pt>
                <c:pt idx="185">
                  <c:v>87.21768326774216</c:v>
                </c:pt>
                <c:pt idx="186">
                  <c:v>88.640449447650212</c:v>
                </c:pt>
                <c:pt idx="187">
                  <c:v>82.066340242816437</c:v>
                </c:pt>
                <c:pt idx="188">
                  <c:v>83.437374914367325</c:v>
                </c:pt>
                <c:pt idx="189">
                  <c:v>76.638147509826283</c:v>
                </c:pt>
                <c:pt idx="190">
                  <c:v>77.956523424280732</c:v>
                </c:pt>
                <c:pt idx="191">
                  <c:v>79.290767956927411</c:v>
                </c:pt>
                <c:pt idx="192">
                  <c:v>80.635291317261448</c:v>
                </c:pt>
                <c:pt idx="193">
                  <c:v>81.991879750266264</c:v>
                </c:pt>
                <c:pt idx="194">
                  <c:v>74.752313947129679</c:v>
                </c:pt>
                <c:pt idx="195">
                  <c:v>76.049937368526827</c:v>
                </c:pt>
                <c:pt idx="196">
                  <c:v>68.558341353713118</c:v>
                </c:pt>
                <c:pt idx="197">
                  <c:v>69.801047500982733</c:v>
                </c:pt>
                <c:pt idx="198">
                  <c:v>71.050100127315645</c:v>
                </c:pt>
                <c:pt idx="199">
                  <c:v>72.313571878887174</c:v>
                </c:pt>
                <c:pt idx="200">
                  <c:v>73.588934852083739</c:v>
                </c:pt>
                <c:pt idx="201">
                  <c:v>65.606500736807931</c:v>
                </c:pt>
                <c:pt idx="202">
                  <c:v>66.807872883282499</c:v>
                </c:pt>
                <c:pt idx="203">
                  <c:v>58.407747163914372</c:v>
                </c:pt>
                <c:pt idx="204">
                  <c:v>59.004545168041467</c:v>
                </c:pt>
                <c:pt idx="205">
                  <c:v>60.182868494974088</c:v>
                </c:pt>
                <c:pt idx="206">
                  <c:v>61.367744443476468</c:v>
                </c:pt>
                <c:pt idx="207">
                  <c:v>62.564373021328933</c:v>
                </c:pt>
                <c:pt idx="208">
                  <c:v>63.778196470015651</c:v>
                </c:pt>
                <c:pt idx="209">
                  <c:v>64.993847099738019</c:v>
                </c:pt>
                <c:pt idx="210">
                  <c:v>66.222114528415176</c:v>
                </c:pt>
                <c:pt idx="211">
                  <c:v>67.472392763811953</c:v>
                </c:pt>
                <c:pt idx="212">
                  <c:v>68.737389560405191</c:v>
                </c:pt>
                <c:pt idx="213">
                  <c:v>70.011834091411728</c:v>
                </c:pt>
                <c:pt idx="214">
                  <c:v>71.302259272455402</c:v>
                </c:pt>
                <c:pt idx="215">
                  <c:v>72.60358578765657</c:v>
                </c:pt>
                <c:pt idx="216">
                  <c:v>73.912087220717751</c:v>
                </c:pt>
                <c:pt idx="217">
                  <c:v>75.226052823917456</c:v>
                </c:pt>
                <c:pt idx="218">
                  <c:v>76.557565391523042</c:v>
                </c:pt>
                <c:pt idx="219">
                  <c:v>77.909187917753556</c:v>
                </c:pt>
                <c:pt idx="220">
                  <c:v>79.277927416942632</c:v>
                </c:pt>
                <c:pt idx="221">
                  <c:v>80.660019947003974</c:v>
                </c:pt>
                <c:pt idx="222">
                  <c:v>82.051505431046976</c:v>
                </c:pt>
                <c:pt idx="223">
                  <c:v>83.447248953180164</c:v>
                </c:pt>
                <c:pt idx="224">
                  <c:v>84.864872271690629</c:v>
                </c:pt>
                <c:pt idx="225">
                  <c:v>86.294326769669723</c:v>
                </c:pt>
                <c:pt idx="226">
                  <c:v>87.731123873948206</c:v>
                </c:pt>
                <c:pt idx="227">
                  <c:v>89.178419873131546</c:v>
                </c:pt>
                <c:pt idx="228">
                  <c:v>90.64306498522626</c:v>
                </c:pt>
                <c:pt idx="229">
                  <c:v>92.125663588312207</c:v>
                </c:pt>
                <c:pt idx="230">
                  <c:v>93.612964057219898</c:v>
                </c:pt>
                <c:pt idx="231">
                  <c:v>87.710947501437005</c:v>
                </c:pt>
                <c:pt idx="232">
                  <c:v>89.146445134112795</c:v>
                </c:pt>
                <c:pt idx="233">
                  <c:v>83.017800950316698</c:v>
                </c:pt>
                <c:pt idx="234">
                  <c:v>84.405401745816832</c:v>
                </c:pt>
                <c:pt idx="235">
                  <c:v>85.803773393918334</c:v>
                </c:pt>
                <c:pt idx="236">
                  <c:v>87.21768326774216</c:v>
                </c:pt>
                <c:pt idx="237">
                  <c:v>88.640449447650212</c:v>
                </c:pt>
                <c:pt idx="238">
                  <c:v>82.066340242816437</c:v>
                </c:pt>
                <c:pt idx="239">
                  <c:v>83.437374914367325</c:v>
                </c:pt>
                <c:pt idx="240">
                  <c:v>76.638147509826283</c:v>
                </c:pt>
                <c:pt idx="241">
                  <c:v>77.956523424280732</c:v>
                </c:pt>
                <c:pt idx="242">
                  <c:v>79.290767956927411</c:v>
                </c:pt>
                <c:pt idx="243">
                  <c:v>80.635291317261448</c:v>
                </c:pt>
                <c:pt idx="244">
                  <c:v>81.991879750266264</c:v>
                </c:pt>
                <c:pt idx="245">
                  <c:v>74.752313947129679</c:v>
                </c:pt>
                <c:pt idx="246">
                  <c:v>76.049937368526827</c:v>
                </c:pt>
                <c:pt idx="247">
                  <c:v>68.558341353713118</c:v>
                </c:pt>
                <c:pt idx="248">
                  <c:v>69.801047500982733</c:v>
                </c:pt>
                <c:pt idx="249">
                  <c:v>71.050100127315645</c:v>
                </c:pt>
                <c:pt idx="250">
                  <c:v>72.313571878887174</c:v>
                </c:pt>
                <c:pt idx="251">
                  <c:v>73.588934852083739</c:v>
                </c:pt>
                <c:pt idx="252">
                  <c:v>65.606500736807931</c:v>
                </c:pt>
                <c:pt idx="253">
                  <c:v>66.807872883282499</c:v>
                </c:pt>
                <c:pt idx="254">
                  <c:v>58.407747163914372</c:v>
                </c:pt>
                <c:pt idx="255">
                  <c:v>59.004545168041467</c:v>
                </c:pt>
                <c:pt idx="256">
                  <c:v>60.182868494974088</c:v>
                </c:pt>
                <c:pt idx="257">
                  <c:v>61.367744443476468</c:v>
                </c:pt>
                <c:pt idx="258">
                  <c:v>62.564373021328933</c:v>
                </c:pt>
                <c:pt idx="259">
                  <c:v>63.778196470015651</c:v>
                </c:pt>
                <c:pt idx="260">
                  <c:v>64.993847099738019</c:v>
                </c:pt>
                <c:pt idx="261">
                  <c:v>66.222114528415176</c:v>
                </c:pt>
                <c:pt idx="262">
                  <c:v>67.472392763811953</c:v>
                </c:pt>
                <c:pt idx="263">
                  <c:v>68.737389560405191</c:v>
                </c:pt>
                <c:pt idx="264">
                  <c:v>70.011834091411728</c:v>
                </c:pt>
                <c:pt idx="265">
                  <c:v>71.302259272455402</c:v>
                </c:pt>
                <c:pt idx="266">
                  <c:v>72.60358578765657</c:v>
                </c:pt>
                <c:pt idx="267">
                  <c:v>73.912087220717751</c:v>
                </c:pt>
                <c:pt idx="268">
                  <c:v>75.226052823917456</c:v>
                </c:pt>
                <c:pt idx="269">
                  <c:v>76.557565391523042</c:v>
                </c:pt>
                <c:pt idx="270">
                  <c:v>77.909187917753556</c:v>
                </c:pt>
                <c:pt idx="271">
                  <c:v>79.277927416942632</c:v>
                </c:pt>
                <c:pt idx="272">
                  <c:v>80.660019947003974</c:v>
                </c:pt>
                <c:pt idx="273">
                  <c:v>82.051505431046976</c:v>
                </c:pt>
                <c:pt idx="274">
                  <c:v>83.447248953180164</c:v>
                </c:pt>
                <c:pt idx="275">
                  <c:v>84.864872271690629</c:v>
                </c:pt>
                <c:pt idx="276">
                  <c:v>86.294326769669723</c:v>
                </c:pt>
                <c:pt idx="277">
                  <c:v>87.731123873948206</c:v>
                </c:pt>
                <c:pt idx="278">
                  <c:v>89.178419873131546</c:v>
                </c:pt>
                <c:pt idx="279">
                  <c:v>90.64306498522626</c:v>
                </c:pt>
                <c:pt idx="280">
                  <c:v>92.125663588312207</c:v>
                </c:pt>
                <c:pt idx="281">
                  <c:v>93.612964057219898</c:v>
                </c:pt>
                <c:pt idx="282">
                  <c:v>87.710947501437005</c:v>
                </c:pt>
                <c:pt idx="283">
                  <c:v>89.146445134112795</c:v>
                </c:pt>
                <c:pt idx="284">
                  <c:v>83.017800950316698</c:v>
                </c:pt>
                <c:pt idx="285">
                  <c:v>84.405401745816832</c:v>
                </c:pt>
                <c:pt idx="286">
                  <c:v>85.803773393918334</c:v>
                </c:pt>
                <c:pt idx="287">
                  <c:v>87.21768326774216</c:v>
                </c:pt>
                <c:pt idx="288">
                  <c:v>88.640449447650212</c:v>
                </c:pt>
                <c:pt idx="289">
                  <c:v>82.066340242816437</c:v>
                </c:pt>
                <c:pt idx="290">
                  <c:v>83.437374914367325</c:v>
                </c:pt>
                <c:pt idx="291">
                  <c:v>76.638147509826283</c:v>
                </c:pt>
                <c:pt idx="292">
                  <c:v>77.956523424280732</c:v>
                </c:pt>
                <c:pt idx="293">
                  <c:v>79.290767956927411</c:v>
                </c:pt>
                <c:pt idx="294">
                  <c:v>80.635291317261448</c:v>
                </c:pt>
                <c:pt idx="295">
                  <c:v>81.991879750266264</c:v>
                </c:pt>
                <c:pt idx="296">
                  <c:v>74.752313947129679</c:v>
                </c:pt>
                <c:pt idx="297">
                  <c:v>76.049937368526827</c:v>
                </c:pt>
                <c:pt idx="298">
                  <c:v>68.558341353713118</c:v>
                </c:pt>
                <c:pt idx="299">
                  <c:v>69.801047500982733</c:v>
                </c:pt>
                <c:pt idx="300">
                  <c:v>71.050100127315645</c:v>
                </c:pt>
                <c:pt idx="301">
                  <c:v>72.313571878887174</c:v>
                </c:pt>
                <c:pt idx="302">
                  <c:v>73.588934852083739</c:v>
                </c:pt>
                <c:pt idx="303">
                  <c:v>65.606500736807931</c:v>
                </c:pt>
                <c:pt idx="304">
                  <c:v>66.807872883282499</c:v>
                </c:pt>
                <c:pt idx="305">
                  <c:v>58.407747163914372</c:v>
                </c:pt>
                <c:pt idx="306">
                  <c:v>59.004545168041467</c:v>
                </c:pt>
                <c:pt idx="307">
                  <c:v>60.182868494974088</c:v>
                </c:pt>
                <c:pt idx="308">
                  <c:v>61.367744443476468</c:v>
                </c:pt>
                <c:pt idx="309">
                  <c:v>62.564373021328933</c:v>
                </c:pt>
                <c:pt idx="310">
                  <c:v>63.778196470015651</c:v>
                </c:pt>
                <c:pt idx="311">
                  <c:v>64.993847099738019</c:v>
                </c:pt>
                <c:pt idx="312">
                  <c:v>66.222114528415176</c:v>
                </c:pt>
                <c:pt idx="313">
                  <c:v>67.472392763811953</c:v>
                </c:pt>
                <c:pt idx="314">
                  <c:v>68.737389560405191</c:v>
                </c:pt>
                <c:pt idx="315">
                  <c:v>70.011834091411728</c:v>
                </c:pt>
                <c:pt idx="316">
                  <c:v>71.302259272455402</c:v>
                </c:pt>
                <c:pt idx="317">
                  <c:v>72.60358578765657</c:v>
                </c:pt>
                <c:pt idx="318">
                  <c:v>73.912087220717751</c:v>
                </c:pt>
                <c:pt idx="319">
                  <c:v>75.226052823917456</c:v>
                </c:pt>
                <c:pt idx="320">
                  <c:v>76.557565391523042</c:v>
                </c:pt>
                <c:pt idx="321">
                  <c:v>77.909187917753556</c:v>
                </c:pt>
                <c:pt idx="322">
                  <c:v>79.277927416942632</c:v>
                </c:pt>
                <c:pt idx="323">
                  <c:v>80.660019947003974</c:v>
                </c:pt>
                <c:pt idx="324">
                  <c:v>82.051505431046976</c:v>
                </c:pt>
                <c:pt idx="325">
                  <c:v>83.447248953180164</c:v>
                </c:pt>
                <c:pt idx="326">
                  <c:v>84.864872271690629</c:v>
                </c:pt>
                <c:pt idx="327">
                  <c:v>86.294326769669723</c:v>
                </c:pt>
                <c:pt idx="328">
                  <c:v>87.731123873948206</c:v>
                </c:pt>
                <c:pt idx="329">
                  <c:v>89.178419873131546</c:v>
                </c:pt>
                <c:pt idx="330">
                  <c:v>90.64306498522626</c:v>
                </c:pt>
                <c:pt idx="331">
                  <c:v>92.125663588312207</c:v>
                </c:pt>
                <c:pt idx="332">
                  <c:v>93.612964057219898</c:v>
                </c:pt>
                <c:pt idx="333">
                  <c:v>87.710947501437005</c:v>
                </c:pt>
                <c:pt idx="334">
                  <c:v>89.146445134112795</c:v>
                </c:pt>
                <c:pt idx="335">
                  <c:v>83.017800950316698</c:v>
                </c:pt>
                <c:pt idx="336">
                  <c:v>84.405401745816832</c:v>
                </c:pt>
                <c:pt idx="337">
                  <c:v>85.803773393918334</c:v>
                </c:pt>
                <c:pt idx="338">
                  <c:v>87.21768326774216</c:v>
                </c:pt>
                <c:pt idx="339">
                  <c:v>88.640449447650212</c:v>
                </c:pt>
                <c:pt idx="340">
                  <c:v>82.066340242816437</c:v>
                </c:pt>
                <c:pt idx="341">
                  <c:v>83.437374914367325</c:v>
                </c:pt>
                <c:pt idx="342">
                  <c:v>76.638147509826283</c:v>
                </c:pt>
                <c:pt idx="343">
                  <c:v>77.956523424280732</c:v>
                </c:pt>
                <c:pt idx="344">
                  <c:v>79.290767956927411</c:v>
                </c:pt>
                <c:pt idx="345">
                  <c:v>80.635291317261448</c:v>
                </c:pt>
                <c:pt idx="346">
                  <c:v>81.991879750266264</c:v>
                </c:pt>
                <c:pt idx="347">
                  <c:v>74.752313947129679</c:v>
                </c:pt>
                <c:pt idx="348">
                  <c:v>76.049937368526827</c:v>
                </c:pt>
                <c:pt idx="349">
                  <c:v>68.558341353713118</c:v>
                </c:pt>
                <c:pt idx="350">
                  <c:v>69.801047500982733</c:v>
                </c:pt>
                <c:pt idx="351">
                  <c:v>71.050100127315645</c:v>
                </c:pt>
                <c:pt idx="352">
                  <c:v>72.313571878887174</c:v>
                </c:pt>
                <c:pt idx="353">
                  <c:v>73.588934852083739</c:v>
                </c:pt>
                <c:pt idx="354">
                  <c:v>65.606500736807931</c:v>
                </c:pt>
                <c:pt idx="355">
                  <c:v>66.807872883282499</c:v>
                </c:pt>
                <c:pt idx="356">
                  <c:v>58.407747163914372</c:v>
                </c:pt>
                <c:pt idx="357">
                  <c:v>59.004545168041467</c:v>
                </c:pt>
                <c:pt idx="358">
                  <c:v>60.182868494974088</c:v>
                </c:pt>
                <c:pt idx="359">
                  <c:v>61.367744443476468</c:v>
                </c:pt>
                <c:pt idx="360">
                  <c:v>62.564373021328933</c:v>
                </c:pt>
                <c:pt idx="361">
                  <c:v>63.778196470015651</c:v>
                </c:pt>
                <c:pt idx="362">
                  <c:v>64.993847099738019</c:v>
                </c:pt>
                <c:pt idx="363">
                  <c:v>66.222114528415176</c:v>
                </c:pt>
                <c:pt idx="364">
                  <c:v>67.472392763811953</c:v>
                </c:pt>
                <c:pt idx="365">
                  <c:v>68.737389560405191</c:v>
                </c:pt>
                <c:pt idx="366">
                  <c:v>70.011834091411728</c:v>
                </c:pt>
                <c:pt idx="367">
                  <c:v>71.302259272455402</c:v>
                </c:pt>
                <c:pt idx="368">
                  <c:v>72.60358578765657</c:v>
                </c:pt>
                <c:pt idx="369">
                  <c:v>73.912087220717751</c:v>
                </c:pt>
                <c:pt idx="370">
                  <c:v>75.226052823917456</c:v>
                </c:pt>
                <c:pt idx="371">
                  <c:v>76.557565391523042</c:v>
                </c:pt>
                <c:pt idx="372">
                  <c:v>77.909187917753556</c:v>
                </c:pt>
                <c:pt idx="373">
                  <c:v>79.277927416942632</c:v>
                </c:pt>
                <c:pt idx="374">
                  <c:v>80.660019947003974</c:v>
                </c:pt>
                <c:pt idx="375">
                  <c:v>82.051505431046976</c:v>
                </c:pt>
                <c:pt idx="376">
                  <c:v>83.447248953180164</c:v>
                </c:pt>
                <c:pt idx="377">
                  <c:v>84.864872271690629</c:v>
                </c:pt>
                <c:pt idx="378">
                  <c:v>86.294326769669723</c:v>
                </c:pt>
                <c:pt idx="379">
                  <c:v>87.731123873948206</c:v>
                </c:pt>
                <c:pt idx="380">
                  <c:v>89.178419873131546</c:v>
                </c:pt>
                <c:pt idx="381">
                  <c:v>90.64306498522626</c:v>
                </c:pt>
                <c:pt idx="382">
                  <c:v>92.125663588312207</c:v>
                </c:pt>
                <c:pt idx="383">
                  <c:v>93.612964057219898</c:v>
                </c:pt>
                <c:pt idx="384">
                  <c:v>87.710947501437005</c:v>
                </c:pt>
                <c:pt idx="385">
                  <c:v>89.146445134112795</c:v>
                </c:pt>
                <c:pt idx="386">
                  <c:v>83.017800950316698</c:v>
                </c:pt>
                <c:pt idx="387">
                  <c:v>84.405401745816832</c:v>
                </c:pt>
                <c:pt idx="388">
                  <c:v>85.803773393918334</c:v>
                </c:pt>
                <c:pt idx="389">
                  <c:v>87.21768326774216</c:v>
                </c:pt>
                <c:pt idx="390">
                  <c:v>88.640449447650212</c:v>
                </c:pt>
                <c:pt idx="391">
                  <c:v>82.066340242816437</c:v>
                </c:pt>
                <c:pt idx="392">
                  <c:v>83.437374914367325</c:v>
                </c:pt>
                <c:pt idx="393">
                  <c:v>76.638147509826283</c:v>
                </c:pt>
                <c:pt idx="394">
                  <c:v>77.956523424280732</c:v>
                </c:pt>
                <c:pt idx="395">
                  <c:v>79.290767956927411</c:v>
                </c:pt>
                <c:pt idx="396">
                  <c:v>80.635291317261448</c:v>
                </c:pt>
                <c:pt idx="397">
                  <c:v>81.991879750266264</c:v>
                </c:pt>
                <c:pt idx="398">
                  <c:v>74.752313947129679</c:v>
                </c:pt>
                <c:pt idx="399">
                  <c:v>76.049937368526827</c:v>
                </c:pt>
                <c:pt idx="400">
                  <c:v>68.558341353713118</c:v>
                </c:pt>
                <c:pt idx="401">
                  <c:v>69.801047500982733</c:v>
                </c:pt>
                <c:pt idx="402">
                  <c:v>71.050100127315645</c:v>
                </c:pt>
                <c:pt idx="403">
                  <c:v>72.313571878887174</c:v>
                </c:pt>
                <c:pt idx="404">
                  <c:v>73.588934852083739</c:v>
                </c:pt>
                <c:pt idx="405">
                  <c:v>65.606500736807931</c:v>
                </c:pt>
                <c:pt idx="406">
                  <c:v>66.807872883282499</c:v>
                </c:pt>
                <c:pt idx="407">
                  <c:v>58.407747163914372</c:v>
                </c:pt>
                <c:pt idx="408">
                  <c:v>59.004545168041467</c:v>
                </c:pt>
                <c:pt idx="409">
                  <c:v>60.182868494974088</c:v>
                </c:pt>
                <c:pt idx="410">
                  <c:v>61.367744443476468</c:v>
                </c:pt>
                <c:pt idx="411">
                  <c:v>62.564373021328933</c:v>
                </c:pt>
                <c:pt idx="412">
                  <c:v>63.778196470015651</c:v>
                </c:pt>
                <c:pt idx="413">
                  <c:v>64.993847099738019</c:v>
                </c:pt>
                <c:pt idx="414">
                  <c:v>66.222114528415176</c:v>
                </c:pt>
                <c:pt idx="415">
                  <c:v>67.472392763811953</c:v>
                </c:pt>
                <c:pt idx="416">
                  <c:v>68.737389560405191</c:v>
                </c:pt>
                <c:pt idx="417">
                  <c:v>70.011834091411728</c:v>
                </c:pt>
                <c:pt idx="418">
                  <c:v>71.302259272455402</c:v>
                </c:pt>
                <c:pt idx="419">
                  <c:v>72.60358578765657</c:v>
                </c:pt>
                <c:pt idx="420">
                  <c:v>73.912087220717751</c:v>
                </c:pt>
                <c:pt idx="421">
                  <c:v>75.226052823917456</c:v>
                </c:pt>
                <c:pt idx="422">
                  <c:v>76.557565391523042</c:v>
                </c:pt>
                <c:pt idx="423">
                  <c:v>77.909187917753556</c:v>
                </c:pt>
                <c:pt idx="424">
                  <c:v>79.277927416942632</c:v>
                </c:pt>
                <c:pt idx="425">
                  <c:v>80.660019947003974</c:v>
                </c:pt>
                <c:pt idx="426">
                  <c:v>82.051505431046976</c:v>
                </c:pt>
                <c:pt idx="427">
                  <c:v>83.447248953180164</c:v>
                </c:pt>
                <c:pt idx="428">
                  <c:v>84.864872271690629</c:v>
                </c:pt>
                <c:pt idx="429">
                  <c:v>86.294326769669723</c:v>
                </c:pt>
                <c:pt idx="430">
                  <c:v>87.731123873948206</c:v>
                </c:pt>
                <c:pt idx="431">
                  <c:v>89.178419873131546</c:v>
                </c:pt>
                <c:pt idx="432">
                  <c:v>90.64306498522626</c:v>
                </c:pt>
                <c:pt idx="433">
                  <c:v>92.125663588312207</c:v>
                </c:pt>
                <c:pt idx="434">
                  <c:v>93.612964057219898</c:v>
                </c:pt>
                <c:pt idx="435">
                  <c:v>87.710947501437005</c:v>
                </c:pt>
                <c:pt idx="436">
                  <c:v>89.146445134112795</c:v>
                </c:pt>
                <c:pt idx="437">
                  <c:v>83.017800950316698</c:v>
                </c:pt>
                <c:pt idx="438">
                  <c:v>84.405401745816832</c:v>
                </c:pt>
                <c:pt idx="439">
                  <c:v>85.803773393918334</c:v>
                </c:pt>
                <c:pt idx="440">
                  <c:v>87.21768326774216</c:v>
                </c:pt>
                <c:pt idx="441">
                  <c:v>88.640449447650212</c:v>
                </c:pt>
                <c:pt idx="442">
                  <c:v>82.066340242816437</c:v>
                </c:pt>
                <c:pt idx="443">
                  <c:v>83.437374914367325</c:v>
                </c:pt>
                <c:pt idx="444">
                  <c:v>76.638147509826283</c:v>
                </c:pt>
                <c:pt idx="445">
                  <c:v>77.956523424280732</c:v>
                </c:pt>
                <c:pt idx="446">
                  <c:v>79.290767956927411</c:v>
                </c:pt>
                <c:pt idx="447">
                  <c:v>80.635291317261448</c:v>
                </c:pt>
                <c:pt idx="448">
                  <c:v>81.991879750266264</c:v>
                </c:pt>
                <c:pt idx="449">
                  <c:v>74.752313947129679</c:v>
                </c:pt>
                <c:pt idx="450">
                  <c:v>76.049937368526827</c:v>
                </c:pt>
                <c:pt idx="451">
                  <c:v>68.558341353713118</c:v>
                </c:pt>
                <c:pt idx="452">
                  <c:v>69.801047500982733</c:v>
                </c:pt>
                <c:pt idx="453">
                  <c:v>71.050100127315645</c:v>
                </c:pt>
                <c:pt idx="454">
                  <c:v>72.313571878887174</c:v>
                </c:pt>
                <c:pt idx="455">
                  <c:v>73.588934852083739</c:v>
                </c:pt>
                <c:pt idx="456">
                  <c:v>65.606500736807931</c:v>
                </c:pt>
                <c:pt idx="457">
                  <c:v>66.807872883282499</c:v>
                </c:pt>
                <c:pt idx="458">
                  <c:v>58.407747163914372</c:v>
                </c:pt>
                <c:pt idx="459">
                  <c:v>59.004545168041467</c:v>
                </c:pt>
                <c:pt idx="460">
                  <c:v>60.182868494974088</c:v>
                </c:pt>
                <c:pt idx="461">
                  <c:v>61.367744443476468</c:v>
                </c:pt>
                <c:pt idx="462">
                  <c:v>62.564373021328933</c:v>
                </c:pt>
                <c:pt idx="463">
                  <c:v>63.778196470015651</c:v>
                </c:pt>
                <c:pt idx="464">
                  <c:v>64.993847099738019</c:v>
                </c:pt>
                <c:pt idx="465">
                  <c:v>66.222114528415176</c:v>
                </c:pt>
                <c:pt idx="466">
                  <c:v>67.472392763811953</c:v>
                </c:pt>
                <c:pt idx="467">
                  <c:v>68.737389560405191</c:v>
                </c:pt>
                <c:pt idx="468">
                  <c:v>70.011834091411728</c:v>
                </c:pt>
                <c:pt idx="469">
                  <c:v>71.302259272455402</c:v>
                </c:pt>
                <c:pt idx="470">
                  <c:v>72.60358578765657</c:v>
                </c:pt>
                <c:pt idx="471">
                  <c:v>73.912087220717751</c:v>
                </c:pt>
                <c:pt idx="472">
                  <c:v>75.226052823917456</c:v>
                </c:pt>
                <c:pt idx="473">
                  <c:v>76.557565391523042</c:v>
                </c:pt>
                <c:pt idx="474">
                  <c:v>77.909187917753556</c:v>
                </c:pt>
                <c:pt idx="475">
                  <c:v>79.277927416942632</c:v>
                </c:pt>
                <c:pt idx="476">
                  <c:v>80.660019947003974</c:v>
                </c:pt>
                <c:pt idx="477">
                  <c:v>82.051505431046976</c:v>
                </c:pt>
                <c:pt idx="478">
                  <c:v>83.447248953180164</c:v>
                </c:pt>
                <c:pt idx="479">
                  <c:v>84.864872271690629</c:v>
                </c:pt>
                <c:pt idx="480">
                  <c:v>86.294326769669723</c:v>
                </c:pt>
                <c:pt idx="481">
                  <c:v>87.731123873948206</c:v>
                </c:pt>
                <c:pt idx="482">
                  <c:v>89.178419873131546</c:v>
                </c:pt>
                <c:pt idx="483">
                  <c:v>90.64306498522626</c:v>
                </c:pt>
                <c:pt idx="484">
                  <c:v>92.125663588312207</c:v>
                </c:pt>
                <c:pt idx="485">
                  <c:v>93.612964057219898</c:v>
                </c:pt>
                <c:pt idx="486">
                  <c:v>87.710947501437005</c:v>
                </c:pt>
                <c:pt idx="487">
                  <c:v>89.146445134112795</c:v>
                </c:pt>
                <c:pt idx="488">
                  <c:v>83.017800950316698</c:v>
                </c:pt>
                <c:pt idx="489">
                  <c:v>84.405401745816832</c:v>
                </c:pt>
                <c:pt idx="490">
                  <c:v>85.803773393918334</c:v>
                </c:pt>
                <c:pt idx="491">
                  <c:v>87.21768326774216</c:v>
                </c:pt>
                <c:pt idx="492">
                  <c:v>88.640449447650212</c:v>
                </c:pt>
                <c:pt idx="493">
                  <c:v>82.066340242816437</c:v>
                </c:pt>
                <c:pt idx="494">
                  <c:v>83.437374914367325</c:v>
                </c:pt>
                <c:pt idx="495">
                  <c:v>76.638147509826283</c:v>
                </c:pt>
                <c:pt idx="496">
                  <c:v>77.956523424280732</c:v>
                </c:pt>
                <c:pt idx="497">
                  <c:v>79.290767956927411</c:v>
                </c:pt>
                <c:pt idx="498">
                  <c:v>80.635291317261448</c:v>
                </c:pt>
                <c:pt idx="499">
                  <c:v>81.991879750266264</c:v>
                </c:pt>
                <c:pt idx="500">
                  <c:v>74.752313947129679</c:v>
                </c:pt>
                <c:pt idx="501">
                  <c:v>76.049937368526827</c:v>
                </c:pt>
                <c:pt idx="502">
                  <c:v>68.558341353713118</c:v>
                </c:pt>
                <c:pt idx="503">
                  <c:v>69.801047500982733</c:v>
                </c:pt>
                <c:pt idx="504">
                  <c:v>71.050100127315645</c:v>
                </c:pt>
                <c:pt idx="505">
                  <c:v>72.313571878887174</c:v>
                </c:pt>
                <c:pt idx="506">
                  <c:v>73.588934852083739</c:v>
                </c:pt>
                <c:pt idx="507">
                  <c:v>65.606500736807931</c:v>
                </c:pt>
                <c:pt idx="508">
                  <c:v>66.807872883282499</c:v>
                </c:pt>
                <c:pt idx="509">
                  <c:v>58.407747163914372</c:v>
                </c:pt>
                <c:pt idx="510">
                  <c:v>59.004545168041467</c:v>
                </c:pt>
                <c:pt idx="511">
                  <c:v>60.182868494974088</c:v>
                </c:pt>
                <c:pt idx="512">
                  <c:v>61.367744443476468</c:v>
                </c:pt>
                <c:pt idx="513">
                  <c:v>62.564373021328933</c:v>
                </c:pt>
                <c:pt idx="514">
                  <c:v>63.778196470015651</c:v>
                </c:pt>
                <c:pt idx="515">
                  <c:v>64.993847099738019</c:v>
                </c:pt>
                <c:pt idx="516">
                  <c:v>66.222114528415176</c:v>
                </c:pt>
                <c:pt idx="517">
                  <c:v>67.472392763811953</c:v>
                </c:pt>
                <c:pt idx="518">
                  <c:v>68.737389560405191</c:v>
                </c:pt>
                <c:pt idx="519">
                  <c:v>70.011834091411728</c:v>
                </c:pt>
                <c:pt idx="520">
                  <c:v>71.302259272455402</c:v>
                </c:pt>
                <c:pt idx="521">
                  <c:v>72.60358578765657</c:v>
                </c:pt>
                <c:pt idx="522">
                  <c:v>73.912087220717751</c:v>
                </c:pt>
                <c:pt idx="523">
                  <c:v>75.226052823917456</c:v>
                </c:pt>
                <c:pt idx="524">
                  <c:v>76.557565391523042</c:v>
                </c:pt>
                <c:pt idx="525">
                  <c:v>77.909187917753556</c:v>
                </c:pt>
                <c:pt idx="526">
                  <c:v>79.277927416942632</c:v>
                </c:pt>
                <c:pt idx="527">
                  <c:v>80.660019947003974</c:v>
                </c:pt>
                <c:pt idx="528">
                  <c:v>82.051505431046976</c:v>
                </c:pt>
                <c:pt idx="529">
                  <c:v>83.447248953180164</c:v>
                </c:pt>
                <c:pt idx="530">
                  <c:v>84.864872271690629</c:v>
                </c:pt>
                <c:pt idx="531">
                  <c:v>86.294326769669723</c:v>
                </c:pt>
                <c:pt idx="532">
                  <c:v>87.731123873948206</c:v>
                </c:pt>
                <c:pt idx="533">
                  <c:v>89.178419873131546</c:v>
                </c:pt>
                <c:pt idx="534">
                  <c:v>90.64306498522626</c:v>
                </c:pt>
                <c:pt idx="535">
                  <c:v>92.125663588312207</c:v>
                </c:pt>
                <c:pt idx="536">
                  <c:v>93.612964057219898</c:v>
                </c:pt>
                <c:pt idx="537">
                  <c:v>87.710947501437005</c:v>
                </c:pt>
                <c:pt idx="538">
                  <c:v>89.146445134112795</c:v>
                </c:pt>
                <c:pt idx="539">
                  <c:v>83.017800950316698</c:v>
                </c:pt>
                <c:pt idx="540">
                  <c:v>84.405401745816832</c:v>
                </c:pt>
                <c:pt idx="541">
                  <c:v>85.803773393918334</c:v>
                </c:pt>
                <c:pt idx="542">
                  <c:v>87.21768326774216</c:v>
                </c:pt>
                <c:pt idx="543">
                  <c:v>88.640449447650212</c:v>
                </c:pt>
                <c:pt idx="544">
                  <c:v>82.066340242816437</c:v>
                </c:pt>
                <c:pt idx="545">
                  <c:v>83.437374914367325</c:v>
                </c:pt>
                <c:pt idx="546">
                  <c:v>76.638147509826283</c:v>
                </c:pt>
                <c:pt idx="547">
                  <c:v>77.956523424280732</c:v>
                </c:pt>
                <c:pt idx="548">
                  <c:v>79.290767956927411</c:v>
                </c:pt>
                <c:pt idx="549">
                  <c:v>80.635291317261448</c:v>
                </c:pt>
                <c:pt idx="550">
                  <c:v>81.991879750266264</c:v>
                </c:pt>
                <c:pt idx="551">
                  <c:v>74.752313947129679</c:v>
                </c:pt>
                <c:pt idx="552">
                  <c:v>76.049937368526827</c:v>
                </c:pt>
                <c:pt idx="553">
                  <c:v>68.558341353713118</c:v>
                </c:pt>
                <c:pt idx="554">
                  <c:v>69.801047500982733</c:v>
                </c:pt>
                <c:pt idx="555">
                  <c:v>71.050100127315645</c:v>
                </c:pt>
                <c:pt idx="556">
                  <c:v>72.313571878887174</c:v>
                </c:pt>
                <c:pt idx="557">
                  <c:v>73.588934852083739</c:v>
                </c:pt>
                <c:pt idx="558">
                  <c:v>65.606500736807931</c:v>
                </c:pt>
                <c:pt idx="559">
                  <c:v>66.807872883282499</c:v>
                </c:pt>
                <c:pt idx="560">
                  <c:v>58.407747163914372</c:v>
                </c:pt>
                <c:pt idx="561">
                  <c:v>59.004545168041467</c:v>
                </c:pt>
                <c:pt idx="562">
                  <c:v>60.182868494974088</c:v>
                </c:pt>
                <c:pt idx="563">
                  <c:v>61.367744443476468</c:v>
                </c:pt>
                <c:pt idx="564">
                  <c:v>62.564373021328933</c:v>
                </c:pt>
                <c:pt idx="565">
                  <c:v>63.778196470015651</c:v>
                </c:pt>
                <c:pt idx="566">
                  <c:v>64.993847099738019</c:v>
                </c:pt>
                <c:pt idx="567">
                  <c:v>66.222114528415176</c:v>
                </c:pt>
                <c:pt idx="568">
                  <c:v>67.472392763811953</c:v>
                </c:pt>
                <c:pt idx="569">
                  <c:v>68.737389560405191</c:v>
                </c:pt>
                <c:pt idx="570">
                  <c:v>70.011834091411728</c:v>
                </c:pt>
                <c:pt idx="571">
                  <c:v>71.302259272455402</c:v>
                </c:pt>
                <c:pt idx="572">
                  <c:v>72.60358578765657</c:v>
                </c:pt>
                <c:pt idx="573">
                  <c:v>73.912087220717751</c:v>
                </c:pt>
                <c:pt idx="574">
                  <c:v>75.226052823917456</c:v>
                </c:pt>
                <c:pt idx="575">
                  <c:v>76.557565391523042</c:v>
                </c:pt>
                <c:pt idx="576">
                  <c:v>77.909187917753556</c:v>
                </c:pt>
                <c:pt idx="577">
                  <c:v>79.277927416942632</c:v>
                </c:pt>
                <c:pt idx="578">
                  <c:v>80.660019947003974</c:v>
                </c:pt>
                <c:pt idx="579">
                  <c:v>82.051505431046976</c:v>
                </c:pt>
                <c:pt idx="580">
                  <c:v>83.447248953180164</c:v>
                </c:pt>
                <c:pt idx="581">
                  <c:v>84.864872271690629</c:v>
                </c:pt>
                <c:pt idx="582">
                  <c:v>86.294326769669723</c:v>
                </c:pt>
                <c:pt idx="583">
                  <c:v>87.731123873948206</c:v>
                </c:pt>
                <c:pt idx="584">
                  <c:v>89.178419873131546</c:v>
                </c:pt>
                <c:pt idx="585">
                  <c:v>90.64306498522626</c:v>
                </c:pt>
                <c:pt idx="586">
                  <c:v>92.125663588312207</c:v>
                </c:pt>
                <c:pt idx="587">
                  <c:v>93.612964057219898</c:v>
                </c:pt>
                <c:pt idx="588">
                  <c:v>87.710947501437005</c:v>
                </c:pt>
                <c:pt idx="589">
                  <c:v>89.146445134112795</c:v>
                </c:pt>
                <c:pt idx="590">
                  <c:v>83.017800950316698</c:v>
                </c:pt>
                <c:pt idx="591">
                  <c:v>84.405401745816832</c:v>
                </c:pt>
                <c:pt idx="592">
                  <c:v>85.803773393918334</c:v>
                </c:pt>
                <c:pt idx="593">
                  <c:v>87.21768326774216</c:v>
                </c:pt>
                <c:pt idx="594">
                  <c:v>88.640449447650212</c:v>
                </c:pt>
                <c:pt idx="595">
                  <c:v>82.066340242816437</c:v>
                </c:pt>
                <c:pt idx="596">
                  <c:v>83.437374914367325</c:v>
                </c:pt>
                <c:pt idx="597">
                  <c:v>76.638147509826283</c:v>
                </c:pt>
                <c:pt idx="598">
                  <c:v>77.956523424280732</c:v>
                </c:pt>
                <c:pt idx="599">
                  <c:v>79.290767956927411</c:v>
                </c:pt>
                <c:pt idx="600">
                  <c:v>80.635291317261448</c:v>
                </c:pt>
                <c:pt idx="601">
                  <c:v>81.991879750266264</c:v>
                </c:pt>
                <c:pt idx="602">
                  <c:v>74.752313947129679</c:v>
                </c:pt>
                <c:pt idx="603">
                  <c:v>76.049937368526827</c:v>
                </c:pt>
                <c:pt idx="604">
                  <c:v>68.558341353713118</c:v>
                </c:pt>
                <c:pt idx="605">
                  <c:v>69.801047500982733</c:v>
                </c:pt>
                <c:pt idx="606">
                  <c:v>71.050100127315645</c:v>
                </c:pt>
                <c:pt idx="607">
                  <c:v>72.313571878887174</c:v>
                </c:pt>
                <c:pt idx="608">
                  <c:v>73.588934852083739</c:v>
                </c:pt>
                <c:pt idx="609">
                  <c:v>65.606500736807931</c:v>
                </c:pt>
                <c:pt idx="610">
                  <c:v>66.807872883282499</c:v>
                </c:pt>
                <c:pt idx="611">
                  <c:v>58.407747163914372</c:v>
                </c:pt>
                <c:pt idx="612">
                  <c:v>59.004545168041467</c:v>
                </c:pt>
                <c:pt idx="613">
                  <c:v>60.182868494974088</c:v>
                </c:pt>
                <c:pt idx="614">
                  <c:v>61.367744443476468</c:v>
                </c:pt>
                <c:pt idx="615">
                  <c:v>62.564373021328933</c:v>
                </c:pt>
                <c:pt idx="616">
                  <c:v>63.778196470015651</c:v>
                </c:pt>
                <c:pt idx="617">
                  <c:v>64.993847099738019</c:v>
                </c:pt>
                <c:pt idx="618">
                  <c:v>66.222114528415176</c:v>
                </c:pt>
                <c:pt idx="619">
                  <c:v>67.472392763811953</c:v>
                </c:pt>
                <c:pt idx="620">
                  <c:v>68.737389560405191</c:v>
                </c:pt>
                <c:pt idx="621">
                  <c:v>70.011834091411728</c:v>
                </c:pt>
                <c:pt idx="622">
                  <c:v>71.302259272455402</c:v>
                </c:pt>
                <c:pt idx="623">
                  <c:v>72.60358578765657</c:v>
                </c:pt>
                <c:pt idx="624">
                  <c:v>73.912087220717751</c:v>
                </c:pt>
                <c:pt idx="625">
                  <c:v>75.226052823917456</c:v>
                </c:pt>
                <c:pt idx="626">
                  <c:v>76.557565391523042</c:v>
                </c:pt>
                <c:pt idx="627">
                  <c:v>77.909187917753556</c:v>
                </c:pt>
                <c:pt idx="628">
                  <c:v>79.277927416942632</c:v>
                </c:pt>
                <c:pt idx="629">
                  <c:v>80.660019947003974</c:v>
                </c:pt>
                <c:pt idx="630">
                  <c:v>82.051505431046976</c:v>
                </c:pt>
                <c:pt idx="631">
                  <c:v>83.447248953180164</c:v>
                </c:pt>
                <c:pt idx="632">
                  <c:v>84.864872271690629</c:v>
                </c:pt>
                <c:pt idx="633">
                  <c:v>86.294326769669723</c:v>
                </c:pt>
                <c:pt idx="634">
                  <c:v>87.731123873948206</c:v>
                </c:pt>
                <c:pt idx="635">
                  <c:v>89.178419873131546</c:v>
                </c:pt>
                <c:pt idx="636">
                  <c:v>90.64306498522626</c:v>
                </c:pt>
                <c:pt idx="637">
                  <c:v>92.125663588312207</c:v>
                </c:pt>
                <c:pt idx="638">
                  <c:v>93.612964057219898</c:v>
                </c:pt>
                <c:pt idx="639">
                  <c:v>87.710947501437005</c:v>
                </c:pt>
                <c:pt idx="640">
                  <c:v>89.146445134112795</c:v>
                </c:pt>
                <c:pt idx="641">
                  <c:v>83.017800950316698</c:v>
                </c:pt>
                <c:pt idx="642">
                  <c:v>84.405401745816832</c:v>
                </c:pt>
                <c:pt idx="643">
                  <c:v>85.803773393918334</c:v>
                </c:pt>
                <c:pt idx="644">
                  <c:v>87.21768326774216</c:v>
                </c:pt>
                <c:pt idx="645">
                  <c:v>88.640449447650212</c:v>
                </c:pt>
                <c:pt idx="646">
                  <c:v>82.066340242816437</c:v>
                </c:pt>
                <c:pt idx="647">
                  <c:v>83.437374914367325</c:v>
                </c:pt>
                <c:pt idx="648">
                  <c:v>76.638147509826283</c:v>
                </c:pt>
                <c:pt idx="649">
                  <c:v>77.956523424280732</c:v>
                </c:pt>
                <c:pt idx="650">
                  <c:v>79.290767956927411</c:v>
                </c:pt>
                <c:pt idx="651">
                  <c:v>80.635291317261448</c:v>
                </c:pt>
                <c:pt idx="652">
                  <c:v>81.991879750266264</c:v>
                </c:pt>
                <c:pt idx="653">
                  <c:v>74.752313947129679</c:v>
                </c:pt>
                <c:pt idx="654">
                  <c:v>76.049937368526827</c:v>
                </c:pt>
                <c:pt idx="655">
                  <c:v>68.558341353713118</c:v>
                </c:pt>
                <c:pt idx="656">
                  <c:v>69.801047500982733</c:v>
                </c:pt>
                <c:pt idx="657">
                  <c:v>71.050100127315645</c:v>
                </c:pt>
                <c:pt idx="658">
                  <c:v>72.313571878887174</c:v>
                </c:pt>
                <c:pt idx="659">
                  <c:v>73.588934852083739</c:v>
                </c:pt>
                <c:pt idx="660">
                  <c:v>65.606500736807931</c:v>
                </c:pt>
                <c:pt idx="661">
                  <c:v>66.807872883282499</c:v>
                </c:pt>
                <c:pt idx="662">
                  <c:v>58.407747163914372</c:v>
                </c:pt>
                <c:pt idx="663">
                  <c:v>58.310100723597024</c:v>
                </c:pt>
                <c:pt idx="664">
                  <c:v>59.420120479101072</c:v>
                </c:pt>
                <c:pt idx="665">
                  <c:v>60.530383327050735</c:v>
                </c:pt>
                <c:pt idx="666">
                  <c:v>61.646860286460758</c:v>
                </c:pt>
                <c:pt idx="667">
                  <c:v>62.773181994327416</c:v>
                </c:pt>
                <c:pt idx="668">
                  <c:v>63.893691253684629</c:v>
                </c:pt>
                <c:pt idx="669">
                  <c:v>65.020402916848525</c:v>
                </c:pt>
                <c:pt idx="670">
                  <c:v>66.160372313969759</c:v>
                </c:pt>
                <c:pt idx="671">
                  <c:v>67.307909923850019</c:v>
                </c:pt>
                <c:pt idx="672">
                  <c:v>68.455348823418888</c:v>
                </c:pt>
                <c:pt idx="673">
                  <c:v>69.609067111941556</c:v>
                </c:pt>
                <c:pt idx="674">
                  <c:v>70.765907896112211</c:v>
                </c:pt>
                <c:pt idx="675">
                  <c:v>71.919431826986482</c:v>
                </c:pt>
                <c:pt idx="676">
                  <c:v>73.070130353827693</c:v>
                </c:pt>
                <c:pt idx="677">
                  <c:v>74.227119230329947</c:v>
                </c:pt>
                <c:pt idx="678">
                  <c:v>75.395839320748095</c:v>
                </c:pt>
                <c:pt idx="679">
                  <c:v>76.570159144594612</c:v>
                </c:pt>
                <c:pt idx="680">
                  <c:v>77.749641839166316</c:v>
                </c:pt>
                <c:pt idx="681">
                  <c:v>78.926590879831565</c:v>
                </c:pt>
                <c:pt idx="682">
                  <c:v>80.099098318712308</c:v>
                </c:pt>
                <c:pt idx="683">
                  <c:v>81.281200166029421</c:v>
                </c:pt>
                <c:pt idx="684">
                  <c:v>82.466413626653448</c:v>
                </c:pt>
                <c:pt idx="685">
                  <c:v>83.647035005206988</c:v>
                </c:pt>
                <c:pt idx="686">
                  <c:v>84.829607789534649</c:v>
                </c:pt>
                <c:pt idx="687">
                  <c:v>86.016983185753972</c:v>
                </c:pt>
                <c:pt idx="688">
                  <c:v>87.20883955695794</c:v>
                </c:pt>
                <c:pt idx="689">
                  <c:v>88.39628714538631</c:v>
                </c:pt>
                <c:pt idx="690">
                  <c:v>82.180802809796845</c:v>
                </c:pt>
                <c:pt idx="691">
                  <c:v>83.293925537212886</c:v>
                </c:pt>
                <c:pt idx="692">
                  <c:v>76.829277875383013</c:v>
                </c:pt>
                <c:pt idx="693">
                  <c:v>77.867045101764845</c:v>
                </c:pt>
                <c:pt idx="694">
                  <c:v>78.907038998738741</c:v>
                </c:pt>
                <c:pt idx="695">
                  <c:v>79.948925025912445</c:v>
                </c:pt>
                <c:pt idx="696">
                  <c:v>80.985920297391786</c:v>
                </c:pt>
                <c:pt idx="697">
                  <c:v>74.018149593401873</c:v>
                </c:pt>
                <c:pt idx="698">
                  <c:v>74.982175766396651</c:v>
                </c:pt>
                <c:pt idx="699">
                  <c:v>67.769953564036413</c:v>
                </c:pt>
                <c:pt idx="700">
                  <c:v>68.662656169092955</c:v>
                </c:pt>
                <c:pt idx="701">
                  <c:v>69.559958041207011</c:v>
                </c:pt>
                <c:pt idx="702">
                  <c:v>70.461729550375765</c:v>
                </c:pt>
                <c:pt idx="703">
                  <c:v>71.363898891126354</c:v>
                </c:pt>
                <c:pt idx="704">
                  <c:v>63.659949368783458</c:v>
                </c:pt>
                <c:pt idx="705">
                  <c:v>64.488958374295407</c:v>
                </c:pt>
                <c:pt idx="706">
                  <c:v>56.520036459637687</c:v>
                </c:pt>
                <c:pt idx="707">
                  <c:v>57.275603529412791</c:v>
                </c:pt>
                <c:pt idx="708">
                  <c:v>58.035148264316241</c:v>
                </c:pt>
                <c:pt idx="709">
                  <c:v>58.800534290536227</c:v>
                </c:pt>
                <c:pt idx="710">
                  <c:v>59.569706180017796</c:v>
                </c:pt>
                <c:pt idx="711">
                  <c:v>51.080710602058005</c:v>
                </c:pt>
                <c:pt idx="712">
                  <c:v>51.768838163771427</c:v>
                </c:pt>
                <c:pt idx="713">
                  <c:v>42.856593735796793</c:v>
                </c:pt>
                <c:pt idx="714">
                  <c:v>42.790049602335671</c:v>
                </c:pt>
                <c:pt idx="715">
                  <c:v>43.396076118796657</c:v>
                </c:pt>
                <c:pt idx="716">
                  <c:v>44.005639606604866</c:v>
                </c:pt>
                <c:pt idx="717">
                  <c:v>44.618648400194544</c:v>
                </c:pt>
                <c:pt idx="718">
                  <c:v>45.235008333908866</c:v>
                </c:pt>
                <c:pt idx="719">
                  <c:v>45.846460860353424</c:v>
                </c:pt>
                <c:pt idx="720">
                  <c:v>46.460908830045064</c:v>
                </c:pt>
                <c:pt idx="721">
                  <c:v>47.083591815054625</c:v>
                </c:pt>
                <c:pt idx="722">
                  <c:v>47.709208276413285</c:v>
                </c:pt>
                <c:pt idx="723">
                  <c:v>48.337653709571555</c:v>
                </c:pt>
                <c:pt idx="724">
                  <c:v>48.968821233871253</c:v>
                </c:pt>
                <c:pt idx="725">
                  <c:v>49.602601609840669</c:v>
                </c:pt>
                <c:pt idx="726">
                  <c:v>50.230525452947056</c:v>
                </c:pt>
                <c:pt idx="727">
                  <c:v>50.8606902268113</c:v>
                </c:pt>
                <c:pt idx="728">
                  <c:v>51.492981080312795</c:v>
                </c:pt>
                <c:pt idx="729">
                  <c:v>52.133132458743049</c:v>
                </c:pt>
                <c:pt idx="730">
                  <c:v>52.775317863121202</c:v>
                </c:pt>
                <c:pt idx="731">
                  <c:v>53.41941662885975</c:v>
                </c:pt>
                <c:pt idx="732">
                  <c:v>54.065305939008688</c:v>
                </c:pt>
                <c:pt idx="733">
                  <c:v>54.704370004714725</c:v>
                </c:pt>
                <c:pt idx="734">
                  <c:v>55.350987951287316</c:v>
                </c:pt>
                <c:pt idx="735">
                  <c:v>55.999029855166427</c:v>
                </c:pt>
                <c:pt idx="736">
                  <c:v>56.648366920453299</c:v>
                </c:pt>
                <c:pt idx="737">
                  <c:v>57.298868392281427</c:v>
                </c:pt>
                <c:pt idx="738">
                  <c:v>57.950401592427376</c:v>
                </c:pt>
                <c:pt idx="739">
                  <c:v>58.60283195642301</c:v>
                </c:pt>
                <c:pt idx="740">
                  <c:v>59.247463107943666</c:v>
                </c:pt>
                <c:pt idx="741">
                  <c:v>52.493252313638088</c:v>
                </c:pt>
                <c:pt idx="742">
                  <c:v>53.064845505497708</c:v>
                </c:pt>
                <c:pt idx="743">
                  <c:v>46.056074403096957</c:v>
                </c:pt>
                <c:pt idx="744">
                  <c:v>46.54733919673</c:v>
                </c:pt>
                <c:pt idx="745">
                  <c:v>47.03867222158437</c:v>
                </c:pt>
                <c:pt idx="746">
                  <c:v>47.529965020343127</c:v>
                </c:pt>
                <c:pt idx="747">
                  <c:v>48.014666202089046</c:v>
                </c:pt>
                <c:pt idx="748">
                  <c:v>40.496589566651316</c:v>
                </c:pt>
                <c:pt idx="749">
                  <c:v>40.905115602059958</c:v>
                </c:pt>
                <c:pt idx="750">
                  <c:v>33.132244624138849</c:v>
                </c:pt>
                <c:pt idx="751">
                  <c:v>33.459197983177056</c:v>
                </c:pt>
                <c:pt idx="752">
                  <c:v>33.785700926133778</c:v>
                </c:pt>
                <c:pt idx="753">
                  <c:v>34.111677249355154</c:v>
                </c:pt>
                <c:pt idx="754">
                  <c:v>34.440798706772014</c:v>
                </c:pt>
                <c:pt idx="755">
                  <c:v>26.159111263897447</c:v>
                </c:pt>
                <c:pt idx="756">
                  <c:v>26.405754312957054</c:v>
                </c:pt>
                <c:pt idx="757">
                  <c:v>17.849903018059877</c:v>
                </c:pt>
                <c:pt idx="758">
                  <c:v>18.014044517552033</c:v>
                </c:pt>
                <c:pt idx="759">
                  <c:v>18.177737356863705</c:v>
                </c:pt>
                <c:pt idx="760">
                  <c:v>18.342917665889122</c:v>
                </c:pt>
                <c:pt idx="761">
                  <c:v>18.507605165802428</c:v>
                </c:pt>
                <c:pt idx="762">
                  <c:v>9.4179569939370253</c:v>
                </c:pt>
                <c:pt idx="763">
                  <c:v>9.5014901777093375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D43-4EB7-A112-553FFE75A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890463"/>
        <c:axId val="1306801295"/>
      </c:lineChart>
      <c:lineChart>
        <c:grouping val="standard"/>
        <c:varyColors val="0"/>
        <c:ser>
          <c:idx val="1"/>
          <c:order val="1"/>
          <c:tx>
            <c:strRef>
              <c:f>Clarias_Bioplan!$A$5:$B$5</c:f>
              <c:strCache>
                <c:ptCount val="2"/>
                <c:pt idx="0">
                  <c:v>DAILY FEED RATION TOTAL SYSTEM (%)</c:v>
                </c:pt>
              </c:strCache>
            </c:strRef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Clarias_Bioplan!$C$5:$ACL$5</c:f>
              <c:numCache>
                <c:formatCode>0.00%</c:formatCode>
                <c:ptCount val="764"/>
                <c:pt idx="0">
                  <c:v>5.6200000000000007E-2</c:v>
                </c:pt>
                <c:pt idx="1">
                  <c:v>5.5899999999999998E-2</c:v>
                </c:pt>
                <c:pt idx="2">
                  <c:v>5.57E-2</c:v>
                </c:pt>
                <c:pt idx="3">
                  <c:v>5.5500000000000001E-2</c:v>
                </c:pt>
                <c:pt idx="4">
                  <c:v>5.5099999999999996E-2</c:v>
                </c:pt>
                <c:pt idx="5">
                  <c:v>5.4699999999999999E-2</c:v>
                </c:pt>
                <c:pt idx="6">
                  <c:v>5.4400000000000004E-2</c:v>
                </c:pt>
                <c:pt idx="7">
                  <c:v>5.4000000000000006E-2</c:v>
                </c:pt>
                <c:pt idx="8">
                  <c:v>5.3600000000000002E-2</c:v>
                </c:pt>
                <c:pt idx="9">
                  <c:v>5.3000000000000005E-2</c:v>
                </c:pt>
                <c:pt idx="10">
                  <c:v>5.2400000000000002E-2</c:v>
                </c:pt>
                <c:pt idx="11">
                  <c:v>5.1799999999999992E-2</c:v>
                </c:pt>
                <c:pt idx="12">
                  <c:v>5.1200000000000002E-2</c:v>
                </c:pt>
                <c:pt idx="13">
                  <c:v>5.0599999999999999E-2</c:v>
                </c:pt>
                <c:pt idx="14">
                  <c:v>4.99E-2</c:v>
                </c:pt>
                <c:pt idx="15">
                  <c:v>4.9200000000000001E-2</c:v>
                </c:pt>
                <c:pt idx="16">
                  <c:v>4.8399999999999999E-2</c:v>
                </c:pt>
                <c:pt idx="17">
                  <c:v>4.7699999999999992E-2</c:v>
                </c:pt>
                <c:pt idx="18">
                  <c:v>4.7E-2</c:v>
                </c:pt>
                <c:pt idx="19">
                  <c:v>4.6300000000000001E-2</c:v>
                </c:pt>
                <c:pt idx="20">
                  <c:v>4.5599999999999995E-2</c:v>
                </c:pt>
                <c:pt idx="21">
                  <c:v>4.4800000000000006E-2</c:v>
                </c:pt>
                <c:pt idx="22">
                  <c:v>4.41E-2</c:v>
                </c:pt>
                <c:pt idx="23">
                  <c:v>4.3400000000000001E-2</c:v>
                </c:pt>
                <c:pt idx="24">
                  <c:v>4.2800000000000005E-2</c:v>
                </c:pt>
                <c:pt idx="25">
                  <c:v>4.2199999999999994E-2</c:v>
                </c:pt>
                <c:pt idx="26">
                  <c:v>4.1599999999999998E-2</c:v>
                </c:pt>
                <c:pt idx="27">
                  <c:v>4.0999999999999995E-2</c:v>
                </c:pt>
                <c:pt idx="28">
                  <c:v>4.0399999999999998E-2</c:v>
                </c:pt>
                <c:pt idx="29">
                  <c:v>3.9800000000000002E-2</c:v>
                </c:pt>
                <c:pt idx="30">
                  <c:v>3.9199999999999999E-2</c:v>
                </c:pt>
                <c:pt idx="31">
                  <c:v>3.8599999999999995E-2</c:v>
                </c:pt>
                <c:pt idx="32">
                  <c:v>3.7999999999999999E-2</c:v>
                </c:pt>
                <c:pt idx="33">
                  <c:v>3.7400000000000003E-2</c:v>
                </c:pt>
                <c:pt idx="34">
                  <c:v>3.6799999999999999E-2</c:v>
                </c:pt>
                <c:pt idx="35">
                  <c:v>3.61E-2</c:v>
                </c:pt>
                <c:pt idx="36">
                  <c:v>3.5499999999999997E-2</c:v>
                </c:pt>
                <c:pt idx="37">
                  <c:v>3.4799999999999998E-2</c:v>
                </c:pt>
                <c:pt idx="38">
                  <c:v>3.4200000000000001E-2</c:v>
                </c:pt>
                <c:pt idx="39">
                  <c:v>3.3599999999999998E-2</c:v>
                </c:pt>
                <c:pt idx="40">
                  <c:v>3.2899999999999999E-2</c:v>
                </c:pt>
                <c:pt idx="41">
                  <c:v>3.2300000000000002E-2</c:v>
                </c:pt>
                <c:pt idx="42">
                  <c:v>3.1600000000000003E-2</c:v>
                </c:pt>
                <c:pt idx="43">
                  <c:v>3.0999999999999996E-2</c:v>
                </c:pt>
                <c:pt idx="44">
                  <c:v>3.04E-2</c:v>
                </c:pt>
                <c:pt idx="45">
                  <c:v>2.98E-2</c:v>
                </c:pt>
                <c:pt idx="46">
                  <c:v>2.92E-2</c:v>
                </c:pt>
                <c:pt idx="47">
                  <c:v>2.8600000000000004E-2</c:v>
                </c:pt>
                <c:pt idx="48">
                  <c:v>2.7999999999999997E-2</c:v>
                </c:pt>
                <c:pt idx="49">
                  <c:v>2.7400000000000001E-2</c:v>
                </c:pt>
                <c:pt idx="50">
                  <c:v>0</c:v>
                </c:pt>
                <c:pt idx="51">
                  <c:v>2.7484858554428084E-2</c:v>
                </c:pt>
                <c:pt idx="52">
                  <c:v>2.6976752887809E-2</c:v>
                </c:pt>
                <c:pt idx="53">
                  <c:v>2.6480637659765573E-2</c:v>
                </c:pt>
                <c:pt idx="54">
                  <c:v>2.6179827179228964E-2</c:v>
                </c:pt>
                <c:pt idx="55">
                  <c:v>2.5874736138727789E-2</c:v>
                </c:pt>
                <c:pt idx="56">
                  <c:v>2.5481174244947544E-2</c:v>
                </c:pt>
                <c:pt idx="57">
                  <c:v>2.5191242452013214E-2</c:v>
                </c:pt>
                <c:pt idx="58">
                  <c:v>2.4901286691289173E-2</c:v>
                </c:pt>
                <c:pt idx="59">
                  <c:v>2.4614154148495458E-2</c:v>
                </c:pt>
                <c:pt idx="60">
                  <c:v>2.4319017925184185E-2</c:v>
                </c:pt>
                <c:pt idx="61">
                  <c:v>2.3935077942488271E-2</c:v>
                </c:pt>
                <c:pt idx="62">
                  <c:v>2.3644805972063282E-2</c:v>
                </c:pt>
                <c:pt idx="63">
                  <c:v>2.3357969975268782E-2</c:v>
                </c:pt>
                <c:pt idx="64">
                  <c:v>2.3163340883644776E-2</c:v>
                </c:pt>
                <c:pt idx="65">
                  <c:v>2.2961436221245402E-2</c:v>
                </c:pt>
                <c:pt idx="66">
                  <c:v>2.2756958234333612E-2</c:v>
                </c:pt>
                <c:pt idx="67">
                  <c:v>2.2542492364204872E-2</c:v>
                </c:pt>
                <c:pt idx="68">
                  <c:v>2.2334247710935812E-2</c:v>
                </c:pt>
                <c:pt idx="69">
                  <c:v>2.2126455503860876E-2</c:v>
                </c:pt>
                <c:pt idx="70">
                  <c:v>2.191502093360229E-2</c:v>
                </c:pt>
                <c:pt idx="71">
                  <c:v>2.1702712723807711E-2</c:v>
                </c:pt>
                <c:pt idx="72">
                  <c:v>2.1473635228166581E-2</c:v>
                </c:pt>
                <c:pt idx="73">
                  <c:v>2.1255663132089597E-2</c:v>
                </c:pt>
                <c:pt idx="74">
                  <c:v>2.1119477111345101E-2</c:v>
                </c:pt>
                <c:pt idx="75">
                  <c:v>2.0994154330432366E-2</c:v>
                </c:pt>
                <c:pt idx="76">
                  <c:v>2.08667726084012E-2</c:v>
                </c:pt>
                <c:pt idx="77">
                  <c:v>2.0734275610314032E-2</c:v>
                </c:pt>
                <c:pt idx="78">
                  <c:v>2.0600064167289885E-2</c:v>
                </c:pt>
                <c:pt idx="79">
                  <c:v>2.0460415498201788E-2</c:v>
                </c:pt>
                <c:pt idx="80">
                  <c:v>2.0317875420901861E-2</c:v>
                </c:pt>
                <c:pt idx="81">
                  <c:v>2.0172263573134779E-2</c:v>
                </c:pt>
                <c:pt idx="82">
                  <c:v>2.0020786548141344E-2</c:v>
                </c:pt>
                <c:pt idx="83">
                  <c:v>1.9865903511074111E-2</c:v>
                </c:pt>
                <c:pt idx="84">
                  <c:v>1.9788617358011344E-2</c:v>
                </c:pt>
                <c:pt idx="85">
                  <c:v>1.9704466324485762E-2</c:v>
                </c:pt>
                <c:pt idx="86">
                  <c:v>1.9595176350008639E-2</c:v>
                </c:pt>
                <c:pt idx="87">
                  <c:v>1.9497161223816759E-2</c:v>
                </c:pt>
                <c:pt idx="88">
                  <c:v>1.9372838303866973E-2</c:v>
                </c:pt>
                <c:pt idx="89">
                  <c:v>1.9262962664653899E-2</c:v>
                </c:pt>
                <c:pt idx="90">
                  <c:v>1.9145491659626243E-2</c:v>
                </c:pt>
                <c:pt idx="91">
                  <c:v>1.9000768293881559E-2</c:v>
                </c:pt>
                <c:pt idx="92">
                  <c:v>1.8871895923826897E-2</c:v>
                </c:pt>
                <c:pt idx="93">
                  <c:v>1.8712330411111418E-2</c:v>
                </c:pt>
                <c:pt idx="94">
                  <c:v>1.8569659098443655E-2</c:v>
                </c:pt>
                <c:pt idx="95">
                  <c:v>1.8421461049099985E-2</c:v>
                </c:pt>
                <c:pt idx="96">
                  <c:v>1.8266216470567403E-2</c:v>
                </c:pt>
                <c:pt idx="97">
                  <c:v>1.8105587031024512E-2</c:v>
                </c:pt>
                <c:pt idx="98">
                  <c:v>1.7939617473876519E-2</c:v>
                </c:pt>
                <c:pt idx="99">
                  <c:v>1.7767558269117488E-2</c:v>
                </c:pt>
                <c:pt idx="100">
                  <c:v>1.7590347014173783E-2</c:v>
                </c:pt>
                <c:pt idx="101">
                  <c:v>0</c:v>
                </c:pt>
                <c:pt idx="102">
                  <c:v>1.7633129848966617E-2</c:v>
                </c:pt>
                <c:pt idx="103">
                  <c:v>1.747538836967065E-2</c:v>
                </c:pt>
                <c:pt idx="104">
                  <c:v>1.731588604800853E-2</c:v>
                </c:pt>
                <c:pt idx="105">
                  <c:v>1.7208349343850095E-2</c:v>
                </c:pt>
                <c:pt idx="106">
                  <c:v>1.7097891960820646E-2</c:v>
                </c:pt>
                <c:pt idx="107">
                  <c:v>1.6959150901443541E-2</c:v>
                </c:pt>
                <c:pt idx="108">
                  <c:v>1.691860053386857E-2</c:v>
                </c:pt>
                <c:pt idx="109">
                  <c:v>1.6805675660950117E-2</c:v>
                </c:pt>
                <c:pt idx="110">
                  <c:v>1.6691824524803438E-2</c:v>
                </c:pt>
                <c:pt idx="111">
                  <c:v>1.6573170234335698E-2</c:v>
                </c:pt>
                <c:pt idx="112">
                  <c:v>1.6425107257014973E-2</c:v>
                </c:pt>
                <c:pt idx="113">
                  <c:v>1.6303979424376391E-2</c:v>
                </c:pt>
                <c:pt idx="114">
                  <c:v>1.6182792010256106E-2</c:v>
                </c:pt>
                <c:pt idx="115">
                  <c:v>1.6089026607628589E-2</c:v>
                </c:pt>
                <c:pt idx="116">
                  <c:v>1.6059545617812851E-2</c:v>
                </c:pt>
                <c:pt idx="117">
                  <c:v>1.5960403640959752E-2</c:v>
                </c:pt>
                <c:pt idx="118">
                  <c:v>1.585720499699737E-2</c:v>
                </c:pt>
                <c:pt idx="119">
                  <c:v>1.5755006623300944E-2</c:v>
                </c:pt>
                <c:pt idx="120">
                  <c:v>1.5651616068297396E-2</c:v>
                </c:pt>
                <c:pt idx="121">
                  <c:v>1.5611833358779165E-2</c:v>
                </c:pt>
                <c:pt idx="122">
                  <c:v>1.5504806294441837E-2</c:v>
                </c:pt>
                <c:pt idx="123">
                  <c:v>1.5390796429335668E-2</c:v>
                </c:pt>
                <c:pt idx="124">
                  <c:v>1.5279241332773974E-2</c:v>
                </c:pt>
                <c:pt idx="125">
                  <c:v>1.5195783841155481E-2</c:v>
                </c:pt>
                <c:pt idx="126">
                  <c:v>1.5116099171572151E-2</c:v>
                </c:pt>
                <c:pt idx="127">
                  <c:v>1.5035619661123755E-2</c:v>
                </c:pt>
                <c:pt idx="128">
                  <c:v>1.5016500125693059E-2</c:v>
                </c:pt>
                <c:pt idx="129">
                  <c:v>1.5213705307527928E-2</c:v>
                </c:pt>
                <c:pt idx="130">
                  <c:v>1.5126685551238408E-2</c:v>
                </c:pt>
                <c:pt idx="131">
                  <c:v>1.5370474632143208E-2</c:v>
                </c:pt>
                <c:pt idx="132">
                  <c:v>1.5279445655803279E-2</c:v>
                </c:pt>
                <c:pt idx="133">
                  <c:v>1.5185124073605115E-2</c:v>
                </c:pt>
                <c:pt idx="134">
                  <c:v>1.5088855191938663E-2</c:v>
                </c:pt>
                <c:pt idx="135">
                  <c:v>1.5028008274321875E-2</c:v>
                </c:pt>
                <c:pt idx="136">
                  <c:v>1.5409146232271782E-2</c:v>
                </c:pt>
                <c:pt idx="137">
                  <c:v>1.5332372131366376E-2</c:v>
                </c:pt>
                <c:pt idx="138">
                  <c:v>1.5737199865589441E-2</c:v>
                </c:pt>
                <c:pt idx="139">
                  <c:v>1.5650427386363391E-2</c:v>
                </c:pt>
                <c:pt idx="140">
                  <c:v>1.5571684685340438E-2</c:v>
                </c:pt>
                <c:pt idx="141">
                  <c:v>1.5530436158886385E-2</c:v>
                </c:pt>
                <c:pt idx="142">
                  <c:v>1.5430009207076581E-2</c:v>
                </c:pt>
                <c:pt idx="143">
                  <c:v>1.5907208191962285E-2</c:v>
                </c:pt>
                <c:pt idx="144">
                  <c:v>1.5791434776986212E-2</c:v>
                </c:pt>
                <c:pt idx="145">
                  <c:v>1.641656423084676E-2</c:v>
                </c:pt>
                <c:pt idx="146">
                  <c:v>1.62996910952075E-2</c:v>
                </c:pt>
                <c:pt idx="147">
                  <c:v>1.6202523890221393E-2</c:v>
                </c:pt>
                <c:pt idx="148">
                  <c:v>1.6074905653217123E-2</c:v>
                </c:pt>
                <c:pt idx="149">
                  <c:v>1.5942804968445183E-2</c:v>
                </c:pt>
                <c:pt idx="150">
                  <c:v>1.6652508252657672E-2</c:v>
                </c:pt>
                <c:pt idx="151">
                  <c:v>1.6496617286451333E-2</c:v>
                </c:pt>
                <c:pt idx="152">
                  <c:v>-3.2556287790943409E-6</c:v>
                </c:pt>
                <c:pt idx="153">
                  <c:v>1.7633129848966617E-2</c:v>
                </c:pt>
                <c:pt idx="154">
                  <c:v>1.747538836967065E-2</c:v>
                </c:pt>
                <c:pt idx="155">
                  <c:v>1.731588604800853E-2</c:v>
                </c:pt>
                <c:pt idx="156">
                  <c:v>1.7208349343850095E-2</c:v>
                </c:pt>
                <c:pt idx="157">
                  <c:v>1.7097891960820646E-2</c:v>
                </c:pt>
                <c:pt idx="158">
                  <c:v>1.6959150901443541E-2</c:v>
                </c:pt>
                <c:pt idx="159">
                  <c:v>1.691860053386857E-2</c:v>
                </c:pt>
                <c:pt idx="160">
                  <c:v>1.6805675660950117E-2</c:v>
                </c:pt>
                <c:pt idx="161">
                  <c:v>1.6691824524803438E-2</c:v>
                </c:pt>
                <c:pt idx="162">
                  <c:v>1.6573170234335698E-2</c:v>
                </c:pt>
                <c:pt idx="163">
                  <c:v>1.6425107257014973E-2</c:v>
                </c:pt>
                <c:pt idx="164">
                  <c:v>1.6303979424376391E-2</c:v>
                </c:pt>
                <c:pt idx="165">
                  <c:v>1.6182792010256106E-2</c:v>
                </c:pt>
                <c:pt idx="166">
                  <c:v>1.6089026607628589E-2</c:v>
                </c:pt>
                <c:pt idx="167">
                  <c:v>1.6059545617812851E-2</c:v>
                </c:pt>
                <c:pt idx="168">
                  <c:v>1.5960403640959752E-2</c:v>
                </c:pt>
                <c:pt idx="169">
                  <c:v>1.585720499699737E-2</c:v>
                </c:pt>
                <c:pt idx="170">
                  <c:v>1.5755006623300944E-2</c:v>
                </c:pt>
                <c:pt idx="171">
                  <c:v>1.5651616068297396E-2</c:v>
                </c:pt>
                <c:pt idx="172">
                  <c:v>1.5611833358779165E-2</c:v>
                </c:pt>
                <c:pt idx="173">
                  <c:v>1.5504806294441837E-2</c:v>
                </c:pt>
                <c:pt idx="174">
                  <c:v>1.5390796429335668E-2</c:v>
                </c:pt>
                <c:pt idx="175">
                  <c:v>1.5279241332773974E-2</c:v>
                </c:pt>
                <c:pt idx="176">
                  <c:v>1.5195783841155481E-2</c:v>
                </c:pt>
                <c:pt idx="177">
                  <c:v>1.5116099171572151E-2</c:v>
                </c:pt>
                <c:pt idx="178">
                  <c:v>1.5035619661123755E-2</c:v>
                </c:pt>
                <c:pt idx="179">
                  <c:v>1.5016500125693059E-2</c:v>
                </c:pt>
                <c:pt idx="180">
                  <c:v>1.5213705307527928E-2</c:v>
                </c:pt>
                <c:pt idx="181">
                  <c:v>1.5126685551238408E-2</c:v>
                </c:pt>
                <c:pt idx="182">
                  <c:v>1.5370474632143208E-2</c:v>
                </c:pt>
                <c:pt idx="183">
                  <c:v>1.5279445655803279E-2</c:v>
                </c:pt>
                <c:pt idx="184">
                  <c:v>1.5185124073605115E-2</c:v>
                </c:pt>
                <c:pt idx="185">
                  <c:v>1.5088855191938663E-2</c:v>
                </c:pt>
                <c:pt idx="186">
                  <c:v>1.5028008274321875E-2</c:v>
                </c:pt>
                <c:pt idx="187">
                  <c:v>1.5409146232271782E-2</c:v>
                </c:pt>
                <c:pt idx="188">
                  <c:v>1.5332372131366376E-2</c:v>
                </c:pt>
                <c:pt idx="189">
                  <c:v>1.5737199865589441E-2</c:v>
                </c:pt>
                <c:pt idx="190">
                  <c:v>1.5650427386363391E-2</c:v>
                </c:pt>
                <c:pt idx="191">
                  <c:v>1.5571684685340438E-2</c:v>
                </c:pt>
                <c:pt idx="192">
                  <c:v>1.5530436158886385E-2</c:v>
                </c:pt>
                <c:pt idx="193">
                  <c:v>1.5430009207076581E-2</c:v>
                </c:pt>
                <c:pt idx="194">
                  <c:v>1.5907208191962285E-2</c:v>
                </c:pt>
                <c:pt idx="195">
                  <c:v>1.5791434776986212E-2</c:v>
                </c:pt>
                <c:pt idx="196">
                  <c:v>1.641656423084676E-2</c:v>
                </c:pt>
                <c:pt idx="197">
                  <c:v>1.62996910952075E-2</c:v>
                </c:pt>
                <c:pt idx="198">
                  <c:v>1.6202523890221393E-2</c:v>
                </c:pt>
                <c:pt idx="199">
                  <c:v>1.6074905653217123E-2</c:v>
                </c:pt>
                <c:pt idx="200">
                  <c:v>1.5942804968445183E-2</c:v>
                </c:pt>
                <c:pt idx="201">
                  <c:v>1.6652508252657672E-2</c:v>
                </c:pt>
                <c:pt idx="202">
                  <c:v>1.6496617286451333E-2</c:v>
                </c:pt>
                <c:pt idx="203">
                  <c:v>-3.2556287790943409E-6</c:v>
                </c:pt>
                <c:pt idx="204">
                  <c:v>1.7633129848966617E-2</c:v>
                </c:pt>
                <c:pt idx="205">
                  <c:v>1.747538836967065E-2</c:v>
                </c:pt>
                <c:pt idx="206">
                  <c:v>1.731588604800853E-2</c:v>
                </c:pt>
                <c:pt idx="207">
                  <c:v>1.7208349343850095E-2</c:v>
                </c:pt>
                <c:pt idx="208">
                  <c:v>1.7097891960820646E-2</c:v>
                </c:pt>
                <c:pt idx="209">
                  <c:v>1.6959150901443541E-2</c:v>
                </c:pt>
                <c:pt idx="210">
                  <c:v>1.691860053386857E-2</c:v>
                </c:pt>
                <c:pt idx="211">
                  <c:v>1.6805675660950117E-2</c:v>
                </c:pt>
                <c:pt idx="212">
                  <c:v>1.6691824524803438E-2</c:v>
                </c:pt>
                <c:pt idx="213">
                  <c:v>1.6573170234335698E-2</c:v>
                </c:pt>
                <c:pt idx="214">
                  <c:v>1.6425107257014973E-2</c:v>
                </c:pt>
                <c:pt idx="215">
                  <c:v>1.6303979424376391E-2</c:v>
                </c:pt>
                <c:pt idx="216">
                  <c:v>1.6182792010256106E-2</c:v>
                </c:pt>
                <c:pt idx="217">
                  <c:v>1.6089026607628589E-2</c:v>
                </c:pt>
                <c:pt idx="218">
                  <c:v>1.6059545617812851E-2</c:v>
                </c:pt>
                <c:pt idx="219">
                  <c:v>1.5960403640959752E-2</c:v>
                </c:pt>
                <c:pt idx="220">
                  <c:v>1.585720499699737E-2</c:v>
                </c:pt>
                <c:pt idx="221">
                  <c:v>1.5755006623300944E-2</c:v>
                </c:pt>
                <c:pt idx="222">
                  <c:v>1.5651616068297396E-2</c:v>
                </c:pt>
                <c:pt idx="223">
                  <c:v>1.5611833358779165E-2</c:v>
                </c:pt>
                <c:pt idx="224">
                  <c:v>1.5504806294441837E-2</c:v>
                </c:pt>
                <c:pt idx="225">
                  <c:v>1.5390796429335668E-2</c:v>
                </c:pt>
                <c:pt idx="226">
                  <c:v>1.5279241332773974E-2</c:v>
                </c:pt>
                <c:pt idx="227">
                  <c:v>1.5195783841155481E-2</c:v>
                </c:pt>
                <c:pt idx="228">
                  <c:v>1.5116099171572151E-2</c:v>
                </c:pt>
                <c:pt idx="229">
                  <c:v>1.5035619661123755E-2</c:v>
                </c:pt>
                <c:pt idx="230">
                  <c:v>1.5016500125693059E-2</c:v>
                </c:pt>
                <c:pt idx="231">
                  <c:v>1.5213705307527928E-2</c:v>
                </c:pt>
                <c:pt idx="232">
                  <c:v>1.5126685551238408E-2</c:v>
                </c:pt>
                <c:pt idx="233">
                  <c:v>1.5370474632143208E-2</c:v>
                </c:pt>
                <c:pt idx="234">
                  <c:v>1.5279445655803279E-2</c:v>
                </c:pt>
                <c:pt idx="235">
                  <c:v>1.5185124073605115E-2</c:v>
                </c:pt>
                <c:pt idx="236">
                  <c:v>1.5088855191938663E-2</c:v>
                </c:pt>
                <c:pt idx="237">
                  <c:v>1.5028008274321875E-2</c:v>
                </c:pt>
                <c:pt idx="238">
                  <c:v>1.5409146232271782E-2</c:v>
                </c:pt>
                <c:pt idx="239">
                  <c:v>1.5332372131366376E-2</c:v>
                </c:pt>
                <c:pt idx="240">
                  <c:v>1.5737199865589441E-2</c:v>
                </c:pt>
                <c:pt idx="241">
                  <c:v>1.5650427386363391E-2</c:v>
                </c:pt>
                <c:pt idx="242">
                  <c:v>1.5571684685340438E-2</c:v>
                </c:pt>
                <c:pt idx="243">
                  <c:v>1.5530436158886385E-2</c:v>
                </c:pt>
                <c:pt idx="244">
                  <c:v>1.5430009207076581E-2</c:v>
                </c:pt>
                <c:pt idx="245">
                  <c:v>1.5907208191962285E-2</c:v>
                </c:pt>
                <c:pt idx="246">
                  <c:v>1.5791434776986212E-2</c:v>
                </c:pt>
                <c:pt idx="247">
                  <c:v>1.641656423084676E-2</c:v>
                </c:pt>
                <c:pt idx="248">
                  <c:v>1.62996910952075E-2</c:v>
                </c:pt>
                <c:pt idx="249">
                  <c:v>1.6202523890221393E-2</c:v>
                </c:pt>
                <c:pt idx="250">
                  <c:v>1.6074905653217123E-2</c:v>
                </c:pt>
                <c:pt idx="251">
                  <c:v>1.5942804968445183E-2</c:v>
                </c:pt>
                <c:pt idx="252">
                  <c:v>1.6652508252657672E-2</c:v>
                </c:pt>
                <c:pt idx="253">
                  <c:v>1.6496617286451333E-2</c:v>
                </c:pt>
                <c:pt idx="254">
                  <c:v>-3.2556287790943409E-6</c:v>
                </c:pt>
                <c:pt idx="255">
                  <c:v>1.7633129848966617E-2</c:v>
                </c:pt>
                <c:pt idx="256">
                  <c:v>1.747538836967065E-2</c:v>
                </c:pt>
                <c:pt idx="257">
                  <c:v>1.731588604800853E-2</c:v>
                </c:pt>
                <c:pt idx="258">
                  <c:v>1.7208349343850095E-2</c:v>
                </c:pt>
                <c:pt idx="259">
                  <c:v>1.7097891960820646E-2</c:v>
                </c:pt>
                <c:pt idx="260">
                  <c:v>1.6959150901443541E-2</c:v>
                </c:pt>
                <c:pt idx="261">
                  <c:v>1.691860053386857E-2</c:v>
                </c:pt>
                <c:pt idx="262">
                  <c:v>1.6805675660950117E-2</c:v>
                </c:pt>
                <c:pt idx="263">
                  <c:v>1.6691824524803438E-2</c:v>
                </c:pt>
                <c:pt idx="264">
                  <c:v>1.6573170234335698E-2</c:v>
                </c:pt>
                <c:pt idx="265">
                  <c:v>1.6425107257014973E-2</c:v>
                </c:pt>
                <c:pt idx="266">
                  <c:v>1.6303979424376391E-2</c:v>
                </c:pt>
                <c:pt idx="267">
                  <c:v>1.6182792010256106E-2</c:v>
                </c:pt>
                <c:pt idx="268">
                  <c:v>1.6089026607628589E-2</c:v>
                </c:pt>
                <c:pt idx="269">
                  <c:v>1.6059545617812851E-2</c:v>
                </c:pt>
                <c:pt idx="270">
                  <c:v>1.5960403640959752E-2</c:v>
                </c:pt>
                <c:pt idx="271">
                  <c:v>1.585720499699737E-2</c:v>
                </c:pt>
                <c:pt idx="272">
                  <c:v>1.5755006623300944E-2</c:v>
                </c:pt>
                <c:pt idx="273">
                  <c:v>1.5651616068297396E-2</c:v>
                </c:pt>
                <c:pt idx="274">
                  <c:v>1.5611833358779165E-2</c:v>
                </c:pt>
                <c:pt idx="275">
                  <c:v>1.5504806294441837E-2</c:v>
                </c:pt>
                <c:pt idx="276">
                  <c:v>1.5390796429335668E-2</c:v>
                </c:pt>
                <c:pt idx="277">
                  <c:v>1.5279241332773974E-2</c:v>
                </c:pt>
                <c:pt idx="278">
                  <c:v>1.5195783841155481E-2</c:v>
                </c:pt>
                <c:pt idx="279">
                  <c:v>1.5116099171572151E-2</c:v>
                </c:pt>
                <c:pt idx="280">
                  <c:v>1.5035619661123755E-2</c:v>
                </c:pt>
                <c:pt idx="281">
                  <c:v>1.5016500125693059E-2</c:v>
                </c:pt>
                <c:pt idx="282">
                  <c:v>1.5213705307527928E-2</c:v>
                </c:pt>
                <c:pt idx="283">
                  <c:v>1.5126685551238408E-2</c:v>
                </c:pt>
                <c:pt idx="284">
                  <c:v>1.5370474632143208E-2</c:v>
                </c:pt>
                <c:pt idx="285">
                  <c:v>1.5279445655803279E-2</c:v>
                </c:pt>
                <c:pt idx="286">
                  <c:v>1.5185124073605115E-2</c:v>
                </c:pt>
                <c:pt idx="287">
                  <c:v>1.5088855191938663E-2</c:v>
                </c:pt>
                <c:pt idx="288">
                  <c:v>1.5028008274321875E-2</c:v>
                </c:pt>
                <c:pt idx="289">
                  <c:v>1.5409146232271782E-2</c:v>
                </c:pt>
                <c:pt idx="290">
                  <c:v>1.5332372131366376E-2</c:v>
                </c:pt>
                <c:pt idx="291">
                  <c:v>1.5737199865589441E-2</c:v>
                </c:pt>
                <c:pt idx="292">
                  <c:v>1.5650427386363391E-2</c:v>
                </c:pt>
                <c:pt idx="293">
                  <c:v>1.5571684685340438E-2</c:v>
                </c:pt>
                <c:pt idx="294">
                  <c:v>1.5530436158886385E-2</c:v>
                </c:pt>
                <c:pt idx="295">
                  <c:v>1.5430009207076581E-2</c:v>
                </c:pt>
                <c:pt idx="296">
                  <c:v>1.5907208191962285E-2</c:v>
                </c:pt>
                <c:pt idx="297">
                  <c:v>1.5791434776986212E-2</c:v>
                </c:pt>
                <c:pt idx="298">
                  <c:v>1.641656423084676E-2</c:v>
                </c:pt>
                <c:pt idx="299">
                  <c:v>1.62996910952075E-2</c:v>
                </c:pt>
                <c:pt idx="300">
                  <c:v>1.6202523890221393E-2</c:v>
                </c:pt>
                <c:pt idx="301">
                  <c:v>1.6074905653217123E-2</c:v>
                </c:pt>
                <c:pt idx="302">
                  <c:v>1.5942804968445183E-2</c:v>
                </c:pt>
                <c:pt idx="303">
                  <c:v>1.6652508252657672E-2</c:v>
                </c:pt>
                <c:pt idx="304">
                  <c:v>1.6496617286451333E-2</c:v>
                </c:pt>
                <c:pt idx="305">
                  <c:v>-3.2556287790943409E-6</c:v>
                </c:pt>
                <c:pt idx="306">
                  <c:v>1.7633129848966617E-2</c:v>
                </c:pt>
                <c:pt idx="307">
                  <c:v>1.747538836967065E-2</c:v>
                </c:pt>
                <c:pt idx="308">
                  <c:v>1.731588604800853E-2</c:v>
                </c:pt>
                <c:pt idx="309">
                  <c:v>1.7208349343850095E-2</c:v>
                </c:pt>
                <c:pt idx="310">
                  <c:v>1.7097891960820646E-2</c:v>
                </c:pt>
                <c:pt idx="311">
                  <c:v>1.6959150901443541E-2</c:v>
                </c:pt>
                <c:pt idx="312">
                  <c:v>1.691860053386857E-2</c:v>
                </c:pt>
                <c:pt idx="313">
                  <c:v>1.6805675660950117E-2</c:v>
                </c:pt>
                <c:pt idx="314">
                  <c:v>1.6691824524803438E-2</c:v>
                </c:pt>
                <c:pt idx="315">
                  <c:v>1.6573170234335698E-2</c:v>
                </c:pt>
                <c:pt idx="316">
                  <c:v>1.6425107257014973E-2</c:v>
                </c:pt>
                <c:pt idx="317">
                  <c:v>1.6303979424376391E-2</c:v>
                </c:pt>
                <c:pt idx="318">
                  <c:v>1.6182792010256106E-2</c:v>
                </c:pt>
                <c:pt idx="319">
                  <c:v>1.6089026607628589E-2</c:v>
                </c:pt>
                <c:pt idx="320">
                  <c:v>1.6059545617812851E-2</c:v>
                </c:pt>
                <c:pt idx="321">
                  <c:v>1.5960403640959752E-2</c:v>
                </c:pt>
                <c:pt idx="322">
                  <c:v>1.585720499699737E-2</c:v>
                </c:pt>
                <c:pt idx="323">
                  <c:v>1.5755006623300944E-2</c:v>
                </c:pt>
                <c:pt idx="324">
                  <c:v>1.5651616068297396E-2</c:v>
                </c:pt>
                <c:pt idx="325">
                  <c:v>1.5611833358779165E-2</c:v>
                </c:pt>
                <c:pt idx="326">
                  <c:v>1.5504806294441837E-2</c:v>
                </c:pt>
                <c:pt idx="327">
                  <c:v>1.5390796429335668E-2</c:v>
                </c:pt>
                <c:pt idx="328">
                  <c:v>1.5279241332773974E-2</c:v>
                </c:pt>
                <c:pt idx="329">
                  <c:v>1.5195783841155481E-2</c:v>
                </c:pt>
                <c:pt idx="330">
                  <c:v>1.5116099171572151E-2</c:v>
                </c:pt>
                <c:pt idx="331">
                  <c:v>1.5035619661123755E-2</c:v>
                </c:pt>
                <c:pt idx="332">
                  <c:v>1.5016500125693059E-2</c:v>
                </c:pt>
                <c:pt idx="333">
                  <c:v>1.5213705307527928E-2</c:v>
                </c:pt>
                <c:pt idx="334">
                  <c:v>1.5126685551238408E-2</c:v>
                </c:pt>
                <c:pt idx="335">
                  <c:v>1.5370474632143208E-2</c:v>
                </c:pt>
                <c:pt idx="336">
                  <c:v>1.5279445655803279E-2</c:v>
                </c:pt>
                <c:pt idx="337">
                  <c:v>1.5185124073605115E-2</c:v>
                </c:pt>
                <c:pt idx="338">
                  <c:v>1.5088855191938663E-2</c:v>
                </c:pt>
                <c:pt idx="339">
                  <c:v>1.5028008274321875E-2</c:v>
                </c:pt>
                <c:pt idx="340">
                  <c:v>1.5409146232271782E-2</c:v>
                </c:pt>
                <c:pt idx="341">
                  <c:v>1.5332372131366376E-2</c:v>
                </c:pt>
                <c:pt idx="342">
                  <c:v>1.5737199865589441E-2</c:v>
                </c:pt>
                <c:pt idx="343">
                  <c:v>1.5650427386363391E-2</c:v>
                </c:pt>
                <c:pt idx="344">
                  <c:v>1.5571684685340438E-2</c:v>
                </c:pt>
                <c:pt idx="345">
                  <c:v>1.5530436158886385E-2</c:v>
                </c:pt>
                <c:pt idx="346">
                  <c:v>1.5430009207076581E-2</c:v>
                </c:pt>
                <c:pt idx="347">
                  <c:v>1.5907208191962285E-2</c:v>
                </c:pt>
                <c:pt idx="348">
                  <c:v>1.5791434776986212E-2</c:v>
                </c:pt>
                <c:pt idx="349">
                  <c:v>1.641656423084676E-2</c:v>
                </c:pt>
                <c:pt idx="350">
                  <c:v>1.62996910952075E-2</c:v>
                </c:pt>
                <c:pt idx="351">
                  <c:v>1.6202523890221393E-2</c:v>
                </c:pt>
                <c:pt idx="352">
                  <c:v>1.6074905653217123E-2</c:v>
                </c:pt>
                <c:pt idx="353">
                  <c:v>1.5942804968445183E-2</c:v>
                </c:pt>
                <c:pt idx="354">
                  <c:v>1.6652508252657672E-2</c:v>
                </c:pt>
                <c:pt idx="355">
                  <c:v>1.6496617286451333E-2</c:v>
                </c:pt>
                <c:pt idx="356">
                  <c:v>-3.2556287790943409E-6</c:v>
                </c:pt>
                <c:pt idx="357">
                  <c:v>1.7633129848966617E-2</c:v>
                </c:pt>
                <c:pt idx="358">
                  <c:v>1.747538836967065E-2</c:v>
                </c:pt>
                <c:pt idx="359">
                  <c:v>1.731588604800853E-2</c:v>
                </c:pt>
                <c:pt idx="360">
                  <c:v>1.7208349343850095E-2</c:v>
                </c:pt>
                <c:pt idx="361">
                  <c:v>1.7097891960820646E-2</c:v>
                </c:pt>
                <c:pt idx="362">
                  <c:v>1.6959150901443541E-2</c:v>
                </c:pt>
                <c:pt idx="363">
                  <c:v>1.691860053386857E-2</c:v>
                </c:pt>
                <c:pt idx="364">
                  <c:v>1.6805675660950117E-2</c:v>
                </c:pt>
                <c:pt idx="365">
                  <c:v>1.6691824524803438E-2</c:v>
                </c:pt>
                <c:pt idx="366">
                  <c:v>1.6573170234335698E-2</c:v>
                </c:pt>
                <c:pt idx="367">
                  <c:v>1.6425107257014973E-2</c:v>
                </c:pt>
                <c:pt idx="368">
                  <c:v>1.6303979424376391E-2</c:v>
                </c:pt>
                <c:pt idx="369">
                  <c:v>1.6182792010256106E-2</c:v>
                </c:pt>
                <c:pt idx="370">
                  <c:v>1.6089026607628589E-2</c:v>
                </c:pt>
                <c:pt idx="371">
                  <c:v>1.6059545617812851E-2</c:v>
                </c:pt>
                <c:pt idx="372">
                  <c:v>1.5960403640959752E-2</c:v>
                </c:pt>
                <c:pt idx="373">
                  <c:v>1.585720499699737E-2</c:v>
                </c:pt>
                <c:pt idx="374">
                  <c:v>1.5755006623300944E-2</c:v>
                </c:pt>
                <c:pt idx="375">
                  <c:v>1.5651616068297396E-2</c:v>
                </c:pt>
                <c:pt idx="376">
                  <c:v>1.5611833358779165E-2</c:v>
                </c:pt>
                <c:pt idx="377">
                  <c:v>1.5504806294441837E-2</c:v>
                </c:pt>
                <c:pt idx="378">
                  <c:v>1.5390796429335668E-2</c:v>
                </c:pt>
                <c:pt idx="379">
                  <c:v>1.5279241332773974E-2</c:v>
                </c:pt>
                <c:pt idx="380">
                  <c:v>1.5195783841155481E-2</c:v>
                </c:pt>
                <c:pt idx="381">
                  <c:v>1.5116099171572151E-2</c:v>
                </c:pt>
                <c:pt idx="382">
                  <c:v>1.5035619661123755E-2</c:v>
                </c:pt>
                <c:pt idx="383">
                  <c:v>1.5016500125693059E-2</c:v>
                </c:pt>
                <c:pt idx="384">
                  <c:v>1.5213705307527928E-2</c:v>
                </c:pt>
                <c:pt idx="385">
                  <c:v>1.5126685551238408E-2</c:v>
                </c:pt>
                <c:pt idx="386">
                  <c:v>1.5370474632143208E-2</c:v>
                </c:pt>
                <c:pt idx="387">
                  <c:v>1.5279445655803279E-2</c:v>
                </c:pt>
                <c:pt idx="388">
                  <c:v>1.5185124073605115E-2</c:v>
                </c:pt>
                <c:pt idx="389">
                  <c:v>1.5088855191938663E-2</c:v>
                </c:pt>
                <c:pt idx="390">
                  <c:v>1.5028008274321875E-2</c:v>
                </c:pt>
                <c:pt idx="391">
                  <c:v>1.5409146232271782E-2</c:v>
                </c:pt>
                <c:pt idx="392">
                  <c:v>1.5332372131366376E-2</c:v>
                </c:pt>
                <c:pt idx="393">
                  <c:v>1.5737199865589441E-2</c:v>
                </c:pt>
                <c:pt idx="394">
                  <c:v>1.5650427386363391E-2</c:v>
                </c:pt>
                <c:pt idx="395">
                  <c:v>1.5571684685340438E-2</c:v>
                </c:pt>
                <c:pt idx="396">
                  <c:v>1.5530436158886385E-2</c:v>
                </c:pt>
                <c:pt idx="397">
                  <c:v>1.5430009207076581E-2</c:v>
                </c:pt>
                <c:pt idx="398">
                  <c:v>1.5907208191962285E-2</c:v>
                </c:pt>
                <c:pt idx="399">
                  <c:v>1.5791434776986212E-2</c:v>
                </c:pt>
                <c:pt idx="400">
                  <c:v>1.641656423084676E-2</c:v>
                </c:pt>
                <c:pt idx="401">
                  <c:v>1.62996910952075E-2</c:v>
                </c:pt>
                <c:pt idx="402">
                  <c:v>1.6202523890221393E-2</c:v>
                </c:pt>
                <c:pt idx="403">
                  <c:v>1.6074905653217123E-2</c:v>
                </c:pt>
                <c:pt idx="404">
                  <c:v>1.5942804968445183E-2</c:v>
                </c:pt>
                <c:pt idx="405">
                  <c:v>1.6652508252657672E-2</c:v>
                </c:pt>
                <c:pt idx="406">
                  <c:v>1.6496617286451333E-2</c:v>
                </c:pt>
                <c:pt idx="407">
                  <c:v>-3.2556287790943409E-6</c:v>
                </c:pt>
                <c:pt idx="408">
                  <c:v>1.7633129848966617E-2</c:v>
                </c:pt>
                <c:pt idx="409">
                  <c:v>1.747538836967065E-2</c:v>
                </c:pt>
                <c:pt idx="410">
                  <c:v>1.731588604800853E-2</c:v>
                </c:pt>
                <c:pt idx="411">
                  <c:v>1.7208349343850095E-2</c:v>
                </c:pt>
                <c:pt idx="412">
                  <c:v>1.7097891960820646E-2</c:v>
                </c:pt>
                <c:pt idx="413">
                  <c:v>1.6959150901443541E-2</c:v>
                </c:pt>
                <c:pt idx="414">
                  <c:v>1.691860053386857E-2</c:v>
                </c:pt>
                <c:pt idx="415">
                  <c:v>1.6805675660950117E-2</c:v>
                </c:pt>
                <c:pt idx="416">
                  <c:v>1.6691824524803438E-2</c:v>
                </c:pt>
                <c:pt idx="417">
                  <c:v>1.6573170234335698E-2</c:v>
                </c:pt>
                <c:pt idx="418">
                  <c:v>1.6425107257014973E-2</c:v>
                </c:pt>
                <c:pt idx="419">
                  <c:v>1.6303979424376391E-2</c:v>
                </c:pt>
                <c:pt idx="420">
                  <c:v>1.6182792010256106E-2</c:v>
                </c:pt>
                <c:pt idx="421">
                  <c:v>1.6089026607628589E-2</c:v>
                </c:pt>
                <c:pt idx="422">
                  <c:v>1.6059545617812851E-2</c:v>
                </c:pt>
                <c:pt idx="423">
                  <c:v>1.5960403640959752E-2</c:v>
                </c:pt>
                <c:pt idx="424">
                  <c:v>1.585720499699737E-2</c:v>
                </c:pt>
                <c:pt idx="425">
                  <c:v>1.5755006623300944E-2</c:v>
                </c:pt>
                <c:pt idx="426">
                  <c:v>1.5651616068297396E-2</c:v>
                </c:pt>
                <c:pt idx="427">
                  <c:v>1.5611833358779165E-2</c:v>
                </c:pt>
                <c:pt idx="428">
                  <c:v>1.5504806294441837E-2</c:v>
                </c:pt>
                <c:pt idx="429">
                  <c:v>1.5390796429335668E-2</c:v>
                </c:pt>
                <c:pt idx="430">
                  <c:v>1.5279241332773974E-2</c:v>
                </c:pt>
                <c:pt idx="431">
                  <c:v>1.5195783841155481E-2</c:v>
                </c:pt>
                <c:pt idx="432">
                  <c:v>1.5116099171572151E-2</c:v>
                </c:pt>
                <c:pt idx="433">
                  <c:v>1.5035619661123755E-2</c:v>
                </c:pt>
                <c:pt idx="434">
                  <c:v>1.5016500125693059E-2</c:v>
                </c:pt>
                <c:pt idx="435">
                  <c:v>1.5213705307527928E-2</c:v>
                </c:pt>
                <c:pt idx="436">
                  <c:v>1.5126685551238408E-2</c:v>
                </c:pt>
                <c:pt idx="437">
                  <c:v>1.5370474632143208E-2</c:v>
                </c:pt>
                <c:pt idx="438">
                  <c:v>1.5279445655803279E-2</c:v>
                </c:pt>
                <c:pt idx="439">
                  <c:v>1.5185124073605115E-2</c:v>
                </c:pt>
                <c:pt idx="440">
                  <c:v>1.5088855191938663E-2</c:v>
                </c:pt>
                <c:pt idx="441">
                  <c:v>1.5028008274321875E-2</c:v>
                </c:pt>
                <c:pt idx="442">
                  <c:v>1.5409146232271782E-2</c:v>
                </c:pt>
                <c:pt idx="443">
                  <c:v>1.5332372131366376E-2</c:v>
                </c:pt>
                <c:pt idx="444">
                  <c:v>1.5737199865589441E-2</c:v>
                </c:pt>
                <c:pt idx="445">
                  <c:v>1.5650427386363391E-2</c:v>
                </c:pt>
                <c:pt idx="446">
                  <c:v>1.5571684685340438E-2</c:v>
                </c:pt>
                <c:pt idx="447">
                  <c:v>1.5530436158886385E-2</c:v>
                </c:pt>
                <c:pt idx="448">
                  <c:v>1.5430009207076581E-2</c:v>
                </c:pt>
                <c:pt idx="449">
                  <c:v>1.5907208191962285E-2</c:v>
                </c:pt>
                <c:pt idx="450">
                  <c:v>1.5791434776986212E-2</c:v>
                </c:pt>
                <c:pt idx="451">
                  <c:v>1.641656423084676E-2</c:v>
                </c:pt>
                <c:pt idx="452">
                  <c:v>1.62996910952075E-2</c:v>
                </c:pt>
                <c:pt idx="453">
                  <c:v>1.6202523890221393E-2</c:v>
                </c:pt>
                <c:pt idx="454">
                  <c:v>1.6074905653217123E-2</c:v>
                </c:pt>
                <c:pt idx="455">
                  <c:v>1.5942804968445183E-2</c:v>
                </c:pt>
                <c:pt idx="456">
                  <c:v>1.6652508252657672E-2</c:v>
                </c:pt>
                <c:pt idx="457">
                  <c:v>1.6496617286451333E-2</c:v>
                </c:pt>
                <c:pt idx="458">
                  <c:v>-3.2556287790943409E-6</c:v>
                </c:pt>
                <c:pt idx="459">
                  <c:v>1.7633129848966617E-2</c:v>
                </c:pt>
                <c:pt idx="460">
                  <c:v>1.747538836967065E-2</c:v>
                </c:pt>
                <c:pt idx="461">
                  <c:v>1.731588604800853E-2</c:v>
                </c:pt>
                <c:pt idx="462">
                  <c:v>1.7208349343850095E-2</c:v>
                </c:pt>
                <c:pt idx="463">
                  <c:v>1.7097891960820646E-2</c:v>
                </c:pt>
                <c:pt idx="464">
                  <c:v>1.6959150901443541E-2</c:v>
                </c:pt>
                <c:pt idx="465">
                  <c:v>1.691860053386857E-2</c:v>
                </c:pt>
                <c:pt idx="466">
                  <c:v>1.6805675660950117E-2</c:v>
                </c:pt>
                <c:pt idx="467">
                  <c:v>1.6691824524803438E-2</c:v>
                </c:pt>
                <c:pt idx="468">
                  <c:v>1.6573170234335698E-2</c:v>
                </c:pt>
                <c:pt idx="469">
                  <c:v>1.6425107257014973E-2</c:v>
                </c:pt>
                <c:pt idx="470">
                  <c:v>1.6303979424376391E-2</c:v>
                </c:pt>
                <c:pt idx="471">
                  <c:v>1.6182792010256106E-2</c:v>
                </c:pt>
                <c:pt idx="472">
                  <c:v>1.6089026607628589E-2</c:v>
                </c:pt>
                <c:pt idx="473">
                  <c:v>1.6059545617812851E-2</c:v>
                </c:pt>
                <c:pt idx="474">
                  <c:v>1.5960403640959752E-2</c:v>
                </c:pt>
                <c:pt idx="475">
                  <c:v>1.585720499699737E-2</c:v>
                </c:pt>
                <c:pt idx="476">
                  <c:v>1.5755006623300944E-2</c:v>
                </c:pt>
                <c:pt idx="477">
                  <c:v>1.5651616068297396E-2</c:v>
                </c:pt>
                <c:pt idx="478">
                  <c:v>1.5611833358779165E-2</c:v>
                </c:pt>
                <c:pt idx="479">
                  <c:v>1.5504806294441837E-2</c:v>
                </c:pt>
                <c:pt idx="480">
                  <c:v>1.5390796429335668E-2</c:v>
                </c:pt>
                <c:pt idx="481">
                  <c:v>1.5279241332773974E-2</c:v>
                </c:pt>
                <c:pt idx="482">
                  <c:v>1.5195783841155481E-2</c:v>
                </c:pt>
                <c:pt idx="483">
                  <c:v>1.5116099171572151E-2</c:v>
                </c:pt>
                <c:pt idx="484">
                  <c:v>1.5035619661123755E-2</c:v>
                </c:pt>
                <c:pt idx="485">
                  <c:v>1.5016500125693059E-2</c:v>
                </c:pt>
                <c:pt idx="486">
                  <c:v>1.5213705307527928E-2</c:v>
                </c:pt>
                <c:pt idx="487">
                  <c:v>1.5126685551238408E-2</c:v>
                </c:pt>
                <c:pt idx="488">
                  <c:v>1.5370474632143208E-2</c:v>
                </c:pt>
                <c:pt idx="489">
                  <c:v>1.5279445655803279E-2</c:v>
                </c:pt>
                <c:pt idx="490">
                  <c:v>1.5185124073605115E-2</c:v>
                </c:pt>
                <c:pt idx="491">
                  <c:v>1.5088855191938663E-2</c:v>
                </c:pt>
                <c:pt idx="492">
                  <c:v>1.5028008274321875E-2</c:v>
                </c:pt>
                <c:pt idx="493">
                  <c:v>1.5409146232271782E-2</c:v>
                </c:pt>
                <c:pt idx="494">
                  <c:v>1.5332372131366376E-2</c:v>
                </c:pt>
                <c:pt idx="495">
                  <c:v>1.5737199865589441E-2</c:v>
                </c:pt>
                <c:pt idx="496">
                  <c:v>1.5650427386363391E-2</c:v>
                </c:pt>
                <c:pt idx="497">
                  <c:v>1.5571684685340438E-2</c:v>
                </c:pt>
                <c:pt idx="498">
                  <c:v>1.5530436158886385E-2</c:v>
                </c:pt>
                <c:pt idx="499">
                  <c:v>1.5430009207076581E-2</c:v>
                </c:pt>
                <c:pt idx="500">
                  <c:v>1.5907208191962285E-2</c:v>
                </c:pt>
                <c:pt idx="501">
                  <c:v>1.5791434776986212E-2</c:v>
                </c:pt>
                <c:pt idx="502">
                  <c:v>1.641656423084676E-2</c:v>
                </c:pt>
                <c:pt idx="503">
                  <c:v>1.62996910952075E-2</c:v>
                </c:pt>
                <c:pt idx="504">
                  <c:v>1.6202523890221393E-2</c:v>
                </c:pt>
                <c:pt idx="505">
                  <c:v>1.6074905653217123E-2</c:v>
                </c:pt>
                <c:pt idx="506">
                  <c:v>1.5942804968445183E-2</c:v>
                </c:pt>
                <c:pt idx="507">
                  <c:v>1.6652508252657672E-2</c:v>
                </c:pt>
                <c:pt idx="508">
                  <c:v>1.6496617286451333E-2</c:v>
                </c:pt>
                <c:pt idx="509">
                  <c:v>-3.2556287790943409E-6</c:v>
                </c:pt>
                <c:pt idx="510">
                  <c:v>1.7633129848966617E-2</c:v>
                </c:pt>
                <c:pt idx="511">
                  <c:v>1.747538836967065E-2</c:v>
                </c:pt>
                <c:pt idx="512">
                  <c:v>1.731588604800853E-2</c:v>
                </c:pt>
                <c:pt idx="513">
                  <c:v>1.7208349343850095E-2</c:v>
                </c:pt>
                <c:pt idx="514">
                  <c:v>1.7097891960820646E-2</c:v>
                </c:pt>
                <c:pt idx="515">
                  <c:v>1.6959150901443541E-2</c:v>
                </c:pt>
                <c:pt idx="516">
                  <c:v>1.691860053386857E-2</c:v>
                </c:pt>
                <c:pt idx="517">
                  <c:v>1.6805675660950117E-2</c:v>
                </c:pt>
                <c:pt idx="518">
                  <c:v>1.6691824524803438E-2</c:v>
                </c:pt>
                <c:pt idx="519">
                  <c:v>1.6573170234335698E-2</c:v>
                </c:pt>
                <c:pt idx="520">
                  <c:v>1.6425107257014973E-2</c:v>
                </c:pt>
                <c:pt idx="521">
                  <c:v>1.6303979424376391E-2</c:v>
                </c:pt>
                <c:pt idx="522">
                  <c:v>1.6182792010256106E-2</c:v>
                </c:pt>
                <c:pt idx="523">
                  <c:v>1.6089026607628589E-2</c:v>
                </c:pt>
                <c:pt idx="524">
                  <c:v>1.6059545617812851E-2</c:v>
                </c:pt>
                <c:pt idx="525">
                  <c:v>1.5960403640959752E-2</c:v>
                </c:pt>
                <c:pt idx="526">
                  <c:v>1.585720499699737E-2</c:v>
                </c:pt>
                <c:pt idx="527">
                  <c:v>1.5755006623300944E-2</c:v>
                </c:pt>
                <c:pt idx="528">
                  <c:v>1.5651616068297396E-2</c:v>
                </c:pt>
                <c:pt idx="529">
                  <c:v>1.5611833358779165E-2</c:v>
                </c:pt>
                <c:pt idx="530">
                  <c:v>1.5504806294441837E-2</c:v>
                </c:pt>
                <c:pt idx="531">
                  <c:v>1.5390796429335668E-2</c:v>
                </c:pt>
                <c:pt idx="532">
                  <c:v>1.5279241332773974E-2</c:v>
                </c:pt>
                <c:pt idx="533">
                  <c:v>1.5195783841155481E-2</c:v>
                </c:pt>
                <c:pt idx="534">
                  <c:v>1.5116099171572151E-2</c:v>
                </c:pt>
                <c:pt idx="535">
                  <c:v>1.5035619661123755E-2</c:v>
                </c:pt>
                <c:pt idx="536">
                  <c:v>1.5016500125693059E-2</c:v>
                </c:pt>
                <c:pt idx="537">
                  <c:v>1.5213705307527928E-2</c:v>
                </c:pt>
                <c:pt idx="538">
                  <c:v>1.5126685551238408E-2</c:v>
                </c:pt>
                <c:pt idx="539">
                  <c:v>1.5370474632143208E-2</c:v>
                </c:pt>
                <c:pt idx="540">
                  <c:v>1.5279445655803279E-2</c:v>
                </c:pt>
                <c:pt idx="541">
                  <c:v>1.5185124073605115E-2</c:v>
                </c:pt>
                <c:pt idx="542">
                  <c:v>1.5088855191938663E-2</c:v>
                </c:pt>
                <c:pt idx="543">
                  <c:v>1.5028008274321875E-2</c:v>
                </c:pt>
                <c:pt idx="544">
                  <c:v>1.5409146232271782E-2</c:v>
                </c:pt>
                <c:pt idx="545">
                  <c:v>1.5332372131366376E-2</c:v>
                </c:pt>
                <c:pt idx="546">
                  <c:v>1.5737199865589441E-2</c:v>
                </c:pt>
                <c:pt idx="547">
                  <c:v>1.5650427386363391E-2</c:v>
                </c:pt>
                <c:pt idx="548">
                  <c:v>1.5571684685340438E-2</c:v>
                </c:pt>
                <c:pt idx="549">
                  <c:v>1.5530436158886385E-2</c:v>
                </c:pt>
                <c:pt idx="550">
                  <c:v>1.5430009207076581E-2</c:v>
                </c:pt>
                <c:pt idx="551">
                  <c:v>1.5907208191962285E-2</c:v>
                </c:pt>
                <c:pt idx="552">
                  <c:v>1.5791434776986212E-2</c:v>
                </c:pt>
                <c:pt idx="553">
                  <c:v>1.641656423084676E-2</c:v>
                </c:pt>
                <c:pt idx="554">
                  <c:v>1.62996910952075E-2</c:v>
                </c:pt>
                <c:pt idx="555">
                  <c:v>1.6202523890221393E-2</c:v>
                </c:pt>
                <c:pt idx="556">
                  <c:v>1.6074905653217123E-2</c:v>
                </c:pt>
                <c:pt idx="557">
                  <c:v>1.5942804968445183E-2</c:v>
                </c:pt>
                <c:pt idx="558">
                  <c:v>1.6652508252657672E-2</c:v>
                </c:pt>
                <c:pt idx="559">
                  <c:v>1.6496617286451333E-2</c:v>
                </c:pt>
                <c:pt idx="560">
                  <c:v>-3.2556287790943409E-6</c:v>
                </c:pt>
                <c:pt idx="561">
                  <c:v>1.7633129848966617E-2</c:v>
                </c:pt>
                <c:pt idx="562">
                  <c:v>1.747538836967065E-2</c:v>
                </c:pt>
                <c:pt idx="563">
                  <c:v>1.731588604800853E-2</c:v>
                </c:pt>
                <c:pt idx="564">
                  <c:v>1.7208349343850095E-2</c:v>
                </c:pt>
                <c:pt idx="565">
                  <c:v>1.7097891960820646E-2</c:v>
                </c:pt>
                <c:pt idx="566">
                  <c:v>1.6959150901443541E-2</c:v>
                </c:pt>
                <c:pt idx="567">
                  <c:v>1.691860053386857E-2</c:v>
                </c:pt>
                <c:pt idx="568">
                  <c:v>1.6805675660950117E-2</c:v>
                </c:pt>
                <c:pt idx="569">
                  <c:v>1.6691824524803438E-2</c:v>
                </c:pt>
                <c:pt idx="570">
                  <c:v>1.6573170234335698E-2</c:v>
                </c:pt>
                <c:pt idx="571">
                  <c:v>1.6425107257014973E-2</c:v>
                </c:pt>
                <c:pt idx="572">
                  <c:v>1.6303979424376391E-2</c:v>
                </c:pt>
                <c:pt idx="573">
                  <c:v>1.6182792010256106E-2</c:v>
                </c:pt>
                <c:pt idx="574">
                  <c:v>1.6089026607628589E-2</c:v>
                </c:pt>
                <c:pt idx="575">
                  <c:v>1.6059545617812851E-2</c:v>
                </c:pt>
                <c:pt idx="576">
                  <c:v>1.5960403640959752E-2</c:v>
                </c:pt>
                <c:pt idx="577">
                  <c:v>1.585720499699737E-2</c:v>
                </c:pt>
                <c:pt idx="578">
                  <c:v>1.5755006623300944E-2</c:v>
                </c:pt>
                <c:pt idx="579">
                  <c:v>1.5651616068297396E-2</c:v>
                </c:pt>
                <c:pt idx="580">
                  <c:v>1.5611833358779165E-2</c:v>
                </c:pt>
                <c:pt idx="581">
                  <c:v>1.5504806294441837E-2</c:v>
                </c:pt>
                <c:pt idx="582">
                  <c:v>1.5390796429335668E-2</c:v>
                </c:pt>
                <c:pt idx="583">
                  <c:v>1.5279241332773974E-2</c:v>
                </c:pt>
                <c:pt idx="584">
                  <c:v>1.5195783841155481E-2</c:v>
                </c:pt>
                <c:pt idx="585">
                  <c:v>1.5116099171572151E-2</c:v>
                </c:pt>
                <c:pt idx="586">
                  <c:v>1.5035619661123755E-2</c:v>
                </c:pt>
                <c:pt idx="587">
                  <c:v>1.5016500125693059E-2</c:v>
                </c:pt>
                <c:pt idx="588">
                  <c:v>1.5213705307527928E-2</c:v>
                </c:pt>
                <c:pt idx="589">
                  <c:v>1.5126685551238408E-2</c:v>
                </c:pt>
                <c:pt idx="590">
                  <c:v>1.5370474632143208E-2</c:v>
                </c:pt>
                <c:pt idx="591">
                  <c:v>1.5279445655803279E-2</c:v>
                </c:pt>
                <c:pt idx="592">
                  <c:v>1.5185124073605115E-2</c:v>
                </c:pt>
                <c:pt idx="593">
                  <c:v>1.5088855191938663E-2</c:v>
                </c:pt>
                <c:pt idx="594">
                  <c:v>1.5028008274321875E-2</c:v>
                </c:pt>
                <c:pt idx="595">
                  <c:v>1.5409146232271782E-2</c:v>
                </c:pt>
                <c:pt idx="596">
                  <c:v>1.5332372131366376E-2</c:v>
                </c:pt>
                <c:pt idx="597">
                  <c:v>1.5737199865589441E-2</c:v>
                </c:pt>
                <c:pt idx="598">
                  <c:v>1.5650427386363391E-2</c:v>
                </c:pt>
                <c:pt idx="599">
                  <c:v>1.5571684685340438E-2</c:v>
                </c:pt>
                <c:pt idx="600">
                  <c:v>1.5530436158886385E-2</c:v>
                </c:pt>
                <c:pt idx="601">
                  <c:v>1.5430009207076581E-2</c:v>
                </c:pt>
                <c:pt idx="602">
                  <c:v>1.5907208191962285E-2</c:v>
                </c:pt>
                <c:pt idx="603">
                  <c:v>1.5791434776986212E-2</c:v>
                </c:pt>
                <c:pt idx="604">
                  <c:v>1.641656423084676E-2</c:v>
                </c:pt>
                <c:pt idx="605">
                  <c:v>1.62996910952075E-2</c:v>
                </c:pt>
                <c:pt idx="606">
                  <c:v>1.6202523890221393E-2</c:v>
                </c:pt>
                <c:pt idx="607">
                  <c:v>1.6074905653217123E-2</c:v>
                </c:pt>
                <c:pt idx="608">
                  <c:v>1.5942804968445183E-2</c:v>
                </c:pt>
                <c:pt idx="609">
                  <c:v>1.6652508252657672E-2</c:v>
                </c:pt>
                <c:pt idx="610">
                  <c:v>1.6496617286451333E-2</c:v>
                </c:pt>
                <c:pt idx="611">
                  <c:v>-3.2556287790943409E-6</c:v>
                </c:pt>
                <c:pt idx="612">
                  <c:v>1.7633129848966617E-2</c:v>
                </c:pt>
                <c:pt idx="613">
                  <c:v>1.747538836967065E-2</c:v>
                </c:pt>
                <c:pt idx="614">
                  <c:v>1.731588604800853E-2</c:v>
                </c:pt>
                <c:pt idx="615">
                  <c:v>1.7208349343850095E-2</c:v>
                </c:pt>
                <c:pt idx="616">
                  <c:v>1.7097891960820646E-2</c:v>
                </c:pt>
                <c:pt idx="617">
                  <c:v>1.6959150901443541E-2</c:v>
                </c:pt>
                <c:pt idx="618">
                  <c:v>1.691860053386857E-2</c:v>
                </c:pt>
                <c:pt idx="619">
                  <c:v>1.6805675660950117E-2</c:v>
                </c:pt>
                <c:pt idx="620">
                  <c:v>1.6691824524803438E-2</c:v>
                </c:pt>
                <c:pt idx="621">
                  <c:v>1.6573170234335698E-2</c:v>
                </c:pt>
                <c:pt idx="622">
                  <c:v>1.6425107257014973E-2</c:v>
                </c:pt>
                <c:pt idx="623">
                  <c:v>1.6303979424376391E-2</c:v>
                </c:pt>
                <c:pt idx="624">
                  <c:v>1.6182792010256106E-2</c:v>
                </c:pt>
                <c:pt idx="625">
                  <c:v>1.6089026607628589E-2</c:v>
                </c:pt>
                <c:pt idx="626">
                  <c:v>1.6059545617812851E-2</c:v>
                </c:pt>
                <c:pt idx="627">
                  <c:v>1.5960403640959752E-2</c:v>
                </c:pt>
                <c:pt idx="628">
                  <c:v>1.585720499699737E-2</c:v>
                </c:pt>
                <c:pt idx="629">
                  <c:v>1.5755006623300944E-2</c:v>
                </c:pt>
                <c:pt idx="630">
                  <c:v>1.5651616068297396E-2</c:v>
                </c:pt>
                <c:pt idx="631">
                  <c:v>1.5611833358779165E-2</c:v>
                </c:pt>
                <c:pt idx="632">
                  <c:v>1.5504806294441837E-2</c:v>
                </c:pt>
                <c:pt idx="633">
                  <c:v>1.5390796429335668E-2</c:v>
                </c:pt>
                <c:pt idx="634">
                  <c:v>1.5279241332773974E-2</c:v>
                </c:pt>
                <c:pt idx="635">
                  <c:v>1.5195783841155481E-2</c:v>
                </c:pt>
                <c:pt idx="636">
                  <c:v>1.5116099171572151E-2</c:v>
                </c:pt>
                <c:pt idx="637">
                  <c:v>1.5035619661123755E-2</c:v>
                </c:pt>
                <c:pt idx="638">
                  <c:v>1.5016500125693059E-2</c:v>
                </c:pt>
                <c:pt idx="639">
                  <c:v>1.5213705307527928E-2</c:v>
                </c:pt>
                <c:pt idx="640">
                  <c:v>1.5126685551238408E-2</c:v>
                </c:pt>
                <c:pt idx="641">
                  <c:v>1.5370474632143208E-2</c:v>
                </c:pt>
                <c:pt idx="642">
                  <c:v>1.5279445655803279E-2</c:v>
                </c:pt>
                <c:pt idx="643">
                  <c:v>1.5185124073605115E-2</c:v>
                </c:pt>
                <c:pt idx="644">
                  <c:v>1.5088855191938663E-2</c:v>
                </c:pt>
                <c:pt idx="645">
                  <c:v>1.5028008274321875E-2</c:v>
                </c:pt>
                <c:pt idx="646">
                  <c:v>1.5409146232271782E-2</c:v>
                </c:pt>
                <c:pt idx="647">
                  <c:v>1.5332372131366376E-2</c:v>
                </c:pt>
                <c:pt idx="648">
                  <c:v>1.5737199865589441E-2</c:v>
                </c:pt>
                <c:pt idx="649">
                  <c:v>1.5650427386363391E-2</c:v>
                </c:pt>
                <c:pt idx="650">
                  <c:v>1.5571684685340438E-2</c:v>
                </c:pt>
                <c:pt idx="651">
                  <c:v>1.5530436158886385E-2</c:v>
                </c:pt>
                <c:pt idx="652">
                  <c:v>1.5430009207076581E-2</c:v>
                </c:pt>
                <c:pt idx="653">
                  <c:v>1.5907208191962285E-2</c:v>
                </c:pt>
                <c:pt idx="654">
                  <c:v>1.5791434776986212E-2</c:v>
                </c:pt>
                <c:pt idx="655">
                  <c:v>1.641656423084676E-2</c:v>
                </c:pt>
                <c:pt idx="656">
                  <c:v>1.62996910952075E-2</c:v>
                </c:pt>
                <c:pt idx="657">
                  <c:v>1.6202523890221393E-2</c:v>
                </c:pt>
                <c:pt idx="658">
                  <c:v>1.6074905653217123E-2</c:v>
                </c:pt>
                <c:pt idx="659">
                  <c:v>1.5942804968445183E-2</c:v>
                </c:pt>
                <c:pt idx="660">
                  <c:v>1.6652508252657672E-2</c:v>
                </c:pt>
                <c:pt idx="661">
                  <c:v>1.6496617286451333E-2</c:v>
                </c:pt>
                <c:pt idx="662">
                  <c:v>-3.2556287790943409E-6</c:v>
                </c:pt>
                <c:pt idx="663">
                  <c:v>1.7173817510561462E-2</c:v>
                </c:pt>
                <c:pt idx="664">
                  <c:v>1.6982149782380457E-2</c:v>
                </c:pt>
                <c:pt idx="665">
                  <c:v>1.6784890492632813E-2</c:v>
                </c:pt>
                <c:pt idx="666">
                  <c:v>1.6638440723153364E-2</c:v>
                </c:pt>
                <c:pt idx="667">
                  <c:v>1.6489468626641177E-2</c:v>
                </c:pt>
                <c:pt idx="668">
                  <c:v>1.6309308718966707E-2</c:v>
                </c:pt>
                <c:pt idx="669">
                  <c:v>1.6225866700554429E-2</c:v>
                </c:pt>
                <c:pt idx="670">
                  <c:v>1.6068078328224822E-2</c:v>
                </c:pt>
                <c:pt idx="671">
                  <c:v>1.5907971849480597E-2</c:v>
                </c:pt>
                <c:pt idx="672">
                  <c:v>1.5744924890992371E-2</c:v>
                </c:pt>
                <c:pt idx="673">
                  <c:v>1.5550043003247678E-2</c:v>
                </c:pt>
                <c:pt idx="674">
                  <c:v>1.5382204318411689E-2</c:v>
                </c:pt>
                <c:pt idx="675">
                  <c:v>1.5212578166770343E-2</c:v>
                </c:pt>
                <c:pt idx="676">
                  <c:v>1.5070785875868539E-2</c:v>
                </c:pt>
                <c:pt idx="677">
                  <c:v>1.4997085457352063E-2</c:v>
                </c:pt>
                <c:pt idx="678">
                  <c:v>1.4852349222749549E-2</c:v>
                </c:pt>
                <c:pt idx="679">
                  <c:v>1.4706386600025599E-2</c:v>
                </c:pt>
                <c:pt idx="680">
                  <c:v>1.4559219643717335E-2</c:v>
                </c:pt>
                <c:pt idx="681">
                  <c:v>1.4410449814779441E-2</c:v>
                </c:pt>
                <c:pt idx="682">
                  <c:v>1.4329064803737197E-2</c:v>
                </c:pt>
                <c:pt idx="683">
                  <c:v>1.4177915131703384E-2</c:v>
                </c:pt>
                <c:pt idx="684">
                  <c:v>1.4025684598676376E-2</c:v>
                </c:pt>
                <c:pt idx="685">
                  <c:v>1.3872060078182376E-2</c:v>
                </c:pt>
                <c:pt idx="686">
                  <c:v>1.3749887305310675E-2</c:v>
                </c:pt>
                <c:pt idx="687">
                  <c:v>1.3627230520084778E-2</c:v>
                </c:pt>
                <c:pt idx="688">
                  <c:v>1.3504095119281852E-2</c:v>
                </c:pt>
                <c:pt idx="689">
                  <c:v>1.3447683894735947E-2</c:v>
                </c:pt>
                <c:pt idx="690">
                  <c:v>1.3478483262536615E-2</c:v>
                </c:pt>
                <c:pt idx="691">
                  <c:v>1.3350894974242394E-2</c:v>
                </c:pt>
                <c:pt idx="692">
                  <c:v>1.3402700293643273E-2</c:v>
                </c:pt>
                <c:pt idx="693">
                  <c:v>1.3270879448861898E-2</c:v>
                </c:pt>
                <c:pt idx="694">
                  <c:v>1.3138587006576007E-2</c:v>
                </c:pt>
                <c:pt idx="695">
                  <c:v>1.3005830653467713E-2</c:v>
                </c:pt>
                <c:pt idx="696">
                  <c:v>1.2913479450241102E-2</c:v>
                </c:pt>
                <c:pt idx="697">
                  <c:v>1.3083261699598041E-2</c:v>
                </c:pt>
                <c:pt idx="698">
                  <c:v>1.2990556524317324E-2</c:v>
                </c:pt>
                <c:pt idx="699">
                  <c:v>1.3151092965896357E-2</c:v>
                </c:pt>
                <c:pt idx="700">
                  <c:v>1.3058427661994602E-2</c:v>
                </c:pt>
                <c:pt idx="701">
                  <c:v>1.296575161002615E-2</c:v>
                </c:pt>
                <c:pt idx="702">
                  <c:v>1.2921476302077522E-2</c:v>
                </c:pt>
                <c:pt idx="703">
                  <c:v>1.2828263357402616E-2</c:v>
                </c:pt>
                <c:pt idx="704">
                  <c:v>1.3050862483323586E-2</c:v>
                </c:pt>
                <c:pt idx="705">
                  <c:v>1.2957422644065075E-2</c:v>
                </c:pt>
                <c:pt idx="706">
                  <c:v>1.3310411843319485E-2</c:v>
                </c:pt>
                <c:pt idx="707">
                  <c:v>1.3216133379781402E-2</c:v>
                </c:pt>
                <c:pt idx="708">
                  <c:v>1.3153156354860656E-2</c:v>
                </c:pt>
                <c:pt idx="709">
                  <c:v>1.3058608345740528E-2</c:v>
                </c:pt>
                <c:pt idx="710">
                  <c:v>1.2964040712699604E-2</c:v>
                </c:pt>
                <c:pt idx="711">
                  <c:v>1.3425629030835334E-2</c:v>
                </c:pt>
                <c:pt idx="712">
                  <c:v>1.3329145173779344E-2</c:v>
                </c:pt>
                <c:pt idx="713">
                  <c:v>-4.4369821773790617E-6</c:v>
                </c:pt>
                <c:pt idx="714">
                  <c:v>1.3899999999999999E-2</c:v>
                </c:pt>
                <c:pt idx="715">
                  <c:v>1.38E-2</c:v>
                </c:pt>
                <c:pt idx="716">
                  <c:v>1.37E-2</c:v>
                </c:pt>
                <c:pt idx="717">
                  <c:v>1.3600000000000003E-2</c:v>
                </c:pt>
                <c:pt idx="718">
                  <c:v>1.3500000000000002E-2</c:v>
                </c:pt>
                <c:pt idx="719">
                  <c:v>1.34E-2</c:v>
                </c:pt>
                <c:pt idx="720">
                  <c:v>1.34E-2</c:v>
                </c:pt>
                <c:pt idx="721">
                  <c:v>1.3300000000000003E-2</c:v>
                </c:pt>
                <c:pt idx="722">
                  <c:v>1.3199999999999998E-2</c:v>
                </c:pt>
                <c:pt idx="723">
                  <c:v>1.3099999999999999E-2</c:v>
                </c:pt>
                <c:pt idx="724">
                  <c:v>1.3000000000000001E-2</c:v>
                </c:pt>
                <c:pt idx="725">
                  <c:v>1.29E-2</c:v>
                </c:pt>
                <c:pt idx="726">
                  <c:v>1.2800000000000002E-2</c:v>
                </c:pt>
                <c:pt idx="727">
                  <c:v>1.2699999999999998E-2</c:v>
                </c:pt>
                <c:pt idx="728">
                  <c:v>1.2699999999999999E-2</c:v>
                </c:pt>
                <c:pt idx="729">
                  <c:v>1.2600000000000002E-2</c:v>
                </c:pt>
                <c:pt idx="730">
                  <c:v>1.2500000000000001E-2</c:v>
                </c:pt>
                <c:pt idx="731">
                  <c:v>1.24E-2</c:v>
                </c:pt>
                <c:pt idx="732">
                  <c:v>1.23E-2</c:v>
                </c:pt>
                <c:pt idx="733">
                  <c:v>1.23E-2</c:v>
                </c:pt>
                <c:pt idx="734">
                  <c:v>1.2200000000000001E-2</c:v>
                </c:pt>
                <c:pt idx="735">
                  <c:v>1.2100000000000001E-2</c:v>
                </c:pt>
                <c:pt idx="736">
                  <c:v>1.2E-2</c:v>
                </c:pt>
                <c:pt idx="737">
                  <c:v>1.1900000000000001E-2</c:v>
                </c:pt>
                <c:pt idx="738">
                  <c:v>1.1799999999999998E-2</c:v>
                </c:pt>
                <c:pt idx="739">
                  <c:v>1.1699999999999999E-2</c:v>
                </c:pt>
                <c:pt idx="740">
                  <c:v>1.1699999999999997E-2</c:v>
                </c:pt>
                <c:pt idx="741">
                  <c:v>1.1599999999999999E-2</c:v>
                </c:pt>
                <c:pt idx="742">
                  <c:v>1.1499999999999998E-2</c:v>
                </c:pt>
                <c:pt idx="743">
                  <c:v>1.1399999999999999E-2</c:v>
                </c:pt>
                <c:pt idx="744">
                  <c:v>1.1299999999999999E-2</c:v>
                </c:pt>
                <c:pt idx="745">
                  <c:v>1.1200000000000002E-2</c:v>
                </c:pt>
                <c:pt idx="746">
                  <c:v>1.11E-2</c:v>
                </c:pt>
                <c:pt idx="747">
                  <c:v>1.1000000000000001E-2</c:v>
                </c:pt>
                <c:pt idx="748">
                  <c:v>1.1000000000000001E-2</c:v>
                </c:pt>
                <c:pt idx="749">
                  <c:v>1.09E-2</c:v>
                </c:pt>
                <c:pt idx="750">
                  <c:v>1.0800000000000001E-2</c:v>
                </c:pt>
                <c:pt idx="751">
                  <c:v>1.0700000000000003E-2</c:v>
                </c:pt>
                <c:pt idx="752">
                  <c:v>1.06E-2</c:v>
                </c:pt>
                <c:pt idx="753">
                  <c:v>1.06E-2</c:v>
                </c:pt>
                <c:pt idx="754">
                  <c:v>1.0500000000000001E-2</c:v>
                </c:pt>
                <c:pt idx="755">
                  <c:v>1.04E-2</c:v>
                </c:pt>
                <c:pt idx="756">
                  <c:v>1.03E-2</c:v>
                </c:pt>
                <c:pt idx="757">
                  <c:v>1.03E-2</c:v>
                </c:pt>
                <c:pt idx="758">
                  <c:v>1.0200000000000001E-2</c:v>
                </c:pt>
                <c:pt idx="759">
                  <c:v>1.0200000000000001E-2</c:v>
                </c:pt>
                <c:pt idx="760">
                  <c:v>1.01E-2</c:v>
                </c:pt>
                <c:pt idx="761">
                  <c:v>0.01</c:v>
                </c:pt>
                <c:pt idx="762">
                  <c:v>0.01</c:v>
                </c:pt>
                <c:pt idx="763">
                  <c:v>9.8999999999999991E-3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D43-4EB7-A112-553FFE75A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45903663"/>
        <c:axId val="1306801711"/>
      </c:lineChart>
      <c:valAx>
        <c:axId val="1306801295"/>
        <c:scaling>
          <c:orientation val="minMax"/>
          <c:min val="0"/>
        </c:scaling>
        <c:delete val="0"/>
        <c:axPos val="r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Rearing Density Total sytem (kg/m3)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5890463"/>
        <c:crosses val="max"/>
        <c:crossBetween val="between"/>
      </c:valAx>
      <c:catAx>
        <c:axId val="1745890463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0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06801295"/>
        <c:crosses val="autoZero"/>
        <c:auto val="1"/>
        <c:lblAlgn val="ctr"/>
        <c:lblOffset val="100"/>
        <c:noMultiLvlLbl val="0"/>
      </c:catAx>
      <c:valAx>
        <c:axId val="1306801711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cap="all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 b="1"/>
                  <a:t>Daily</a:t>
                </a:r>
                <a:r>
                  <a:rPr lang="en-US" sz="1400" b="1" baseline="0"/>
                  <a:t> Feed ration total system (%)</a:t>
                </a:r>
                <a:endParaRPr lang="en-US" sz="1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cap="all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de-DE"/>
            </a:p>
          </c:txPr>
        </c:title>
        <c:numFmt formatCode="0.0%" sourceLinked="0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745903663"/>
        <c:crosses val="autoZero"/>
        <c:crossBetween val="between"/>
      </c:valAx>
      <c:catAx>
        <c:axId val="174590366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306801711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Feeding level
(% BW/day)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'AlltechCoppens_GC_26-28°C'!$C$1</c:f>
              <c:strCache>
                <c:ptCount val="1"/>
                <c:pt idx="0">
                  <c:v>Feeding level (% BW/day)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'AlltechCoppens_GC_26-28°C'!$C$2:$C$172</c:f>
              <c:numCache>
                <c:formatCode>0.00%</c:formatCode>
                <c:ptCount val="171"/>
                <c:pt idx="0">
                  <c:v>5.6799999999999996E-2</c:v>
                </c:pt>
                <c:pt idx="1">
                  <c:v>5.6600000000000004E-2</c:v>
                </c:pt>
                <c:pt idx="2">
                  <c:v>5.6399999999999999E-2</c:v>
                </c:pt>
                <c:pt idx="3">
                  <c:v>5.62E-2</c:v>
                </c:pt>
                <c:pt idx="4">
                  <c:v>5.5899999999999998E-2</c:v>
                </c:pt>
                <c:pt idx="5">
                  <c:v>5.57E-2</c:v>
                </c:pt>
                <c:pt idx="6">
                  <c:v>5.5500000000000001E-2</c:v>
                </c:pt>
                <c:pt idx="7">
                  <c:v>5.5099999999999996E-2</c:v>
                </c:pt>
                <c:pt idx="8">
                  <c:v>5.4699999999999999E-2</c:v>
                </c:pt>
                <c:pt idx="9">
                  <c:v>5.4400000000000004E-2</c:v>
                </c:pt>
                <c:pt idx="10">
                  <c:v>5.4000000000000006E-2</c:v>
                </c:pt>
                <c:pt idx="11">
                  <c:v>5.3600000000000002E-2</c:v>
                </c:pt>
                <c:pt idx="12">
                  <c:v>5.2999999999999999E-2</c:v>
                </c:pt>
                <c:pt idx="13">
                  <c:v>5.2400000000000002E-2</c:v>
                </c:pt>
                <c:pt idx="14">
                  <c:v>5.1799999999999999E-2</c:v>
                </c:pt>
                <c:pt idx="15">
                  <c:v>5.1200000000000002E-2</c:v>
                </c:pt>
                <c:pt idx="16">
                  <c:v>5.0599999999999999E-2</c:v>
                </c:pt>
                <c:pt idx="17">
                  <c:v>4.99E-2</c:v>
                </c:pt>
                <c:pt idx="18">
                  <c:v>4.9200000000000001E-2</c:v>
                </c:pt>
                <c:pt idx="19">
                  <c:v>4.8399999999999999E-2</c:v>
                </c:pt>
                <c:pt idx="20">
                  <c:v>4.7699999999999992E-2</c:v>
                </c:pt>
                <c:pt idx="21">
                  <c:v>4.7E-2</c:v>
                </c:pt>
                <c:pt idx="22">
                  <c:v>4.6300000000000001E-2</c:v>
                </c:pt>
                <c:pt idx="23">
                  <c:v>4.5599999999999995E-2</c:v>
                </c:pt>
                <c:pt idx="24">
                  <c:v>4.4800000000000006E-2</c:v>
                </c:pt>
                <c:pt idx="25">
                  <c:v>4.41E-2</c:v>
                </c:pt>
                <c:pt idx="26">
                  <c:v>4.3400000000000001E-2</c:v>
                </c:pt>
                <c:pt idx="27">
                  <c:v>4.2800000000000005E-2</c:v>
                </c:pt>
                <c:pt idx="28">
                  <c:v>4.2199999999999994E-2</c:v>
                </c:pt>
                <c:pt idx="29">
                  <c:v>4.1599999999999998E-2</c:v>
                </c:pt>
                <c:pt idx="30">
                  <c:v>4.0999999999999995E-2</c:v>
                </c:pt>
                <c:pt idx="31">
                  <c:v>4.0399999999999998E-2</c:v>
                </c:pt>
                <c:pt idx="32">
                  <c:v>3.9800000000000002E-2</c:v>
                </c:pt>
                <c:pt idx="33">
                  <c:v>3.9199999999999999E-2</c:v>
                </c:pt>
                <c:pt idx="34">
                  <c:v>3.8599999999999995E-2</c:v>
                </c:pt>
                <c:pt idx="35">
                  <c:v>3.7999999999999999E-2</c:v>
                </c:pt>
                <c:pt idx="36">
                  <c:v>3.7400000000000003E-2</c:v>
                </c:pt>
                <c:pt idx="37">
                  <c:v>3.6799999999999999E-2</c:v>
                </c:pt>
                <c:pt idx="38">
                  <c:v>3.61E-2</c:v>
                </c:pt>
                <c:pt idx="39">
                  <c:v>3.5499999999999997E-2</c:v>
                </c:pt>
                <c:pt idx="40">
                  <c:v>3.4799999999999998E-2</c:v>
                </c:pt>
                <c:pt idx="41">
                  <c:v>3.4200000000000001E-2</c:v>
                </c:pt>
                <c:pt idx="42">
                  <c:v>3.3599999999999998E-2</c:v>
                </c:pt>
                <c:pt idx="43">
                  <c:v>3.2899999999999999E-2</c:v>
                </c:pt>
                <c:pt idx="44">
                  <c:v>3.2300000000000002E-2</c:v>
                </c:pt>
                <c:pt idx="45">
                  <c:v>3.1600000000000003E-2</c:v>
                </c:pt>
                <c:pt idx="46">
                  <c:v>3.1E-2</c:v>
                </c:pt>
                <c:pt idx="47">
                  <c:v>3.04E-2</c:v>
                </c:pt>
                <c:pt idx="48">
                  <c:v>2.98E-2</c:v>
                </c:pt>
                <c:pt idx="49">
                  <c:v>2.92E-2</c:v>
                </c:pt>
                <c:pt idx="50">
                  <c:v>2.86E-2</c:v>
                </c:pt>
                <c:pt idx="51">
                  <c:v>2.7999999999999997E-2</c:v>
                </c:pt>
                <c:pt idx="52">
                  <c:v>2.7400000000000001E-2</c:v>
                </c:pt>
                <c:pt idx="53">
                  <c:v>2.6800000000000001E-2</c:v>
                </c:pt>
                <c:pt idx="54">
                  <c:v>2.6200000000000001E-2</c:v>
                </c:pt>
                <c:pt idx="55">
                  <c:v>2.5600000000000001E-2</c:v>
                </c:pt>
                <c:pt idx="56">
                  <c:v>2.5000000000000001E-2</c:v>
                </c:pt>
                <c:pt idx="57">
                  <c:v>2.46E-2</c:v>
                </c:pt>
                <c:pt idx="58">
                  <c:v>2.4199999999999999E-2</c:v>
                </c:pt>
                <c:pt idx="59">
                  <c:v>2.3700000000000002E-2</c:v>
                </c:pt>
                <c:pt idx="60">
                  <c:v>2.3300000000000001E-2</c:v>
                </c:pt>
                <c:pt idx="61">
                  <c:v>2.29E-2</c:v>
                </c:pt>
                <c:pt idx="62">
                  <c:v>2.2499999999999999E-2</c:v>
                </c:pt>
                <c:pt idx="63">
                  <c:v>2.2099999999999998E-2</c:v>
                </c:pt>
                <c:pt idx="64">
                  <c:v>2.1600000000000001E-2</c:v>
                </c:pt>
                <c:pt idx="65">
                  <c:v>2.12E-2</c:v>
                </c:pt>
                <c:pt idx="66">
                  <c:v>2.0799999999999999E-2</c:v>
                </c:pt>
                <c:pt idx="67">
                  <c:v>2.0499999999999997E-2</c:v>
                </c:pt>
                <c:pt idx="68">
                  <c:v>2.0199999999999999E-2</c:v>
                </c:pt>
                <c:pt idx="69">
                  <c:v>1.9900000000000001E-2</c:v>
                </c:pt>
                <c:pt idx="70">
                  <c:v>1.9599999999999999E-2</c:v>
                </c:pt>
                <c:pt idx="71">
                  <c:v>1.9299999999999998E-2</c:v>
                </c:pt>
                <c:pt idx="72">
                  <c:v>1.9E-2</c:v>
                </c:pt>
                <c:pt idx="73">
                  <c:v>1.8700000000000001E-2</c:v>
                </c:pt>
                <c:pt idx="74">
                  <c:v>1.84E-2</c:v>
                </c:pt>
                <c:pt idx="75">
                  <c:v>1.8100000000000002E-2</c:v>
                </c:pt>
                <c:pt idx="76">
                  <c:v>1.78E-2</c:v>
                </c:pt>
                <c:pt idx="77">
                  <c:v>1.7600000000000001E-2</c:v>
                </c:pt>
                <c:pt idx="78">
                  <c:v>1.7399999999999999E-2</c:v>
                </c:pt>
                <c:pt idx="79">
                  <c:v>1.72E-2</c:v>
                </c:pt>
                <c:pt idx="80">
                  <c:v>1.7000000000000001E-2</c:v>
                </c:pt>
                <c:pt idx="81">
                  <c:v>1.6799999999999999E-2</c:v>
                </c:pt>
                <c:pt idx="82">
                  <c:v>1.66E-2</c:v>
                </c:pt>
                <c:pt idx="83">
                  <c:v>1.6399999999999998E-2</c:v>
                </c:pt>
                <c:pt idx="84">
                  <c:v>1.6200000000000003E-2</c:v>
                </c:pt>
                <c:pt idx="85">
                  <c:v>1.6E-2</c:v>
                </c:pt>
                <c:pt idx="86">
                  <c:v>1.5800000000000002E-2</c:v>
                </c:pt>
                <c:pt idx="87">
                  <c:v>1.5700000000000002E-2</c:v>
                </c:pt>
                <c:pt idx="88">
                  <c:v>1.5600000000000001E-2</c:v>
                </c:pt>
                <c:pt idx="89">
                  <c:v>1.55E-2</c:v>
                </c:pt>
                <c:pt idx="90">
                  <c:v>1.54E-2</c:v>
                </c:pt>
                <c:pt idx="91">
                  <c:v>1.5300000000000001E-2</c:v>
                </c:pt>
                <c:pt idx="92">
                  <c:v>1.52E-2</c:v>
                </c:pt>
                <c:pt idx="93">
                  <c:v>1.5100000000000001E-2</c:v>
                </c:pt>
                <c:pt idx="94">
                  <c:v>1.4999999999999999E-2</c:v>
                </c:pt>
                <c:pt idx="95">
                  <c:v>1.49E-2</c:v>
                </c:pt>
                <c:pt idx="96">
                  <c:v>1.4800000000000001E-2</c:v>
                </c:pt>
                <c:pt idx="97">
                  <c:v>1.47E-2</c:v>
                </c:pt>
                <c:pt idx="98">
                  <c:v>1.46E-2</c:v>
                </c:pt>
                <c:pt idx="99">
                  <c:v>1.4499999999999999E-2</c:v>
                </c:pt>
                <c:pt idx="100">
                  <c:v>1.44E-2</c:v>
                </c:pt>
                <c:pt idx="101">
                  <c:v>1.43E-2</c:v>
                </c:pt>
                <c:pt idx="102">
                  <c:v>1.4199999999999999E-2</c:v>
                </c:pt>
                <c:pt idx="103">
                  <c:v>1.41E-2</c:v>
                </c:pt>
                <c:pt idx="104">
                  <c:v>1.3999999999999999E-2</c:v>
                </c:pt>
                <c:pt idx="105">
                  <c:v>1.3899999999999999E-2</c:v>
                </c:pt>
                <c:pt idx="106">
                  <c:v>1.38E-2</c:v>
                </c:pt>
                <c:pt idx="107">
                  <c:v>1.37E-2</c:v>
                </c:pt>
                <c:pt idx="108">
                  <c:v>1.3600000000000001E-2</c:v>
                </c:pt>
                <c:pt idx="109">
                  <c:v>1.3500000000000002E-2</c:v>
                </c:pt>
                <c:pt idx="110">
                  <c:v>1.34E-2</c:v>
                </c:pt>
                <c:pt idx="111">
                  <c:v>1.34E-2</c:v>
                </c:pt>
                <c:pt idx="112">
                  <c:v>1.3300000000000001E-2</c:v>
                </c:pt>
                <c:pt idx="113">
                  <c:v>1.32E-2</c:v>
                </c:pt>
                <c:pt idx="114">
                  <c:v>1.3100000000000001E-2</c:v>
                </c:pt>
                <c:pt idx="115">
                  <c:v>1.3000000000000001E-2</c:v>
                </c:pt>
                <c:pt idx="116">
                  <c:v>1.29E-2</c:v>
                </c:pt>
                <c:pt idx="117">
                  <c:v>1.2800000000000001E-2</c:v>
                </c:pt>
                <c:pt idx="118">
                  <c:v>1.2699999999999999E-2</c:v>
                </c:pt>
                <c:pt idx="119">
                  <c:v>1.2699999999999999E-2</c:v>
                </c:pt>
                <c:pt idx="120">
                  <c:v>1.26E-2</c:v>
                </c:pt>
                <c:pt idx="121">
                  <c:v>1.2500000000000001E-2</c:v>
                </c:pt>
                <c:pt idx="122">
                  <c:v>1.24E-2</c:v>
                </c:pt>
                <c:pt idx="123">
                  <c:v>1.23E-2</c:v>
                </c:pt>
                <c:pt idx="124">
                  <c:v>1.23E-2</c:v>
                </c:pt>
                <c:pt idx="125">
                  <c:v>1.2199999999999999E-2</c:v>
                </c:pt>
                <c:pt idx="126">
                  <c:v>1.21E-2</c:v>
                </c:pt>
                <c:pt idx="127">
                  <c:v>1.2E-2</c:v>
                </c:pt>
                <c:pt idx="128">
                  <c:v>1.1899999999999999E-2</c:v>
                </c:pt>
                <c:pt idx="129">
                  <c:v>1.18E-2</c:v>
                </c:pt>
                <c:pt idx="130">
                  <c:v>1.1699999999999999E-2</c:v>
                </c:pt>
                <c:pt idx="131">
                  <c:v>1.1699999999999999E-2</c:v>
                </c:pt>
                <c:pt idx="132">
                  <c:v>1.1599999999999999E-2</c:v>
                </c:pt>
                <c:pt idx="133">
                  <c:v>1.15E-2</c:v>
                </c:pt>
                <c:pt idx="134">
                  <c:v>1.1399999999999999E-2</c:v>
                </c:pt>
                <c:pt idx="135">
                  <c:v>1.1299999999999999E-2</c:v>
                </c:pt>
                <c:pt idx="136">
                  <c:v>1.1200000000000002E-2</c:v>
                </c:pt>
                <c:pt idx="137">
                  <c:v>1.11E-2</c:v>
                </c:pt>
                <c:pt idx="138">
                  <c:v>1.1000000000000001E-2</c:v>
                </c:pt>
                <c:pt idx="139">
                  <c:v>1.1000000000000001E-2</c:v>
                </c:pt>
                <c:pt idx="140">
                  <c:v>1.09E-2</c:v>
                </c:pt>
                <c:pt idx="141">
                  <c:v>1.0800000000000001E-2</c:v>
                </c:pt>
                <c:pt idx="142">
                  <c:v>1.0700000000000001E-2</c:v>
                </c:pt>
                <c:pt idx="143">
                  <c:v>1.06E-2</c:v>
                </c:pt>
                <c:pt idx="144">
                  <c:v>1.06E-2</c:v>
                </c:pt>
                <c:pt idx="145">
                  <c:v>1.0500000000000001E-2</c:v>
                </c:pt>
                <c:pt idx="146">
                  <c:v>1.04E-2</c:v>
                </c:pt>
                <c:pt idx="147">
                  <c:v>1.03E-2</c:v>
                </c:pt>
                <c:pt idx="148">
                  <c:v>1.03E-2</c:v>
                </c:pt>
                <c:pt idx="149">
                  <c:v>1.0200000000000001E-2</c:v>
                </c:pt>
                <c:pt idx="150">
                  <c:v>1.0200000000000001E-2</c:v>
                </c:pt>
                <c:pt idx="151">
                  <c:v>1.01E-2</c:v>
                </c:pt>
                <c:pt idx="152">
                  <c:v>0.01</c:v>
                </c:pt>
                <c:pt idx="153">
                  <c:v>0.01</c:v>
                </c:pt>
                <c:pt idx="154">
                  <c:v>9.8999999999999991E-3</c:v>
                </c:pt>
                <c:pt idx="155">
                  <c:v>9.8999999999999991E-3</c:v>
                </c:pt>
                <c:pt idx="156">
                  <c:v>9.7999999999999997E-3</c:v>
                </c:pt>
                <c:pt idx="157">
                  <c:v>9.7000000000000003E-3</c:v>
                </c:pt>
                <c:pt idx="158">
                  <c:v>9.7000000000000003E-3</c:v>
                </c:pt>
                <c:pt idx="159">
                  <c:v>9.5999999999999992E-3</c:v>
                </c:pt>
                <c:pt idx="160">
                  <c:v>9.4999999999999998E-3</c:v>
                </c:pt>
                <c:pt idx="161">
                  <c:v>9.4999999999999998E-3</c:v>
                </c:pt>
                <c:pt idx="162">
                  <c:v>9.3999999999999986E-3</c:v>
                </c:pt>
                <c:pt idx="163">
                  <c:v>9.300000000000001E-3</c:v>
                </c:pt>
                <c:pt idx="164">
                  <c:v>9.1999999999999998E-3</c:v>
                </c:pt>
                <c:pt idx="165">
                  <c:v>9.1999999999999998E-3</c:v>
                </c:pt>
                <c:pt idx="166">
                  <c:v>9.1000000000000004E-3</c:v>
                </c:pt>
                <c:pt idx="167">
                  <c:v>9.1000000000000004E-3</c:v>
                </c:pt>
                <c:pt idx="168">
                  <c:v>9.0000000000000011E-3</c:v>
                </c:pt>
                <c:pt idx="169">
                  <c:v>9.0000000000000011E-3</c:v>
                </c:pt>
                <c:pt idx="170">
                  <c:v>8.8999999999999999E-3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7D5-45B8-BCBD-CBBDC58765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355887"/>
        <c:axId val="1380387823"/>
      </c:lineChart>
      <c:catAx>
        <c:axId val="145035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0387823"/>
        <c:crosses val="autoZero"/>
        <c:auto val="1"/>
        <c:lblAlgn val="ctr"/>
        <c:lblOffset val="100"/>
        <c:noMultiLvlLbl val="0"/>
      </c:catAx>
      <c:valAx>
        <c:axId val="13803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03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FCR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'AlltechCoppens_GC_26-28°C'!$D$1</c:f>
              <c:strCache>
                <c:ptCount val="1"/>
                <c:pt idx="0">
                  <c:v>FCR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'AlltechCoppens_GC_26-28°C'!$D$2:$D$172</c:f>
              <c:numCache>
                <c:formatCode>0.00</c:formatCode>
                <c:ptCount val="171"/>
                <c:pt idx="0">
                  <c:v>0.55000000000000004</c:v>
                </c:pt>
                <c:pt idx="1">
                  <c:v>0.55000000000000004</c:v>
                </c:pt>
                <c:pt idx="2">
                  <c:v>0.55000000000000004</c:v>
                </c:pt>
                <c:pt idx="3">
                  <c:v>0.56000000000000005</c:v>
                </c:pt>
                <c:pt idx="4">
                  <c:v>0.56000000000000005</c:v>
                </c:pt>
                <c:pt idx="5">
                  <c:v>0.56999999999999995</c:v>
                </c:pt>
                <c:pt idx="6">
                  <c:v>0.56999999999999995</c:v>
                </c:pt>
                <c:pt idx="7">
                  <c:v>0.56999999999999995</c:v>
                </c:pt>
                <c:pt idx="8">
                  <c:v>0.57999999999999996</c:v>
                </c:pt>
                <c:pt idx="9">
                  <c:v>0.57999999999999996</c:v>
                </c:pt>
                <c:pt idx="10">
                  <c:v>0.59</c:v>
                </c:pt>
                <c:pt idx="11">
                  <c:v>0.59</c:v>
                </c:pt>
                <c:pt idx="12">
                  <c:v>0.59</c:v>
                </c:pt>
                <c:pt idx="13">
                  <c:v>0.6</c:v>
                </c:pt>
                <c:pt idx="14">
                  <c:v>0.6</c:v>
                </c:pt>
                <c:pt idx="15">
                  <c:v>0.61</c:v>
                </c:pt>
                <c:pt idx="16">
                  <c:v>0.61</c:v>
                </c:pt>
                <c:pt idx="17">
                  <c:v>0.62</c:v>
                </c:pt>
                <c:pt idx="18">
                  <c:v>0.62</c:v>
                </c:pt>
                <c:pt idx="19">
                  <c:v>0.63</c:v>
                </c:pt>
                <c:pt idx="20">
                  <c:v>0.63</c:v>
                </c:pt>
                <c:pt idx="21">
                  <c:v>0.64</c:v>
                </c:pt>
                <c:pt idx="22">
                  <c:v>0.64</c:v>
                </c:pt>
                <c:pt idx="23">
                  <c:v>0.65</c:v>
                </c:pt>
                <c:pt idx="24">
                  <c:v>0.65</c:v>
                </c:pt>
                <c:pt idx="25">
                  <c:v>0.66</c:v>
                </c:pt>
                <c:pt idx="26">
                  <c:v>0.66</c:v>
                </c:pt>
                <c:pt idx="27">
                  <c:v>0.66</c:v>
                </c:pt>
                <c:pt idx="28">
                  <c:v>0.67</c:v>
                </c:pt>
                <c:pt idx="29">
                  <c:v>0.67</c:v>
                </c:pt>
                <c:pt idx="30">
                  <c:v>0.68</c:v>
                </c:pt>
                <c:pt idx="31">
                  <c:v>0.68</c:v>
                </c:pt>
                <c:pt idx="32">
                  <c:v>0.68</c:v>
                </c:pt>
                <c:pt idx="33">
                  <c:v>0.69</c:v>
                </c:pt>
                <c:pt idx="34">
                  <c:v>0.69</c:v>
                </c:pt>
                <c:pt idx="35">
                  <c:v>0.69</c:v>
                </c:pt>
                <c:pt idx="36">
                  <c:v>0.7</c:v>
                </c:pt>
                <c:pt idx="37">
                  <c:v>0.7</c:v>
                </c:pt>
                <c:pt idx="38">
                  <c:v>0.71</c:v>
                </c:pt>
                <c:pt idx="39">
                  <c:v>0.71</c:v>
                </c:pt>
                <c:pt idx="40">
                  <c:v>0.71</c:v>
                </c:pt>
                <c:pt idx="41">
                  <c:v>0.72</c:v>
                </c:pt>
                <c:pt idx="42">
                  <c:v>0.72</c:v>
                </c:pt>
                <c:pt idx="43">
                  <c:v>0.72</c:v>
                </c:pt>
                <c:pt idx="44">
                  <c:v>0.73</c:v>
                </c:pt>
                <c:pt idx="45">
                  <c:v>0.73</c:v>
                </c:pt>
                <c:pt idx="46">
                  <c:v>0.73</c:v>
                </c:pt>
                <c:pt idx="47">
                  <c:v>0.74</c:v>
                </c:pt>
                <c:pt idx="48">
                  <c:v>0.74</c:v>
                </c:pt>
                <c:pt idx="49">
                  <c:v>0.74</c:v>
                </c:pt>
                <c:pt idx="50">
                  <c:v>0.75</c:v>
                </c:pt>
                <c:pt idx="51">
                  <c:v>0.75</c:v>
                </c:pt>
                <c:pt idx="52">
                  <c:v>0.76</c:v>
                </c:pt>
                <c:pt idx="53">
                  <c:v>0.76</c:v>
                </c:pt>
                <c:pt idx="54">
                  <c:v>0.76</c:v>
                </c:pt>
                <c:pt idx="55">
                  <c:v>0.77</c:v>
                </c:pt>
                <c:pt idx="56">
                  <c:v>0.77</c:v>
                </c:pt>
                <c:pt idx="57">
                  <c:v>0.77</c:v>
                </c:pt>
                <c:pt idx="58">
                  <c:v>0.78</c:v>
                </c:pt>
                <c:pt idx="59">
                  <c:v>0.78</c:v>
                </c:pt>
                <c:pt idx="60">
                  <c:v>0.78</c:v>
                </c:pt>
                <c:pt idx="61">
                  <c:v>0.78</c:v>
                </c:pt>
                <c:pt idx="62">
                  <c:v>0.79</c:v>
                </c:pt>
                <c:pt idx="63">
                  <c:v>0.79</c:v>
                </c:pt>
                <c:pt idx="64">
                  <c:v>0.79</c:v>
                </c:pt>
                <c:pt idx="65">
                  <c:v>0.79</c:v>
                </c:pt>
                <c:pt idx="66">
                  <c:v>0.8</c:v>
                </c:pt>
                <c:pt idx="67">
                  <c:v>0.8</c:v>
                </c:pt>
                <c:pt idx="68">
                  <c:v>0.8</c:v>
                </c:pt>
                <c:pt idx="69">
                  <c:v>0.8</c:v>
                </c:pt>
                <c:pt idx="70">
                  <c:v>0.8</c:v>
                </c:pt>
                <c:pt idx="71">
                  <c:v>0.81</c:v>
                </c:pt>
                <c:pt idx="72">
                  <c:v>0.81</c:v>
                </c:pt>
                <c:pt idx="73">
                  <c:v>0.81</c:v>
                </c:pt>
                <c:pt idx="74">
                  <c:v>0.81</c:v>
                </c:pt>
                <c:pt idx="75">
                  <c:v>0.82</c:v>
                </c:pt>
                <c:pt idx="76">
                  <c:v>0.82</c:v>
                </c:pt>
                <c:pt idx="77">
                  <c:v>0.82</c:v>
                </c:pt>
                <c:pt idx="78">
                  <c:v>0.82</c:v>
                </c:pt>
                <c:pt idx="79">
                  <c:v>0.82</c:v>
                </c:pt>
                <c:pt idx="80">
                  <c:v>0.83</c:v>
                </c:pt>
                <c:pt idx="81">
                  <c:v>0.83</c:v>
                </c:pt>
                <c:pt idx="82">
                  <c:v>0.83</c:v>
                </c:pt>
                <c:pt idx="83">
                  <c:v>0.83</c:v>
                </c:pt>
                <c:pt idx="84">
                  <c:v>0.83</c:v>
                </c:pt>
                <c:pt idx="85">
                  <c:v>0.83</c:v>
                </c:pt>
                <c:pt idx="86">
                  <c:v>0.83</c:v>
                </c:pt>
                <c:pt idx="87">
                  <c:v>0.84</c:v>
                </c:pt>
                <c:pt idx="88">
                  <c:v>0.84</c:v>
                </c:pt>
                <c:pt idx="89">
                  <c:v>0.84</c:v>
                </c:pt>
                <c:pt idx="90">
                  <c:v>0.84</c:v>
                </c:pt>
                <c:pt idx="91">
                  <c:v>0.84</c:v>
                </c:pt>
                <c:pt idx="92">
                  <c:v>0.84</c:v>
                </c:pt>
                <c:pt idx="93">
                  <c:v>0.85</c:v>
                </c:pt>
                <c:pt idx="94">
                  <c:v>0.85</c:v>
                </c:pt>
                <c:pt idx="95">
                  <c:v>0.85</c:v>
                </c:pt>
                <c:pt idx="96">
                  <c:v>0.85</c:v>
                </c:pt>
                <c:pt idx="97">
                  <c:v>0.85</c:v>
                </c:pt>
                <c:pt idx="98">
                  <c:v>0.85</c:v>
                </c:pt>
                <c:pt idx="99">
                  <c:v>0.85</c:v>
                </c:pt>
                <c:pt idx="100">
                  <c:v>0.85</c:v>
                </c:pt>
                <c:pt idx="101">
                  <c:v>0.86</c:v>
                </c:pt>
                <c:pt idx="102">
                  <c:v>0.86</c:v>
                </c:pt>
                <c:pt idx="103">
                  <c:v>0.86</c:v>
                </c:pt>
                <c:pt idx="104">
                  <c:v>0.86</c:v>
                </c:pt>
                <c:pt idx="105">
                  <c:v>0.86</c:v>
                </c:pt>
                <c:pt idx="106">
                  <c:v>0.86</c:v>
                </c:pt>
                <c:pt idx="107">
                  <c:v>0.86</c:v>
                </c:pt>
                <c:pt idx="108">
                  <c:v>0.86</c:v>
                </c:pt>
                <c:pt idx="109">
                  <c:v>0.87</c:v>
                </c:pt>
                <c:pt idx="110">
                  <c:v>0.87</c:v>
                </c:pt>
                <c:pt idx="111">
                  <c:v>0.87</c:v>
                </c:pt>
                <c:pt idx="112">
                  <c:v>0.87</c:v>
                </c:pt>
                <c:pt idx="113">
                  <c:v>0.87</c:v>
                </c:pt>
                <c:pt idx="114">
                  <c:v>0.87</c:v>
                </c:pt>
                <c:pt idx="115">
                  <c:v>0.87</c:v>
                </c:pt>
                <c:pt idx="116">
                  <c:v>0.88</c:v>
                </c:pt>
                <c:pt idx="117">
                  <c:v>0.88</c:v>
                </c:pt>
                <c:pt idx="118">
                  <c:v>0.88</c:v>
                </c:pt>
                <c:pt idx="119">
                  <c:v>0.88</c:v>
                </c:pt>
                <c:pt idx="120">
                  <c:v>0.88</c:v>
                </c:pt>
                <c:pt idx="121">
                  <c:v>0.88</c:v>
                </c:pt>
                <c:pt idx="122">
                  <c:v>0.88</c:v>
                </c:pt>
                <c:pt idx="123">
                  <c:v>0.89</c:v>
                </c:pt>
                <c:pt idx="124">
                  <c:v>0.89</c:v>
                </c:pt>
                <c:pt idx="125">
                  <c:v>0.89</c:v>
                </c:pt>
                <c:pt idx="126">
                  <c:v>0.89</c:v>
                </c:pt>
                <c:pt idx="127">
                  <c:v>0.89</c:v>
                </c:pt>
                <c:pt idx="128">
                  <c:v>0.89</c:v>
                </c:pt>
                <c:pt idx="129">
                  <c:v>0.89</c:v>
                </c:pt>
                <c:pt idx="130">
                  <c:v>0.9</c:v>
                </c:pt>
                <c:pt idx="131">
                  <c:v>0.9</c:v>
                </c:pt>
                <c:pt idx="132">
                  <c:v>0.9</c:v>
                </c:pt>
                <c:pt idx="133">
                  <c:v>0.9</c:v>
                </c:pt>
                <c:pt idx="134">
                  <c:v>0.9</c:v>
                </c:pt>
                <c:pt idx="135">
                  <c:v>0.9</c:v>
                </c:pt>
                <c:pt idx="136">
                  <c:v>0.9</c:v>
                </c:pt>
                <c:pt idx="137">
                  <c:v>0.91</c:v>
                </c:pt>
                <c:pt idx="138">
                  <c:v>0.91</c:v>
                </c:pt>
                <c:pt idx="139">
                  <c:v>0.91</c:v>
                </c:pt>
                <c:pt idx="140">
                  <c:v>0.91</c:v>
                </c:pt>
                <c:pt idx="141">
                  <c:v>0.91</c:v>
                </c:pt>
                <c:pt idx="142">
                  <c:v>0.91</c:v>
                </c:pt>
                <c:pt idx="143">
                  <c:v>0.91</c:v>
                </c:pt>
                <c:pt idx="144">
                  <c:v>0.91</c:v>
                </c:pt>
                <c:pt idx="145">
                  <c:v>0.91</c:v>
                </c:pt>
                <c:pt idx="146">
                  <c:v>0.91</c:v>
                </c:pt>
                <c:pt idx="147">
                  <c:v>0.91</c:v>
                </c:pt>
                <c:pt idx="148">
                  <c:v>0.92</c:v>
                </c:pt>
                <c:pt idx="149">
                  <c:v>0.92</c:v>
                </c:pt>
                <c:pt idx="150">
                  <c:v>0.92</c:v>
                </c:pt>
                <c:pt idx="151">
                  <c:v>0.92</c:v>
                </c:pt>
                <c:pt idx="152">
                  <c:v>0.92</c:v>
                </c:pt>
                <c:pt idx="153">
                  <c:v>0.92</c:v>
                </c:pt>
                <c:pt idx="154">
                  <c:v>0.92</c:v>
                </c:pt>
                <c:pt idx="155">
                  <c:v>0.92</c:v>
                </c:pt>
                <c:pt idx="156">
                  <c:v>0.93</c:v>
                </c:pt>
                <c:pt idx="157">
                  <c:v>0.93</c:v>
                </c:pt>
                <c:pt idx="158">
                  <c:v>0.93</c:v>
                </c:pt>
                <c:pt idx="159">
                  <c:v>0.93</c:v>
                </c:pt>
                <c:pt idx="160">
                  <c:v>0.93</c:v>
                </c:pt>
                <c:pt idx="161">
                  <c:v>0.93</c:v>
                </c:pt>
                <c:pt idx="162">
                  <c:v>0.93</c:v>
                </c:pt>
                <c:pt idx="163">
                  <c:v>0.93</c:v>
                </c:pt>
                <c:pt idx="164">
                  <c:v>0.93</c:v>
                </c:pt>
                <c:pt idx="165">
                  <c:v>0.93</c:v>
                </c:pt>
                <c:pt idx="166">
                  <c:v>0.94</c:v>
                </c:pt>
                <c:pt idx="167">
                  <c:v>0.94</c:v>
                </c:pt>
                <c:pt idx="168">
                  <c:v>0.94</c:v>
                </c:pt>
                <c:pt idx="169">
                  <c:v>0.94</c:v>
                </c:pt>
                <c:pt idx="170">
                  <c:v>0.94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0E9-4B43-98F0-BD83910EE3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355887"/>
        <c:axId val="1380387823"/>
      </c:lineChart>
      <c:catAx>
        <c:axId val="145035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0387823"/>
        <c:crosses val="autoZero"/>
        <c:auto val="1"/>
        <c:lblAlgn val="ctr"/>
        <c:lblOffset val="100"/>
        <c:noMultiLvlLbl val="0"/>
      </c:catAx>
      <c:valAx>
        <c:axId val="13803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03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SGR (% BW/day)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'AlltechCoppens_GC_26-28°C'!$E$1</c:f>
              <c:strCache>
                <c:ptCount val="1"/>
                <c:pt idx="0">
                  <c:v>SGR (% BW/day)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'AlltechCoppens_GC_26-28°C'!$E$2:$E$172</c:f>
              <c:numCache>
                <c:formatCode>0.00%</c:formatCode>
                <c:ptCount val="171"/>
                <c:pt idx="0">
                  <c:v>0.10400000000000001</c:v>
                </c:pt>
                <c:pt idx="1">
                  <c:v>0.10300000000000001</c:v>
                </c:pt>
                <c:pt idx="2">
                  <c:v>0.10199999999999999</c:v>
                </c:pt>
                <c:pt idx="3">
                  <c:v>0.10099999999999999</c:v>
                </c:pt>
                <c:pt idx="4">
                  <c:v>0.1</c:v>
                </c:pt>
                <c:pt idx="5">
                  <c:v>9.9000000000000005E-2</c:v>
                </c:pt>
                <c:pt idx="6">
                  <c:v>9.8000000000000004E-2</c:v>
                </c:pt>
                <c:pt idx="7">
                  <c:v>9.6000000000000002E-2</c:v>
                </c:pt>
                <c:pt idx="8">
                  <c:v>9.5000000000000001E-2</c:v>
                </c:pt>
                <c:pt idx="9">
                  <c:v>9.4E-2</c:v>
                </c:pt>
                <c:pt idx="10">
                  <c:v>9.1999999999999998E-2</c:v>
                </c:pt>
                <c:pt idx="11">
                  <c:v>9.0999999999999998E-2</c:v>
                </c:pt>
                <c:pt idx="12">
                  <c:v>0.09</c:v>
                </c:pt>
                <c:pt idx="13">
                  <c:v>8.8000000000000009E-2</c:v>
                </c:pt>
                <c:pt idx="14">
                  <c:v>8.5999999999999993E-2</c:v>
                </c:pt>
                <c:pt idx="15">
                  <c:v>8.5000000000000006E-2</c:v>
                </c:pt>
                <c:pt idx="16">
                  <c:v>8.3000000000000004E-2</c:v>
                </c:pt>
                <c:pt idx="17">
                  <c:v>8.1000000000000003E-2</c:v>
                </c:pt>
                <c:pt idx="18">
                  <c:v>0.08</c:v>
                </c:pt>
                <c:pt idx="19">
                  <c:v>7.8E-2</c:v>
                </c:pt>
                <c:pt idx="20">
                  <c:v>7.5999999999999998E-2</c:v>
                </c:pt>
                <c:pt idx="21">
                  <c:v>7.400000000000001E-2</c:v>
                </c:pt>
                <c:pt idx="22">
                  <c:v>7.2000000000000008E-2</c:v>
                </c:pt>
                <c:pt idx="23">
                  <c:v>7.0999999999999994E-2</c:v>
                </c:pt>
                <c:pt idx="24">
                  <c:v>6.9000000000000006E-2</c:v>
                </c:pt>
                <c:pt idx="25">
                  <c:v>6.7000000000000004E-2</c:v>
                </c:pt>
                <c:pt idx="26">
                  <c:v>6.6000000000000003E-2</c:v>
                </c:pt>
                <c:pt idx="27">
                  <c:v>6.5000000000000002E-2</c:v>
                </c:pt>
                <c:pt idx="28">
                  <c:v>6.3E-2</c:v>
                </c:pt>
                <c:pt idx="29">
                  <c:v>6.2E-2</c:v>
                </c:pt>
                <c:pt idx="30">
                  <c:v>6.0999999999999999E-2</c:v>
                </c:pt>
                <c:pt idx="31">
                  <c:v>0.06</c:v>
                </c:pt>
                <c:pt idx="32">
                  <c:v>5.7999999999999996E-2</c:v>
                </c:pt>
                <c:pt idx="33">
                  <c:v>5.7000000000000002E-2</c:v>
                </c:pt>
                <c:pt idx="34">
                  <c:v>5.5999999999999994E-2</c:v>
                </c:pt>
                <c:pt idx="35">
                  <c:v>5.5E-2</c:v>
                </c:pt>
                <c:pt idx="36">
                  <c:v>5.4000000000000006E-2</c:v>
                </c:pt>
                <c:pt idx="37">
                  <c:v>5.2999999999999999E-2</c:v>
                </c:pt>
                <c:pt idx="38">
                  <c:v>5.0999999999999997E-2</c:v>
                </c:pt>
                <c:pt idx="39">
                  <c:v>0.05</c:v>
                </c:pt>
                <c:pt idx="40">
                  <c:v>4.9000000000000002E-2</c:v>
                </c:pt>
                <c:pt idx="41">
                  <c:v>4.8000000000000001E-2</c:v>
                </c:pt>
                <c:pt idx="42">
                  <c:v>4.7E-2</c:v>
                </c:pt>
                <c:pt idx="43">
                  <c:v>4.5999999999999999E-2</c:v>
                </c:pt>
                <c:pt idx="44">
                  <c:v>4.4999999999999998E-2</c:v>
                </c:pt>
                <c:pt idx="45">
                  <c:v>4.2999999999999997E-2</c:v>
                </c:pt>
                <c:pt idx="46">
                  <c:v>4.2000000000000003E-2</c:v>
                </c:pt>
                <c:pt idx="47">
                  <c:v>4.0999999999999995E-2</c:v>
                </c:pt>
                <c:pt idx="48">
                  <c:v>0.04</c:v>
                </c:pt>
                <c:pt idx="49">
                  <c:v>3.9E-2</c:v>
                </c:pt>
                <c:pt idx="50">
                  <c:v>3.7999999999999999E-2</c:v>
                </c:pt>
                <c:pt idx="51">
                  <c:v>3.7000000000000005E-2</c:v>
                </c:pt>
                <c:pt idx="52">
                  <c:v>3.6000000000000004E-2</c:v>
                </c:pt>
                <c:pt idx="53">
                  <c:v>3.5000000000000003E-2</c:v>
                </c:pt>
                <c:pt idx="54">
                  <c:v>3.4000000000000002E-2</c:v>
                </c:pt>
                <c:pt idx="55">
                  <c:v>3.3000000000000002E-2</c:v>
                </c:pt>
                <c:pt idx="56">
                  <c:v>3.2000000000000001E-2</c:v>
                </c:pt>
                <c:pt idx="57">
                  <c:v>3.2000000000000001E-2</c:v>
                </c:pt>
                <c:pt idx="58">
                  <c:v>3.1E-2</c:v>
                </c:pt>
                <c:pt idx="59">
                  <c:v>3.1E-2</c:v>
                </c:pt>
                <c:pt idx="60">
                  <c:v>0.03</c:v>
                </c:pt>
                <c:pt idx="61">
                  <c:v>2.8999999999999998E-2</c:v>
                </c:pt>
                <c:pt idx="62">
                  <c:v>2.8999999999999998E-2</c:v>
                </c:pt>
                <c:pt idx="63">
                  <c:v>2.7999999999999997E-2</c:v>
                </c:pt>
                <c:pt idx="64">
                  <c:v>2.7000000000000003E-2</c:v>
                </c:pt>
                <c:pt idx="65">
                  <c:v>2.7000000000000003E-2</c:v>
                </c:pt>
                <c:pt idx="66">
                  <c:v>2.6000000000000002E-2</c:v>
                </c:pt>
                <c:pt idx="67">
                  <c:v>2.6000000000000002E-2</c:v>
                </c:pt>
                <c:pt idx="68">
                  <c:v>2.5000000000000001E-2</c:v>
                </c:pt>
                <c:pt idx="69">
                  <c:v>2.5000000000000001E-2</c:v>
                </c:pt>
                <c:pt idx="70">
                  <c:v>2.4E-2</c:v>
                </c:pt>
                <c:pt idx="71">
                  <c:v>2.4E-2</c:v>
                </c:pt>
                <c:pt idx="72">
                  <c:v>2.3E-2</c:v>
                </c:pt>
                <c:pt idx="73">
                  <c:v>2.3E-2</c:v>
                </c:pt>
                <c:pt idx="74">
                  <c:v>2.3E-2</c:v>
                </c:pt>
                <c:pt idx="75">
                  <c:v>2.2000000000000002E-2</c:v>
                </c:pt>
                <c:pt idx="76">
                  <c:v>2.2000000000000002E-2</c:v>
                </c:pt>
                <c:pt idx="77">
                  <c:v>2.1000000000000001E-2</c:v>
                </c:pt>
                <c:pt idx="78">
                  <c:v>2.1000000000000001E-2</c:v>
                </c:pt>
                <c:pt idx="79">
                  <c:v>2.1000000000000001E-2</c:v>
                </c:pt>
                <c:pt idx="80">
                  <c:v>2.1000000000000001E-2</c:v>
                </c:pt>
                <c:pt idx="81">
                  <c:v>0.02</c:v>
                </c:pt>
                <c:pt idx="82">
                  <c:v>0.02</c:v>
                </c:pt>
                <c:pt idx="83">
                  <c:v>0.02</c:v>
                </c:pt>
                <c:pt idx="84">
                  <c:v>0.02</c:v>
                </c:pt>
                <c:pt idx="85">
                  <c:v>1.9E-2</c:v>
                </c:pt>
                <c:pt idx="86">
                  <c:v>1.9E-2</c:v>
                </c:pt>
                <c:pt idx="87">
                  <c:v>1.9E-2</c:v>
                </c:pt>
                <c:pt idx="88">
                  <c:v>1.9E-2</c:v>
                </c:pt>
                <c:pt idx="89">
                  <c:v>1.8000000000000002E-2</c:v>
                </c:pt>
                <c:pt idx="90">
                  <c:v>1.8000000000000002E-2</c:v>
                </c:pt>
                <c:pt idx="91">
                  <c:v>1.8000000000000002E-2</c:v>
                </c:pt>
                <c:pt idx="92">
                  <c:v>1.8000000000000002E-2</c:v>
                </c:pt>
                <c:pt idx="93">
                  <c:v>1.8000000000000002E-2</c:v>
                </c:pt>
                <c:pt idx="94">
                  <c:v>1.8000000000000002E-2</c:v>
                </c:pt>
                <c:pt idx="95">
                  <c:v>1.8000000000000002E-2</c:v>
                </c:pt>
                <c:pt idx="96">
                  <c:v>1.7000000000000001E-2</c:v>
                </c:pt>
                <c:pt idx="97">
                  <c:v>1.7000000000000001E-2</c:v>
                </c:pt>
                <c:pt idx="98">
                  <c:v>1.7000000000000001E-2</c:v>
                </c:pt>
                <c:pt idx="99">
                  <c:v>1.7000000000000001E-2</c:v>
                </c:pt>
                <c:pt idx="100">
                  <c:v>1.7000000000000001E-2</c:v>
                </c:pt>
                <c:pt idx="101">
                  <c:v>1.7000000000000001E-2</c:v>
                </c:pt>
                <c:pt idx="102">
                  <c:v>1.7000000000000001E-2</c:v>
                </c:pt>
                <c:pt idx="103">
                  <c:v>1.6E-2</c:v>
                </c:pt>
                <c:pt idx="104">
                  <c:v>1.6E-2</c:v>
                </c:pt>
                <c:pt idx="105">
                  <c:v>1.6E-2</c:v>
                </c:pt>
                <c:pt idx="106">
                  <c:v>1.6E-2</c:v>
                </c:pt>
                <c:pt idx="107">
                  <c:v>1.6E-2</c:v>
                </c:pt>
                <c:pt idx="108">
                  <c:v>1.6E-2</c:v>
                </c:pt>
                <c:pt idx="109">
                  <c:v>1.6E-2</c:v>
                </c:pt>
                <c:pt idx="110">
                  <c:v>1.6E-2</c:v>
                </c:pt>
                <c:pt idx="111">
                  <c:v>1.4999999999999999E-2</c:v>
                </c:pt>
                <c:pt idx="112">
                  <c:v>1.4999999999999999E-2</c:v>
                </c:pt>
                <c:pt idx="113">
                  <c:v>1.4999999999999999E-2</c:v>
                </c:pt>
                <c:pt idx="114">
                  <c:v>1.4999999999999999E-2</c:v>
                </c:pt>
                <c:pt idx="115">
                  <c:v>1.4999999999999999E-2</c:v>
                </c:pt>
                <c:pt idx="116">
                  <c:v>1.4999999999999999E-2</c:v>
                </c:pt>
                <c:pt idx="117">
                  <c:v>1.4999999999999999E-2</c:v>
                </c:pt>
                <c:pt idx="118">
                  <c:v>1.4999999999999999E-2</c:v>
                </c:pt>
                <c:pt idx="119">
                  <c:v>1.3999999999999999E-2</c:v>
                </c:pt>
                <c:pt idx="120">
                  <c:v>1.3999999999999999E-2</c:v>
                </c:pt>
                <c:pt idx="121">
                  <c:v>1.3999999999999999E-2</c:v>
                </c:pt>
                <c:pt idx="122">
                  <c:v>1.3999999999999999E-2</c:v>
                </c:pt>
                <c:pt idx="123">
                  <c:v>1.3999999999999999E-2</c:v>
                </c:pt>
                <c:pt idx="124">
                  <c:v>1.3999999999999999E-2</c:v>
                </c:pt>
                <c:pt idx="125">
                  <c:v>1.3999999999999999E-2</c:v>
                </c:pt>
                <c:pt idx="126">
                  <c:v>1.3999999999999999E-2</c:v>
                </c:pt>
                <c:pt idx="127">
                  <c:v>1.3000000000000001E-2</c:v>
                </c:pt>
                <c:pt idx="128">
                  <c:v>1.3000000000000001E-2</c:v>
                </c:pt>
                <c:pt idx="129">
                  <c:v>1.3000000000000001E-2</c:v>
                </c:pt>
                <c:pt idx="130">
                  <c:v>1.3000000000000001E-2</c:v>
                </c:pt>
                <c:pt idx="131">
                  <c:v>1.3000000000000001E-2</c:v>
                </c:pt>
                <c:pt idx="132">
                  <c:v>1.3000000000000001E-2</c:v>
                </c:pt>
                <c:pt idx="133">
                  <c:v>1.3000000000000001E-2</c:v>
                </c:pt>
                <c:pt idx="134">
                  <c:v>1.3000000000000001E-2</c:v>
                </c:pt>
                <c:pt idx="135">
                  <c:v>1.3000000000000001E-2</c:v>
                </c:pt>
                <c:pt idx="136">
                  <c:v>1.2E-2</c:v>
                </c:pt>
                <c:pt idx="137">
                  <c:v>1.2E-2</c:v>
                </c:pt>
                <c:pt idx="138">
                  <c:v>1.2E-2</c:v>
                </c:pt>
                <c:pt idx="139">
                  <c:v>1.2E-2</c:v>
                </c:pt>
                <c:pt idx="140">
                  <c:v>1.2E-2</c:v>
                </c:pt>
                <c:pt idx="141">
                  <c:v>1.2E-2</c:v>
                </c:pt>
                <c:pt idx="142">
                  <c:v>1.2E-2</c:v>
                </c:pt>
                <c:pt idx="143">
                  <c:v>1.2E-2</c:v>
                </c:pt>
                <c:pt idx="144">
                  <c:v>1.2E-2</c:v>
                </c:pt>
                <c:pt idx="145">
                  <c:v>1.1000000000000001E-2</c:v>
                </c:pt>
                <c:pt idx="146">
                  <c:v>1.1000000000000001E-2</c:v>
                </c:pt>
                <c:pt idx="147">
                  <c:v>1.1000000000000001E-2</c:v>
                </c:pt>
                <c:pt idx="148">
                  <c:v>1.1000000000000001E-2</c:v>
                </c:pt>
                <c:pt idx="149">
                  <c:v>1.1000000000000001E-2</c:v>
                </c:pt>
                <c:pt idx="150">
                  <c:v>1.1000000000000001E-2</c:v>
                </c:pt>
                <c:pt idx="151">
                  <c:v>1.1000000000000001E-2</c:v>
                </c:pt>
                <c:pt idx="152">
                  <c:v>1.1000000000000001E-2</c:v>
                </c:pt>
                <c:pt idx="153">
                  <c:v>1.1000000000000001E-2</c:v>
                </c:pt>
                <c:pt idx="154">
                  <c:v>1.1000000000000001E-2</c:v>
                </c:pt>
                <c:pt idx="155">
                  <c:v>1.1000000000000001E-2</c:v>
                </c:pt>
                <c:pt idx="156">
                  <c:v>1.1000000000000001E-2</c:v>
                </c:pt>
                <c:pt idx="157">
                  <c:v>1.1000000000000001E-2</c:v>
                </c:pt>
                <c:pt idx="158">
                  <c:v>0.01</c:v>
                </c:pt>
                <c:pt idx="159">
                  <c:v>0.01</c:v>
                </c:pt>
                <c:pt idx="160">
                  <c:v>0.01</c:v>
                </c:pt>
                <c:pt idx="161">
                  <c:v>0.01</c:v>
                </c:pt>
                <c:pt idx="162">
                  <c:v>0.01</c:v>
                </c:pt>
                <c:pt idx="163">
                  <c:v>0.01</c:v>
                </c:pt>
                <c:pt idx="164">
                  <c:v>0.01</c:v>
                </c:pt>
                <c:pt idx="165">
                  <c:v>0.01</c:v>
                </c:pt>
                <c:pt idx="166">
                  <c:v>0.01</c:v>
                </c:pt>
                <c:pt idx="167">
                  <c:v>0.01</c:v>
                </c:pt>
                <c:pt idx="168">
                  <c:v>0.01</c:v>
                </c:pt>
                <c:pt idx="169">
                  <c:v>0.01</c:v>
                </c:pt>
                <c:pt idx="170">
                  <c:v>0.01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5F9-43F1-8E1D-67B25B3137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355887"/>
        <c:axId val="1380387823"/>
      </c:lineChart>
      <c:catAx>
        <c:axId val="145035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0387823"/>
        <c:crosses val="autoZero"/>
        <c:auto val="1"/>
        <c:lblAlgn val="ctr"/>
        <c:lblOffset val="100"/>
        <c:noMultiLvlLbl val="0"/>
      </c:catAx>
      <c:valAx>
        <c:axId val="13803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03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Fish weight (g)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'AlltechCoppens_GC_26-28°C'!$B$1</c:f>
              <c:strCache>
                <c:ptCount val="1"/>
                <c:pt idx="0">
                  <c:v>Fish weight (g)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'AlltechCoppens_GC_26-28°C'!$B$2:$B$172</c:f>
              <c:numCache>
                <c:formatCode>0.00</c:formatCode>
                <c:ptCount val="171"/>
                <c:pt idx="0">
                  <c:v>7.5</c:v>
                </c:pt>
                <c:pt idx="1">
                  <c:v>8.3000000000000007</c:v>
                </c:pt>
                <c:pt idx="2">
                  <c:v>9.1</c:v>
                </c:pt>
                <c:pt idx="3">
                  <c:v>10.1</c:v>
                </c:pt>
                <c:pt idx="4">
                  <c:v>11.1</c:v>
                </c:pt>
                <c:pt idx="5">
                  <c:v>12.2</c:v>
                </c:pt>
                <c:pt idx="6">
                  <c:v>13.4</c:v>
                </c:pt>
                <c:pt idx="7">
                  <c:v>14.7</c:v>
                </c:pt>
                <c:pt idx="8">
                  <c:v>16.100000000000001</c:v>
                </c:pt>
                <c:pt idx="9">
                  <c:v>17.7</c:v>
                </c:pt>
                <c:pt idx="10">
                  <c:v>19.3</c:v>
                </c:pt>
                <c:pt idx="11">
                  <c:v>21.1</c:v>
                </c:pt>
                <c:pt idx="12">
                  <c:v>23</c:v>
                </c:pt>
                <c:pt idx="13">
                  <c:v>25.1</c:v>
                </c:pt>
                <c:pt idx="14">
                  <c:v>27.3</c:v>
                </c:pt>
                <c:pt idx="15">
                  <c:v>29.7</c:v>
                </c:pt>
                <c:pt idx="16">
                  <c:v>32.200000000000003</c:v>
                </c:pt>
                <c:pt idx="17">
                  <c:v>34.9</c:v>
                </c:pt>
                <c:pt idx="18">
                  <c:v>37.700000000000003</c:v>
                </c:pt>
                <c:pt idx="19">
                  <c:v>40.700000000000003</c:v>
                </c:pt>
                <c:pt idx="20">
                  <c:v>43.9</c:v>
                </c:pt>
                <c:pt idx="21">
                  <c:v>47.2</c:v>
                </c:pt>
                <c:pt idx="22">
                  <c:v>50.7</c:v>
                </c:pt>
                <c:pt idx="23">
                  <c:v>54.4</c:v>
                </c:pt>
                <c:pt idx="24">
                  <c:v>58.2</c:v>
                </c:pt>
                <c:pt idx="25">
                  <c:v>62.3</c:v>
                </c:pt>
                <c:pt idx="26">
                  <c:v>66.5</c:v>
                </c:pt>
                <c:pt idx="27">
                  <c:v>70.8</c:v>
                </c:pt>
                <c:pt idx="28">
                  <c:v>75.400000000000006</c:v>
                </c:pt>
                <c:pt idx="29">
                  <c:v>80.2</c:v>
                </c:pt>
                <c:pt idx="30">
                  <c:v>85.2</c:v>
                </c:pt>
                <c:pt idx="31">
                  <c:v>90.4</c:v>
                </c:pt>
                <c:pt idx="32">
                  <c:v>95.7</c:v>
                </c:pt>
                <c:pt idx="33">
                  <c:v>101</c:v>
                </c:pt>
                <c:pt idx="34">
                  <c:v>107</c:v>
                </c:pt>
                <c:pt idx="35">
                  <c:v>113</c:v>
                </c:pt>
                <c:pt idx="36">
                  <c:v>119</c:v>
                </c:pt>
                <c:pt idx="37">
                  <c:v>126</c:v>
                </c:pt>
                <c:pt idx="38">
                  <c:v>132</c:v>
                </c:pt>
                <c:pt idx="39">
                  <c:v>139</c:v>
                </c:pt>
                <c:pt idx="40">
                  <c:v>146</c:v>
                </c:pt>
                <c:pt idx="41">
                  <c:v>153</c:v>
                </c:pt>
                <c:pt idx="42">
                  <c:v>161</c:v>
                </c:pt>
                <c:pt idx="43">
                  <c:v>168</c:v>
                </c:pt>
                <c:pt idx="44">
                  <c:v>176</c:v>
                </c:pt>
                <c:pt idx="45">
                  <c:v>184</c:v>
                </c:pt>
                <c:pt idx="46">
                  <c:v>192</c:v>
                </c:pt>
                <c:pt idx="47">
                  <c:v>200</c:v>
                </c:pt>
                <c:pt idx="48">
                  <c:v>208</c:v>
                </c:pt>
                <c:pt idx="49">
                  <c:v>216</c:v>
                </c:pt>
                <c:pt idx="50">
                  <c:v>225</c:v>
                </c:pt>
                <c:pt idx="51">
                  <c:v>233</c:v>
                </c:pt>
                <c:pt idx="52">
                  <c:v>242</c:v>
                </c:pt>
                <c:pt idx="53">
                  <c:v>251</c:v>
                </c:pt>
                <c:pt idx="54">
                  <c:v>260</c:v>
                </c:pt>
                <c:pt idx="55">
                  <c:v>269</c:v>
                </c:pt>
                <c:pt idx="56">
                  <c:v>278</c:v>
                </c:pt>
                <c:pt idx="57">
                  <c:v>287</c:v>
                </c:pt>
                <c:pt idx="58">
                  <c:v>296</c:v>
                </c:pt>
                <c:pt idx="59">
                  <c:v>305</c:v>
                </c:pt>
                <c:pt idx="60">
                  <c:v>314</c:v>
                </c:pt>
                <c:pt idx="61">
                  <c:v>324</c:v>
                </c:pt>
                <c:pt idx="62">
                  <c:v>333</c:v>
                </c:pt>
                <c:pt idx="63">
                  <c:v>343</c:v>
                </c:pt>
                <c:pt idx="64">
                  <c:v>352</c:v>
                </c:pt>
                <c:pt idx="65">
                  <c:v>362</c:v>
                </c:pt>
                <c:pt idx="66">
                  <c:v>372</c:v>
                </c:pt>
                <c:pt idx="67">
                  <c:v>382</c:v>
                </c:pt>
                <c:pt idx="68">
                  <c:v>391</c:v>
                </c:pt>
                <c:pt idx="69">
                  <c:v>401</c:v>
                </c:pt>
                <c:pt idx="70">
                  <c:v>411</c:v>
                </c:pt>
                <c:pt idx="71">
                  <c:v>421</c:v>
                </c:pt>
                <c:pt idx="72">
                  <c:v>431</c:v>
                </c:pt>
                <c:pt idx="73">
                  <c:v>441</c:v>
                </c:pt>
                <c:pt idx="74">
                  <c:v>452</c:v>
                </c:pt>
                <c:pt idx="75">
                  <c:v>462</c:v>
                </c:pt>
                <c:pt idx="76">
                  <c:v>472</c:v>
                </c:pt>
                <c:pt idx="77">
                  <c:v>482</c:v>
                </c:pt>
                <c:pt idx="78">
                  <c:v>493</c:v>
                </c:pt>
                <c:pt idx="79">
                  <c:v>503</c:v>
                </c:pt>
                <c:pt idx="80">
                  <c:v>514</c:v>
                </c:pt>
                <c:pt idx="81">
                  <c:v>524</c:v>
                </c:pt>
                <c:pt idx="82">
                  <c:v>535</c:v>
                </c:pt>
                <c:pt idx="83">
                  <c:v>546</c:v>
                </c:pt>
                <c:pt idx="84">
                  <c:v>556</c:v>
                </c:pt>
                <c:pt idx="85">
                  <c:v>567</c:v>
                </c:pt>
                <c:pt idx="86">
                  <c:v>578</c:v>
                </c:pt>
                <c:pt idx="87">
                  <c:v>589</c:v>
                </c:pt>
                <c:pt idx="88">
                  <c:v>600</c:v>
                </c:pt>
                <c:pt idx="89">
                  <c:v>611</c:v>
                </c:pt>
                <c:pt idx="90">
                  <c:v>623</c:v>
                </c:pt>
                <c:pt idx="91">
                  <c:v>634</c:v>
                </c:pt>
                <c:pt idx="92">
                  <c:v>646</c:v>
                </c:pt>
                <c:pt idx="93">
                  <c:v>657</c:v>
                </c:pt>
                <c:pt idx="94">
                  <c:v>669</c:v>
                </c:pt>
                <c:pt idx="95">
                  <c:v>681</c:v>
                </c:pt>
                <c:pt idx="96">
                  <c:v>693</c:v>
                </c:pt>
                <c:pt idx="97">
                  <c:v>705</c:v>
                </c:pt>
                <c:pt idx="98">
                  <c:v>717</c:v>
                </c:pt>
                <c:pt idx="99">
                  <c:v>729</c:v>
                </c:pt>
                <c:pt idx="100">
                  <c:v>742</c:v>
                </c:pt>
                <c:pt idx="101">
                  <c:v>754</c:v>
                </c:pt>
                <c:pt idx="102">
                  <c:v>767</c:v>
                </c:pt>
                <c:pt idx="103">
                  <c:v>780</c:v>
                </c:pt>
                <c:pt idx="104">
                  <c:v>792</c:v>
                </c:pt>
                <c:pt idx="105">
                  <c:v>805</c:v>
                </c:pt>
                <c:pt idx="106">
                  <c:v>818</c:v>
                </c:pt>
                <c:pt idx="107">
                  <c:v>831</c:v>
                </c:pt>
                <c:pt idx="108">
                  <c:v>845</c:v>
                </c:pt>
                <c:pt idx="109">
                  <c:v>858</c:v>
                </c:pt>
                <c:pt idx="110">
                  <c:v>871</c:v>
                </c:pt>
                <c:pt idx="111">
                  <c:v>885</c:v>
                </c:pt>
                <c:pt idx="112">
                  <c:v>899</c:v>
                </c:pt>
                <c:pt idx="113">
                  <c:v>912</c:v>
                </c:pt>
                <c:pt idx="114">
                  <c:v>926</c:v>
                </c:pt>
                <c:pt idx="115">
                  <c:v>940</c:v>
                </c:pt>
                <c:pt idx="116">
                  <c:v>954</c:v>
                </c:pt>
                <c:pt idx="117">
                  <c:v>968</c:v>
                </c:pt>
                <c:pt idx="118">
                  <c:v>982</c:v>
                </c:pt>
                <c:pt idx="119">
                  <c:v>996</c:v>
                </c:pt>
                <c:pt idx="120">
                  <c:v>1011</c:v>
                </c:pt>
                <c:pt idx="121">
                  <c:v>1025</c:v>
                </c:pt>
                <c:pt idx="122">
                  <c:v>1040</c:v>
                </c:pt>
                <c:pt idx="123">
                  <c:v>1054</c:v>
                </c:pt>
                <c:pt idx="124">
                  <c:v>1069</c:v>
                </c:pt>
                <c:pt idx="125">
                  <c:v>1084</c:v>
                </c:pt>
                <c:pt idx="126">
                  <c:v>1099</c:v>
                </c:pt>
                <c:pt idx="127">
                  <c:v>1114</c:v>
                </c:pt>
                <c:pt idx="128">
                  <c:v>1129</c:v>
                </c:pt>
                <c:pt idx="129">
                  <c:v>1144</c:v>
                </c:pt>
                <c:pt idx="130">
                  <c:v>1159</c:v>
                </c:pt>
                <c:pt idx="131">
                  <c:v>1174</c:v>
                </c:pt>
                <c:pt idx="132">
                  <c:v>1189</c:v>
                </c:pt>
                <c:pt idx="133">
                  <c:v>1205</c:v>
                </c:pt>
                <c:pt idx="134">
                  <c:v>1220</c:v>
                </c:pt>
                <c:pt idx="135">
                  <c:v>1236</c:v>
                </c:pt>
                <c:pt idx="136">
                  <c:v>1251</c:v>
                </c:pt>
                <c:pt idx="137">
                  <c:v>1266</c:v>
                </c:pt>
                <c:pt idx="138">
                  <c:v>1282</c:v>
                </c:pt>
                <c:pt idx="139">
                  <c:v>1298</c:v>
                </c:pt>
                <c:pt idx="140">
                  <c:v>1313</c:v>
                </c:pt>
                <c:pt idx="141">
                  <c:v>1329</c:v>
                </c:pt>
                <c:pt idx="142">
                  <c:v>1345</c:v>
                </c:pt>
                <c:pt idx="143">
                  <c:v>1361</c:v>
                </c:pt>
                <c:pt idx="144">
                  <c:v>1377</c:v>
                </c:pt>
                <c:pt idx="145">
                  <c:v>1393</c:v>
                </c:pt>
                <c:pt idx="146">
                  <c:v>1409</c:v>
                </c:pt>
                <c:pt idx="147">
                  <c:v>1425</c:v>
                </c:pt>
                <c:pt idx="148">
                  <c:v>1441</c:v>
                </c:pt>
                <c:pt idx="149">
                  <c:v>1457</c:v>
                </c:pt>
                <c:pt idx="150">
                  <c:v>1473</c:v>
                </c:pt>
                <c:pt idx="151">
                  <c:v>1490</c:v>
                </c:pt>
                <c:pt idx="152">
                  <c:v>1506</c:v>
                </c:pt>
                <c:pt idx="153">
                  <c:v>1522</c:v>
                </c:pt>
                <c:pt idx="154">
                  <c:v>1539</c:v>
                </c:pt>
                <c:pt idx="155">
                  <c:v>1555</c:v>
                </c:pt>
                <c:pt idx="156">
                  <c:v>1572</c:v>
                </c:pt>
                <c:pt idx="157">
                  <c:v>1589</c:v>
                </c:pt>
                <c:pt idx="158">
                  <c:v>1605</c:v>
                </c:pt>
                <c:pt idx="159">
                  <c:v>1622</c:v>
                </c:pt>
                <c:pt idx="160">
                  <c:v>1639</c:v>
                </c:pt>
                <c:pt idx="161">
                  <c:v>1656</c:v>
                </c:pt>
                <c:pt idx="162">
                  <c:v>1673</c:v>
                </c:pt>
                <c:pt idx="163">
                  <c:v>1689</c:v>
                </c:pt>
                <c:pt idx="164">
                  <c:v>1706</c:v>
                </c:pt>
                <c:pt idx="165">
                  <c:v>1723</c:v>
                </c:pt>
                <c:pt idx="166">
                  <c:v>1740</c:v>
                </c:pt>
                <c:pt idx="167">
                  <c:v>1757</c:v>
                </c:pt>
                <c:pt idx="168">
                  <c:v>1774</c:v>
                </c:pt>
                <c:pt idx="169">
                  <c:v>1791</c:v>
                </c:pt>
                <c:pt idx="170">
                  <c:v>1808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F7-44A9-A724-D33510736E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50355887"/>
        <c:axId val="1380387823"/>
      </c:lineChart>
      <c:catAx>
        <c:axId val="14503558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380387823"/>
        <c:crosses val="autoZero"/>
        <c:auto val="1"/>
        <c:lblAlgn val="ctr"/>
        <c:lblOffset val="100"/>
        <c:noMultiLvlLbl val="0"/>
      </c:catAx>
      <c:valAx>
        <c:axId val="13803878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145035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2248</xdr:colOff>
      <xdr:row>41</xdr:row>
      <xdr:rowOff>0</xdr:rowOff>
    </xdr:from>
    <xdr:to>
      <xdr:col>15</xdr:col>
      <xdr:colOff>648</xdr:colOff>
      <xdr:row>75</xdr:row>
      <xdr:rowOff>4400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5FE716F9-AF27-4D62-8A69-DA120986CA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29</xdr:col>
      <xdr:colOff>5082</xdr:colOff>
      <xdr:row>41</xdr:row>
      <xdr:rowOff>724</xdr:rowOff>
    </xdr:from>
    <xdr:to>
      <xdr:col>41</xdr:col>
      <xdr:colOff>3539</xdr:colOff>
      <xdr:row>75</xdr:row>
      <xdr:rowOff>7067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D8DB05FC-B187-4550-9FCE-E864249547F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4712</xdr:colOff>
      <xdr:row>41</xdr:row>
      <xdr:rowOff>0</xdr:rowOff>
    </xdr:from>
    <xdr:to>
      <xdr:col>28</xdr:col>
      <xdr:colOff>3512</xdr:colOff>
      <xdr:row>75</xdr:row>
      <xdr:rowOff>4400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04755CE-2D27-4626-BAEA-84D0A8CD90B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0</xdr:colOff>
      <xdr:row>76</xdr:row>
      <xdr:rowOff>0</xdr:rowOff>
    </xdr:from>
    <xdr:to>
      <xdr:col>14</xdr:col>
      <xdr:colOff>1039800</xdr:colOff>
      <xdr:row>111</xdr:row>
      <xdr:rowOff>17100</xdr:rowOff>
    </xdr:to>
    <xdr:graphicFrame macro="">
      <xdr:nvGraphicFramePr>
        <xdr:cNvPr id="5" name="Graphique 1">
          <a:extLst>
            <a:ext uri="{FF2B5EF4-FFF2-40B4-BE49-F238E27FC236}">
              <a16:creationId xmlns:a16="http://schemas.microsoft.com/office/drawing/2014/main" id="{D136B769-C0D0-4163-A70D-3476C98CB3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1558290</xdr:colOff>
      <xdr:row>0</xdr:row>
      <xdr:rowOff>0</xdr:rowOff>
    </xdr:from>
    <xdr:to>
      <xdr:col>12</xdr:col>
      <xdr:colOff>544830</xdr:colOff>
      <xdr:row>13</xdr:row>
      <xdr:rowOff>167640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9FDEC7-C0CB-4917-B90E-87DFAEFFBB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12</xdr:col>
      <xdr:colOff>548640</xdr:colOff>
      <xdr:row>27</xdr:row>
      <xdr:rowOff>167640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A1B3DAC-8335-42AE-8C47-B82392A539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29</xdr:row>
      <xdr:rowOff>0</xdr:rowOff>
    </xdr:from>
    <xdr:to>
      <xdr:col>12</xdr:col>
      <xdr:colOff>548640</xdr:colOff>
      <xdr:row>42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88B0F36-9DB3-4EFF-A1C6-FBE9A3392A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44</xdr:row>
      <xdr:rowOff>0</xdr:rowOff>
    </xdr:from>
    <xdr:to>
      <xdr:col>12</xdr:col>
      <xdr:colOff>548640</xdr:colOff>
      <xdr:row>57</xdr:row>
      <xdr:rowOff>167640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AB82BA9-AD7C-4348-BC3E-66B555D43B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E98C2-1E98-474D-BE18-252868039AA2}">
  <dimension ref="A1:AMJ195"/>
  <sheetViews>
    <sheetView tabSelected="1" zoomScale="60" zoomScaleNormal="6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47" sqref="C47"/>
    </sheetView>
  </sheetViews>
  <sheetFormatPr baseColWidth="10" defaultColWidth="11.25" defaultRowHeight="15.75" x14ac:dyDescent="0.25"/>
  <cols>
    <col min="1" max="1" width="10" customWidth="1"/>
    <col min="2" max="2" width="34.75" style="16" customWidth="1"/>
    <col min="3" max="520" width="13.75" customWidth="1"/>
  </cols>
  <sheetData>
    <row r="1" spans="1:1024" s="208" customFormat="1" ht="22.15" customHeight="1" thickBot="1" x14ac:dyDescent="0.3">
      <c r="A1" s="285" t="s">
        <v>16</v>
      </c>
      <c r="B1" s="285"/>
      <c r="C1" s="207">
        <v>1</v>
      </c>
      <c r="D1" s="207">
        <v>2</v>
      </c>
      <c r="E1" s="207">
        <v>3</v>
      </c>
      <c r="F1" s="207">
        <v>4</v>
      </c>
      <c r="G1" s="207">
        <v>5</v>
      </c>
      <c r="H1" s="207">
        <v>6</v>
      </c>
      <c r="I1" s="207">
        <v>7</v>
      </c>
      <c r="J1" s="207">
        <v>8</v>
      </c>
      <c r="K1" s="207">
        <v>9</v>
      </c>
      <c r="L1" s="207">
        <v>10</v>
      </c>
      <c r="M1" s="207">
        <v>11</v>
      </c>
      <c r="N1" s="207">
        <v>12</v>
      </c>
      <c r="O1" s="207">
        <v>13</v>
      </c>
      <c r="P1" s="207">
        <v>14</v>
      </c>
      <c r="Q1" s="207">
        <v>15</v>
      </c>
      <c r="R1" s="207">
        <v>16</v>
      </c>
      <c r="S1" s="207">
        <v>17</v>
      </c>
      <c r="T1" s="207">
        <v>18</v>
      </c>
      <c r="U1" s="207">
        <v>19</v>
      </c>
      <c r="V1" s="207">
        <v>20</v>
      </c>
      <c r="W1" s="207">
        <v>21</v>
      </c>
      <c r="X1" s="207">
        <v>22</v>
      </c>
      <c r="Y1" s="207">
        <v>23</v>
      </c>
      <c r="Z1" s="207">
        <v>24</v>
      </c>
      <c r="AA1" s="207">
        <v>25</v>
      </c>
      <c r="AB1" s="207">
        <v>26</v>
      </c>
      <c r="AC1" s="207">
        <v>27</v>
      </c>
      <c r="AD1" s="207">
        <v>28</v>
      </c>
      <c r="AE1" s="207">
        <v>29</v>
      </c>
      <c r="AF1" s="207">
        <v>30</v>
      </c>
      <c r="AG1" s="207">
        <v>31</v>
      </c>
      <c r="AH1" s="207">
        <v>32</v>
      </c>
      <c r="AI1" s="207">
        <v>33</v>
      </c>
      <c r="AJ1" s="207">
        <v>34</v>
      </c>
      <c r="AK1" s="207">
        <v>35</v>
      </c>
      <c r="AL1" s="207">
        <v>36</v>
      </c>
      <c r="AM1" s="207">
        <v>37</v>
      </c>
      <c r="AN1" s="207">
        <v>38</v>
      </c>
      <c r="AO1" s="207">
        <v>39</v>
      </c>
      <c r="AP1" s="207">
        <v>40</v>
      </c>
      <c r="AQ1" s="207">
        <v>41</v>
      </c>
      <c r="AR1" s="207">
        <v>42</v>
      </c>
      <c r="AS1" s="207">
        <v>43</v>
      </c>
      <c r="AT1" s="207">
        <v>44</v>
      </c>
      <c r="AU1" s="207">
        <v>45</v>
      </c>
      <c r="AV1" s="207">
        <v>46</v>
      </c>
      <c r="AW1" s="207">
        <v>47</v>
      </c>
      <c r="AX1" s="207">
        <v>48</v>
      </c>
      <c r="AY1" s="207">
        <v>49</v>
      </c>
      <c r="AZ1" s="207">
        <v>50</v>
      </c>
      <c r="BA1" s="207">
        <v>51</v>
      </c>
      <c r="BB1" s="207">
        <v>52</v>
      </c>
      <c r="BC1" s="207">
        <v>53</v>
      </c>
      <c r="BD1" s="207">
        <v>54</v>
      </c>
      <c r="BE1" s="207">
        <v>55</v>
      </c>
      <c r="BF1" s="207">
        <v>56</v>
      </c>
      <c r="BG1" s="207">
        <v>57</v>
      </c>
      <c r="BH1" s="207">
        <v>58</v>
      </c>
      <c r="BI1" s="207">
        <v>59</v>
      </c>
      <c r="BJ1" s="207">
        <v>60</v>
      </c>
      <c r="BK1" s="207">
        <v>61</v>
      </c>
      <c r="BL1" s="207">
        <v>62</v>
      </c>
      <c r="BM1" s="207">
        <v>63</v>
      </c>
      <c r="BN1" s="207">
        <v>64</v>
      </c>
      <c r="BO1" s="207">
        <v>65</v>
      </c>
      <c r="BP1" s="207">
        <v>66</v>
      </c>
      <c r="BQ1" s="207">
        <v>67</v>
      </c>
      <c r="BR1" s="207">
        <v>68</v>
      </c>
      <c r="BS1" s="207">
        <v>69</v>
      </c>
      <c r="BT1" s="207">
        <v>70</v>
      </c>
      <c r="BU1" s="207">
        <v>71</v>
      </c>
      <c r="BV1" s="207">
        <v>72</v>
      </c>
      <c r="BW1" s="207">
        <v>73</v>
      </c>
      <c r="BX1" s="207">
        <v>74</v>
      </c>
      <c r="BY1" s="207">
        <v>75</v>
      </c>
      <c r="BZ1" s="207">
        <v>76</v>
      </c>
      <c r="CA1" s="207">
        <v>77</v>
      </c>
      <c r="CB1" s="207">
        <v>78</v>
      </c>
      <c r="CC1" s="207">
        <v>79</v>
      </c>
      <c r="CD1" s="207">
        <v>80</v>
      </c>
      <c r="CE1" s="207">
        <v>81</v>
      </c>
      <c r="CF1" s="207">
        <v>82</v>
      </c>
      <c r="CG1" s="207">
        <v>83</v>
      </c>
      <c r="CH1" s="207">
        <v>84</v>
      </c>
      <c r="CI1" s="207">
        <v>85</v>
      </c>
      <c r="CJ1" s="207">
        <v>86</v>
      </c>
      <c r="CK1" s="207">
        <v>87</v>
      </c>
      <c r="CL1" s="207">
        <v>88</v>
      </c>
      <c r="CM1" s="207">
        <v>89</v>
      </c>
      <c r="CN1" s="207">
        <v>90</v>
      </c>
      <c r="CO1" s="207">
        <v>91</v>
      </c>
      <c r="CP1" s="207">
        <v>92</v>
      </c>
      <c r="CQ1" s="207">
        <v>93</v>
      </c>
      <c r="CR1" s="207">
        <v>94</v>
      </c>
      <c r="CS1" s="207">
        <v>95</v>
      </c>
      <c r="CT1" s="207">
        <v>96</v>
      </c>
      <c r="CU1" s="207">
        <v>97</v>
      </c>
      <c r="CV1" s="207">
        <v>98</v>
      </c>
      <c r="CW1" s="207">
        <v>99</v>
      </c>
      <c r="CX1" s="207">
        <v>100</v>
      </c>
      <c r="CY1" s="207">
        <v>101</v>
      </c>
      <c r="CZ1" s="207">
        <v>102</v>
      </c>
      <c r="DA1" s="207">
        <v>103</v>
      </c>
      <c r="DB1" s="207">
        <v>104</v>
      </c>
      <c r="DC1" s="207">
        <v>105</v>
      </c>
      <c r="DD1" s="207">
        <v>106</v>
      </c>
      <c r="DE1" s="207">
        <v>107</v>
      </c>
      <c r="DF1" s="207">
        <v>108</v>
      </c>
      <c r="DG1" s="207">
        <v>109</v>
      </c>
      <c r="DH1" s="207">
        <v>110</v>
      </c>
      <c r="DI1" s="207">
        <v>111</v>
      </c>
      <c r="DJ1" s="207">
        <v>112</v>
      </c>
      <c r="DK1" s="207">
        <v>113</v>
      </c>
      <c r="DL1" s="207">
        <v>114</v>
      </c>
      <c r="DM1" s="207">
        <v>115</v>
      </c>
      <c r="DN1" s="207">
        <v>116</v>
      </c>
      <c r="DO1" s="207">
        <v>117</v>
      </c>
      <c r="DP1" s="207">
        <v>118</v>
      </c>
      <c r="DQ1" s="207">
        <v>119</v>
      </c>
      <c r="DR1" s="207">
        <v>120</v>
      </c>
      <c r="DS1" s="207">
        <v>121</v>
      </c>
      <c r="DT1" s="207">
        <v>122</v>
      </c>
      <c r="DU1" s="207">
        <v>123</v>
      </c>
      <c r="DV1" s="207">
        <v>124</v>
      </c>
      <c r="DW1" s="207">
        <v>125</v>
      </c>
      <c r="DX1" s="207">
        <v>126</v>
      </c>
      <c r="DY1" s="207">
        <v>127</v>
      </c>
      <c r="DZ1" s="207">
        <v>128</v>
      </c>
      <c r="EA1" s="207">
        <v>129</v>
      </c>
      <c r="EB1" s="207">
        <v>130</v>
      </c>
      <c r="EC1" s="207">
        <v>131</v>
      </c>
      <c r="ED1" s="207">
        <v>132</v>
      </c>
      <c r="EE1" s="207">
        <v>133</v>
      </c>
      <c r="EF1" s="207">
        <v>134</v>
      </c>
      <c r="EG1" s="207">
        <v>135</v>
      </c>
      <c r="EH1" s="207">
        <v>136</v>
      </c>
      <c r="EI1" s="207">
        <v>137</v>
      </c>
      <c r="EJ1" s="207">
        <v>138</v>
      </c>
      <c r="EK1" s="207">
        <v>139</v>
      </c>
      <c r="EL1" s="207">
        <v>140</v>
      </c>
      <c r="EM1" s="207">
        <v>141</v>
      </c>
      <c r="EN1" s="207">
        <v>142</v>
      </c>
      <c r="EO1" s="207">
        <v>143</v>
      </c>
      <c r="EP1" s="207">
        <v>144</v>
      </c>
      <c r="EQ1" s="207">
        <v>145</v>
      </c>
      <c r="ER1" s="207">
        <v>146</v>
      </c>
      <c r="ES1" s="207">
        <v>147</v>
      </c>
      <c r="ET1" s="207">
        <v>148</v>
      </c>
      <c r="EU1" s="207">
        <v>149</v>
      </c>
      <c r="EV1" s="207">
        <v>150</v>
      </c>
      <c r="EW1" s="207">
        <v>151</v>
      </c>
      <c r="EX1" s="207">
        <v>152</v>
      </c>
      <c r="EY1" s="207">
        <v>153</v>
      </c>
      <c r="EZ1" s="207">
        <v>154</v>
      </c>
      <c r="FA1" s="207">
        <v>155</v>
      </c>
      <c r="FB1" s="207">
        <v>156</v>
      </c>
      <c r="FC1" s="207">
        <v>157</v>
      </c>
      <c r="FD1" s="207">
        <v>158</v>
      </c>
      <c r="FE1" s="207">
        <v>159</v>
      </c>
      <c r="FF1" s="207">
        <v>160</v>
      </c>
      <c r="FG1" s="207">
        <v>161</v>
      </c>
      <c r="FH1" s="207">
        <v>162</v>
      </c>
      <c r="FI1" s="207">
        <v>163</v>
      </c>
      <c r="FJ1" s="207">
        <v>164</v>
      </c>
      <c r="FK1" s="207">
        <v>165</v>
      </c>
      <c r="FL1" s="207">
        <v>166</v>
      </c>
      <c r="FM1" s="207">
        <v>167</v>
      </c>
      <c r="FN1" s="207">
        <v>168</v>
      </c>
      <c r="FO1" s="207">
        <v>169</v>
      </c>
      <c r="FP1" s="207">
        <v>170</v>
      </c>
      <c r="FQ1" s="207">
        <v>171</v>
      </c>
      <c r="FR1" s="207">
        <v>172</v>
      </c>
      <c r="FS1" s="207">
        <v>173</v>
      </c>
      <c r="FT1" s="207">
        <v>174</v>
      </c>
      <c r="FU1" s="207">
        <v>175</v>
      </c>
      <c r="FV1" s="207">
        <v>176</v>
      </c>
      <c r="FW1" s="207">
        <v>177</v>
      </c>
      <c r="FX1" s="207">
        <v>178</v>
      </c>
      <c r="FY1" s="207">
        <v>179</v>
      </c>
      <c r="FZ1" s="207">
        <v>180</v>
      </c>
      <c r="GA1" s="207">
        <v>181</v>
      </c>
      <c r="GB1" s="207">
        <v>182</v>
      </c>
      <c r="GC1" s="207">
        <v>183</v>
      </c>
      <c r="GD1" s="207">
        <v>184</v>
      </c>
      <c r="GE1" s="207">
        <v>185</v>
      </c>
      <c r="GF1" s="207">
        <v>186</v>
      </c>
      <c r="GG1" s="207">
        <v>187</v>
      </c>
      <c r="GH1" s="207">
        <v>188</v>
      </c>
      <c r="GI1" s="207">
        <v>189</v>
      </c>
      <c r="GJ1" s="207">
        <v>190</v>
      </c>
      <c r="GK1" s="207">
        <v>191</v>
      </c>
      <c r="GL1" s="207">
        <v>192</v>
      </c>
      <c r="GM1" s="207">
        <v>193</v>
      </c>
      <c r="GN1" s="207">
        <v>194</v>
      </c>
      <c r="GO1" s="207">
        <v>195</v>
      </c>
      <c r="GP1" s="207">
        <v>196</v>
      </c>
      <c r="GQ1" s="207">
        <v>197</v>
      </c>
      <c r="GR1" s="207">
        <v>198</v>
      </c>
      <c r="GS1" s="207">
        <v>199</v>
      </c>
      <c r="GT1" s="207">
        <v>200</v>
      </c>
      <c r="GU1" s="207">
        <v>201</v>
      </c>
      <c r="GV1" s="207">
        <v>202</v>
      </c>
      <c r="GW1" s="207">
        <v>203</v>
      </c>
      <c r="GX1" s="207">
        <v>204</v>
      </c>
      <c r="GY1" s="207">
        <v>205</v>
      </c>
      <c r="GZ1" s="207">
        <v>206</v>
      </c>
      <c r="HA1" s="207">
        <v>207</v>
      </c>
      <c r="HB1" s="207">
        <v>208</v>
      </c>
      <c r="HC1" s="207">
        <v>209</v>
      </c>
      <c r="HD1" s="207">
        <v>210</v>
      </c>
      <c r="HE1" s="207">
        <v>211</v>
      </c>
      <c r="HF1" s="207">
        <v>212</v>
      </c>
      <c r="HG1" s="207">
        <v>213</v>
      </c>
      <c r="HH1" s="207">
        <v>214</v>
      </c>
      <c r="HI1" s="207">
        <v>215</v>
      </c>
      <c r="HJ1" s="207">
        <v>216</v>
      </c>
      <c r="HK1" s="207">
        <v>217</v>
      </c>
      <c r="HL1" s="207">
        <v>218</v>
      </c>
      <c r="HM1" s="207">
        <v>219</v>
      </c>
      <c r="HN1" s="207">
        <v>220</v>
      </c>
      <c r="HO1" s="207">
        <v>221</v>
      </c>
      <c r="HP1" s="207">
        <v>222</v>
      </c>
      <c r="HQ1" s="207">
        <v>223</v>
      </c>
      <c r="HR1" s="207">
        <v>224</v>
      </c>
      <c r="HS1" s="207">
        <v>225</v>
      </c>
      <c r="HT1" s="207">
        <v>226</v>
      </c>
      <c r="HU1" s="207">
        <v>227</v>
      </c>
      <c r="HV1" s="207">
        <v>228</v>
      </c>
      <c r="HW1" s="207">
        <v>229</v>
      </c>
      <c r="HX1" s="207">
        <v>230</v>
      </c>
      <c r="HY1" s="207">
        <v>231</v>
      </c>
      <c r="HZ1" s="207">
        <v>232</v>
      </c>
      <c r="IA1" s="207">
        <v>233</v>
      </c>
      <c r="IB1" s="207">
        <v>234</v>
      </c>
      <c r="IC1" s="207">
        <v>235</v>
      </c>
      <c r="ID1" s="207">
        <v>236</v>
      </c>
      <c r="IE1" s="207">
        <v>237</v>
      </c>
      <c r="IF1" s="207">
        <v>238</v>
      </c>
      <c r="IG1" s="207">
        <v>239</v>
      </c>
      <c r="IH1" s="207">
        <v>240</v>
      </c>
      <c r="II1" s="207">
        <v>241</v>
      </c>
      <c r="IJ1" s="207">
        <v>242</v>
      </c>
      <c r="IK1" s="207">
        <v>243</v>
      </c>
      <c r="IL1" s="207">
        <v>244</v>
      </c>
      <c r="IM1" s="207">
        <v>245</v>
      </c>
      <c r="IN1" s="207">
        <v>246</v>
      </c>
      <c r="IO1" s="207">
        <v>247</v>
      </c>
      <c r="IP1" s="207">
        <v>248</v>
      </c>
      <c r="IQ1" s="207">
        <v>249</v>
      </c>
      <c r="IR1" s="207">
        <v>250</v>
      </c>
      <c r="IS1" s="207">
        <v>251</v>
      </c>
      <c r="IT1" s="207">
        <v>252</v>
      </c>
      <c r="IU1" s="207">
        <v>253</v>
      </c>
      <c r="IV1" s="207">
        <v>254</v>
      </c>
      <c r="IW1" s="207">
        <v>255</v>
      </c>
      <c r="IX1" s="207">
        <v>256</v>
      </c>
      <c r="IY1" s="207">
        <v>257</v>
      </c>
      <c r="IZ1" s="207">
        <v>258</v>
      </c>
      <c r="JA1" s="207">
        <v>259</v>
      </c>
      <c r="JB1" s="207">
        <v>260</v>
      </c>
      <c r="JC1" s="207">
        <v>261</v>
      </c>
      <c r="JD1" s="207">
        <v>262</v>
      </c>
      <c r="JE1" s="207">
        <v>263</v>
      </c>
      <c r="JF1" s="207">
        <v>264</v>
      </c>
      <c r="JG1" s="207">
        <v>265</v>
      </c>
      <c r="JH1" s="207">
        <v>266</v>
      </c>
      <c r="JI1" s="207">
        <v>267</v>
      </c>
      <c r="JJ1" s="207">
        <v>268</v>
      </c>
      <c r="JK1" s="207">
        <v>269</v>
      </c>
      <c r="JL1" s="207">
        <v>270</v>
      </c>
      <c r="JM1" s="207">
        <v>271</v>
      </c>
      <c r="JN1" s="207">
        <v>272</v>
      </c>
      <c r="JO1" s="207">
        <v>273</v>
      </c>
      <c r="JP1" s="207">
        <v>274</v>
      </c>
      <c r="JQ1" s="207">
        <v>275</v>
      </c>
      <c r="JR1" s="207">
        <v>276</v>
      </c>
      <c r="JS1" s="207">
        <v>277</v>
      </c>
      <c r="JT1" s="207">
        <v>278</v>
      </c>
      <c r="JU1" s="207">
        <v>279</v>
      </c>
      <c r="JV1" s="207">
        <v>280</v>
      </c>
      <c r="JW1" s="207">
        <v>281</v>
      </c>
      <c r="JX1" s="207">
        <v>282</v>
      </c>
      <c r="JY1" s="207">
        <v>283</v>
      </c>
      <c r="JZ1" s="207">
        <v>284</v>
      </c>
      <c r="KA1" s="207">
        <v>285</v>
      </c>
      <c r="KB1" s="207">
        <v>286</v>
      </c>
      <c r="KC1" s="207">
        <v>287</v>
      </c>
      <c r="KD1" s="207">
        <v>288</v>
      </c>
      <c r="KE1" s="207">
        <v>289</v>
      </c>
      <c r="KF1" s="207">
        <v>290</v>
      </c>
      <c r="KG1" s="207">
        <v>291</v>
      </c>
      <c r="KH1" s="207">
        <v>292</v>
      </c>
      <c r="KI1" s="207">
        <v>293</v>
      </c>
      <c r="KJ1" s="207">
        <v>294</v>
      </c>
      <c r="KK1" s="207">
        <v>295</v>
      </c>
      <c r="KL1" s="207">
        <v>296</v>
      </c>
      <c r="KM1" s="207">
        <v>297</v>
      </c>
      <c r="KN1" s="207">
        <v>298</v>
      </c>
      <c r="KO1" s="207">
        <v>299</v>
      </c>
      <c r="KP1" s="207">
        <v>300</v>
      </c>
      <c r="KQ1" s="207">
        <v>301</v>
      </c>
      <c r="KR1" s="207">
        <v>302</v>
      </c>
      <c r="KS1" s="207">
        <v>303</v>
      </c>
      <c r="KT1" s="207">
        <v>304</v>
      </c>
      <c r="KU1" s="207">
        <v>305</v>
      </c>
      <c r="KV1" s="207">
        <v>306</v>
      </c>
      <c r="KW1" s="207">
        <v>307</v>
      </c>
      <c r="KX1" s="207">
        <v>308</v>
      </c>
      <c r="KY1" s="207">
        <v>309</v>
      </c>
      <c r="KZ1" s="207">
        <v>310</v>
      </c>
      <c r="LA1" s="207">
        <v>311</v>
      </c>
      <c r="LB1" s="207">
        <v>312</v>
      </c>
      <c r="LC1" s="207">
        <v>313</v>
      </c>
      <c r="LD1" s="207">
        <v>314</v>
      </c>
      <c r="LE1" s="207">
        <v>315</v>
      </c>
      <c r="LF1" s="207">
        <v>316</v>
      </c>
      <c r="LG1" s="207">
        <v>317</v>
      </c>
      <c r="LH1" s="207">
        <v>318</v>
      </c>
      <c r="LI1" s="207">
        <v>319</v>
      </c>
      <c r="LJ1" s="207">
        <v>320</v>
      </c>
      <c r="LK1" s="207">
        <v>321</v>
      </c>
      <c r="LL1" s="207">
        <v>322</v>
      </c>
      <c r="LM1" s="207">
        <v>323</v>
      </c>
      <c r="LN1" s="207">
        <v>324</v>
      </c>
      <c r="LO1" s="207">
        <v>325</v>
      </c>
      <c r="LP1" s="207">
        <v>326</v>
      </c>
      <c r="LQ1" s="207">
        <v>327</v>
      </c>
      <c r="LR1" s="207">
        <v>328</v>
      </c>
      <c r="LS1" s="207">
        <v>329</v>
      </c>
      <c r="LT1" s="207">
        <v>330</v>
      </c>
      <c r="LU1" s="207">
        <v>331</v>
      </c>
      <c r="LV1" s="207">
        <v>332</v>
      </c>
      <c r="LW1" s="207">
        <v>333</v>
      </c>
      <c r="LX1" s="207">
        <v>334</v>
      </c>
      <c r="LY1" s="207">
        <v>335</v>
      </c>
      <c r="LZ1" s="207">
        <v>336</v>
      </c>
      <c r="MA1" s="207">
        <v>337</v>
      </c>
      <c r="MB1" s="207">
        <v>338</v>
      </c>
      <c r="MC1" s="207">
        <v>339</v>
      </c>
      <c r="MD1" s="207">
        <v>340</v>
      </c>
      <c r="ME1" s="207">
        <v>341</v>
      </c>
      <c r="MF1" s="207">
        <v>342</v>
      </c>
      <c r="MG1" s="207">
        <v>343</v>
      </c>
      <c r="MH1" s="207">
        <v>344</v>
      </c>
      <c r="MI1" s="207">
        <v>345</v>
      </c>
      <c r="MJ1" s="207">
        <v>346</v>
      </c>
      <c r="MK1" s="207">
        <v>347</v>
      </c>
      <c r="ML1" s="207">
        <v>348</v>
      </c>
      <c r="MM1" s="207">
        <v>349</v>
      </c>
      <c r="MN1" s="207">
        <v>350</v>
      </c>
      <c r="MO1" s="207">
        <v>351</v>
      </c>
      <c r="MP1" s="207">
        <v>352</v>
      </c>
      <c r="MQ1" s="207">
        <v>353</v>
      </c>
      <c r="MR1" s="207">
        <v>354</v>
      </c>
      <c r="MS1" s="207">
        <v>355</v>
      </c>
      <c r="MT1" s="207">
        <v>356</v>
      </c>
      <c r="MU1" s="207">
        <v>357</v>
      </c>
      <c r="MV1" s="207">
        <v>358</v>
      </c>
      <c r="MW1" s="207">
        <v>359</v>
      </c>
      <c r="MX1" s="207">
        <v>360</v>
      </c>
      <c r="MY1" s="207">
        <v>361</v>
      </c>
      <c r="MZ1" s="207">
        <v>362</v>
      </c>
      <c r="NA1" s="207">
        <v>363</v>
      </c>
      <c r="NB1" s="207">
        <v>364</v>
      </c>
      <c r="NC1" s="207">
        <v>365</v>
      </c>
      <c r="ND1" s="207">
        <v>366</v>
      </c>
      <c r="NE1" s="207">
        <v>367</v>
      </c>
      <c r="NF1" s="207">
        <v>368</v>
      </c>
      <c r="NG1" s="207">
        <v>369</v>
      </c>
      <c r="NH1" s="207">
        <v>370</v>
      </c>
      <c r="NI1" s="207">
        <v>371</v>
      </c>
      <c r="NJ1" s="207">
        <v>372</v>
      </c>
      <c r="NK1" s="207">
        <v>373</v>
      </c>
      <c r="NL1" s="207">
        <v>374</v>
      </c>
      <c r="NM1" s="207">
        <v>375</v>
      </c>
      <c r="NN1" s="207">
        <v>376</v>
      </c>
      <c r="NO1" s="207">
        <v>377</v>
      </c>
      <c r="NP1" s="207">
        <v>378</v>
      </c>
      <c r="NQ1" s="207">
        <v>379</v>
      </c>
      <c r="NR1" s="207">
        <v>380</v>
      </c>
      <c r="NS1" s="207">
        <v>381</v>
      </c>
      <c r="NT1" s="207">
        <v>382</v>
      </c>
      <c r="NU1" s="207">
        <v>383</v>
      </c>
      <c r="NV1" s="207">
        <v>384</v>
      </c>
      <c r="NW1" s="207">
        <v>385</v>
      </c>
      <c r="NX1" s="207">
        <v>386</v>
      </c>
      <c r="NY1" s="207">
        <v>387</v>
      </c>
      <c r="NZ1" s="207">
        <v>388</v>
      </c>
      <c r="OA1" s="207">
        <v>389</v>
      </c>
      <c r="OB1" s="207">
        <v>390</v>
      </c>
      <c r="OC1" s="207">
        <v>391</v>
      </c>
      <c r="OD1" s="207">
        <v>392</v>
      </c>
      <c r="OE1" s="207">
        <v>393</v>
      </c>
      <c r="OF1" s="207">
        <v>394</v>
      </c>
      <c r="OG1" s="207">
        <v>395</v>
      </c>
      <c r="OH1" s="207">
        <v>396</v>
      </c>
      <c r="OI1" s="207">
        <v>397</v>
      </c>
      <c r="OJ1" s="207">
        <v>398</v>
      </c>
      <c r="OK1" s="207">
        <v>399</v>
      </c>
      <c r="OL1" s="207">
        <v>400</v>
      </c>
      <c r="OM1" s="207">
        <v>401</v>
      </c>
      <c r="ON1" s="207">
        <v>402</v>
      </c>
      <c r="OO1" s="207">
        <v>403</v>
      </c>
      <c r="OP1" s="207">
        <v>404</v>
      </c>
      <c r="OQ1" s="207">
        <v>405</v>
      </c>
      <c r="OR1" s="207">
        <v>406</v>
      </c>
      <c r="OS1" s="207">
        <v>407</v>
      </c>
      <c r="OT1" s="207">
        <v>408</v>
      </c>
      <c r="OU1" s="207">
        <v>409</v>
      </c>
      <c r="OV1" s="207">
        <v>410</v>
      </c>
      <c r="OW1" s="207">
        <v>411</v>
      </c>
      <c r="OX1" s="207">
        <v>412</v>
      </c>
      <c r="OY1" s="207">
        <v>413</v>
      </c>
      <c r="OZ1" s="207">
        <v>414</v>
      </c>
      <c r="PA1" s="207">
        <v>415</v>
      </c>
      <c r="PB1" s="207">
        <v>416</v>
      </c>
      <c r="PC1" s="207">
        <v>417</v>
      </c>
      <c r="PD1" s="207">
        <v>418</v>
      </c>
      <c r="PE1" s="207">
        <v>419</v>
      </c>
      <c r="PF1" s="207">
        <v>420</v>
      </c>
      <c r="PG1" s="207">
        <v>421</v>
      </c>
      <c r="PH1" s="207">
        <v>422</v>
      </c>
      <c r="PI1" s="207">
        <v>423</v>
      </c>
      <c r="PJ1" s="207">
        <v>424</v>
      </c>
      <c r="PK1" s="207">
        <v>425</v>
      </c>
      <c r="PL1" s="207">
        <v>426</v>
      </c>
      <c r="PM1" s="207">
        <v>427</v>
      </c>
      <c r="PN1" s="207">
        <v>428</v>
      </c>
      <c r="PO1" s="207">
        <v>429</v>
      </c>
      <c r="PP1" s="207">
        <v>430</v>
      </c>
      <c r="PQ1" s="207">
        <v>431</v>
      </c>
      <c r="PR1" s="207">
        <v>432</v>
      </c>
      <c r="PS1" s="207">
        <v>433</v>
      </c>
      <c r="PT1" s="207">
        <v>434</v>
      </c>
      <c r="PU1" s="207">
        <v>435</v>
      </c>
      <c r="PV1" s="207">
        <v>436</v>
      </c>
      <c r="PW1" s="207">
        <v>437</v>
      </c>
      <c r="PX1" s="207">
        <v>438</v>
      </c>
      <c r="PY1" s="207">
        <v>439</v>
      </c>
      <c r="PZ1" s="207">
        <v>440</v>
      </c>
      <c r="QA1" s="207">
        <v>441</v>
      </c>
      <c r="QB1" s="207">
        <v>442</v>
      </c>
      <c r="QC1" s="207">
        <v>443</v>
      </c>
      <c r="QD1" s="207">
        <v>444</v>
      </c>
      <c r="QE1" s="207">
        <v>445</v>
      </c>
      <c r="QF1" s="207">
        <v>446</v>
      </c>
      <c r="QG1" s="207">
        <v>447</v>
      </c>
      <c r="QH1" s="207">
        <v>448</v>
      </c>
      <c r="QI1" s="207">
        <v>449</v>
      </c>
      <c r="QJ1" s="207">
        <v>450</v>
      </c>
      <c r="QK1" s="207">
        <v>451</v>
      </c>
      <c r="QL1" s="207">
        <v>452</v>
      </c>
      <c r="QM1" s="207">
        <v>453</v>
      </c>
      <c r="QN1" s="207">
        <v>454</v>
      </c>
      <c r="QO1" s="207">
        <v>455</v>
      </c>
      <c r="QP1" s="207">
        <v>456</v>
      </c>
      <c r="QQ1" s="207">
        <v>457</v>
      </c>
      <c r="QR1" s="207">
        <v>458</v>
      </c>
      <c r="QS1" s="207">
        <v>459</v>
      </c>
      <c r="QT1" s="207">
        <v>460</v>
      </c>
      <c r="QU1" s="207">
        <v>461</v>
      </c>
      <c r="QV1" s="207">
        <v>462</v>
      </c>
      <c r="QW1" s="207">
        <v>463</v>
      </c>
      <c r="QX1" s="207">
        <v>464</v>
      </c>
      <c r="QY1" s="207">
        <v>465</v>
      </c>
      <c r="QZ1" s="207">
        <v>466</v>
      </c>
      <c r="RA1" s="207">
        <v>467</v>
      </c>
      <c r="RB1" s="207">
        <v>468</v>
      </c>
      <c r="RC1" s="207">
        <v>469</v>
      </c>
      <c r="RD1" s="207">
        <v>470</v>
      </c>
      <c r="RE1" s="207">
        <v>471</v>
      </c>
      <c r="RF1" s="207">
        <v>472</v>
      </c>
      <c r="RG1" s="207">
        <v>473</v>
      </c>
      <c r="RH1" s="207">
        <v>474</v>
      </c>
      <c r="RI1" s="207">
        <v>475</v>
      </c>
      <c r="RJ1" s="207">
        <v>476</v>
      </c>
      <c r="RK1" s="207">
        <v>477</v>
      </c>
      <c r="RL1" s="207">
        <v>478</v>
      </c>
      <c r="RM1" s="207">
        <v>479</v>
      </c>
      <c r="RN1" s="207">
        <v>480</v>
      </c>
      <c r="RO1" s="207">
        <v>481</v>
      </c>
      <c r="RP1" s="207">
        <v>482</v>
      </c>
      <c r="RQ1" s="207">
        <v>483</v>
      </c>
      <c r="RR1" s="207">
        <v>484</v>
      </c>
      <c r="RS1" s="207">
        <v>485</v>
      </c>
      <c r="RT1" s="207">
        <v>486</v>
      </c>
      <c r="RU1" s="207">
        <v>487</v>
      </c>
      <c r="RV1" s="207">
        <v>488</v>
      </c>
      <c r="RW1" s="207">
        <v>489</v>
      </c>
      <c r="RX1" s="207">
        <v>490</v>
      </c>
      <c r="RY1" s="207">
        <v>491</v>
      </c>
      <c r="RZ1" s="207">
        <v>492</v>
      </c>
      <c r="SA1" s="207">
        <v>493</v>
      </c>
      <c r="SB1" s="207">
        <v>494</v>
      </c>
      <c r="SC1" s="207">
        <v>495</v>
      </c>
      <c r="SD1" s="207">
        <v>496</v>
      </c>
      <c r="SE1" s="207">
        <v>497</v>
      </c>
      <c r="SF1" s="207">
        <v>498</v>
      </c>
      <c r="SG1" s="207">
        <v>499</v>
      </c>
      <c r="SH1" s="207">
        <v>500</v>
      </c>
      <c r="SI1" s="207">
        <v>501</v>
      </c>
      <c r="SJ1" s="207">
        <v>502</v>
      </c>
      <c r="SK1" s="207">
        <v>503</v>
      </c>
      <c r="SL1" s="207">
        <v>504</v>
      </c>
      <c r="SM1" s="207">
        <v>505</v>
      </c>
      <c r="SN1" s="207">
        <v>506</v>
      </c>
      <c r="SO1" s="207">
        <v>507</v>
      </c>
      <c r="SP1" s="207">
        <v>508</v>
      </c>
      <c r="SQ1" s="207">
        <v>509</v>
      </c>
      <c r="SR1" s="207">
        <v>510</v>
      </c>
      <c r="SS1" s="207">
        <v>511</v>
      </c>
      <c r="ST1" s="207">
        <v>512</v>
      </c>
      <c r="SU1" s="207">
        <v>513</v>
      </c>
      <c r="SV1" s="207">
        <v>514</v>
      </c>
      <c r="SW1" s="207">
        <v>515</v>
      </c>
      <c r="SX1" s="207">
        <v>516</v>
      </c>
      <c r="SY1" s="207">
        <v>517</v>
      </c>
      <c r="SZ1" s="207">
        <v>518</v>
      </c>
      <c r="TA1" s="207">
        <v>519</v>
      </c>
      <c r="TB1" s="207">
        <v>520</v>
      </c>
      <c r="TC1" s="207">
        <v>521</v>
      </c>
      <c r="TD1" s="207">
        <v>522</v>
      </c>
      <c r="TE1" s="207">
        <v>523</v>
      </c>
      <c r="TF1" s="207">
        <v>524</v>
      </c>
      <c r="TG1" s="207">
        <v>525</v>
      </c>
      <c r="TH1" s="207">
        <v>526</v>
      </c>
      <c r="TI1" s="207">
        <v>527</v>
      </c>
      <c r="TJ1" s="207">
        <v>528</v>
      </c>
      <c r="TK1" s="207">
        <v>529</v>
      </c>
      <c r="TL1" s="207">
        <v>530</v>
      </c>
      <c r="TM1" s="207">
        <v>531</v>
      </c>
      <c r="TN1" s="207">
        <v>532</v>
      </c>
      <c r="TO1" s="207">
        <v>533</v>
      </c>
      <c r="TP1" s="207">
        <v>534</v>
      </c>
      <c r="TQ1" s="207">
        <v>535</v>
      </c>
      <c r="TR1" s="207">
        <v>536</v>
      </c>
      <c r="TS1" s="207">
        <v>537</v>
      </c>
      <c r="TT1" s="207">
        <v>538</v>
      </c>
      <c r="TU1" s="207">
        <v>539</v>
      </c>
      <c r="TV1" s="207">
        <v>540</v>
      </c>
      <c r="TW1" s="207">
        <v>541</v>
      </c>
      <c r="TX1" s="207">
        <v>542</v>
      </c>
      <c r="TY1" s="207">
        <v>543</v>
      </c>
      <c r="TZ1" s="207">
        <v>544</v>
      </c>
      <c r="UA1" s="207">
        <v>545</v>
      </c>
      <c r="UB1" s="207">
        <v>546</v>
      </c>
      <c r="UC1" s="207">
        <v>547</v>
      </c>
      <c r="UD1" s="207">
        <v>548</v>
      </c>
      <c r="UE1" s="207">
        <v>549</v>
      </c>
      <c r="UF1" s="207">
        <v>550</v>
      </c>
      <c r="UG1" s="207">
        <v>551</v>
      </c>
      <c r="UH1" s="207">
        <v>552</v>
      </c>
      <c r="UI1" s="207">
        <v>553</v>
      </c>
      <c r="UJ1" s="207">
        <v>554</v>
      </c>
      <c r="UK1" s="207">
        <v>555</v>
      </c>
      <c r="UL1" s="207">
        <v>556</v>
      </c>
      <c r="UM1" s="207">
        <v>557</v>
      </c>
      <c r="UN1" s="207">
        <v>558</v>
      </c>
      <c r="UO1" s="207">
        <v>559</v>
      </c>
      <c r="UP1" s="207">
        <v>560</v>
      </c>
      <c r="UQ1" s="207">
        <v>561</v>
      </c>
      <c r="UR1" s="207">
        <v>562</v>
      </c>
      <c r="US1" s="207">
        <v>563</v>
      </c>
      <c r="UT1" s="207">
        <v>564</v>
      </c>
      <c r="UU1" s="207">
        <v>565</v>
      </c>
      <c r="UV1" s="207">
        <v>566</v>
      </c>
      <c r="UW1" s="207">
        <v>567</v>
      </c>
      <c r="UX1" s="207">
        <v>568</v>
      </c>
      <c r="UY1" s="207">
        <v>569</v>
      </c>
      <c r="UZ1" s="207">
        <v>570</v>
      </c>
      <c r="VA1" s="207">
        <v>571</v>
      </c>
      <c r="VB1" s="207">
        <v>572</v>
      </c>
      <c r="VC1" s="207">
        <v>573</v>
      </c>
      <c r="VD1" s="207">
        <v>574</v>
      </c>
      <c r="VE1" s="207">
        <v>575</v>
      </c>
      <c r="VF1" s="207">
        <v>576</v>
      </c>
      <c r="VG1" s="207">
        <v>577</v>
      </c>
      <c r="VH1" s="207">
        <v>578</v>
      </c>
      <c r="VI1" s="207">
        <v>579</v>
      </c>
      <c r="VJ1" s="207">
        <v>580</v>
      </c>
      <c r="VK1" s="207">
        <v>581</v>
      </c>
      <c r="VL1" s="207">
        <v>582</v>
      </c>
      <c r="VM1" s="207">
        <v>583</v>
      </c>
      <c r="VN1" s="207">
        <v>584</v>
      </c>
      <c r="VO1" s="207">
        <v>585</v>
      </c>
      <c r="VP1" s="207">
        <v>586</v>
      </c>
      <c r="VQ1" s="207">
        <v>587</v>
      </c>
      <c r="VR1" s="207">
        <v>588</v>
      </c>
      <c r="VS1" s="207">
        <v>589</v>
      </c>
      <c r="VT1" s="207">
        <v>590</v>
      </c>
      <c r="VU1" s="207">
        <v>591</v>
      </c>
      <c r="VV1" s="207">
        <v>592</v>
      </c>
      <c r="VW1" s="207">
        <v>593</v>
      </c>
      <c r="VX1" s="207">
        <v>594</v>
      </c>
      <c r="VY1" s="207">
        <v>595</v>
      </c>
      <c r="VZ1" s="207">
        <v>596</v>
      </c>
      <c r="WA1" s="207">
        <v>597</v>
      </c>
      <c r="WB1" s="207">
        <v>598</v>
      </c>
      <c r="WC1" s="207">
        <v>599</v>
      </c>
      <c r="WD1" s="207">
        <v>600</v>
      </c>
      <c r="WE1" s="207">
        <v>601</v>
      </c>
      <c r="WF1" s="207">
        <v>602</v>
      </c>
      <c r="WG1" s="207">
        <v>603</v>
      </c>
      <c r="WH1" s="207">
        <v>604</v>
      </c>
      <c r="WI1" s="207">
        <v>605</v>
      </c>
      <c r="WJ1" s="207">
        <v>606</v>
      </c>
      <c r="WK1" s="207">
        <v>607</v>
      </c>
      <c r="WL1" s="207">
        <v>608</v>
      </c>
      <c r="WM1" s="207">
        <v>609</v>
      </c>
      <c r="WN1" s="207">
        <v>610</v>
      </c>
      <c r="WO1" s="207">
        <v>611</v>
      </c>
      <c r="WP1" s="207">
        <v>612</v>
      </c>
      <c r="WQ1" s="207">
        <v>613</v>
      </c>
      <c r="WR1" s="207">
        <v>614</v>
      </c>
      <c r="WS1" s="207">
        <v>615</v>
      </c>
      <c r="WT1" s="207">
        <v>616</v>
      </c>
      <c r="WU1" s="207">
        <v>617</v>
      </c>
      <c r="WV1" s="207">
        <v>618</v>
      </c>
      <c r="WW1" s="207">
        <v>619</v>
      </c>
      <c r="WX1" s="207">
        <v>620</v>
      </c>
      <c r="WY1" s="207">
        <v>621</v>
      </c>
      <c r="WZ1" s="207">
        <v>622</v>
      </c>
      <c r="XA1" s="207">
        <v>623</v>
      </c>
      <c r="XB1" s="207">
        <v>624</v>
      </c>
      <c r="XC1" s="207">
        <v>625</v>
      </c>
      <c r="XD1" s="207">
        <v>626</v>
      </c>
      <c r="XE1" s="207">
        <v>627</v>
      </c>
      <c r="XF1" s="207">
        <v>628</v>
      </c>
      <c r="XG1" s="207">
        <v>629</v>
      </c>
      <c r="XH1" s="207">
        <v>630</v>
      </c>
      <c r="XI1" s="207">
        <v>631</v>
      </c>
      <c r="XJ1" s="207">
        <v>632</v>
      </c>
      <c r="XK1" s="207">
        <v>633</v>
      </c>
      <c r="XL1" s="207">
        <v>634</v>
      </c>
      <c r="XM1" s="207">
        <v>635</v>
      </c>
      <c r="XN1" s="207">
        <v>636</v>
      </c>
      <c r="XO1" s="207">
        <v>637</v>
      </c>
      <c r="XP1" s="207">
        <v>638</v>
      </c>
      <c r="XQ1" s="207">
        <v>639</v>
      </c>
      <c r="XR1" s="207">
        <v>640</v>
      </c>
      <c r="XS1" s="207">
        <v>641</v>
      </c>
      <c r="XT1" s="207">
        <v>642</v>
      </c>
      <c r="XU1" s="207">
        <v>643</v>
      </c>
      <c r="XV1" s="207">
        <v>644</v>
      </c>
      <c r="XW1" s="207">
        <v>645</v>
      </c>
      <c r="XX1" s="207">
        <v>646</v>
      </c>
      <c r="XY1" s="207">
        <v>647</v>
      </c>
      <c r="XZ1" s="207">
        <v>648</v>
      </c>
      <c r="YA1" s="207">
        <v>649</v>
      </c>
      <c r="YB1" s="207">
        <v>650</v>
      </c>
      <c r="YC1" s="207">
        <v>651</v>
      </c>
      <c r="YD1" s="207">
        <v>652</v>
      </c>
      <c r="YE1" s="207">
        <v>653</v>
      </c>
      <c r="YF1" s="207">
        <v>654</v>
      </c>
      <c r="YG1" s="207">
        <v>655</v>
      </c>
      <c r="YH1" s="207">
        <v>656</v>
      </c>
      <c r="YI1" s="207">
        <v>657</v>
      </c>
      <c r="YJ1" s="207">
        <v>658</v>
      </c>
      <c r="YK1" s="207">
        <v>659</v>
      </c>
      <c r="YL1" s="207">
        <v>660</v>
      </c>
      <c r="YM1" s="207">
        <v>661</v>
      </c>
      <c r="YN1" s="207">
        <v>662</v>
      </c>
      <c r="YO1" s="207">
        <v>663</v>
      </c>
      <c r="YP1" s="207">
        <v>664</v>
      </c>
      <c r="YQ1" s="207">
        <v>665</v>
      </c>
      <c r="YR1" s="207">
        <v>666</v>
      </c>
      <c r="YS1" s="207">
        <v>667</v>
      </c>
      <c r="YT1" s="207">
        <v>668</v>
      </c>
      <c r="YU1" s="207">
        <v>669</v>
      </c>
      <c r="YV1" s="207">
        <v>670</v>
      </c>
      <c r="YW1" s="207">
        <v>671</v>
      </c>
      <c r="YX1" s="207">
        <v>672</v>
      </c>
      <c r="YY1" s="207">
        <v>673</v>
      </c>
      <c r="YZ1" s="207">
        <v>674</v>
      </c>
      <c r="ZA1" s="207">
        <v>675</v>
      </c>
      <c r="ZB1" s="207">
        <v>676</v>
      </c>
      <c r="ZC1" s="207">
        <v>677</v>
      </c>
      <c r="ZD1" s="207">
        <v>678</v>
      </c>
      <c r="ZE1" s="207">
        <v>679</v>
      </c>
      <c r="ZF1" s="207">
        <v>680</v>
      </c>
      <c r="ZG1" s="207">
        <v>681</v>
      </c>
      <c r="ZH1" s="207">
        <v>682</v>
      </c>
      <c r="ZI1" s="207">
        <v>683</v>
      </c>
      <c r="ZJ1" s="207">
        <v>684</v>
      </c>
      <c r="ZK1" s="207">
        <v>685</v>
      </c>
      <c r="ZL1" s="207">
        <v>686</v>
      </c>
      <c r="ZM1" s="207">
        <v>687</v>
      </c>
      <c r="ZN1" s="207">
        <v>688</v>
      </c>
      <c r="ZO1" s="207">
        <v>689</v>
      </c>
      <c r="ZP1" s="207">
        <v>690</v>
      </c>
      <c r="ZQ1" s="207">
        <v>691</v>
      </c>
      <c r="ZR1" s="207">
        <v>692</v>
      </c>
      <c r="ZS1" s="207">
        <v>693</v>
      </c>
      <c r="ZT1" s="207">
        <v>694</v>
      </c>
      <c r="ZU1" s="207">
        <v>695</v>
      </c>
      <c r="ZV1" s="207">
        <v>696</v>
      </c>
      <c r="ZW1" s="207">
        <v>697</v>
      </c>
      <c r="ZX1" s="207">
        <v>698</v>
      </c>
      <c r="ZY1" s="207">
        <v>699</v>
      </c>
      <c r="ZZ1" s="207">
        <v>700</v>
      </c>
      <c r="AAA1" s="207">
        <v>701</v>
      </c>
      <c r="AAB1" s="207">
        <v>702</v>
      </c>
      <c r="AAC1" s="207">
        <v>703</v>
      </c>
      <c r="AAD1" s="207">
        <v>704</v>
      </c>
      <c r="AAE1" s="207">
        <v>705</v>
      </c>
      <c r="AAF1" s="207">
        <v>706</v>
      </c>
      <c r="AAG1" s="207">
        <v>707</v>
      </c>
      <c r="AAH1" s="207">
        <v>708</v>
      </c>
      <c r="AAI1" s="207">
        <v>709</v>
      </c>
      <c r="AAJ1" s="207">
        <v>710</v>
      </c>
      <c r="AAK1" s="207">
        <v>711</v>
      </c>
      <c r="AAL1" s="207">
        <v>712</v>
      </c>
      <c r="AAM1" s="207">
        <v>713</v>
      </c>
      <c r="AAN1" s="207">
        <v>714</v>
      </c>
      <c r="AAO1" s="207">
        <v>715</v>
      </c>
      <c r="AAP1" s="207">
        <v>716</v>
      </c>
      <c r="AAQ1" s="207">
        <v>717</v>
      </c>
      <c r="AAR1" s="207">
        <v>718</v>
      </c>
      <c r="AAS1" s="207">
        <v>719</v>
      </c>
      <c r="AAT1" s="207">
        <v>720</v>
      </c>
      <c r="AAU1" s="207">
        <v>721</v>
      </c>
      <c r="AAV1" s="207">
        <v>722</v>
      </c>
      <c r="AAW1" s="207">
        <v>723</v>
      </c>
      <c r="AAX1" s="207">
        <v>724</v>
      </c>
      <c r="AAY1" s="207">
        <v>725</v>
      </c>
      <c r="AAZ1" s="207">
        <v>726</v>
      </c>
      <c r="ABA1" s="207">
        <v>727</v>
      </c>
      <c r="ABB1" s="207">
        <v>728</v>
      </c>
      <c r="ABC1" s="207">
        <v>729</v>
      </c>
      <c r="ABD1" s="207">
        <v>730</v>
      </c>
      <c r="ABE1" s="207">
        <v>731</v>
      </c>
      <c r="ABF1" s="207">
        <v>732</v>
      </c>
      <c r="ABG1" s="207">
        <v>733</v>
      </c>
      <c r="ABH1" s="207">
        <v>734</v>
      </c>
      <c r="ABI1" s="207">
        <v>735</v>
      </c>
      <c r="ABJ1" s="207">
        <v>736</v>
      </c>
      <c r="ABK1" s="207">
        <v>737</v>
      </c>
      <c r="ABL1" s="207">
        <v>738</v>
      </c>
      <c r="ABM1" s="207">
        <v>739</v>
      </c>
      <c r="ABN1" s="207">
        <v>740</v>
      </c>
      <c r="ABO1" s="207">
        <v>741</v>
      </c>
      <c r="ABP1" s="207">
        <v>742</v>
      </c>
      <c r="ABQ1" s="207">
        <v>743</v>
      </c>
      <c r="ABR1" s="207">
        <v>744</v>
      </c>
      <c r="ABS1" s="207">
        <v>745</v>
      </c>
      <c r="ABT1" s="207">
        <v>746</v>
      </c>
      <c r="ABU1" s="207">
        <v>747</v>
      </c>
      <c r="ABV1" s="207">
        <v>748</v>
      </c>
      <c r="ABW1" s="207">
        <v>749</v>
      </c>
      <c r="ABX1" s="207">
        <v>750</v>
      </c>
      <c r="ABY1" s="207">
        <v>751</v>
      </c>
      <c r="ABZ1" s="207">
        <v>752</v>
      </c>
      <c r="ACA1" s="207">
        <v>753</v>
      </c>
      <c r="ACB1" s="207">
        <v>754</v>
      </c>
      <c r="ACC1" s="207">
        <v>755</v>
      </c>
      <c r="ACD1" s="207">
        <v>756</v>
      </c>
      <c r="ACE1" s="207">
        <v>757</v>
      </c>
      <c r="ACF1" s="207">
        <v>758</v>
      </c>
      <c r="ACG1" s="207">
        <v>759</v>
      </c>
      <c r="ACH1" s="207">
        <v>760</v>
      </c>
      <c r="ACI1" s="207">
        <v>761</v>
      </c>
      <c r="ACJ1" s="207">
        <v>762</v>
      </c>
      <c r="ACK1" s="207">
        <v>763</v>
      </c>
      <c r="ACL1" s="207">
        <v>764</v>
      </c>
      <c r="ACM1" s="207">
        <v>765</v>
      </c>
      <c r="ACN1" s="207">
        <v>766</v>
      </c>
      <c r="ACO1" s="207">
        <v>767</v>
      </c>
      <c r="ACP1" s="207">
        <v>768</v>
      </c>
      <c r="ACQ1" s="207">
        <v>769</v>
      </c>
      <c r="ACR1" s="207">
        <v>770</v>
      </c>
      <c r="ACS1" s="207">
        <v>771</v>
      </c>
      <c r="ACT1" s="207">
        <v>772</v>
      </c>
      <c r="ACU1" s="207">
        <v>773</v>
      </c>
      <c r="ACV1" s="207">
        <v>774</v>
      </c>
      <c r="ACW1" s="207">
        <v>775</v>
      </c>
      <c r="ACX1" s="207">
        <v>776</v>
      </c>
      <c r="ACY1" s="207">
        <v>777</v>
      </c>
      <c r="ACZ1" s="207">
        <v>778</v>
      </c>
      <c r="ADA1" s="207">
        <v>779</v>
      </c>
      <c r="ADB1" s="207">
        <v>780</v>
      </c>
      <c r="ADC1" s="207">
        <v>781</v>
      </c>
      <c r="ADD1" s="207">
        <v>782</v>
      </c>
      <c r="ADE1" s="207">
        <v>783</v>
      </c>
      <c r="ADF1" s="207">
        <v>784</v>
      </c>
      <c r="ADG1" s="207">
        <v>785</v>
      </c>
      <c r="ADH1" s="207">
        <v>786</v>
      </c>
      <c r="ADI1" s="207">
        <v>787</v>
      </c>
      <c r="ADJ1" s="207">
        <v>788</v>
      </c>
      <c r="ADK1" s="207">
        <v>789</v>
      </c>
      <c r="ADL1" s="207">
        <v>790</v>
      </c>
      <c r="ADM1" s="207">
        <v>791</v>
      </c>
      <c r="ADN1" s="207">
        <v>792</v>
      </c>
      <c r="ADO1" s="207">
        <v>793</v>
      </c>
      <c r="ADP1" s="207">
        <v>794</v>
      </c>
      <c r="ADQ1" s="207">
        <v>795</v>
      </c>
      <c r="ADR1" s="207">
        <v>796</v>
      </c>
      <c r="ADS1" s="207">
        <v>797</v>
      </c>
      <c r="ADT1" s="207">
        <v>798</v>
      </c>
      <c r="ADU1" s="207">
        <v>799</v>
      </c>
      <c r="ADV1" s="207">
        <v>800</v>
      </c>
      <c r="ADW1" s="207">
        <v>801</v>
      </c>
      <c r="ADX1" s="207">
        <v>802</v>
      </c>
      <c r="ADY1" s="207">
        <v>803</v>
      </c>
      <c r="ADZ1" s="207">
        <v>804</v>
      </c>
      <c r="AEA1" s="207">
        <v>805</v>
      </c>
      <c r="AEB1" s="207">
        <v>806</v>
      </c>
      <c r="AEC1" s="207">
        <v>807</v>
      </c>
      <c r="AED1" s="207">
        <v>808</v>
      </c>
      <c r="AEE1" s="207">
        <v>809</v>
      </c>
      <c r="AEF1" s="207">
        <v>810</v>
      </c>
      <c r="AEG1" s="207">
        <v>811</v>
      </c>
      <c r="AEH1" s="207">
        <v>812</v>
      </c>
      <c r="AEI1" s="207">
        <v>813</v>
      </c>
      <c r="AEJ1" s="207">
        <v>814</v>
      </c>
      <c r="AEK1" s="207">
        <v>815</v>
      </c>
      <c r="AEL1" s="207">
        <v>816</v>
      </c>
      <c r="AEM1" s="207">
        <v>817</v>
      </c>
      <c r="AEN1" s="207">
        <v>818</v>
      </c>
      <c r="AEO1" s="207">
        <v>819</v>
      </c>
      <c r="AEP1" s="207">
        <v>820</v>
      </c>
      <c r="AEQ1" s="207">
        <v>821</v>
      </c>
      <c r="AER1" s="207">
        <v>822</v>
      </c>
      <c r="AES1" s="207">
        <v>823</v>
      </c>
      <c r="AET1" s="207">
        <v>824</v>
      </c>
      <c r="AEU1" s="207">
        <v>825</v>
      </c>
      <c r="AEV1" s="207">
        <v>826</v>
      </c>
      <c r="AEW1" s="207">
        <v>827</v>
      </c>
      <c r="AEX1" s="207">
        <v>828</v>
      </c>
      <c r="AEY1" s="207">
        <v>829</v>
      </c>
      <c r="AEZ1" s="207">
        <v>830</v>
      </c>
      <c r="AFA1" s="207">
        <v>831</v>
      </c>
      <c r="AFB1" s="207">
        <v>832</v>
      </c>
      <c r="AFC1" s="207">
        <v>833</v>
      </c>
      <c r="AFD1" s="207">
        <v>834</v>
      </c>
      <c r="AFE1" s="207">
        <v>835</v>
      </c>
      <c r="AFF1" s="207">
        <v>836</v>
      </c>
      <c r="AFG1" s="207">
        <v>837</v>
      </c>
      <c r="AFH1" s="207">
        <v>838</v>
      </c>
      <c r="AFI1" s="207">
        <v>839</v>
      </c>
      <c r="AFJ1" s="207">
        <v>840</v>
      </c>
      <c r="AFK1" s="207">
        <v>841</v>
      </c>
      <c r="AFL1" s="207">
        <v>842</v>
      </c>
      <c r="AFM1" s="207">
        <v>843</v>
      </c>
      <c r="AFN1" s="207">
        <v>844</v>
      </c>
      <c r="AFO1" s="207">
        <v>845</v>
      </c>
      <c r="AFP1" s="207">
        <v>846</v>
      </c>
      <c r="AFQ1" s="207">
        <v>847</v>
      </c>
      <c r="AFR1" s="207">
        <v>848</v>
      </c>
      <c r="AFS1" s="207">
        <v>849</v>
      </c>
      <c r="AFT1" s="207">
        <v>850</v>
      </c>
      <c r="AFU1" s="207">
        <v>851</v>
      </c>
      <c r="AFV1" s="207">
        <v>852</v>
      </c>
      <c r="AFW1" s="207">
        <v>853</v>
      </c>
      <c r="AFX1" s="207">
        <v>854</v>
      </c>
      <c r="AFY1" s="207">
        <v>855</v>
      </c>
      <c r="AFZ1" s="207">
        <v>856</v>
      </c>
      <c r="AGA1" s="207">
        <v>857</v>
      </c>
      <c r="AGB1" s="207">
        <v>858</v>
      </c>
      <c r="AGC1" s="207">
        <v>859</v>
      </c>
      <c r="AGD1" s="207">
        <v>860</v>
      </c>
      <c r="AGE1" s="207">
        <v>861</v>
      </c>
      <c r="AGF1" s="207">
        <v>862</v>
      </c>
      <c r="AGG1" s="207">
        <v>863</v>
      </c>
      <c r="AGH1" s="207">
        <v>864</v>
      </c>
      <c r="AGI1" s="207">
        <v>865</v>
      </c>
      <c r="AGJ1" s="207">
        <v>866</v>
      </c>
      <c r="AGK1" s="207">
        <v>867</v>
      </c>
      <c r="AGL1" s="207">
        <v>868</v>
      </c>
      <c r="AGM1" s="207">
        <v>869</v>
      </c>
      <c r="AGN1" s="207">
        <v>870</v>
      </c>
      <c r="AGO1" s="207">
        <v>871</v>
      </c>
      <c r="AGP1" s="207">
        <v>872</v>
      </c>
      <c r="AGQ1" s="207">
        <v>873</v>
      </c>
      <c r="AGR1" s="207">
        <v>874</v>
      </c>
      <c r="AGS1" s="207">
        <v>875</v>
      </c>
      <c r="AGT1" s="207">
        <v>876</v>
      </c>
      <c r="AGU1" s="207">
        <v>877</v>
      </c>
      <c r="AGV1" s="207">
        <v>878</v>
      </c>
      <c r="AGW1" s="207">
        <v>879</v>
      </c>
      <c r="AGX1" s="207">
        <v>880</v>
      </c>
      <c r="AGY1" s="207">
        <v>881</v>
      </c>
      <c r="AGZ1" s="207">
        <v>882</v>
      </c>
      <c r="AHA1" s="207">
        <v>883</v>
      </c>
      <c r="AHB1" s="207">
        <v>884</v>
      </c>
      <c r="AHC1" s="207">
        <v>885</v>
      </c>
      <c r="AHD1" s="207">
        <v>886</v>
      </c>
      <c r="AHE1" s="207">
        <v>887</v>
      </c>
      <c r="AHF1" s="207">
        <v>888</v>
      </c>
      <c r="AHG1" s="207">
        <v>889</v>
      </c>
      <c r="AHH1" s="207">
        <v>890</v>
      </c>
      <c r="AHI1" s="207">
        <v>891</v>
      </c>
      <c r="AHJ1" s="207">
        <v>892</v>
      </c>
      <c r="AHK1" s="207">
        <v>893</v>
      </c>
      <c r="AHL1" s="207">
        <v>894</v>
      </c>
      <c r="AHM1" s="207">
        <v>895</v>
      </c>
      <c r="AHN1" s="207">
        <v>896</v>
      </c>
      <c r="AHO1" s="207">
        <v>897</v>
      </c>
      <c r="AHP1" s="207">
        <v>898</v>
      </c>
      <c r="AHQ1" s="207">
        <v>899</v>
      </c>
      <c r="AHR1" s="207">
        <v>900</v>
      </c>
      <c r="AHS1" s="207">
        <v>901</v>
      </c>
      <c r="AHT1" s="207">
        <v>902</v>
      </c>
      <c r="AHU1" s="207">
        <v>903</v>
      </c>
      <c r="AHV1" s="207">
        <v>904</v>
      </c>
      <c r="AHW1" s="207">
        <v>905</v>
      </c>
      <c r="AHX1" s="207">
        <v>906</v>
      </c>
      <c r="AHY1" s="207">
        <v>907</v>
      </c>
      <c r="AHZ1" s="207">
        <v>908</v>
      </c>
      <c r="AIA1" s="207">
        <v>909</v>
      </c>
      <c r="AIB1" s="207">
        <v>910</v>
      </c>
      <c r="AIC1" s="207">
        <v>911</v>
      </c>
      <c r="AID1" s="207">
        <v>912</v>
      </c>
      <c r="AIE1" s="207">
        <v>913</v>
      </c>
      <c r="AIF1" s="207">
        <v>914</v>
      </c>
      <c r="AIG1" s="207">
        <v>915</v>
      </c>
      <c r="AIH1" s="207">
        <v>916</v>
      </c>
      <c r="AII1" s="207">
        <v>917</v>
      </c>
      <c r="AIJ1" s="207">
        <v>918</v>
      </c>
      <c r="AIK1" s="207">
        <v>919</v>
      </c>
      <c r="AIL1" s="207">
        <v>920</v>
      </c>
      <c r="AIM1" s="207">
        <v>921</v>
      </c>
      <c r="AIN1" s="207">
        <v>922</v>
      </c>
      <c r="AIO1" s="207">
        <v>923</v>
      </c>
      <c r="AIP1" s="207">
        <v>924</v>
      </c>
      <c r="AIQ1" s="207">
        <v>925</v>
      </c>
      <c r="AIR1" s="207">
        <v>926</v>
      </c>
      <c r="AIS1" s="207">
        <v>927</v>
      </c>
      <c r="AIT1" s="207">
        <v>928</v>
      </c>
      <c r="AIU1" s="207">
        <v>929</v>
      </c>
      <c r="AIV1" s="207">
        <v>930</v>
      </c>
      <c r="AIW1" s="207">
        <v>931</v>
      </c>
      <c r="AIX1" s="207">
        <v>932</v>
      </c>
      <c r="AIY1" s="207">
        <v>933</v>
      </c>
      <c r="AIZ1" s="207">
        <v>934</v>
      </c>
      <c r="AJA1" s="207">
        <v>935</v>
      </c>
    </row>
    <row r="2" spans="1:1024" s="204" customFormat="1" ht="22.15" customHeight="1" x14ac:dyDescent="0.25">
      <c r="A2" s="286" t="s">
        <v>24</v>
      </c>
      <c r="B2" s="286"/>
      <c r="C2" s="205">
        <f>C34+C47+C60+C73+C86+C99+C112+C125+C138+C151+C164+C177+C190</f>
        <v>2.5</v>
      </c>
      <c r="D2" s="205">
        <f>D34+D47+D60+D73+D86+D99+D112+D125+D138+D151+D164+D177+D190</f>
        <v>2.7458928571428571</v>
      </c>
      <c r="E2" s="205">
        <f>E34+E47+E60+E73+E86+E99+E112+E125+E138+E151+E164+E177+E190</f>
        <v>3.0145000191326532</v>
      </c>
      <c r="F2" s="205">
        <f>F34+F47+F60+F73+F86+F99+F112+F125+F138+F151+F164+F177+F190</f>
        <v>3.3030458455254204</v>
      </c>
      <c r="G2" s="205">
        <f t="shared" ref="G2:BO2" si="0">G34+G47+G60+G73+G86+G99+G112+G125+G138+G151+G164+G177+G190</f>
        <v>3.6180521124776339</v>
      </c>
      <c r="H2" s="205">
        <f t="shared" si="0"/>
        <v>3.9605610457921832</v>
      </c>
      <c r="I2" s="205">
        <f t="shared" si="0"/>
        <v>4.326161801639965</v>
      </c>
      <c r="J2" s="205">
        <f t="shared" si="0"/>
        <v>4.7232736194318816</v>
      </c>
      <c r="K2" s="205">
        <f t="shared" si="0"/>
        <v>5.1461266915986474</v>
      </c>
      <c r="L2" s="205">
        <f t="shared" si="0"/>
        <v>5.603346964774242</v>
      </c>
      <c r="M2" s="205">
        <f t="shared" si="0"/>
        <v>6.0954917778498379</v>
      </c>
      <c r="N2" s="205">
        <f t="shared" si="0"/>
        <v>6.615640409559691</v>
      </c>
      <c r="O2" s="205">
        <f t="shared" si="0"/>
        <v>7.1735594174325588</v>
      </c>
      <c r="P2" s="205">
        <f t="shared" si="0"/>
        <v>7.7613208923231802</v>
      </c>
      <c r="Q2" s="205">
        <f t="shared" si="0"/>
        <v>8.3896061802951785</v>
      </c>
      <c r="R2" s="205">
        <f t="shared" si="0"/>
        <v>9.0480549492196349</v>
      </c>
      <c r="S2" s="205">
        <f t="shared" si="0"/>
        <v>9.7479657804528195</v>
      </c>
      <c r="T2" s="205">
        <f t="shared" si="0"/>
        <v>10.477361188215589</v>
      </c>
      <c r="U2" s="205">
        <f t="shared" si="0"/>
        <v>11.249692384375482</v>
      </c>
      <c r="V2" s="205">
        <f t="shared" si="0"/>
        <v>12.053342284084305</v>
      </c>
      <c r="W2" s="205">
        <f t="shared" si="0"/>
        <v>12.90121958038036</v>
      </c>
      <c r="X2" s="205">
        <f t="shared" si="0"/>
        <v>13.78048731485859</v>
      </c>
      <c r="Y2" s="205">
        <f t="shared" si="0"/>
        <v>14.702719927468356</v>
      </c>
      <c r="Z2" s="205">
        <f t="shared" si="0"/>
        <v>15.655723500948806</v>
      </c>
      <c r="AA2" s="205">
        <f t="shared" si="0"/>
        <v>16.653894478100209</v>
      </c>
      <c r="AB2" s="205">
        <f t="shared" si="0"/>
        <v>17.700566512875355</v>
      </c>
      <c r="AC2" s="205">
        <f t="shared" si="0"/>
        <v>18.780036882600857</v>
      </c>
      <c r="AD2" s="205">
        <f t="shared" si="0"/>
        <v>19.908520889904604</v>
      </c>
      <c r="AE2" s="205">
        <f t="shared" si="0"/>
        <v>21.06907054883963</v>
      </c>
      <c r="AF2" s="205">
        <f t="shared" si="0"/>
        <v>22.278683069761243</v>
      </c>
      <c r="AG2" s="205">
        <f t="shared" si="0"/>
        <v>23.538083918587155</v>
      </c>
      <c r="AH2" s="205">
        <f t="shared" si="0"/>
        <v>24.828243822646527</v>
      </c>
      <c r="AI2" s="205">
        <f t="shared" si="0"/>
        <v>26.167529670586966</v>
      </c>
      <c r="AJ2" s="205">
        <f t="shared" si="0"/>
        <v>27.556304940930293</v>
      </c>
      <c r="AK2" s="205">
        <f t="shared" si="0"/>
        <v>28.973486337892421</v>
      </c>
      <c r="AL2" s="205">
        <f t="shared" si="0"/>
        <v>30.438716932694408</v>
      </c>
      <c r="AM2" s="205">
        <f t="shared" si="0"/>
        <v>31.925498204843478</v>
      </c>
      <c r="AN2" s="205">
        <f t="shared" si="0"/>
        <v>33.457922118675967</v>
      </c>
      <c r="AO2" s="205">
        <f t="shared" si="0"/>
        <v>35.030915696593432</v>
      </c>
      <c r="AP2" s="205">
        <f t="shared" si="0"/>
        <v>36.624822360788428</v>
      </c>
      <c r="AQ2" s="205">
        <f t="shared" si="0"/>
        <v>38.260731092903647</v>
      </c>
      <c r="AR2" s="205">
        <f t="shared" si="0"/>
        <v>39.932512482046356</v>
      </c>
      <c r="AS2" s="205">
        <f t="shared" si="0"/>
        <v>41.619524379233077</v>
      </c>
      <c r="AT2" s="205">
        <f t="shared" si="0"/>
        <v>43.337897618671555</v>
      </c>
      <c r="AU2" s="205">
        <f t="shared" si="0"/>
        <v>45.091598297651771</v>
      </c>
      <c r="AV2" s="205">
        <f t="shared" si="0"/>
        <v>46.85382670679784</v>
      </c>
      <c r="AW2" s="205">
        <f t="shared" si="0"/>
        <v>48.646935318063406</v>
      </c>
      <c r="AX2" s="205">
        <f t="shared" si="0"/>
        <v>50.469223219437346</v>
      </c>
      <c r="AY2" s="205">
        <f t="shared" si="0"/>
        <v>52.292844485099678</v>
      </c>
      <c r="AZ2" s="205">
        <f t="shared" si="0"/>
        <v>54.140524990239868</v>
      </c>
      <c r="BA2" s="205">
        <f t="shared" si="0"/>
        <v>55.984152341223293</v>
      </c>
      <c r="BB2" s="205">
        <f t="shared" si="0"/>
        <v>58.372184036540851</v>
      </c>
      <c r="BC2" s="205">
        <f t="shared" si="0"/>
        <v>60.432452554238743</v>
      </c>
      <c r="BD2" s="205">
        <f t="shared" si="0"/>
        <v>62.503577412737791</v>
      </c>
      <c r="BE2" s="205">
        <f t="shared" si="0"/>
        <v>64.604608636083768</v>
      </c>
      <c r="BF2" s="205">
        <f t="shared" si="0"/>
        <v>66.755477289984398</v>
      </c>
      <c r="BG2" s="205">
        <f t="shared" si="0"/>
        <v>68.930590461784533</v>
      </c>
      <c r="BH2" s="205">
        <f t="shared" si="0"/>
        <v>71.140340514132404</v>
      </c>
      <c r="BI2" s="205">
        <f t="shared" si="0"/>
        <v>73.399683415526354</v>
      </c>
      <c r="BJ2" s="205">
        <f t="shared" si="0"/>
        <v>75.70145262237088</v>
      </c>
      <c r="BK2" s="205">
        <f t="shared" si="0"/>
        <v>78.027049374624653</v>
      </c>
      <c r="BL2" s="205">
        <f t="shared" si="0"/>
        <v>80.400376938902937</v>
      </c>
      <c r="BM2" s="205">
        <f t="shared" si="0"/>
        <v>82.8035430401372</v>
      </c>
      <c r="BN2" s="205">
        <f t="shared" si="0"/>
        <v>85.253622363974529</v>
      </c>
      <c r="BO2" s="205">
        <f t="shared" si="0"/>
        <v>87.715305349582167</v>
      </c>
      <c r="BP2" s="205">
        <f t="shared" ref="BP2:EA2" si="1">BP34+BP47+BP60+BP73+BP86+BP99+BP112+BP125+BP138+BP151+BP164+BP177+BP190</f>
        <v>90.2325035203569</v>
      </c>
      <c r="BQ2" s="205">
        <f t="shared" si="1"/>
        <v>92.793799652437784</v>
      </c>
      <c r="BR2" s="205">
        <f t="shared" si="1"/>
        <v>95.409394393757083</v>
      </c>
      <c r="BS2" s="205">
        <f t="shared" si="1"/>
        <v>98.066171945319184</v>
      </c>
      <c r="BT2" s="205">
        <f t="shared" si="1"/>
        <v>100.75031817133784</v>
      </c>
      <c r="BU2" s="205">
        <f t="shared" si="1"/>
        <v>103.47436421447556</v>
      </c>
      <c r="BV2" s="205">
        <f t="shared" si="1"/>
        <v>106.24998355345195</v>
      </c>
      <c r="BW2" s="205">
        <f t="shared" si="1"/>
        <v>109.06306889221185</v>
      </c>
      <c r="BX2" s="205">
        <f t="shared" si="1"/>
        <v>111.89792503258165</v>
      </c>
      <c r="BY2" s="205">
        <f t="shared" si="1"/>
        <v>114.76638533106043</v>
      </c>
      <c r="BZ2" s="205">
        <f t="shared" si="1"/>
        <v>117.69358821407596</v>
      </c>
      <c r="CA2" s="205">
        <f t="shared" si="1"/>
        <v>120.68219387480109</v>
      </c>
      <c r="CB2" s="205">
        <f t="shared" si="1"/>
        <v>123.71580341739435</v>
      </c>
      <c r="CC2" s="205">
        <f t="shared" si="1"/>
        <v>126.78370267607609</v>
      </c>
      <c r="CD2" s="205">
        <f t="shared" si="1"/>
        <v>129.8937586630143</v>
      </c>
      <c r="CE2" s="205">
        <f t="shared" si="1"/>
        <v>133.06221556999105</v>
      </c>
      <c r="CF2" s="205">
        <f t="shared" si="1"/>
        <v>136.28902517671261</v>
      </c>
      <c r="CG2" s="205">
        <f t="shared" si="1"/>
        <v>139.55436422040228</v>
      </c>
      <c r="CH2" s="205">
        <f t="shared" si="1"/>
        <v>142.87578569063646</v>
      </c>
      <c r="CI2" s="205">
        <f t="shared" si="1"/>
        <v>146.25281968402015</v>
      </c>
      <c r="CJ2" s="205">
        <f t="shared" si="1"/>
        <v>149.65110243419434</v>
      </c>
      <c r="CK2" s="205">
        <f t="shared" si="1"/>
        <v>153.11613352430649</v>
      </c>
      <c r="CL2" s="205">
        <f t="shared" si="1"/>
        <v>156.62125038847469</v>
      </c>
      <c r="CM2" s="205">
        <f t="shared" si="1"/>
        <v>160.19037158797317</v>
      </c>
      <c r="CN2" s="205">
        <f t="shared" si="1"/>
        <v>163.8182413108571</v>
      </c>
      <c r="CO2" s="205">
        <f t="shared" si="1"/>
        <v>167.48501064446259</v>
      </c>
      <c r="CP2" s="205">
        <f t="shared" si="1"/>
        <v>171.1838917565793</v>
      </c>
      <c r="CQ2" s="205">
        <f t="shared" si="1"/>
        <v>174.93552965963599</v>
      </c>
      <c r="CR2" s="205">
        <f t="shared" si="1"/>
        <v>178.71905900005115</v>
      </c>
      <c r="CS2" s="205">
        <f t="shared" si="1"/>
        <v>182.55037800835166</v>
      </c>
      <c r="CT2" s="205">
        <f t="shared" si="1"/>
        <v>186.43321074035049</v>
      </c>
      <c r="CU2" s="205">
        <f t="shared" si="1"/>
        <v>190.34050597362693</v>
      </c>
      <c r="CV2" s="205">
        <f t="shared" si="1"/>
        <v>194.294355166793</v>
      </c>
      <c r="CW2" s="205">
        <f t="shared" si="1"/>
        <v>198.29278687061264</v>
      </c>
      <c r="CX2" s="205">
        <f t="shared" si="1"/>
        <v>202.27875747433518</v>
      </c>
      <c r="CY2" s="205">
        <f t="shared" si="1"/>
        <v>206.30297774006337</v>
      </c>
      <c r="CZ2" s="205">
        <f t="shared" si="1"/>
        <v>210.33703667830588</v>
      </c>
      <c r="DA2" s="205">
        <f t="shared" si="1"/>
        <v>212.41636260494926</v>
      </c>
      <c r="DB2" s="205">
        <f t="shared" si="1"/>
        <v>216.65832658190669</v>
      </c>
      <c r="DC2" s="205">
        <f t="shared" si="1"/>
        <v>220.92387999651527</v>
      </c>
      <c r="DD2" s="205">
        <f t="shared" si="1"/>
        <v>225.23174287678412</v>
      </c>
      <c r="DE2" s="205">
        <f t="shared" si="1"/>
        <v>229.60150729205631</v>
      </c>
      <c r="DF2" s="205">
        <f t="shared" si="1"/>
        <v>233.97784955905684</v>
      </c>
      <c r="DG2" s="205">
        <f t="shared" si="1"/>
        <v>238.3996123022946</v>
      </c>
      <c r="DH2" s="205">
        <f t="shared" si="1"/>
        <v>242.90061394972301</v>
      </c>
      <c r="DI2" s="205">
        <f t="shared" si="1"/>
        <v>247.45460241745869</v>
      </c>
      <c r="DJ2" s="205">
        <f t="shared" si="1"/>
        <v>252.0426027290822</v>
      </c>
      <c r="DK2" s="205">
        <f t="shared" si="1"/>
        <v>256.68813338083942</v>
      </c>
      <c r="DL2" s="205">
        <f t="shared" si="1"/>
        <v>261.37290883556363</v>
      </c>
      <c r="DM2" s="205">
        <f t="shared" si="1"/>
        <v>266.08351399458388</v>
      </c>
      <c r="DN2" s="205">
        <f t="shared" si="1"/>
        <v>270.81379016610282</v>
      </c>
      <c r="DO2" s="205">
        <f t="shared" si="1"/>
        <v>275.60723540948294</v>
      </c>
      <c r="DP2" s="205">
        <f t="shared" si="1"/>
        <v>280.47307650391275</v>
      </c>
      <c r="DQ2" s="205">
        <f t="shared" si="1"/>
        <v>285.40053870099342</v>
      </c>
      <c r="DR2" s="205">
        <f t="shared" si="1"/>
        <v>290.3760718092143</v>
      </c>
      <c r="DS2" s="205">
        <f t="shared" si="1"/>
        <v>295.38541955176908</v>
      </c>
      <c r="DT2" s="205">
        <f t="shared" si="1"/>
        <v>300.41009623144856</v>
      </c>
      <c r="DU2" s="205">
        <f t="shared" si="1"/>
        <v>305.51354017808626</v>
      </c>
      <c r="DV2" s="205">
        <f t="shared" si="1"/>
        <v>310.65957637081095</v>
      </c>
      <c r="DW2" s="205">
        <f t="shared" si="1"/>
        <v>315.8320459462135</v>
      </c>
      <c r="DX2" s="205">
        <f t="shared" si="1"/>
        <v>321.04231154327351</v>
      </c>
      <c r="DY2" s="205">
        <f t="shared" si="1"/>
        <v>326.31503394681448</v>
      </c>
      <c r="DZ2" s="205">
        <f t="shared" si="1"/>
        <v>331.65238891792393</v>
      </c>
      <c r="EA2" s="205">
        <f t="shared" si="1"/>
        <v>337.00667060599159</v>
      </c>
      <c r="EB2" s="205">
        <f t="shared" ref="EB2:GM2" si="2">EB34+EB47+EB60+EB73+EB86+EB99+EB112+EB125+EB138+EB151+EB164+EB177+EB190</f>
        <v>315.75941100517321</v>
      </c>
      <c r="EC2" s="205">
        <f t="shared" si="2"/>
        <v>320.92720248280602</v>
      </c>
      <c r="ED2" s="205">
        <f t="shared" si="2"/>
        <v>298.86408342114009</v>
      </c>
      <c r="EE2" s="205">
        <f t="shared" si="2"/>
        <v>303.85944628494059</v>
      </c>
      <c r="EF2" s="205">
        <f t="shared" si="2"/>
        <v>308.89358421810596</v>
      </c>
      <c r="EG2" s="205">
        <f t="shared" si="2"/>
        <v>313.98365976387174</v>
      </c>
      <c r="EH2" s="205">
        <f t="shared" si="2"/>
        <v>319.10561801154074</v>
      </c>
      <c r="EI2" s="205">
        <f t="shared" si="2"/>
        <v>295.43882487413913</v>
      </c>
      <c r="EJ2" s="205">
        <f t="shared" si="2"/>
        <v>300.37454969172234</v>
      </c>
      <c r="EK2" s="205">
        <f t="shared" si="2"/>
        <v>275.89733103537458</v>
      </c>
      <c r="EL2" s="205">
        <f t="shared" si="2"/>
        <v>280.64348432741059</v>
      </c>
      <c r="EM2" s="205">
        <f t="shared" si="2"/>
        <v>285.44676464493864</v>
      </c>
      <c r="EN2" s="205">
        <f t="shared" si="2"/>
        <v>290.28704874214117</v>
      </c>
      <c r="EO2" s="205">
        <f t="shared" si="2"/>
        <v>295.17076710095853</v>
      </c>
      <c r="EP2" s="205">
        <f t="shared" si="2"/>
        <v>269.1083302096668</v>
      </c>
      <c r="EQ2" s="205">
        <f t="shared" si="2"/>
        <v>273.77977452669654</v>
      </c>
      <c r="ER2" s="205">
        <f t="shared" si="2"/>
        <v>246.8100288733672</v>
      </c>
      <c r="ES2" s="205">
        <f t="shared" si="2"/>
        <v>251.28377100353782</v>
      </c>
      <c r="ET2" s="205">
        <f t="shared" si="2"/>
        <v>255.78036045833628</v>
      </c>
      <c r="EU2" s="205">
        <f t="shared" si="2"/>
        <v>260.32885876399382</v>
      </c>
      <c r="EV2" s="205">
        <f t="shared" si="2"/>
        <v>264.92016546750142</v>
      </c>
      <c r="EW2" s="205">
        <f t="shared" si="2"/>
        <v>236.18340265250851</v>
      </c>
      <c r="EX2" s="205">
        <f t="shared" si="2"/>
        <v>240.50834237981698</v>
      </c>
      <c r="EY2" s="205">
        <f t="shared" si="2"/>
        <v>210.26788979009171</v>
      </c>
      <c r="EZ2" s="205">
        <f t="shared" si="2"/>
        <v>212.41636260494926</v>
      </c>
      <c r="FA2" s="205">
        <f t="shared" si="2"/>
        <v>216.65832658190669</v>
      </c>
      <c r="FB2" s="205">
        <f t="shared" si="2"/>
        <v>220.92387999651527</v>
      </c>
      <c r="FC2" s="205">
        <f t="shared" si="2"/>
        <v>225.23174287678412</v>
      </c>
      <c r="FD2" s="205">
        <f t="shared" si="2"/>
        <v>229.60150729205631</v>
      </c>
      <c r="FE2" s="205">
        <f t="shared" si="2"/>
        <v>233.97784955905684</v>
      </c>
      <c r="FF2" s="205">
        <f t="shared" si="2"/>
        <v>238.3996123022946</v>
      </c>
      <c r="FG2" s="205">
        <f t="shared" si="2"/>
        <v>242.90061394972301</v>
      </c>
      <c r="FH2" s="205">
        <f t="shared" si="2"/>
        <v>247.45460241745869</v>
      </c>
      <c r="FI2" s="205">
        <f t="shared" si="2"/>
        <v>252.0426027290822</v>
      </c>
      <c r="FJ2" s="205">
        <f t="shared" si="2"/>
        <v>256.68813338083942</v>
      </c>
      <c r="FK2" s="205">
        <f t="shared" si="2"/>
        <v>261.37290883556363</v>
      </c>
      <c r="FL2" s="205">
        <f t="shared" si="2"/>
        <v>266.08351399458388</v>
      </c>
      <c r="FM2" s="205">
        <f t="shared" si="2"/>
        <v>270.81379016610282</v>
      </c>
      <c r="FN2" s="205">
        <f t="shared" si="2"/>
        <v>275.60723540948294</v>
      </c>
      <c r="FO2" s="205">
        <f t="shared" si="2"/>
        <v>280.47307650391275</v>
      </c>
      <c r="FP2" s="205">
        <f t="shared" si="2"/>
        <v>285.40053870099342</v>
      </c>
      <c r="FQ2" s="205">
        <f t="shared" si="2"/>
        <v>290.3760718092143</v>
      </c>
      <c r="FR2" s="205">
        <f t="shared" si="2"/>
        <v>295.38541955176908</v>
      </c>
      <c r="FS2" s="205">
        <f t="shared" si="2"/>
        <v>300.41009623144856</v>
      </c>
      <c r="FT2" s="205">
        <f t="shared" si="2"/>
        <v>305.51354017808626</v>
      </c>
      <c r="FU2" s="205">
        <f t="shared" si="2"/>
        <v>310.65957637081095</v>
      </c>
      <c r="FV2" s="205">
        <f t="shared" si="2"/>
        <v>315.8320459462135</v>
      </c>
      <c r="FW2" s="205">
        <f t="shared" si="2"/>
        <v>321.04231154327351</v>
      </c>
      <c r="FX2" s="205">
        <f t="shared" si="2"/>
        <v>326.31503394681448</v>
      </c>
      <c r="FY2" s="205">
        <f t="shared" si="2"/>
        <v>331.65238891792393</v>
      </c>
      <c r="FZ2" s="205">
        <f t="shared" si="2"/>
        <v>337.00667060599159</v>
      </c>
      <c r="GA2" s="205">
        <f t="shared" si="2"/>
        <v>315.75941100517321</v>
      </c>
      <c r="GB2" s="205">
        <f t="shared" si="2"/>
        <v>320.92720248280602</v>
      </c>
      <c r="GC2" s="205">
        <f t="shared" si="2"/>
        <v>298.86408342114009</v>
      </c>
      <c r="GD2" s="205">
        <f t="shared" si="2"/>
        <v>303.85944628494059</v>
      </c>
      <c r="GE2" s="205">
        <f t="shared" si="2"/>
        <v>308.89358421810596</v>
      </c>
      <c r="GF2" s="205">
        <f t="shared" si="2"/>
        <v>313.98365976387174</v>
      </c>
      <c r="GG2" s="205">
        <f t="shared" si="2"/>
        <v>319.10561801154074</v>
      </c>
      <c r="GH2" s="205">
        <f t="shared" si="2"/>
        <v>295.43882487413913</v>
      </c>
      <c r="GI2" s="205">
        <f t="shared" si="2"/>
        <v>300.37454969172234</v>
      </c>
      <c r="GJ2" s="205">
        <f t="shared" si="2"/>
        <v>275.89733103537458</v>
      </c>
      <c r="GK2" s="205">
        <f t="shared" si="2"/>
        <v>280.64348432741059</v>
      </c>
      <c r="GL2" s="205">
        <f t="shared" si="2"/>
        <v>285.44676464493864</v>
      </c>
      <c r="GM2" s="205">
        <f t="shared" si="2"/>
        <v>290.28704874214117</v>
      </c>
      <c r="GN2" s="205">
        <f t="shared" ref="GN2:IY2" si="3">GN34+GN47+GN60+GN73+GN86+GN99+GN112+GN125+GN138+GN151+GN164+GN177+GN190</f>
        <v>295.17076710095853</v>
      </c>
      <c r="GO2" s="205">
        <f t="shared" si="3"/>
        <v>269.1083302096668</v>
      </c>
      <c r="GP2" s="205">
        <f t="shared" si="3"/>
        <v>273.77977452669654</v>
      </c>
      <c r="GQ2" s="205">
        <f t="shared" si="3"/>
        <v>246.8100288733672</v>
      </c>
      <c r="GR2" s="205">
        <f t="shared" si="3"/>
        <v>251.28377100353782</v>
      </c>
      <c r="GS2" s="205">
        <f t="shared" si="3"/>
        <v>255.78036045833628</v>
      </c>
      <c r="GT2" s="205">
        <f t="shared" si="3"/>
        <v>260.32885876399382</v>
      </c>
      <c r="GU2" s="205">
        <f t="shared" si="3"/>
        <v>264.92016546750142</v>
      </c>
      <c r="GV2" s="205">
        <f t="shared" si="3"/>
        <v>236.18340265250851</v>
      </c>
      <c r="GW2" s="205">
        <f t="shared" si="3"/>
        <v>240.50834237981698</v>
      </c>
      <c r="GX2" s="205">
        <f t="shared" si="3"/>
        <v>210.26788979009171</v>
      </c>
      <c r="GY2" s="205">
        <f t="shared" si="3"/>
        <v>212.41636260494926</v>
      </c>
      <c r="GZ2" s="205">
        <f t="shared" si="3"/>
        <v>216.65832658190669</v>
      </c>
      <c r="HA2" s="205">
        <f t="shared" si="3"/>
        <v>220.92387999651527</v>
      </c>
      <c r="HB2" s="205">
        <f t="shared" si="3"/>
        <v>225.23174287678412</v>
      </c>
      <c r="HC2" s="205">
        <f t="shared" si="3"/>
        <v>229.60150729205631</v>
      </c>
      <c r="HD2" s="205">
        <f t="shared" si="3"/>
        <v>233.97784955905684</v>
      </c>
      <c r="HE2" s="205">
        <f t="shared" si="3"/>
        <v>238.3996123022946</v>
      </c>
      <c r="HF2" s="205">
        <f t="shared" si="3"/>
        <v>242.90061394972301</v>
      </c>
      <c r="HG2" s="205">
        <f t="shared" si="3"/>
        <v>247.45460241745869</v>
      </c>
      <c r="HH2" s="205">
        <f t="shared" si="3"/>
        <v>252.0426027290822</v>
      </c>
      <c r="HI2" s="205">
        <f t="shared" si="3"/>
        <v>256.68813338083942</v>
      </c>
      <c r="HJ2" s="205">
        <f t="shared" si="3"/>
        <v>261.37290883556363</v>
      </c>
      <c r="HK2" s="205">
        <f t="shared" si="3"/>
        <v>266.08351399458388</v>
      </c>
      <c r="HL2" s="205">
        <f t="shared" si="3"/>
        <v>270.81379016610282</v>
      </c>
      <c r="HM2" s="205">
        <f t="shared" si="3"/>
        <v>275.60723540948294</v>
      </c>
      <c r="HN2" s="205">
        <f t="shared" si="3"/>
        <v>280.47307650391275</v>
      </c>
      <c r="HO2" s="205">
        <f t="shared" si="3"/>
        <v>285.40053870099342</v>
      </c>
      <c r="HP2" s="205">
        <f t="shared" si="3"/>
        <v>290.3760718092143</v>
      </c>
      <c r="HQ2" s="205">
        <f t="shared" si="3"/>
        <v>295.38541955176908</v>
      </c>
      <c r="HR2" s="205">
        <f t="shared" si="3"/>
        <v>300.41009623144856</v>
      </c>
      <c r="HS2" s="205">
        <f t="shared" si="3"/>
        <v>305.51354017808626</v>
      </c>
      <c r="HT2" s="205">
        <f t="shared" si="3"/>
        <v>310.65957637081095</v>
      </c>
      <c r="HU2" s="205">
        <f t="shared" si="3"/>
        <v>315.8320459462135</v>
      </c>
      <c r="HV2" s="205">
        <f t="shared" si="3"/>
        <v>321.04231154327351</v>
      </c>
      <c r="HW2" s="205">
        <f t="shared" si="3"/>
        <v>326.31503394681448</v>
      </c>
      <c r="HX2" s="205">
        <f t="shared" si="3"/>
        <v>331.65238891792393</v>
      </c>
      <c r="HY2" s="205">
        <f t="shared" si="3"/>
        <v>337.00667060599159</v>
      </c>
      <c r="HZ2" s="205">
        <f t="shared" si="3"/>
        <v>315.75941100517321</v>
      </c>
      <c r="IA2" s="205">
        <f t="shared" si="3"/>
        <v>320.92720248280602</v>
      </c>
      <c r="IB2" s="205">
        <f t="shared" si="3"/>
        <v>298.86408342114009</v>
      </c>
      <c r="IC2" s="205">
        <f t="shared" si="3"/>
        <v>303.85944628494059</v>
      </c>
      <c r="ID2" s="205">
        <f t="shared" si="3"/>
        <v>308.89358421810596</v>
      </c>
      <c r="IE2" s="205">
        <f t="shared" si="3"/>
        <v>313.98365976387174</v>
      </c>
      <c r="IF2" s="205">
        <f t="shared" si="3"/>
        <v>319.10561801154074</v>
      </c>
      <c r="IG2" s="205">
        <f t="shared" si="3"/>
        <v>295.43882487413913</v>
      </c>
      <c r="IH2" s="205">
        <f t="shared" si="3"/>
        <v>300.37454969172234</v>
      </c>
      <c r="II2" s="205">
        <f t="shared" si="3"/>
        <v>275.89733103537458</v>
      </c>
      <c r="IJ2" s="205">
        <f t="shared" si="3"/>
        <v>280.64348432741059</v>
      </c>
      <c r="IK2" s="205">
        <f t="shared" si="3"/>
        <v>285.44676464493864</v>
      </c>
      <c r="IL2" s="205">
        <f t="shared" si="3"/>
        <v>290.28704874214117</v>
      </c>
      <c r="IM2" s="205">
        <f t="shared" si="3"/>
        <v>295.17076710095853</v>
      </c>
      <c r="IN2" s="205">
        <f t="shared" si="3"/>
        <v>269.1083302096668</v>
      </c>
      <c r="IO2" s="205">
        <f t="shared" si="3"/>
        <v>273.77977452669654</v>
      </c>
      <c r="IP2" s="205">
        <f t="shared" si="3"/>
        <v>246.8100288733672</v>
      </c>
      <c r="IQ2" s="205">
        <f t="shared" si="3"/>
        <v>251.28377100353782</v>
      </c>
      <c r="IR2" s="205">
        <f t="shared" si="3"/>
        <v>255.78036045833628</v>
      </c>
      <c r="IS2" s="205">
        <f t="shared" si="3"/>
        <v>260.32885876399382</v>
      </c>
      <c r="IT2" s="205">
        <f t="shared" si="3"/>
        <v>264.92016546750142</v>
      </c>
      <c r="IU2" s="205">
        <f t="shared" si="3"/>
        <v>236.18340265250851</v>
      </c>
      <c r="IV2" s="205">
        <f t="shared" si="3"/>
        <v>240.50834237981698</v>
      </c>
      <c r="IW2" s="205">
        <f t="shared" si="3"/>
        <v>210.26788979009171</v>
      </c>
      <c r="IX2" s="205">
        <f t="shared" si="3"/>
        <v>212.41636260494926</v>
      </c>
      <c r="IY2" s="205">
        <f t="shared" si="3"/>
        <v>216.65832658190669</v>
      </c>
      <c r="IZ2" s="205">
        <f t="shared" ref="IZ2:LK2" si="4">IZ34+IZ47+IZ60+IZ73+IZ86+IZ99+IZ112+IZ125+IZ138+IZ151+IZ164+IZ177+IZ190</f>
        <v>220.92387999651527</v>
      </c>
      <c r="JA2" s="205">
        <f t="shared" si="4"/>
        <v>225.23174287678412</v>
      </c>
      <c r="JB2" s="205">
        <f t="shared" si="4"/>
        <v>229.60150729205631</v>
      </c>
      <c r="JC2" s="205">
        <f t="shared" si="4"/>
        <v>233.97784955905684</v>
      </c>
      <c r="JD2" s="205">
        <f t="shared" si="4"/>
        <v>238.3996123022946</v>
      </c>
      <c r="JE2" s="205">
        <f t="shared" si="4"/>
        <v>242.90061394972301</v>
      </c>
      <c r="JF2" s="205">
        <f t="shared" si="4"/>
        <v>247.45460241745869</v>
      </c>
      <c r="JG2" s="205">
        <f t="shared" si="4"/>
        <v>252.0426027290822</v>
      </c>
      <c r="JH2" s="205">
        <f t="shared" si="4"/>
        <v>256.68813338083942</v>
      </c>
      <c r="JI2" s="205">
        <f t="shared" si="4"/>
        <v>261.37290883556363</v>
      </c>
      <c r="JJ2" s="205">
        <f t="shared" si="4"/>
        <v>266.08351399458388</v>
      </c>
      <c r="JK2" s="205">
        <f t="shared" si="4"/>
        <v>270.81379016610282</v>
      </c>
      <c r="JL2" s="205">
        <f t="shared" si="4"/>
        <v>275.60723540948294</v>
      </c>
      <c r="JM2" s="205">
        <f t="shared" si="4"/>
        <v>280.47307650391275</v>
      </c>
      <c r="JN2" s="205">
        <f t="shared" si="4"/>
        <v>285.40053870099342</v>
      </c>
      <c r="JO2" s="205">
        <f t="shared" si="4"/>
        <v>290.3760718092143</v>
      </c>
      <c r="JP2" s="205">
        <f t="shared" si="4"/>
        <v>295.38541955176908</v>
      </c>
      <c r="JQ2" s="205">
        <f t="shared" si="4"/>
        <v>300.41009623144856</v>
      </c>
      <c r="JR2" s="205">
        <f t="shared" si="4"/>
        <v>305.51354017808626</v>
      </c>
      <c r="JS2" s="205">
        <f t="shared" si="4"/>
        <v>310.65957637081095</v>
      </c>
      <c r="JT2" s="205">
        <f t="shared" si="4"/>
        <v>315.8320459462135</v>
      </c>
      <c r="JU2" s="205">
        <f t="shared" si="4"/>
        <v>321.04231154327351</v>
      </c>
      <c r="JV2" s="205">
        <f t="shared" si="4"/>
        <v>326.31503394681448</v>
      </c>
      <c r="JW2" s="205">
        <f t="shared" si="4"/>
        <v>331.65238891792393</v>
      </c>
      <c r="JX2" s="205">
        <f t="shared" si="4"/>
        <v>337.00667060599159</v>
      </c>
      <c r="JY2" s="205">
        <f t="shared" si="4"/>
        <v>315.75941100517321</v>
      </c>
      <c r="JZ2" s="205">
        <f t="shared" si="4"/>
        <v>320.92720248280602</v>
      </c>
      <c r="KA2" s="205">
        <f t="shared" si="4"/>
        <v>298.86408342114009</v>
      </c>
      <c r="KB2" s="205">
        <f t="shared" si="4"/>
        <v>303.85944628494059</v>
      </c>
      <c r="KC2" s="205">
        <f t="shared" si="4"/>
        <v>308.89358421810596</v>
      </c>
      <c r="KD2" s="205">
        <f t="shared" si="4"/>
        <v>313.98365976387174</v>
      </c>
      <c r="KE2" s="205">
        <f t="shared" si="4"/>
        <v>319.10561801154074</v>
      </c>
      <c r="KF2" s="205">
        <f t="shared" si="4"/>
        <v>295.43882487413913</v>
      </c>
      <c r="KG2" s="205">
        <f t="shared" si="4"/>
        <v>300.37454969172234</v>
      </c>
      <c r="KH2" s="205">
        <f t="shared" si="4"/>
        <v>275.89733103537458</v>
      </c>
      <c r="KI2" s="205">
        <f t="shared" si="4"/>
        <v>280.64348432741059</v>
      </c>
      <c r="KJ2" s="205">
        <f t="shared" si="4"/>
        <v>285.44676464493864</v>
      </c>
      <c r="KK2" s="205">
        <f t="shared" si="4"/>
        <v>290.28704874214117</v>
      </c>
      <c r="KL2" s="205">
        <f t="shared" si="4"/>
        <v>295.17076710095853</v>
      </c>
      <c r="KM2" s="205">
        <f t="shared" si="4"/>
        <v>269.1083302096668</v>
      </c>
      <c r="KN2" s="205">
        <f t="shared" si="4"/>
        <v>273.77977452669654</v>
      </c>
      <c r="KO2" s="205">
        <f t="shared" si="4"/>
        <v>246.8100288733672</v>
      </c>
      <c r="KP2" s="205">
        <f t="shared" si="4"/>
        <v>251.28377100353782</v>
      </c>
      <c r="KQ2" s="205">
        <f t="shared" si="4"/>
        <v>255.78036045833628</v>
      </c>
      <c r="KR2" s="205">
        <f t="shared" si="4"/>
        <v>260.32885876399382</v>
      </c>
      <c r="KS2" s="205">
        <f t="shared" si="4"/>
        <v>264.92016546750142</v>
      </c>
      <c r="KT2" s="205">
        <f t="shared" si="4"/>
        <v>236.18340265250851</v>
      </c>
      <c r="KU2" s="205">
        <f t="shared" si="4"/>
        <v>240.50834237981698</v>
      </c>
      <c r="KV2" s="205">
        <f t="shared" si="4"/>
        <v>210.26788979009171</v>
      </c>
      <c r="KW2" s="205">
        <f t="shared" si="4"/>
        <v>212.41636260494926</v>
      </c>
      <c r="KX2" s="205">
        <f t="shared" si="4"/>
        <v>216.65832658190669</v>
      </c>
      <c r="KY2" s="205">
        <f t="shared" si="4"/>
        <v>220.92387999651527</v>
      </c>
      <c r="KZ2" s="205">
        <f t="shared" si="4"/>
        <v>225.23174287678412</v>
      </c>
      <c r="LA2" s="205">
        <f t="shared" si="4"/>
        <v>229.60150729205631</v>
      </c>
      <c r="LB2" s="205">
        <f t="shared" si="4"/>
        <v>233.97784955905684</v>
      </c>
      <c r="LC2" s="205">
        <f t="shared" si="4"/>
        <v>238.3996123022946</v>
      </c>
      <c r="LD2" s="205">
        <f t="shared" si="4"/>
        <v>242.90061394972301</v>
      </c>
      <c r="LE2" s="205">
        <f t="shared" si="4"/>
        <v>247.45460241745869</v>
      </c>
      <c r="LF2" s="205">
        <f t="shared" si="4"/>
        <v>252.0426027290822</v>
      </c>
      <c r="LG2" s="205">
        <f t="shared" si="4"/>
        <v>256.68813338083942</v>
      </c>
      <c r="LH2" s="205">
        <f t="shared" si="4"/>
        <v>261.37290883556363</v>
      </c>
      <c r="LI2" s="205">
        <f t="shared" si="4"/>
        <v>266.08351399458388</v>
      </c>
      <c r="LJ2" s="205">
        <f t="shared" si="4"/>
        <v>270.81379016610282</v>
      </c>
      <c r="LK2" s="205">
        <f t="shared" si="4"/>
        <v>275.60723540948294</v>
      </c>
      <c r="LL2" s="205">
        <f t="shared" ref="LL2:NW2" si="5">LL34+LL47+LL60+LL73+LL86+LL99+LL112+LL125+LL138+LL151+LL164+LL177+LL190</f>
        <v>280.47307650391275</v>
      </c>
      <c r="LM2" s="205">
        <f t="shared" si="5"/>
        <v>285.40053870099342</v>
      </c>
      <c r="LN2" s="205">
        <f t="shared" si="5"/>
        <v>290.3760718092143</v>
      </c>
      <c r="LO2" s="205">
        <f t="shared" si="5"/>
        <v>295.38541955176908</v>
      </c>
      <c r="LP2" s="205">
        <f t="shared" si="5"/>
        <v>300.41009623144856</v>
      </c>
      <c r="LQ2" s="205">
        <f t="shared" si="5"/>
        <v>305.51354017808626</v>
      </c>
      <c r="LR2" s="205">
        <f t="shared" si="5"/>
        <v>310.65957637081095</v>
      </c>
      <c r="LS2" s="205">
        <f t="shared" si="5"/>
        <v>315.8320459462135</v>
      </c>
      <c r="LT2" s="205">
        <f t="shared" si="5"/>
        <v>321.04231154327351</v>
      </c>
      <c r="LU2" s="205">
        <f t="shared" si="5"/>
        <v>326.31503394681448</v>
      </c>
      <c r="LV2" s="205">
        <f t="shared" si="5"/>
        <v>331.65238891792393</v>
      </c>
      <c r="LW2" s="205">
        <f t="shared" si="5"/>
        <v>337.00667060599159</v>
      </c>
      <c r="LX2" s="205">
        <f t="shared" si="5"/>
        <v>315.75941100517321</v>
      </c>
      <c r="LY2" s="205">
        <f t="shared" si="5"/>
        <v>320.92720248280602</v>
      </c>
      <c r="LZ2" s="205">
        <f t="shared" si="5"/>
        <v>298.86408342114009</v>
      </c>
      <c r="MA2" s="205">
        <f t="shared" si="5"/>
        <v>303.85944628494059</v>
      </c>
      <c r="MB2" s="205">
        <f t="shared" si="5"/>
        <v>308.89358421810596</v>
      </c>
      <c r="MC2" s="205">
        <f t="shared" si="5"/>
        <v>313.98365976387174</v>
      </c>
      <c r="MD2" s="205">
        <f t="shared" si="5"/>
        <v>319.10561801154074</v>
      </c>
      <c r="ME2" s="205">
        <f t="shared" si="5"/>
        <v>295.43882487413913</v>
      </c>
      <c r="MF2" s="205">
        <f t="shared" si="5"/>
        <v>300.37454969172234</v>
      </c>
      <c r="MG2" s="205">
        <f t="shared" si="5"/>
        <v>275.89733103537458</v>
      </c>
      <c r="MH2" s="205">
        <f t="shared" si="5"/>
        <v>280.64348432741059</v>
      </c>
      <c r="MI2" s="205">
        <f t="shared" si="5"/>
        <v>285.44676464493864</v>
      </c>
      <c r="MJ2" s="205">
        <f t="shared" si="5"/>
        <v>290.28704874214117</v>
      </c>
      <c r="MK2" s="205">
        <f t="shared" si="5"/>
        <v>295.17076710095853</v>
      </c>
      <c r="ML2" s="205">
        <f t="shared" si="5"/>
        <v>269.1083302096668</v>
      </c>
      <c r="MM2" s="205">
        <f t="shared" si="5"/>
        <v>273.77977452669654</v>
      </c>
      <c r="MN2" s="205">
        <f t="shared" si="5"/>
        <v>246.8100288733672</v>
      </c>
      <c r="MO2" s="205">
        <f t="shared" si="5"/>
        <v>251.28377100353782</v>
      </c>
      <c r="MP2" s="205">
        <f t="shared" si="5"/>
        <v>255.78036045833628</v>
      </c>
      <c r="MQ2" s="205">
        <f t="shared" si="5"/>
        <v>260.32885876399382</v>
      </c>
      <c r="MR2" s="205">
        <f t="shared" si="5"/>
        <v>264.92016546750142</v>
      </c>
      <c r="MS2" s="205">
        <f t="shared" si="5"/>
        <v>236.18340265250851</v>
      </c>
      <c r="MT2" s="205">
        <f t="shared" si="5"/>
        <v>240.50834237981698</v>
      </c>
      <c r="MU2" s="205">
        <f t="shared" si="5"/>
        <v>210.26788979009171</v>
      </c>
      <c r="MV2" s="205">
        <f t="shared" si="5"/>
        <v>212.41636260494926</v>
      </c>
      <c r="MW2" s="205">
        <f t="shared" si="5"/>
        <v>216.65832658190669</v>
      </c>
      <c r="MX2" s="205">
        <f t="shared" si="5"/>
        <v>220.92387999651527</v>
      </c>
      <c r="MY2" s="205">
        <f t="shared" si="5"/>
        <v>225.23174287678412</v>
      </c>
      <c r="MZ2" s="205">
        <f t="shared" si="5"/>
        <v>229.60150729205631</v>
      </c>
      <c r="NA2" s="205">
        <f t="shared" si="5"/>
        <v>233.97784955905684</v>
      </c>
      <c r="NB2" s="205">
        <f t="shared" si="5"/>
        <v>238.3996123022946</v>
      </c>
      <c r="NC2" s="205">
        <f t="shared" si="5"/>
        <v>242.90061394972301</v>
      </c>
      <c r="ND2" s="205">
        <f t="shared" si="5"/>
        <v>247.45460241745869</v>
      </c>
      <c r="NE2" s="205">
        <f t="shared" si="5"/>
        <v>252.0426027290822</v>
      </c>
      <c r="NF2" s="205">
        <f t="shared" si="5"/>
        <v>256.68813338083942</v>
      </c>
      <c r="NG2" s="205">
        <f t="shared" si="5"/>
        <v>261.37290883556363</v>
      </c>
      <c r="NH2" s="205">
        <f t="shared" si="5"/>
        <v>266.08351399458388</v>
      </c>
      <c r="NI2" s="205">
        <f t="shared" si="5"/>
        <v>270.81379016610282</v>
      </c>
      <c r="NJ2" s="205">
        <f t="shared" si="5"/>
        <v>275.60723540948294</v>
      </c>
      <c r="NK2" s="205">
        <f t="shared" si="5"/>
        <v>280.47307650391275</v>
      </c>
      <c r="NL2" s="205">
        <f t="shared" si="5"/>
        <v>285.40053870099342</v>
      </c>
      <c r="NM2" s="205">
        <f t="shared" si="5"/>
        <v>290.3760718092143</v>
      </c>
      <c r="NN2" s="205">
        <f t="shared" si="5"/>
        <v>295.38541955176908</v>
      </c>
      <c r="NO2" s="205">
        <f t="shared" si="5"/>
        <v>300.41009623144856</v>
      </c>
      <c r="NP2" s="205">
        <f t="shared" si="5"/>
        <v>305.51354017808626</v>
      </c>
      <c r="NQ2" s="205">
        <f t="shared" si="5"/>
        <v>310.65957637081095</v>
      </c>
      <c r="NR2" s="205">
        <f t="shared" si="5"/>
        <v>315.8320459462135</v>
      </c>
      <c r="NS2" s="205">
        <f t="shared" si="5"/>
        <v>321.04231154327351</v>
      </c>
      <c r="NT2" s="205">
        <f t="shared" si="5"/>
        <v>326.31503394681448</v>
      </c>
      <c r="NU2" s="205">
        <f t="shared" si="5"/>
        <v>331.65238891792393</v>
      </c>
      <c r="NV2" s="205">
        <f t="shared" si="5"/>
        <v>337.00667060599159</v>
      </c>
      <c r="NW2" s="205">
        <f t="shared" si="5"/>
        <v>315.75941100517321</v>
      </c>
      <c r="NX2" s="205">
        <f t="shared" ref="NX2:QI2" si="6">NX34+NX47+NX60+NX73+NX86+NX99+NX112+NX125+NX138+NX151+NX164+NX177+NX190</f>
        <v>320.92720248280602</v>
      </c>
      <c r="NY2" s="205">
        <f t="shared" si="6"/>
        <v>298.86408342114009</v>
      </c>
      <c r="NZ2" s="205">
        <f t="shared" si="6"/>
        <v>303.85944628494059</v>
      </c>
      <c r="OA2" s="205">
        <f t="shared" si="6"/>
        <v>308.89358421810596</v>
      </c>
      <c r="OB2" s="205">
        <f t="shared" si="6"/>
        <v>313.98365976387174</v>
      </c>
      <c r="OC2" s="205">
        <f t="shared" si="6"/>
        <v>319.10561801154074</v>
      </c>
      <c r="OD2" s="205">
        <f t="shared" si="6"/>
        <v>295.43882487413913</v>
      </c>
      <c r="OE2" s="205">
        <f t="shared" si="6"/>
        <v>300.37454969172234</v>
      </c>
      <c r="OF2" s="205">
        <f t="shared" si="6"/>
        <v>275.89733103537458</v>
      </c>
      <c r="OG2" s="205">
        <f t="shared" si="6"/>
        <v>280.64348432741059</v>
      </c>
      <c r="OH2" s="205">
        <f t="shared" si="6"/>
        <v>285.44676464493864</v>
      </c>
      <c r="OI2" s="205">
        <f t="shared" si="6"/>
        <v>290.28704874214117</v>
      </c>
      <c r="OJ2" s="205">
        <f t="shared" si="6"/>
        <v>295.17076710095853</v>
      </c>
      <c r="OK2" s="205">
        <f t="shared" si="6"/>
        <v>269.1083302096668</v>
      </c>
      <c r="OL2" s="205">
        <f t="shared" si="6"/>
        <v>273.77977452669654</v>
      </c>
      <c r="OM2" s="205">
        <f t="shared" si="6"/>
        <v>246.8100288733672</v>
      </c>
      <c r="ON2" s="205">
        <f t="shared" si="6"/>
        <v>251.28377100353782</v>
      </c>
      <c r="OO2" s="205">
        <f t="shared" si="6"/>
        <v>255.78036045833628</v>
      </c>
      <c r="OP2" s="205">
        <f t="shared" si="6"/>
        <v>260.32885876399382</v>
      </c>
      <c r="OQ2" s="205">
        <f t="shared" si="6"/>
        <v>264.92016546750142</v>
      </c>
      <c r="OR2" s="205">
        <f t="shared" si="6"/>
        <v>236.18340265250851</v>
      </c>
      <c r="OS2" s="205">
        <f t="shared" si="6"/>
        <v>240.50834237981698</v>
      </c>
      <c r="OT2" s="205">
        <f t="shared" si="6"/>
        <v>210.26788979009171</v>
      </c>
      <c r="OU2" s="205">
        <f t="shared" si="6"/>
        <v>212.41636260494926</v>
      </c>
      <c r="OV2" s="205">
        <f t="shared" si="6"/>
        <v>216.65832658190669</v>
      </c>
      <c r="OW2" s="205">
        <f t="shared" si="6"/>
        <v>220.92387999651527</v>
      </c>
      <c r="OX2" s="205">
        <f t="shared" si="6"/>
        <v>225.23174287678412</v>
      </c>
      <c r="OY2" s="205">
        <f t="shared" si="6"/>
        <v>229.60150729205631</v>
      </c>
      <c r="OZ2" s="205">
        <f t="shared" si="6"/>
        <v>233.97784955905684</v>
      </c>
      <c r="PA2" s="205">
        <f t="shared" si="6"/>
        <v>238.3996123022946</v>
      </c>
      <c r="PB2" s="205">
        <f t="shared" si="6"/>
        <v>242.90061394972301</v>
      </c>
      <c r="PC2" s="205">
        <f t="shared" si="6"/>
        <v>247.45460241745869</v>
      </c>
      <c r="PD2" s="205">
        <f t="shared" si="6"/>
        <v>252.0426027290822</v>
      </c>
      <c r="PE2" s="205">
        <f t="shared" si="6"/>
        <v>256.68813338083942</v>
      </c>
      <c r="PF2" s="205">
        <f t="shared" si="6"/>
        <v>261.37290883556363</v>
      </c>
      <c r="PG2" s="205">
        <f t="shared" si="6"/>
        <v>266.08351399458388</v>
      </c>
      <c r="PH2" s="205">
        <f t="shared" si="6"/>
        <v>270.81379016610282</v>
      </c>
      <c r="PI2" s="205">
        <f t="shared" si="6"/>
        <v>275.60723540948294</v>
      </c>
      <c r="PJ2" s="205">
        <f t="shared" si="6"/>
        <v>280.47307650391275</v>
      </c>
      <c r="PK2" s="205">
        <f t="shared" si="6"/>
        <v>285.40053870099342</v>
      </c>
      <c r="PL2" s="205">
        <f t="shared" si="6"/>
        <v>290.3760718092143</v>
      </c>
      <c r="PM2" s="205">
        <f t="shared" si="6"/>
        <v>295.38541955176908</v>
      </c>
      <c r="PN2" s="205">
        <f t="shared" si="6"/>
        <v>300.41009623144856</v>
      </c>
      <c r="PO2" s="205">
        <f t="shared" si="6"/>
        <v>305.51354017808626</v>
      </c>
      <c r="PP2" s="205">
        <f t="shared" si="6"/>
        <v>310.65957637081095</v>
      </c>
      <c r="PQ2" s="205">
        <f t="shared" si="6"/>
        <v>315.8320459462135</v>
      </c>
      <c r="PR2" s="205">
        <f t="shared" si="6"/>
        <v>321.04231154327351</v>
      </c>
      <c r="PS2" s="205">
        <f t="shared" si="6"/>
        <v>326.31503394681448</v>
      </c>
      <c r="PT2" s="205">
        <f t="shared" si="6"/>
        <v>331.65238891792393</v>
      </c>
      <c r="PU2" s="205">
        <f t="shared" si="6"/>
        <v>337.00667060599159</v>
      </c>
      <c r="PV2" s="205">
        <f t="shared" si="6"/>
        <v>315.75941100517321</v>
      </c>
      <c r="PW2" s="205">
        <f t="shared" si="6"/>
        <v>320.92720248280602</v>
      </c>
      <c r="PX2" s="205">
        <f t="shared" si="6"/>
        <v>298.86408342114009</v>
      </c>
      <c r="PY2" s="205">
        <f t="shared" si="6"/>
        <v>303.85944628494059</v>
      </c>
      <c r="PZ2" s="205">
        <f t="shared" si="6"/>
        <v>308.89358421810596</v>
      </c>
      <c r="QA2" s="205">
        <f t="shared" si="6"/>
        <v>313.98365976387174</v>
      </c>
      <c r="QB2" s="205">
        <f t="shared" si="6"/>
        <v>319.10561801154074</v>
      </c>
      <c r="QC2" s="205">
        <f t="shared" si="6"/>
        <v>295.43882487413913</v>
      </c>
      <c r="QD2" s="205">
        <f t="shared" si="6"/>
        <v>300.37454969172234</v>
      </c>
      <c r="QE2" s="205">
        <f t="shared" si="6"/>
        <v>275.89733103537458</v>
      </c>
      <c r="QF2" s="205">
        <f t="shared" si="6"/>
        <v>280.64348432741059</v>
      </c>
      <c r="QG2" s="205">
        <f t="shared" si="6"/>
        <v>285.44676464493864</v>
      </c>
      <c r="QH2" s="205">
        <f t="shared" si="6"/>
        <v>290.28704874214117</v>
      </c>
      <c r="QI2" s="205">
        <f t="shared" si="6"/>
        <v>295.17076710095853</v>
      </c>
      <c r="QJ2" s="205">
        <f t="shared" ref="QJ2:SU2" si="7">QJ34+QJ47+QJ60+QJ73+QJ86+QJ99+QJ112+QJ125+QJ138+QJ151+QJ164+QJ177+QJ190</f>
        <v>269.1083302096668</v>
      </c>
      <c r="QK2" s="205">
        <f t="shared" si="7"/>
        <v>273.77977452669654</v>
      </c>
      <c r="QL2" s="205">
        <f t="shared" si="7"/>
        <v>246.8100288733672</v>
      </c>
      <c r="QM2" s="205">
        <f t="shared" si="7"/>
        <v>251.28377100353782</v>
      </c>
      <c r="QN2" s="205">
        <f t="shared" si="7"/>
        <v>255.78036045833628</v>
      </c>
      <c r="QO2" s="205">
        <f t="shared" si="7"/>
        <v>260.32885876399382</v>
      </c>
      <c r="QP2" s="205">
        <f t="shared" si="7"/>
        <v>264.92016546750142</v>
      </c>
      <c r="QQ2" s="205">
        <f t="shared" si="7"/>
        <v>236.18340265250851</v>
      </c>
      <c r="QR2" s="205">
        <f t="shared" si="7"/>
        <v>240.50834237981698</v>
      </c>
      <c r="QS2" s="205">
        <f t="shared" si="7"/>
        <v>210.26788979009171</v>
      </c>
      <c r="QT2" s="205">
        <f t="shared" si="7"/>
        <v>212.41636260494926</v>
      </c>
      <c r="QU2" s="205">
        <f t="shared" si="7"/>
        <v>216.65832658190669</v>
      </c>
      <c r="QV2" s="205">
        <f t="shared" si="7"/>
        <v>220.92387999651527</v>
      </c>
      <c r="QW2" s="205">
        <f t="shared" si="7"/>
        <v>225.23174287678412</v>
      </c>
      <c r="QX2" s="205">
        <f t="shared" si="7"/>
        <v>229.60150729205631</v>
      </c>
      <c r="QY2" s="205">
        <f t="shared" si="7"/>
        <v>233.97784955905684</v>
      </c>
      <c r="QZ2" s="205">
        <f t="shared" si="7"/>
        <v>238.3996123022946</v>
      </c>
      <c r="RA2" s="205">
        <f t="shared" si="7"/>
        <v>242.90061394972301</v>
      </c>
      <c r="RB2" s="205">
        <f t="shared" si="7"/>
        <v>247.45460241745869</v>
      </c>
      <c r="RC2" s="205">
        <f t="shared" si="7"/>
        <v>252.0426027290822</v>
      </c>
      <c r="RD2" s="205">
        <f t="shared" si="7"/>
        <v>256.68813338083942</v>
      </c>
      <c r="RE2" s="205">
        <f t="shared" si="7"/>
        <v>261.37290883556363</v>
      </c>
      <c r="RF2" s="205">
        <f t="shared" si="7"/>
        <v>266.08351399458388</v>
      </c>
      <c r="RG2" s="205">
        <f t="shared" si="7"/>
        <v>270.81379016610282</v>
      </c>
      <c r="RH2" s="205">
        <f t="shared" si="7"/>
        <v>275.60723540948294</v>
      </c>
      <c r="RI2" s="205">
        <f t="shared" si="7"/>
        <v>280.47307650391275</v>
      </c>
      <c r="RJ2" s="205">
        <f t="shared" si="7"/>
        <v>285.40053870099342</v>
      </c>
      <c r="RK2" s="205">
        <f t="shared" si="7"/>
        <v>290.3760718092143</v>
      </c>
      <c r="RL2" s="205">
        <f t="shared" si="7"/>
        <v>295.38541955176908</v>
      </c>
      <c r="RM2" s="205">
        <f t="shared" si="7"/>
        <v>300.41009623144856</v>
      </c>
      <c r="RN2" s="205">
        <f t="shared" si="7"/>
        <v>305.51354017808626</v>
      </c>
      <c r="RO2" s="205">
        <f t="shared" si="7"/>
        <v>310.65957637081095</v>
      </c>
      <c r="RP2" s="205">
        <f t="shared" si="7"/>
        <v>315.8320459462135</v>
      </c>
      <c r="RQ2" s="205">
        <f t="shared" si="7"/>
        <v>321.04231154327351</v>
      </c>
      <c r="RR2" s="205">
        <f t="shared" si="7"/>
        <v>326.31503394681448</v>
      </c>
      <c r="RS2" s="205">
        <f t="shared" si="7"/>
        <v>331.65238891792393</v>
      </c>
      <c r="RT2" s="205">
        <f t="shared" si="7"/>
        <v>337.00667060599159</v>
      </c>
      <c r="RU2" s="205">
        <f t="shared" si="7"/>
        <v>315.75941100517321</v>
      </c>
      <c r="RV2" s="205">
        <f t="shared" si="7"/>
        <v>320.92720248280602</v>
      </c>
      <c r="RW2" s="205">
        <f t="shared" si="7"/>
        <v>298.86408342114009</v>
      </c>
      <c r="RX2" s="205">
        <f t="shared" si="7"/>
        <v>303.85944628494059</v>
      </c>
      <c r="RY2" s="205">
        <f t="shared" si="7"/>
        <v>308.89358421810596</v>
      </c>
      <c r="RZ2" s="205">
        <f t="shared" si="7"/>
        <v>313.98365976387174</v>
      </c>
      <c r="SA2" s="205">
        <f t="shared" si="7"/>
        <v>319.10561801154074</v>
      </c>
      <c r="SB2" s="205">
        <f t="shared" si="7"/>
        <v>295.43882487413913</v>
      </c>
      <c r="SC2" s="205">
        <f t="shared" si="7"/>
        <v>300.37454969172234</v>
      </c>
      <c r="SD2" s="205">
        <f t="shared" si="7"/>
        <v>275.89733103537458</v>
      </c>
      <c r="SE2" s="205">
        <f t="shared" si="7"/>
        <v>280.64348432741059</v>
      </c>
      <c r="SF2" s="205">
        <f t="shared" si="7"/>
        <v>285.44676464493864</v>
      </c>
      <c r="SG2" s="205">
        <f t="shared" si="7"/>
        <v>290.28704874214117</v>
      </c>
      <c r="SH2" s="205">
        <f t="shared" si="7"/>
        <v>295.17076710095853</v>
      </c>
      <c r="SI2" s="205">
        <f t="shared" si="7"/>
        <v>269.1083302096668</v>
      </c>
      <c r="SJ2" s="205">
        <f t="shared" si="7"/>
        <v>273.77977452669654</v>
      </c>
      <c r="SK2" s="205">
        <f t="shared" si="7"/>
        <v>246.8100288733672</v>
      </c>
      <c r="SL2" s="205">
        <f t="shared" si="7"/>
        <v>251.28377100353782</v>
      </c>
      <c r="SM2" s="205">
        <f t="shared" si="7"/>
        <v>255.78036045833628</v>
      </c>
      <c r="SN2" s="205">
        <f t="shared" si="7"/>
        <v>260.32885876399382</v>
      </c>
      <c r="SO2" s="205">
        <f t="shared" si="7"/>
        <v>264.92016546750142</v>
      </c>
      <c r="SP2" s="205">
        <f t="shared" si="7"/>
        <v>236.18340265250851</v>
      </c>
      <c r="SQ2" s="205">
        <f t="shared" si="7"/>
        <v>240.50834237981698</v>
      </c>
      <c r="SR2" s="205">
        <f t="shared" si="7"/>
        <v>210.26788979009171</v>
      </c>
      <c r="SS2" s="205">
        <f t="shared" si="7"/>
        <v>212.41636260494926</v>
      </c>
      <c r="ST2" s="205">
        <f t="shared" si="7"/>
        <v>216.65832658190669</v>
      </c>
      <c r="SU2" s="205">
        <f t="shared" si="7"/>
        <v>220.92387999651527</v>
      </c>
      <c r="SV2" s="205">
        <f t="shared" ref="SV2:VG2" si="8">SV34+SV47+SV60+SV73+SV86+SV99+SV112+SV125+SV138+SV151+SV164+SV177+SV190</f>
        <v>225.23174287678412</v>
      </c>
      <c r="SW2" s="205">
        <f t="shared" si="8"/>
        <v>229.60150729205631</v>
      </c>
      <c r="SX2" s="205">
        <f t="shared" si="8"/>
        <v>233.97784955905684</v>
      </c>
      <c r="SY2" s="205">
        <f t="shared" si="8"/>
        <v>238.3996123022946</v>
      </c>
      <c r="SZ2" s="205">
        <f t="shared" si="8"/>
        <v>242.90061394972301</v>
      </c>
      <c r="TA2" s="205">
        <f t="shared" si="8"/>
        <v>247.45460241745869</v>
      </c>
      <c r="TB2" s="205">
        <f t="shared" si="8"/>
        <v>252.0426027290822</v>
      </c>
      <c r="TC2" s="205">
        <f t="shared" si="8"/>
        <v>256.68813338083942</v>
      </c>
      <c r="TD2" s="205">
        <f t="shared" si="8"/>
        <v>261.37290883556363</v>
      </c>
      <c r="TE2" s="205">
        <f t="shared" si="8"/>
        <v>266.08351399458388</v>
      </c>
      <c r="TF2" s="205">
        <f t="shared" si="8"/>
        <v>270.81379016610282</v>
      </c>
      <c r="TG2" s="205">
        <f t="shared" si="8"/>
        <v>275.60723540948294</v>
      </c>
      <c r="TH2" s="205">
        <f t="shared" si="8"/>
        <v>280.47307650391275</v>
      </c>
      <c r="TI2" s="205">
        <f t="shared" si="8"/>
        <v>285.40053870099342</v>
      </c>
      <c r="TJ2" s="205">
        <f t="shared" si="8"/>
        <v>290.3760718092143</v>
      </c>
      <c r="TK2" s="205">
        <f t="shared" si="8"/>
        <v>295.38541955176908</v>
      </c>
      <c r="TL2" s="205">
        <f t="shared" si="8"/>
        <v>300.41009623144856</v>
      </c>
      <c r="TM2" s="205">
        <f t="shared" si="8"/>
        <v>305.51354017808626</v>
      </c>
      <c r="TN2" s="205">
        <f t="shared" si="8"/>
        <v>310.65957637081095</v>
      </c>
      <c r="TO2" s="205">
        <f t="shared" si="8"/>
        <v>315.8320459462135</v>
      </c>
      <c r="TP2" s="205">
        <f t="shared" si="8"/>
        <v>321.04231154327351</v>
      </c>
      <c r="TQ2" s="205">
        <f t="shared" si="8"/>
        <v>326.31503394681448</v>
      </c>
      <c r="TR2" s="205">
        <f t="shared" si="8"/>
        <v>331.65238891792393</v>
      </c>
      <c r="TS2" s="205">
        <f t="shared" si="8"/>
        <v>337.00667060599159</v>
      </c>
      <c r="TT2" s="205">
        <f t="shared" si="8"/>
        <v>315.75941100517321</v>
      </c>
      <c r="TU2" s="205">
        <f t="shared" si="8"/>
        <v>320.92720248280602</v>
      </c>
      <c r="TV2" s="205">
        <f t="shared" si="8"/>
        <v>298.86408342114009</v>
      </c>
      <c r="TW2" s="205">
        <f t="shared" si="8"/>
        <v>303.85944628494059</v>
      </c>
      <c r="TX2" s="205">
        <f t="shared" si="8"/>
        <v>308.89358421810596</v>
      </c>
      <c r="TY2" s="205">
        <f t="shared" si="8"/>
        <v>313.98365976387174</v>
      </c>
      <c r="TZ2" s="205">
        <f t="shared" si="8"/>
        <v>319.10561801154074</v>
      </c>
      <c r="UA2" s="205">
        <f t="shared" si="8"/>
        <v>295.43882487413913</v>
      </c>
      <c r="UB2" s="205">
        <f t="shared" si="8"/>
        <v>300.37454969172234</v>
      </c>
      <c r="UC2" s="205">
        <f t="shared" si="8"/>
        <v>275.89733103537458</v>
      </c>
      <c r="UD2" s="205">
        <f t="shared" si="8"/>
        <v>280.64348432741059</v>
      </c>
      <c r="UE2" s="205">
        <f t="shared" si="8"/>
        <v>285.44676464493864</v>
      </c>
      <c r="UF2" s="205">
        <f t="shared" si="8"/>
        <v>290.28704874214117</v>
      </c>
      <c r="UG2" s="205">
        <f t="shared" si="8"/>
        <v>295.17076710095853</v>
      </c>
      <c r="UH2" s="205">
        <f t="shared" si="8"/>
        <v>269.1083302096668</v>
      </c>
      <c r="UI2" s="205">
        <f t="shared" si="8"/>
        <v>273.77977452669654</v>
      </c>
      <c r="UJ2" s="205">
        <f t="shared" si="8"/>
        <v>246.8100288733672</v>
      </c>
      <c r="UK2" s="205">
        <f t="shared" si="8"/>
        <v>251.28377100353782</v>
      </c>
      <c r="UL2" s="205">
        <f t="shared" si="8"/>
        <v>255.78036045833628</v>
      </c>
      <c r="UM2" s="205">
        <f t="shared" si="8"/>
        <v>260.32885876399382</v>
      </c>
      <c r="UN2" s="205">
        <f t="shared" si="8"/>
        <v>264.92016546750142</v>
      </c>
      <c r="UO2" s="205">
        <f t="shared" si="8"/>
        <v>236.18340265250851</v>
      </c>
      <c r="UP2" s="205">
        <f t="shared" si="8"/>
        <v>240.50834237981698</v>
      </c>
      <c r="UQ2" s="205">
        <f t="shared" si="8"/>
        <v>210.26788979009171</v>
      </c>
      <c r="UR2" s="205">
        <f t="shared" si="8"/>
        <v>212.41636260494926</v>
      </c>
      <c r="US2" s="205">
        <f t="shared" si="8"/>
        <v>216.65832658190669</v>
      </c>
      <c r="UT2" s="205">
        <f t="shared" si="8"/>
        <v>220.92387999651527</v>
      </c>
      <c r="UU2" s="205">
        <f t="shared" si="8"/>
        <v>225.23174287678412</v>
      </c>
      <c r="UV2" s="205">
        <f t="shared" si="8"/>
        <v>229.60150729205631</v>
      </c>
      <c r="UW2" s="205">
        <f t="shared" si="8"/>
        <v>233.97784955905684</v>
      </c>
      <c r="UX2" s="205">
        <f t="shared" si="8"/>
        <v>238.3996123022946</v>
      </c>
      <c r="UY2" s="205">
        <f t="shared" si="8"/>
        <v>242.90061394972301</v>
      </c>
      <c r="UZ2" s="205">
        <f t="shared" si="8"/>
        <v>247.45460241745869</v>
      </c>
      <c r="VA2" s="205">
        <f t="shared" si="8"/>
        <v>252.0426027290822</v>
      </c>
      <c r="VB2" s="205">
        <f t="shared" si="8"/>
        <v>256.68813338083942</v>
      </c>
      <c r="VC2" s="205">
        <f t="shared" si="8"/>
        <v>261.37290883556363</v>
      </c>
      <c r="VD2" s="205">
        <f t="shared" si="8"/>
        <v>266.08351399458388</v>
      </c>
      <c r="VE2" s="205">
        <f t="shared" si="8"/>
        <v>270.81379016610282</v>
      </c>
      <c r="VF2" s="205">
        <f t="shared" si="8"/>
        <v>275.60723540948294</v>
      </c>
      <c r="VG2" s="205">
        <f t="shared" si="8"/>
        <v>280.47307650391275</v>
      </c>
      <c r="VH2" s="205">
        <f t="shared" ref="VH2:XS2" si="9">VH34+VH47+VH60+VH73+VH86+VH99+VH112+VH125+VH138+VH151+VH164+VH177+VH190</f>
        <v>285.40053870099342</v>
      </c>
      <c r="VI2" s="205">
        <f t="shared" si="9"/>
        <v>290.3760718092143</v>
      </c>
      <c r="VJ2" s="205">
        <f t="shared" si="9"/>
        <v>295.38541955176908</v>
      </c>
      <c r="VK2" s="205">
        <f t="shared" si="9"/>
        <v>300.41009623144856</v>
      </c>
      <c r="VL2" s="205">
        <f t="shared" si="9"/>
        <v>305.51354017808626</v>
      </c>
      <c r="VM2" s="205">
        <f t="shared" si="9"/>
        <v>310.65957637081095</v>
      </c>
      <c r="VN2" s="205">
        <f t="shared" si="9"/>
        <v>315.8320459462135</v>
      </c>
      <c r="VO2" s="205">
        <f t="shared" si="9"/>
        <v>321.04231154327351</v>
      </c>
      <c r="VP2" s="205">
        <f t="shared" si="9"/>
        <v>326.31503394681448</v>
      </c>
      <c r="VQ2" s="205">
        <f t="shared" si="9"/>
        <v>331.65238891792393</v>
      </c>
      <c r="VR2" s="205">
        <f t="shared" si="9"/>
        <v>337.00667060599159</v>
      </c>
      <c r="VS2" s="205">
        <f t="shared" si="9"/>
        <v>315.75941100517321</v>
      </c>
      <c r="VT2" s="205">
        <f t="shared" si="9"/>
        <v>320.92720248280602</v>
      </c>
      <c r="VU2" s="205">
        <f t="shared" si="9"/>
        <v>298.86408342114009</v>
      </c>
      <c r="VV2" s="205">
        <f t="shared" si="9"/>
        <v>303.85944628494059</v>
      </c>
      <c r="VW2" s="205">
        <f t="shared" si="9"/>
        <v>308.89358421810596</v>
      </c>
      <c r="VX2" s="205">
        <f t="shared" si="9"/>
        <v>313.98365976387174</v>
      </c>
      <c r="VY2" s="205">
        <f t="shared" si="9"/>
        <v>319.10561801154074</v>
      </c>
      <c r="VZ2" s="205">
        <f t="shared" si="9"/>
        <v>295.43882487413913</v>
      </c>
      <c r="WA2" s="205">
        <f t="shared" si="9"/>
        <v>300.37454969172234</v>
      </c>
      <c r="WB2" s="205">
        <f t="shared" si="9"/>
        <v>275.89733103537458</v>
      </c>
      <c r="WC2" s="205">
        <f t="shared" si="9"/>
        <v>280.64348432741059</v>
      </c>
      <c r="WD2" s="205">
        <f t="shared" si="9"/>
        <v>285.44676464493864</v>
      </c>
      <c r="WE2" s="205">
        <f t="shared" si="9"/>
        <v>290.28704874214117</v>
      </c>
      <c r="WF2" s="205">
        <f t="shared" si="9"/>
        <v>295.17076710095853</v>
      </c>
      <c r="WG2" s="205">
        <f t="shared" si="9"/>
        <v>269.1083302096668</v>
      </c>
      <c r="WH2" s="205">
        <f t="shared" si="9"/>
        <v>273.77977452669654</v>
      </c>
      <c r="WI2" s="205">
        <f t="shared" si="9"/>
        <v>246.8100288733672</v>
      </c>
      <c r="WJ2" s="205">
        <f t="shared" si="9"/>
        <v>251.28377100353782</v>
      </c>
      <c r="WK2" s="205">
        <f t="shared" si="9"/>
        <v>255.78036045833628</v>
      </c>
      <c r="WL2" s="205">
        <f t="shared" si="9"/>
        <v>260.32885876399382</v>
      </c>
      <c r="WM2" s="205">
        <f t="shared" si="9"/>
        <v>264.92016546750142</v>
      </c>
      <c r="WN2" s="205">
        <f t="shared" si="9"/>
        <v>236.18340265250851</v>
      </c>
      <c r="WO2" s="205">
        <f t="shared" si="9"/>
        <v>240.50834237981698</v>
      </c>
      <c r="WP2" s="205">
        <f t="shared" si="9"/>
        <v>210.26788979009171</v>
      </c>
      <c r="WQ2" s="205">
        <f t="shared" si="9"/>
        <v>212.41636260494926</v>
      </c>
      <c r="WR2" s="205">
        <f t="shared" si="9"/>
        <v>216.65832658190669</v>
      </c>
      <c r="WS2" s="205">
        <f t="shared" si="9"/>
        <v>220.92387999651527</v>
      </c>
      <c r="WT2" s="205">
        <f t="shared" si="9"/>
        <v>225.23174287678412</v>
      </c>
      <c r="WU2" s="205">
        <f t="shared" si="9"/>
        <v>229.60150729205631</v>
      </c>
      <c r="WV2" s="205">
        <f t="shared" si="9"/>
        <v>233.97784955905684</v>
      </c>
      <c r="WW2" s="205">
        <f t="shared" si="9"/>
        <v>238.3996123022946</v>
      </c>
      <c r="WX2" s="205">
        <f t="shared" si="9"/>
        <v>242.90061394972301</v>
      </c>
      <c r="WY2" s="205">
        <f t="shared" si="9"/>
        <v>247.45460241745869</v>
      </c>
      <c r="WZ2" s="205">
        <f t="shared" si="9"/>
        <v>252.0426027290822</v>
      </c>
      <c r="XA2" s="205">
        <f t="shared" si="9"/>
        <v>256.68813338083942</v>
      </c>
      <c r="XB2" s="205">
        <f t="shared" si="9"/>
        <v>261.37290883556363</v>
      </c>
      <c r="XC2" s="205">
        <f t="shared" si="9"/>
        <v>266.08351399458388</v>
      </c>
      <c r="XD2" s="205">
        <f t="shared" si="9"/>
        <v>270.81379016610282</v>
      </c>
      <c r="XE2" s="205">
        <f t="shared" si="9"/>
        <v>275.60723540948294</v>
      </c>
      <c r="XF2" s="205">
        <f t="shared" si="9"/>
        <v>280.47307650391275</v>
      </c>
      <c r="XG2" s="205">
        <f t="shared" si="9"/>
        <v>285.40053870099342</v>
      </c>
      <c r="XH2" s="205">
        <f t="shared" si="9"/>
        <v>290.3760718092143</v>
      </c>
      <c r="XI2" s="205">
        <f t="shared" si="9"/>
        <v>295.38541955176908</v>
      </c>
      <c r="XJ2" s="205">
        <f t="shared" si="9"/>
        <v>300.41009623144856</v>
      </c>
      <c r="XK2" s="205">
        <f t="shared" si="9"/>
        <v>305.51354017808626</v>
      </c>
      <c r="XL2" s="205">
        <f t="shared" si="9"/>
        <v>310.65957637081095</v>
      </c>
      <c r="XM2" s="205">
        <f t="shared" si="9"/>
        <v>315.8320459462135</v>
      </c>
      <c r="XN2" s="205">
        <f t="shared" si="9"/>
        <v>321.04231154327351</v>
      </c>
      <c r="XO2" s="205">
        <f t="shared" si="9"/>
        <v>326.31503394681448</v>
      </c>
      <c r="XP2" s="205">
        <f t="shared" si="9"/>
        <v>331.65238891792393</v>
      </c>
      <c r="XQ2" s="205">
        <f t="shared" si="9"/>
        <v>337.00667060599159</v>
      </c>
      <c r="XR2" s="205">
        <f t="shared" si="9"/>
        <v>315.75941100517321</v>
      </c>
      <c r="XS2" s="205">
        <f t="shared" si="9"/>
        <v>320.92720248280602</v>
      </c>
      <c r="XT2" s="205">
        <f t="shared" ref="XT2:YF2" si="10">XT34+XT47+XT60+XT73+XT86+XT99+XT112+XT125+XT138+XT151+XT164+XT177+XT190</f>
        <v>298.86408342114009</v>
      </c>
      <c r="XU2" s="205">
        <f t="shared" si="10"/>
        <v>303.85944628494059</v>
      </c>
      <c r="XV2" s="205">
        <f t="shared" si="10"/>
        <v>308.89358421810596</v>
      </c>
      <c r="XW2" s="205">
        <f t="shared" si="10"/>
        <v>313.98365976387174</v>
      </c>
      <c r="XX2" s="205">
        <f t="shared" si="10"/>
        <v>319.10561801154074</v>
      </c>
      <c r="XY2" s="205">
        <f t="shared" si="10"/>
        <v>295.43882487413913</v>
      </c>
      <c r="XZ2" s="205">
        <f t="shared" si="10"/>
        <v>300.37454969172234</v>
      </c>
      <c r="YA2" s="205">
        <f t="shared" si="10"/>
        <v>275.89733103537458</v>
      </c>
      <c r="YB2" s="205">
        <f t="shared" si="10"/>
        <v>280.64348432741059</v>
      </c>
      <c r="YC2" s="205">
        <f t="shared" si="10"/>
        <v>285.44676464493864</v>
      </c>
      <c r="YD2" s="205">
        <f t="shared" si="10"/>
        <v>290.28704874214117</v>
      </c>
      <c r="YE2" s="205">
        <f t="shared" si="10"/>
        <v>295.17076710095853</v>
      </c>
      <c r="YF2" s="205">
        <f t="shared" si="10"/>
        <v>269.1083302096668</v>
      </c>
      <c r="YG2" s="205">
        <f>YG34+YG47+YG60+YG73+YG86+YG99+YG112+YG125+YG138+YG151+YG164+YG177+YG190</f>
        <v>273.77977452669654</v>
      </c>
      <c r="YH2" s="205">
        <f t="shared" ref="YH2:AAS2" si="11">YH34+YH47+YH60+YH73+YH86+YH99+YH112+YH125+YH138+YH151+YH164+YH177+YH190</f>
        <v>246.8100288733672</v>
      </c>
      <c r="YI2" s="205">
        <f t="shared" si="11"/>
        <v>251.28377100353782</v>
      </c>
      <c r="YJ2" s="205">
        <f t="shared" si="11"/>
        <v>255.78036045833628</v>
      </c>
      <c r="YK2" s="205">
        <f t="shared" si="11"/>
        <v>260.32885876399382</v>
      </c>
      <c r="YL2" s="205">
        <f t="shared" si="11"/>
        <v>264.92016546750142</v>
      </c>
      <c r="YM2" s="205">
        <f t="shared" si="11"/>
        <v>236.18340265250851</v>
      </c>
      <c r="YN2" s="205">
        <f t="shared" si="11"/>
        <v>240.50834237981698</v>
      </c>
      <c r="YO2" s="205">
        <f t="shared" si="11"/>
        <v>210.26788979009171</v>
      </c>
      <c r="YP2" s="205">
        <f t="shared" si="11"/>
        <v>209.91636260494926</v>
      </c>
      <c r="YQ2" s="205">
        <f t="shared" si="11"/>
        <v>213.91243372476384</v>
      </c>
      <c r="YR2" s="205">
        <f t="shared" si="11"/>
        <v>217.90937997738263</v>
      </c>
      <c r="YS2" s="205">
        <f t="shared" si="11"/>
        <v>221.92869703125871</v>
      </c>
      <c r="YT2" s="205">
        <f t="shared" si="11"/>
        <v>225.98345517957867</v>
      </c>
      <c r="YU2" s="205">
        <f t="shared" si="11"/>
        <v>230.01728851326465</v>
      </c>
      <c r="YV2" s="205">
        <f t="shared" si="11"/>
        <v>234.07345050065464</v>
      </c>
      <c r="YW2" s="205">
        <f t="shared" si="11"/>
        <v>238.17734033029112</v>
      </c>
      <c r="YX2" s="205">
        <f t="shared" si="11"/>
        <v>242.30847572586003</v>
      </c>
      <c r="YY2" s="205">
        <f t="shared" si="11"/>
        <v>246.43925576430797</v>
      </c>
      <c r="YZ2" s="205">
        <f t="shared" si="11"/>
        <v>250.5926416029896</v>
      </c>
      <c r="ZA2" s="205">
        <f t="shared" si="11"/>
        <v>254.75726842600392</v>
      </c>
      <c r="ZB2" s="205">
        <f t="shared" si="11"/>
        <v>258.90995457715132</v>
      </c>
      <c r="ZC2" s="205">
        <f t="shared" si="11"/>
        <v>263.05246927377965</v>
      </c>
      <c r="ZD2" s="205">
        <f t="shared" si="11"/>
        <v>267.21762922918776</v>
      </c>
      <c r="ZE2" s="205">
        <f t="shared" si="11"/>
        <v>271.4250215546931</v>
      </c>
      <c r="ZF2" s="205">
        <f t="shared" si="11"/>
        <v>275.65257292054059</v>
      </c>
      <c r="ZG2" s="205">
        <f t="shared" si="11"/>
        <v>279.89871062099871</v>
      </c>
      <c r="ZH2" s="205">
        <f t="shared" si="11"/>
        <v>284.13572716739361</v>
      </c>
      <c r="ZI2" s="205">
        <f t="shared" si="11"/>
        <v>288.35675394736427</v>
      </c>
      <c r="ZJ2" s="205">
        <f t="shared" si="11"/>
        <v>292.61232059770589</v>
      </c>
      <c r="ZK2" s="205">
        <f t="shared" si="11"/>
        <v>296.87908905595236</v>
      </c>
      <c r="ZL2" s="205">
        <f t="shared" si="11"/>
        <v>301.12932601874513</v>
      </c>
      <c r="ZM2" s="205">
        <f t="shared" si="11"/>
        <v>305.38658804232472</v>
      </c>
      <c r="ZN2" s="205">
        <f t="shared" si="11"/>
        <v>309.66113946871428</v>
      </c>
      <c r="ZO2" s="205">
        <f t="shared" si="11"/>
        <v>313.95182240504857</v>
      </c>
      <c r="ZP2" s="205">
        <f t="shared" si="11"/>
        <v>318.22663372339071</v>
      </c>
      <c r="ZQ2" s="205">
        <f t="shared" si="11"/>
        <v>295.85089011526861</v>
      </c>
      <c r="ZR2" s="205">
        <f t="shared" si="11"/>
        <v>299.85813193396638</v>
      </c>
      <c r="ZS2" s="205">
        <f t="shared" si="11"/>
        <v>276.58540035137884</v>
      </c>
      <c r="ZT2" s="205">
        <f t="shared" si="11"/>
        <v>280.32136236635341</v>
      </c>
      <c r="ZU2" s="205">
        <f t="shared" si="11"/>
        <v>284.06534039545943</v>
      </c>
      <c r="ZV2" s="205">
        <f t="shared" si="11"/>
        <v>287.81613009328476</v>
      </c>
      <c r="ZW2" s="205">
        <f t="shared" si="11"/>
        <v>291.54931307061042</v>
      </c>
      <c r="ZX2" s="205">
        <f t="shared" si="11"/>
        <v>266.46533853624669</v>
      </c>
      <c r="ZY2" s="205">
        <f t="shared" si="11"/>
        <v>269.9358327590279</v>
      </c>
      <c r="ZZ2" s="205">
        <f t="shared" si="11"/>
        <v>243.97183283053107</v>
      </c>
      <c r="AAA2" s="205">
        <f t="shared" si="11"/>
        <v>247.18556220873461</v>
      </c>
      <c r="AAB2" s="205">
        <f t="shared" si="11"/>
        <v>250.41584894834523</v>
      </c>
      <c r="AAC2" s="205">
        <f t="shared" si="11"/>
        <v>253.66222638135272</v>
      </c>
      <c r="AAD2" s="205">
        <f t="shared" si="11"/>
        <v>256.91003600805487</v>
      </c>
      <c r="AAE2" s="205">
        <f t="shared" si="11"/>
        <v>229.17581772762043</v>
      </c>
      <c r="AAF2" s="205">
        <f t="shared" si="11"/>
        <v>232.16025014746344</v>
      </c>
      <c r="AAG2" s="205">
        <f t="shared" si="11"/>
        <v>203.47213125469565</v>
      </c>
      <c r="AAH2" s="205">
        <f t="shared" si="11"/>
        <v>206.19217270588604</v>
      </c>
      <c r="AAI2" s="205">
        <f t="shared" si="11"/>
        <v>208.92653375153844</v>
      </c>
      <c r="AAJ2" s="205">
        <f t="shared" si="11"/>
        <v>211.68192344593041</v>
      </c>
      <c r="AAK2" s="205">
        <f t="shared" si="11"/>
        <v>214.45094224806405</v>
      </c>
      <c r="AAL2" s="205">
        <f t="shared" si="11"/>
        <v>183.89055816740881</v>
      </c>
      <c r="AAM2" s="205">
        <f t="shared" si="11"/>
        <v>186.36781738957711</v>
      </c>
      <c r="AAN2" s="205">
        <f t="shared" si="11"/>
        <v>154.28373744886844</v>
      </c>
      <c r="AAO2" s="205">
        <f t="shared" si="11"/>
        <v>154.0441785684084</v>
      </c>
      <c r="AAP2" s="205">
        <f t="shared" si="11"/>
        <v>156.22587402766794</v>
      </c>
      <c r="AAQ2" s="205">
        <f t="shared" si="11"/>
        <v>158.4203025837775</v>
      </c>
      <c r="AAR2" s="205">
        <f t="shared" si="11"/>
        <v>160.62713424070034</v>
      </c>
      <c r="AAS2" s="205">
        <f t="shared" si="11"/>
        <v>162.8460300020719</v>
      </c>
      <c r="AAT2" s="205">
        <f t="shared" ref="AAT2:ACJ2" si="12">AAT34+AAT47+AAT60+AAT73+AAT86+AAT99+AAT112+AAT125+AAT138+AAT151+AAT164+AAT177+AAT190</f>
        <v>165.0472590972723</v>
      </c>
      <c r="AAU2" s="205">
        <f t="shared" si="12"/>
        <v>167.25927178816221</v>
      </c>
      <c r="AAV2" s="205">
        <f t="shared" si="12"/>
        <v>169.50093053419664</v>
      </c>
      <c r="AAW2" s="205">
        <f t="shared" si="12"/>
        <v>171.75314979508781</v>
      </c>
      <c r="AAX2" s="205">
        <f t="shared" si="12"/>
        <v>174.01555335445758</v>
      </c>
      <c r="AAY2" s="205">
        <f t="shared" si="12"/>
        <v>176.28775644193649</v>
      </c>
      <c r="AAZ2" s="205">
        <f t="shared" si="12"/>
        <v>178.56936579542639</v>
      </c>
      <c r="ABA2" s="205">
        <f t="shared" si="12"/>
        <v>180.82989163060938</v>
      </c>
      <c r="ABB2" s="205">
        <f t="shared" si="12"/>
        <v>183.09848481652065</v>
      </c>
      <c r="ABC2" s="205">
        <f t="shared" si="12"/>
        <v>185.37473188912605</v>
      </c>
      <c r="ABD2" s="205">
        <f t="shared" si="12"/>
        <v>187.67927685147495</v>
      </c>
      <c r="ABE2" s="205">
        <f t="shared" si="12"/>
        <v>189.99114430723631</v>
      </c>
      <c r="ABF2" s="205">
        <f t="shared" si="12"/>
        <v>192.30989986389508</v>
      </c>
      <c r="ABG2" s="205">
        <f t="shared" si="12"/>
        <v>194.63510138043125</v>
      </c>
      <c r="ABH2" s="205">
        <f t="shared" si="12"/>
        <v>196.93573201697299</v>
      </c>
      <c r="ABI2" s="205">
        <f t="shared" si="12"/>
        <v>199.2635566246343</v>
      </c>
      <c r="ABJ2" s="205">
        <f t="shared" si="12"/>
        <v>201.59650747859911</v>
      </c>
      <c r="ABK2" s="205">
        <f t="shared" si="12"/>
        <v>203.93412091363186</v>
      </c>
      <c r="ABL2" s="205">
        <f t="shared" si="12"/>
        <v>206.27592621221311</v>
      </c>
      <c r="ABM2" s="205">
        <f t="shared" si="12"/>
        <v>208.62144573273852</v>
      </c>
      <c r="ABN2" s="205">
        <f t="shared" si="12"/>
        <v>210.97019504312283</v>
      </c>
      <c r="ABO2" s="205">
        <f t="shared" si="12"/>
        <v>213.29086718859719</v>
      </c>
      <c r="ABP2" s="205">
        <f t="shared" si="12"/>
        <v>188.9757083290971</v>
      </c>
      <c r="ABQ2" s="205">
        <f t="shared" si="12"/>
        <v>191.03344381979173</v>
      </c>
      <c r="ABR2" s="205">
        <f t="shared" si="12"/>
        <v>165.80186785114904</v>
      </c>
      <c r="ABS2" s="205">
        <f t="shared" si="12"/>
        <v>167.57042110822798</v>
      </c>
      <c r="ABT2" s="205">
        <f t="shared" si="12"/>
        <v>169.33921999770371</v>
      </c>
      <c r="ABU2" s="205">
        <f t="shared" si="12"/>
        <v>171.10787407323525</v>
      </c>
      <c r="ABV2" s="205">
        <f t="shared" si="12"/>
        <v>172.85279832752056</v>
      </c>
      <c r="ABW2" s="205">
        <f t="shared" si="12"/>
        <v>145.78772243994473</v>
      </c>
      <c r="ABX2" s="205">
        <f t="shared" si="12"/>
        <v>147.25841616741585</v>
      </c>
      <c r="ABY2" s="205">
        <f t="shared" si="12"/>
        <v>119.27608064689986</v>
      </c>
      <c r="ABZ2" s="205">
        <f t="shared" si="12"/>
        <v>120.4531127394374</v>
      </c>
      <c r="ACA2" s="205">
        <f t="shared" si="12"/>
        <v>121.62852333408158</v>
      </c>
      <c r="ACB2" s="205">
        <f t="shared" si="12"/>
        <v>122.80203809767855</v>
      </c>
      <c r="ACC2" s="205">
        <f t="shared" si="12"/>
        <v>123.98687534437923</v>
      </c>
      <c r="ACD2" s="205">
        <f t="shared" si="12"/>
        <v>94.1728005500308</v>
      </c>
      <c r="ACE2" s="205">
        <f t="shared" si="12"/>
        <v>95.060715526645382</v>
      </c>
      <c r="ACF2" s="205">
        <f t="shared" si="12"/>
        <v>64.259650865015544</v>
      </c>
      <c r="ACG2" s="205">
        <f t="shared" si="12"/>
        <v>64.850560263187319</v>
      </c>
      <c r="ACH2" s="205">
        <f t="shared" si="12"/>
        <v>65.439854484709329</v>
      </c>
      <c r="ACI2" s="205">
        <f t="shared" si="12"/>
        <v>66.034503597200825</v>
      </c>
      <c r="ACJ2" s="205">
        <f t="shared" si="12"/>
        <v>66.627378596888732</v>
      </c>
      <c r="ACK2" s="205">
        <f>ACK34+ACK47+ACK60+ACK73+ACK86+ACK99+ACK112+ACK125+ACK138+ACK151+ACK164+ACK177+ACK190</f>
        <v>33.90464517817329</v>
      </c>
      <c r="ACL2" s="205">
        <f t="shared" ref="ACL2:AEW2" si="13">ACL34+ACL47+ACL60+ACL73+ACL86+ACL99+ACL112+ACL125+ACL138+ACL151+ACL164+ACL177+ACL190</f>
        <v>34.205364639753611</v>
      </c>
      <c r="ACM2" s="205">
        <f t="shared" si="13"/>
        <v>-6.9146888214147453E-2</v>
      </c>
      <c r="ACN2" s="205">
        <f t="shared" si="13"/>
        <v>0</v>
      </c>
      <c r="ACO2" s="205">
        <f t="shared" si="13"/>
        <v>0</v>
      </c>
      <c r="ACP2" s="205">
        <f t="shared" si="13"/>
        <v>0</v>
      </c>
      <c r="ACQ2" s="205">
        <f t="shared" si="13"/>
        <v>0</v>
      </c>
      <c r="ACR2" s="205">
        <f t="shared" si="13"/>
        <v>0</v>
      </c>
      <c r="ACS2" s="205">
        <f t="shared" si="13"/>
        <v>0</v>
      </c>
      <c r="ACT2" s="205">
        <f t="shared" si="13"/>
        <v>0</v>
      </c>
      <c r="ACU2" s="205">
        <f t="shared" si="13"/>
        <v>0</v>
      </c>
      <c r="ACV2" s="205">
        <f t="shared" si="13"/>
        <v>0</v>
      </c>
      <c r="ACW2" s="205">
        <f t="shared" si="13"/>
        <v>0</v>
      </c>
      <c r="ACX2" s="205">
        <f t="shared" si="13"/>
        <v>0</v>
      </c>
      <c r="ACY2" s="205">
        <f t="shared" si="13"/>
        <v>0</v>
      </c>
      <c r="ACZ2" s="205">
        <f t="shared" si="13"/>
        <v>0</v>
      </c>
      <c r="ADA2" s="205">
        <f t="shared" si="13"/>
        <v>0</v>
      </c>
      <c r="ADB2" s="205">
        <f t="shared" si="13"/>
        <v>0</v>
      </c>
      <c r="ADC2" s="205">
        <f t="shared" si="13"/>
        <v>0</v>
      </c>
      <c r="ADD2" s="205">
        <f t="shared" si="13"/>
        <v>0</v>
      </c>
      <c r="ADE2" s="205">
        <f t="shared" si="13"/>
        <v>0</v>
      </c>
      <c r="ADF2" s="205">
        <f t="shared" si="13"/>
        <v>0</v>
      </c>
      <c r="ADG2" s="205">
        <f t="shared" si="13"/>
        <v>0</v>
      </c>
      <c r="ADH2" s="205">
        <f t="shared" si="13"/>
        <v>0</v>
      </c>
      <c r="ADI2" s="205">
        <f t="shared" si="13"/>
        <v>0</v>
      </c>
      <c r="ADJ2" s="205">
        <f t="shared" si="13"/>
        <v>0</v>
      </c>
      <c r="ADK2" s="205">
        <f t="shared" si="13"/>
        <v>0</v>
      </c>
      <c r="ADL2" s="205">
        <f t="shared" si="13"/>
        <v>0</v>
      </c>
      <c r="ADM2" s="205">
        <f t="shared" si="13"/>
        <v>0</v>
      </c>
      <c r="ADN2" s="205">
        <f t="shared" si="13"/>
        <v>0</v>
      </c>
      <c r="ADO2" s="205">
        <f t="shared" si="13"/>
        <v>0</v>
      </c>
      <c r="ADP2" s="205">
        <f t="shared" si="13"/>
        <v>0</v>
      </c>
      <c r="ADQ2" s="205">
        <f t="shared" si="13"/>
        <v>0</v>
      </c>
      <c r="ADR2" s="205">
        <f t="shared" si="13"/>
        <v>0</v>
      </c>
      <c r="ADS2" s="205">
        <f t="shared" si="13"/>
        <v>0</v>
      </c>
      <c r="ADT2" s="205">
        <f t="shared" si="13"/>
        <v>0</v>
      </c>
      <c r="ADU2" s="205">
        <f t="shared" si="13"/>
        <v>0</v>
      </c>
      <c r="ADV2" s="205">
        <f t="shared" si="13"/>
        <v>0</v>
      </c>
      <c r="ADW2" s="205">
        <f t="shared" si="13"/>
        <v>0</v>
      </c>
      <c r="ADX2" s="205">
        <f t="shared" si="13"/>
        <v>0</v>
      </c>
      <c r="ADY2" s="205">
        <f t="shared" si="13"/>
        <v>0</v>
      </c>
      <c r="ADZ2" s="205">
        <f t="shared" si="13"/>
        <v>0</v>
      </c>
      <c r="AEA2" s="205">
        <f t="shared" si="13"/>
        <v>0</v>
      </c>
      <c r="AEB2" s="205">
        <f t="shared" si="13"/>
        <v>0</v>
      </c>
      <c r="AEC2" s="205">
        <f t="shared" si="13"/>
        <v>0</v>
      </c>
      <c r="AED2" s="205">
        <f t="shared" si="13"/>
        <v>0</v>
      </c>
      <c r="AEE2" s="205">
        <f t="shared" si="13"/>
        <v>0</v>
      </c>
      <c r="AEF2" s="205">
        <f t="shared" si="13"/>
        <v>0</v>
      </c>
      <c r="AEG2" s="205">
        <f t="shared" si="13"/>
        <v>0</v>
      </c>
      <c r="AEH2" s="205">
        <f t="shared" si="13"/>
        <v>0</v>
      </c>
      <c r="AEI2" s="205">
        <f t="shared" si="13"/>
        <v>0</v>
      </c>
      <c r="AEJ2" s="205">
        <f t="shared" si="13"/>
        <v>0</v>
      </c>
      <c r="AEK2" s="205">
        <f t="shared" si="13"/>
        <v>0</v>
      </c>
      <c r="AEL2" s="205">
        <f t="shared" si="13"/>
        <v>0</v>
      </c>
      <c r="AEM2" s="205">
        <f t="shared" si="13"/>
        <v>0</v>
      </c>
      <c r="AEN2" s="205">
        <f t="shared" si="13"/>
        <v>0</v>
      </c>
      <c r="AEO2" s="205">
        <f t="shared" si="13"/>
        <v>0</v>
      </c>
      <c r="AEP2" s="205">
        <f t="shared" si="13"/>
        <v>0</v>
      </c>
      <c r="AEQ2" s="205">
        <f t="shared" si="13"/>
        <v>0</v>
      </c>
      <c r="AER2" s="205">
        <f t="shared" si="13"/>
        <v>0</v>
      </c>
      <c r="AES2" s="205">
        <f t="shared" si="13"/>
        <v>0</v>
      </c>
      <c r="AET2" s="205">
        <f t="shared" si="13"/>
        <v>0</v>
      </c>
      <c r="AEU2" s="205">
        <f t="shared" si="13"/>
        <v>0</v>
      </c>
      <c r="AEV2" s="205">
        <f t="shared" si="13"/>
        <v>0</v>
      </c>
      <c r="AEW2" s="205">
        <f t="shared" si="13"/>
        <v>0</v>
      </c>
      <c r="AEX2" s="205">
        <f t="shared" ref="AEX2:AHI2" si="14">AEX34+AEX47+AEX60+AEX73+AEX86+AEX99+AEX112+AEX125+AEX138+AEX151+AEX164+AEX177+AEX190</f>
        <v>0</v>
      </c>
      <c r="AEY2" s="205">
        <f t="shared" si="14"/>
        <v>0</v>
      </c>
      <c r="AEZ2" s="205">
        <f t="shared" si="14"/>
        <v>0</v>
      </c>
      <c r="AFA2" s="205">
        <f t="shared" si="14"/>
        <v>0</v>
      </c>
      <c r="AFB2" s="205">
        <f t="shared" si="14"/>
        <v>0</v>
      </c>
      <c r="AFC2" s="205">
        <f t="shared" si="14"/>
        <v>0</v>
      </c>
      <c r="AFD2" s="205">
        <f t="shared" si="14"/>
        <v>0</v>
      </c>
      <c r="AFE2" s="205">
        <f t="shared" si="14"/>
        <v>0</v>
      </c>
      <c r="AFF2" s="205">
        <f t="shared" si="14"/>
        <v>0</v>
      </c>
      <c r="AFG2" s="205">
        <f t="shared" si="14"/>
        <v>0</v>
      </c>
      <c r="AFH2" s="205">
        <f t="shared" si="14"/>
        <v>0</v>
      </c>
      <c r="AFI2" s="205">
        <f t="shared" si="14"/>
        <v>0</v>
      </c>
      <c r="AFJ2" s="205">
        <f t="shared" si="14"/>
        <v>0</v>
      </c>
      <c r="AFK2" s="205">
        <f t="shared" si="14"/>
        <v>0</v>
      </c>
      <c r="AFL2" s="205">
        <f t="shared" si="14"/>
        <v>0</v>
      </c>
      <c r="AFM2" s="205">
        <f t="shared" si="14"/>
        <v>0</v>
      </c>
      <c r="AFN2" s="205">
        <f t="shared" si="14"/>
        <v>0</v>
      </c>
      <c r="AFO2" s="205">
        <f t="shared" si="14"/>
        <v>0</v>
      </c>
      <c r="AFP2" s="205">
        <f t="shared" si="14"/>
        <v>0</v>
      </c>
      <c r="AFQ2" s="205">
        <f t="shared" si="14"/>
        <v>0</v>
      </c>
      <c r="AFR2" s="205">
        <f t="shared" si="14"/>
        <v>0</v>
      </c>
      <c r="AFS2" s="205">
        <f t="shared" si="14"/>
        <v>0</v>
      </c>
      <c r="AFT2" s="205">
        <f t="shared" si="14"/>
        <v>0</v>
      </c>
      <c r="AFU2" s="205">
        <f t="shared" si="14"/>
        <v>0</v>
      </c>
      <c r="AFV2" s="205">
        <f t="shared" si="14"/>
        <v>0</v>
      </c>
      <c r="AFW2" s="205">
        <f t="shared" si="14"/>
        <v>0</v>
      </c>
      <c r="AFX2" s="205">
        <f t="shared" si="14"/>
        <v>0</v>
      </c>
      <c r="AFY2" s="205">
        <f t="shared" si="14"/>
        <v>0</v>
      </c>
      <c r="AFZ2" s="205">
        <f t="shared" si="14"/>
        <v>0</v>
      </c>
      <c r="AGA2" s="205">
        <f t="shared" si="14"/>
        <v>0</v>
      </c>
      <c r="AGB2" s="205">
        <f t="shared" si="14"/>
        <v>0</v>
      </c>
      <c r="AGC2" s="205">
        <f t="shared" si="14"/>
        <v>0</v>
      </c>
      <c r="AGD2" s="205">
        <f t="shared" si="14"/>
        <v>0</v>
      </c>
      <c r="AGE2" s="205">
        <f t="shared" si="14"/>
        <v>0</v>
      </c>
      <c r="AGF2" s="205">
        <f t="shared" si="14"/>
        <v>0</v>
      </c>
      <c r="AGG2" s="205">
        <f t="shared" si="14"/>
        <v>0</v>
      </c>
      <c r="AGH2" s="205">
        <f t="shared" si="14"/>
        <v>0</v>
      </c>
      <c r="AGI2" s="205">
        <f t="shared" si="14"/>
        <v>0</v>
      </c>
      <c r="AGJ2" s="205">
        <f t="shared" si="14"/>
        <v>0</v>
      </c>
      <c r="AGK2" s="205">
        <f t="shared" si="14"/>
        <v>0</v>
      </c>
      <c r="AGL2" s="205">
        <f t="shared" si="14"/>
        <v>0</v>
      </c>
      <c r="AGM2" s="205">
        <f t="shared" si="14"/>
        <v>0</v>
      </c>
      <c r="AGN2" s="205">
        <f t="shared" si="14"/>
        <v>0</v>
      </c>
      <c r="AGO2" s="205">
        <f t="shared" si="14"/>
        <v>0</v>
      </c>
      <c r="AGP2" s="205">
        <f t="shared" si="14"/>
        <v>0</v>
      </c>
      <c r="AGQ2" s="205">
        <f t="shared" si="14"/>
        <v>0</v>
      </c>
      <c r="AGR2" s="205">
        <f t="shared" si="14"/>
        <v>0</v>
      </c>
      <c r="AGS2" s="205">
        <f t="shared" si="14"/>
        <v>0</v>
      </c>
      <c r="AGT2" s="205">
        <f t="shared" si="14"/>
        <v>0</v>
      </c>
      <c r="AGU2" s="205">
        <f t="shared" si="14"/>
        <v>0</v>
      </c>
      <c r="AGV2" s="205">
        <f t="shared" si="14"/>
        <v>0</v>
      </c>
      <c r="AGW2" s="205">
        <f t="shared" si="14"/>
        <v>0</v>
      </c>
      <c r="AGX2" s="205">
        <f t="shared" si="14"/>
        <v>0</v>
      </c>
      <c r="AGY2" s="205">
        <f t="shared" si="14"/>
        <v>0</v>
      </c>
      <c r="AGZ2" s="205">
        <f t="shared" si="14"/>
        <v>0</v>
      </c>
      <c r="AHA2" s="205">
        <f t="shared" si="14"/>
        <v>0</v>
      </c>
      <c r="AHB2" s="205">
        <f t="shared" si="14"/>
        <v>0</v>
      </c>
      <c r="AHC2" s="205">
        <f t="shared" si="14"/>
        <v>0</v>
      </c>
      <c r="AHD2" s="205">
        <f t="shared" si="14"/>
        <v>0</v>
      </c>
      <c r="AHE2" s="205">
        <f t="shared" si="14"/>
        <v>0</v>
      </c>
      <c r="AHF2" s="205">
        <f t="shared" si="14"/>
        <v>0</v>
      </c>
      <c r="AHG2" s="205">
        <f t="shared" si="14"/>
        <v>0</v>
      </c>
      <c r="AHH2" s="205">
        <f t="shared" si="14"/>
        <v>0</v>
      </c>
      <c r="AHI2" s="205">
        <f t="shared" si="14"/>
        <v>0</v>
      </c>
      <c r="AHJ2" s="205">
        <f t="shared" ref="AHJ2:AJA2" si="15">AHJ34+AHJ47+AHJ60+AHJ73+AHJ86+AHJ99+AHJ112+AHJ125+AHJ138+AHJ151+AHJ164+AHJ177+AHJ190</f>
        <v>0</v>
      </c>
      <c r="AHK2" s="205">
        <f t="shared" si="15"/>
        <v>0</v>
      </c>
      <c r="AHL2" s="205">
        <f t="shared" si="15"/>
        <v>0</v>
      </c>
      <c r="AHM2" s="205">
        <f t="shared" si="15"/>
        <v>0</v>
      </c>
      <c r="AHN2" s="205">
        <f t="shared" si="15"/>
        <v>0</v>
      </c>
      <c r="AHO2" s="205">
        <f t="shared" si="15"/>
        <v>0</v>
      </c>
      <c r="AHP2" s="205">
        <f t="shared" si="15"/>
        <v>0</v>
      </c>
      <c r="AHQ2" s="205">
        <f t="shared" si="15"/>
        <v>0</v>
      </c>
      <c r="AHR2" s="205">
        <f t="shared" si="15"/>
        <v>0</v>
      </c>
      <c r="AHS2" s="205">
        <f t="shared" si="15"/>
        <v>0</v>
      </c>
      <c r="AHT2" s="205">
        <f t="shared" si="15"/>
        <v>0</v>
      </c>
      <c r="AHU2" s="205">
        <f t="shared" si="15"/>
        <v>0</v>
      </c>
      <c r="AHV2" s="205">
        <f t="shared" si="15"/>
        <v>0</v>
      </c>
      <c r="AHW2" s="205">
        <f t="shared" si="15"/>
        <v>0</v>
      </c>
      <c r="AHX2" s="205">
        <f t="shared" si="15"/>
        <v>0</v>
      </c>
      <c r="AHY2" s="205">
        <f t="shared" si="15"/>
        <v>0</v>
      </c>
      <c r="AHZ2" s="205">
        <f t="shared" si="15"/>
        <v>0</v>
      </c>
      <c r="AIA2" s="205">
        <f t="shared" si="15"/>
        <v>0</v>
      </c>
      <c r="AIB2" s="205">
        <f t="shared" si="15"/>
        <v>0</v>
      </c>
      <c r="AIC2" s="205">
        <f t="shared" si="15"/>
        <v>0</v>
      </c>
      <c r="AID2" s="205">
        <f t="shared" si="15"/>
        <v>0</v>
      </c>
      <c r="AIE2" s="205">
        <f t="shared" si="15"/>
        <v>0</v>
      </c>
      <c r="AIF2" s="205">
        <f t="shared" si="15"/>
        <v>0</v>
      </c>
      <c r="AIG2" s="205">
        <f t="shared" si="15"/>
        <v>0</v>
      </c>
      <c r="AIH2" s="205">
        <f t="shared" si="15"/>
        <v>0</v>
      </c>
      <c r="AII2" s="205">
        <f t="shared" si="15"/>
        <v>0</v>
      </c>
      <c r="AIJ2" s="205">
        <f t="shared" si="15"/>
        <v>0</v>
      </c>
      <c r="AIK2" s="205">
        <f t="shared" si="15"/>
        <v>0</v>
      </c>
      <c r="AIL2" s="205">
        <f t="shared" si="15"/>
        <v>0</v>
      </c>
      <c r="AIM2" s="205">
        <f t="shared" si="15"/>
        <v>0</v>
      </c>
      <c r="AIN2" s="205">
        <f t="shared" si="15"/>
        <v>0</v>
      </c>
      <c r="AIO2" s="205">
        <f t="shared" si="15"/>
        <v>0</v>
      </c>
      <c r="AIP2" s="205">
        <f t="shared" si="15"/>
        <v>0</v>
      </c>
      <c r="AIQ2" s="205">
        <f t="shared" si="15"/>
        <v>0</v>
      </c>
      <c r="AIR2" s="205">
        <f t="shared" si="15"/>
        <v>0</v>
      </c>
      <c r="AIS2" s="205">
        <f t="shared" si="15"/>
        <v>0</v>
      </c>
      <c r="AIT2" s="205">
        <f t="shared" si="15"/>
        <v>0</v>
      </c>
      <c r="AIU2" s="205">
        <f t="shared" si="15"/>
        <v>0</v>
      </c>
      <c r="AIV2" s="205">
        <f t="shared" si="15"/>
        <v>0</v>
      </c>
      <c r="AIW2" s="205">
        <f t="shared" si="15"/>
        <v>0</v>
      </c>
      <c r="AIX2" s="205">
        <f t="shared" si="15"/>
        <v>0</v>
      </c>
      <c r="AIY2" s="205">
        <f t="shared" si="15"/>
        <v>0</v>
      </c>
      <c r="AIZ2" s="205">
        <f t="shared" si="15"/>
        <v>0</v>
      </c>
      <c r="AJA2" s="205">
        <f t="shared" si="15"/>
        <v>0</v>
      </c>
    </row>
    <row r="3" spans="1:1024" s="204" customFormat="1" ht="22.15" customHeight="1" x14ac:dyDescent="0.25">
      <c r="A3" s="287" t="s">
        <v>107</v>
      </c>
      <c r="B3" s="287"/>
      <c r="C3" s="205">
        <f>(C34+C47+C60+C73+C86+C99+C112+C125+C138+C151+C164+C177+C190)/('DATA SECTION'!$C$3+'DATA SECTION'!$C$4+'DATA SECTION'!$C$5)</f>
        <v>0.69444444444444453</v>
      </c>
      <c r="D3" s="205">
        <f>(D34+D47+D60+D73+D86+D99+D112+D125+D138+D151+D164+D177+D190)/('DATA SECTION'!$C$3+'DATA SECTION'!$C$4+'DATA SECTION'!$C$5)</f>
        <v>0.76274801587301599</v>
      </c>
      <c r="E3" s="205">
        <f>(E34+E47+E60+E73+E86+E99+E112+E125+E138+E151+E164+E177+E190)/('DATA SECTION'!$C$3+'DATA SECTION'!$C$4+'DATA SECTION'!$C$5)</f>
        <v>0.83736111642573707</v>
      </c>
      <c r="F3" s="205">
        <f>(F34+F47+F60+F73+F86+F99+F112+F125+F138+F151+F164+F177+F190)/('DATA SECTION'!$C$3+'DATA SECTION'!$C$4+'DATA SECTION'!$C$5)</f>
        <v>0.91751273486817242</v>
      </c>
      <c r="G3" s="205">
        <f>(G34+G47+G60+G73+G86+G99+G112+G125+G138+G151+G164+G177+G190)/('DATA SECTION'!$C$3+'DATA SECTION'!$C$4+'DATA SECTION'!$C$5)</f>
        <v>1.0050144756882318</v>
      </c>
      <c r="H3" s="205">
        <f>(H34+H47+H60+H73+H86+H99+H112+H125+H138+H151+H164+H177+H190)/('DATA SECTION'!$C$3+'DATA SECTION'!$C$4+'DATA SECTION'!$C$5)</f>
        <v>1.1001558460533842</v>
      </c>
      <c r="I3" s="205">
        <f>(I34+I47+I60+I73+I86+I99+I112+I125+I138+I151+I164+I177+I190)/('DATA SECTION'!$C$3+'DATA SECTION'!$C$4+'DATA SECTION'!$C$5)</f>
        <v>1.2017116115666571</v>
      </c>
      <c r="J3" s="205">
        <f>(J34+J47+J60+J73+J86+J99+J112+J125+J138+J151+J164+J177+J190)/('DATA SECTION'!$C$3+'DATA SECTION'!$C$4+'DATA SECTION'!$C$5)</f>
        <v>1.3120204498421895</v>
      </c>
      <c r="K3" s="205">
        <f>(K34+K47+K60+K73+K86+K99+K112+K125+K138+K151+K164+K177+K190)/('DATA SECTION'!$C$3+'DATA SECTION'!$C$4+'DATA SECTION'!$C$5)</f>
        <v>1.4294796365551801</v>
      </c>
      <c r="L3" s="205">
        <f>(L34+L47+L60+L73+L86+L99+L112+L125+L138+L151+L164+L177+L190)/('DATA SECTION'!$C$3+'DATA SECTION'!$C$4+'DATA SECTION'!$C$5)</f>
        <v>1.5564852679928451</v>
      </c>
      <c r="M3" s="205">
        <f>(M34+M47+M60+M73+M86+M99+M112+M125+M138+M151+M164+M177+M190)/('DATA SECTION'!$C$3+'DATA SECTION'!$C$4+'DATA SECTION'!$C$5)</f>
        <v>1.693192160513844</v>
      </c>
      <c r="N3" s="205">
        <f>(N34+N47+N60+N73+N86+N99+N112+N125+N138+N151+N164+N177+N190)/('DATA SECTION'!$C$3+'DATA SECTION'!$C$4+'DATA SECTION'!$C$5)</f>
        <v>1.8376778915443588</v>
      </c>
      <c r="O3" s="205">
        <f>(O34+O47+O60+O73+O86+O99+O112+O125+O138+O151+O164+O177+O190)/('DATA SECTION'!$C$3+'DATA SECTION'!$C$4+'DATA SECTION'!$C$5)</f>
        <v>1.9926553937312665</v>
      </c>
      <c r="P3" s="205">
        <f>(P34+P47+P60+P73+P86+P99+P112+P125+P138+P151+P164+P177+P190)/('DATA SECTION'!$C$3+'DATA SECTION'!$C$4+'DATA SECTION'!$C$5)</f>
        <v>2.1559224700897723</v>
      </c>
      <c r="Q3" s="205">
        <f>(Q34+Q47+Q60+Q73+Q86+Q99+Q112+Q125+Q138+Q151+Q164+Q177+Q190)/('DATA SECTION'!$C$3+'DATA SECTION'!$C$4+'DATA SECTION'!$C$5)</f>
        <v>2.3304461611931053</v>
      </c>
      <c r="R3" s="205">
        <f>(R34+R47+R60+R73+R86+R99+R112+R125+R138+R151+R164+R177+R190)/('DATA SECTION'!$C$3+'DATA SECTION'!$C$4+'DATA SECTION'!$C$5)</f>
        <v>2.5133485970054545</v>
      </c>
      <c r="S3" s="205">
        <f>(S34+S47+S60+S73+S86+S99+S112+S125+S138+S151+S164+S177+S190)/('DATA SECTION'!$C$3+'DATA SECTION'!$C$4+'DATA SECTION'!$C$5)</f>
        <v>2.7077682723480057</v>
      </c>
      <c r="T3" s="205">
        <f>(T34+T47+T60+T73+T86+T99+T112+T125+T138+T151+T164+T177+T190)/('DATA SECTION'!$C$3+'DATA SECTION'!$C$4+'DATA SECTION'!$C$5)</f>
        <v>2.9103781078376638</v>
      </c>
      <c r="U3" s="205">
        <f>(U34+U47+U60+U73+U86+U99+U112+U125+U138+U151+U164+U177+U190)/('DATA SECTION'!$C$3+'DATA SECTION'!$C$4+'DATA SECTION'!$C$5)</f>
        <v>3.124914551215412</v>
      </c>
      <c r="V3" s="205">
        <f>(V34+V47+V60+V73+V86+V99+V112+V125+V138+V151+V164+V177+V190)/('DATA SECTION'!$C$3+'DATA SECTION'!$C$4+'DATA SECTION'!$C$5)</f>
        <v>3.3481506344678631</v>
      </c>
      <c r="W3" s="205">
        <f>(W34+W47+W60+W73+W86+W99+W112+W125+W138+W151+W164+W177+W190)/('DATA SECTION'!$C$3+'DATA SECTION'!$C$4+'DATA SECTION'!$C$5)</f>
        <v>3.5836721056612113</v>
      </c>
      <c r="X3" s="205">
        <f>(X34+X47+X60+X73+X86+X99+X112+X125+X138+X151+X164+X177+X190)/('DATA SECTION'!$C$3+'DATA SECTION'!$C$4+'DATA SECTION'!$C$5)</f>
        <v>3.8279131430162754</v>
      </c>
      <c r="Y3" s="205">
        <f>(Y34+Y47+Y60+Y73+Y86+Y99+Y112+Y125+Y138+Y151+Y164+Y177+Y190)/('DATA SECTION'!$C$3+'DATA SECTION'!$C$4+'DATA SECTION'!$C$5)</f>
        <v>4.0840888687412109</v>
      </c>
      <c r="Z3" s="205">
        <f>(Z34+Z47+Z60+Z73+Z86+Z99+Z112+Z125+Z138+Z151+Z164+Z177+Z190)/('DATA SECTION'!$C$3+'DATA SECTION'!$C$4+'DATA SECTION'!$C$5)</f>
        <v>4.3488120835968909</v>
      </c>
      <c r="AA3" s="205">
        <f>(AA34+AA47+AA60+AA73+AA86+AA99+AA112+AA125+AA138+AA151+AA164+AA177+AA190)/('DATA SECTION'!$C$3+'DATA SECTION'!$C$4+'DATA SECTION'!$C$5)</f>
        <v>4.6260817994722805</v>
      </c>
      <c r="AB3" s="205">
        <f>(AB34+AB47+AB60+AB73+AB86+AB99+AB112+AB125+AB138+AB151+AB164+AB177+AB190)/('DATA SECTION'!$C$3+'DATA SECTION'!$C$4+'DATA SECTION'!$C$5)</f>
        <v>4.9168240313542659</v>
      </c>
      <c r="AC3" s="205">
        <f>(AC34+AC47+AC60+AC73+AC86+AC99+AC112+AC125+AC138+AC151+AC164+AC177+AC190)/('DATA SECTION'!$C$3+'DATA SECTION'!$C$4+'DATA SECTION'!$C$5)</f>
        <v>5.2166769118335719</v>
      </c>
      <c r="AD3" s="205">
        <f>(AD34+AD47+AD60+AD73+AD86+AD99+AD112+AD125+AD138+AD151+AD164+AD177+AD190)/('DATA SECTION'!$C$3+'DATA SECTION'!$C$4+'DATA SECTION'!$C$5)</f>
        <v>5.5301446916401682</v>
      </c>
      <c r="AE3" s="205">
        <f>(AE34+AE47+AE60+AE73+AE86+AE99+AE112+AE125+AE138+AE151+AE164+AE177+AE190)/('DATA SECTION'!$C$3+'DATA SECTION'!$C$4+'DATA SECTION'!$C$5)</f>
        <v>5.8525195968998975</v>
      </c>
      <c r="AF3" s="205">
        <f>(AF34+AF47+AF60+AF73+AF86+AF99+AF112+AF125+AF138+AF151+AF164+AF177+AF190)/('DATA SECTION'!$C$3+'DATA SECTION'!$C$4+'DATA SECTION'!$C$5)</f>
        <v>6.1885230749336788</v>
      </c>
      <c r="AG3" s="205">
        <f>(AG34+AG47+AG60+AG73+AG86+AG99+AG112+AG125+AG138+AG151+AG164+AG177+AG190)/('DATA SECTION'!$C$3+'DATA SECTION'!$C$4+'DATA SECTION'!$C$5)</f>
        <v>6.538356644051988</v>
      </c>
      <c r="AH3" s="205">
        <f>(AH34+AH47+AH60+AH73+AH86+AH99+AH112+AH125+AH138+AH151+AH164+AH177+AH190)/('DATA SECTION'!$C$3+'DATA SECTION'!$C$4+'DATA SECTION'!$C$5)</f>
        <v>6.8967343951795916</v>
      </c>
      <c r="AI3" s="205">
        <f>(AI34+AI47+AI60+AI73+AI86+AI99+AI112+AI125+AI138+AI151+AI164+AI177+AI190)/('DATA SECTION'!$C$3+'DATA SECTION'!$C$4+'DATA SECTION'!$C$5)</f>
        <v>7.2687582418297136</v>
      </c>
      <c r="AJ3" s="205">
        <f>(AJ34+AJ47+AJ60+AJ73+AJ86+AJ99+AJ112+AJ125+AJ138+AJ151+AJ164+AJ177+AJ190)/('DATA SECTION'!$C$3+'DATA SECTION'!$C$4+'DATA SECTION'!$C$5)</f>
        <v>7.6545291502584156</v>
      </c>
      <c r="AK3" s="205">
        <f>(AK34+AK47+AK60+AK73+AK86+AK99+AK112+AK125+AK138+AK151+AK164+AK177+AK190)/('DATA SECTION'!$C$3+'DATA SECTION'!$C$4+'DATA SECTION'!$C$5)</f>
        <v>8.048190649414563</v>
      </c>
      <c r="AL3" s="205">
        <f>(AL34+AL47+AL60+AL73+AL86+AL99+AL112+AL125+AL138+AL151+AL164+AL177+AL190)/('DATA SECTION'!$C$3+'DATA SECTION'!$C$4+'DATA SECTION'!$C$5)</f>
        <v>8.455199147970669</v>
      </c>
      <c r="AM3" s="205">
        <f>(AM34+AM47+AM60+AM73+AM86+AM99+AM112+AM125+AM138+AM151+AM164+AM177+AM190)/('DATA SECTION'!$C$3+'DATA SECTION'!$C$4+'DATA SECTION'!$C$5)</f>
        <v>8.8681939457898551</v>
      </c>
      <c r="AN3" s="205">
        <f>(AN34+AN47+AN60+AN73+AN86+AN99+AN112+AN125+AN138+AN151+AN164+AN177+AN190)/('DATA SECTION'!$C$3+'DATA SECTION'!$C$4+'DATA SECTION'!$C$5)</f>
        <v>9.2938672551877701</v>
      </c>
      <c r="AO3" s="205">
        <f>(AO34+AO47+AO60+AO73+AO86+AO99+AO112+AO125+AO138+AO151+AO164+AO177+AO190)/('DATA SECTION'!$C$3+'DATA SECTION'!$C$4+'DATA SECTION'!$C$5)</f>
        <v>9.730809915720398</v>
      </c>
      <c r="AP3" s="205">
        <f>(AP34+AP47+AP60+AP73+AP86+AP99+AP112+AP125+AP138+AP151+AP164+AP177+AP190)/('DATA SECTION'!$C$3+'DATA SECTION'!$C$4+'DATA SECTION'!$C$5)</f>
        <v>10.173561766885676</v>
      </c>
      <c r="AQ3" s="205">
        <f>(AQ34+AQ47+AQ60+AQ73+AQ86+AQ99+AQ112+AQ125+AQ138+AQ151+AQ164+AQ177+AQ190)/('DATA SECTION'!$C$3+'DATA SECTION'!$C$4+'DATA SECTION'!$C$5)</f>
        <v>10.627980859139903</v>
      </c>
      <c r="AR3" s="205">
        <f>(AR34+AR47+AR60+AR73+AR86+AR99+AR112+AR125+AR138+AR151+AR164+AR177+AR190)/('DATA SECTION'!$C$3+'DATA SECTION'!$C$4+'DATA SECTION'!$C$5)</f>
        <v>11.092364578346212</v>
      </c>
      <c r="AS3" s="205">
        <f>(AS34+AS47+AS60+AS73+AS86+AS99+AS112+AS125+AS138+AS151+AS164+AS177+AS190)/('DATA SECTION'!$C$3+'DATA SECTION'!$C$4+'DATA SECTION'!$C$5)</f>
        <v>11.560978994231412</v>
      </c>
      <c r="AT3" s="205">
        <f>(AT34+AT47+AT60+AT73+AT86+AT99+AT112+AT125+AT138+AT151+AT164+AT177+AT190)/('DATA SECTION'!$C$3+'DATA SECTION'!$C$4+'DATA SECTION'!$C$5)</f>
        <v>12.038304894075432</v>
      </c>
      <c r="AU3" s="205">
        <f>(AU34+AU47+AU60+AU73+AU86+AU99+AU112+AU125+AU138+AU151+AU164+AU177+AU190)/('DATA SECTION'!$C$3+'DATA SECTION'!$C$4+'DATA SECTION'!$C$5)</f>
        <v>12.525443971569938</v>
      </c>
      <c r="AV3" s="205">
        <f>(AV34+AV47+AV60+AV73+AV86+AV99+AV112+AV125+AV138+AV151+AV164+AV177+AV190)/('DATA SECTION'!$C$3+'DATA SECTION'!$C$4+'DATA SECTION'!$C$5)</f>
        <v>13.014951862999402</v>
      </c>
      <c r="AW3" s="205">
        <f>(AW34+AW47+AW60+AW73+AW86+AW99+AW112+AW125+AW138+AW151+AW164+AW177+AW190)/('DATA SECTION'!$C$3+'DATA SECTION'!$C$4+'DATA SECTION'!$C$5)</f>
        <v>13.513037588350947</v>
      </c>
      <c r="AX3" s="205">
        <f>(AX34+AX47+AX60+AX73+AX86+AX99+AX112+AX125+AX138+AX151+AX164+AX177+AX190)/('DATA SECTION'!$C$3+'DATA SECTION'!$C$4+'DATA SECTION'!$C$5)</f>
        <v>14.01922867206593</v>
      </c>
      <c r="AY3" s="205">
        <f>(AY34+AY47+AY60+AY73+AY86+AY99+AY112+AY125+AY138+AY151+AY164+AY177+AY190)/('DATA SECTION'!$C$3+'DATA SECTION'!$C$4+'DATA SECTION'!$C$5)</f>
        <v>14.525790134749911</v>
      </c>
      <c r="AZ3" s="205">
        <f>(AZ34+AZ47+AZ60+AZ73+AZ86+AZ99+AZ112+AZ125+AZ138+AZ151+AZ164+AZ177+AZ190)/('DATA SECTION'!$C$3+'DATA SECTION'!$C$4+'DATA SECTION'!$C$5)</f>
        <v>15.039034719511076</v>
      </c>
      <c r="BA3" s="205">
        <f>(BA34+BA47+BA60+BA73+BA86+BA99+BA112+BA125+BA138+BA151+BA164+BA177+BA190)/('DATA SECTION'!$C$3+'DATA SECTION'!$C$4+'DATA SECTION'!$C$5)</f>
        <v>15.551153428117583</v>
      </c>
      <c r="BB3" s="205">
        <f>(BB34+BB47+BB60+BB73+BB86+BB99+BB112+BB125+BB138+BB151+BB164+BB177+BB190)/('DATA SECTION'!$C$3+'DATA SECTION'!$C$4+'DATA SECTION'!$C$5)</f>
        <v>16.214495565705793</v>
      </c>
      <c r="BC3" s="205">
        <f>(BC34+BC47+BC60+BC73+BC86+BC99+BC112+BC125+BC138+BC151+BC164+BC177+BC190)/('DATA SECTION'!$C$3+'DATA SECTION'!$C$4+'DATA SECTION'!$C$5)</f>
        <v>16.786792376177431</v>
      </c>
      <c r="BD3" s="205">
        <f>(BD34+BD47+BD60+BD73+BD86+BD99+BD112+BD125+BD138+BD151+BD164+BD177+BD190)/('DATA SECTION'!$C$3+'DATA SECTION'!$C$4+'DATA SECTION'!$C$5)</f>
        <v>17.362104836871609</v>
      </c>
      <c r="BE3" s="205">
        <f>(BE34+BE47+BE60+BE73+BE86+BE99+BE112+BE125+BE138+BE151+BE164+BE177+BE190)/('DATA SECTION'!$C$3+'DATA SECTION'!$C$4+'DATA SECTION'!$C$5)</f>
        <v>17.945724621134381</v>
      </c>
      <c r="BF3" s="205">
        <f>(BF34+BF47+BF60+BF73+BF86+BF99+BF112+BF125+BF138+BF151+BF164+BF177+BF190)/('DATA SECTION'!$C$3+'DATA SECTION'!$C$4+'DATA SECTION'!$C$5)</f>
        <v>18.543188136106778</v>
      </c>
      <c r="BG3" s="205">
        <f>(BG34+BG47+BG60+BG73+BG86+BG99+BG112+BG125+BG138+BG151+BG164+BG177+BG190)/('DATA SECTION'!$C$3+'DATA SECTION'!$C$4+'DATA SECTION'!$C$5)</f>
        <v>19.147386239384595</v>
      </c>
      <c r="BH3" s="205">
        <f>(BH34+BH47+BH60+BH73+BH86+BH99+BH112+BH125+BH138+BH151+BH164+BH177+BH190)/('DATA SECTION'!$C$3+'DATA SECTION'!$C$4+'DATA SECTION'!$C$5)</f>
        <v>19.761205698370116</v>
      </c>
      <c r="BI3" s="205">
        <f>(BI34+BI47+BI60+BI73+BI86+BI99+BI112+BI125+BI138+BI151+BI164+BI177+BI190)/('DATA SECTION'!$C$3+'DATA SECTION'!$C$4+'DATA SECTION'!$C$5)</f>
        <v>20.388800948757321</v>
      </c>
      <c r="BJ3" s="205">
        <f>(BJ34+BJ47+BJ60+BJ73+BJ86+BJ99+BJ112+BJ125+BJ138+BJ151+BJ164+BJ177+BJ190)/('DATA SECTION'!$C$3+'DATA SECTION'!$C$4+'DATA SECTION'!$C$5)</f>
        <v>21.028181283991913</v>
      </c>
      <c r="BK3" s="205">
        <f>(BK34+BK47+BK60+BK73+BK86+BK99+BK112+BK125+BK138+BK151+BK164+BK177+BK190)/('DATA SECTION'!$C$3+'DATA SECTION'!$C$4+'DATA SECTION'!$C$5)</f>
        <v>21.674180381840184</v>
      </c>
      <c r="BL3" s="205">
        <f>(BL34+BL47+BL60+BL73+BL86+BL99+BL112+BL125+BL138+BL151+BL164+BL177+BL190)/('DATA SECTION'!$C$3+'DATA SECTION'!$C$4+'DATA SECTION'!$C$5)</f>
        <v>22.333438038584152</v>
      </c>
      <c r="BM3" s="205">
        <f>(BM34+BM47+BM60+BM73+BM86+BM99+BM112+BM125+BM138+BM151+BM164+BM177+BM190)/('DATA SECTION'!$C$3+'DATA SECTION'!$C$4+'DATA SECTION'!$C$5)</f>
        <v>23.000984177815891</v>
      </c>
      <c r="BN3" s="205">
        <f>(BN34+BN47+BN60+BN73+BN86+BN99+BN112+BN125+BN138+BN151+BN164+BN177+BN190)/('DATA SECTION'!$C$3+'DATA SECTION'!$C$4+'DATA SECTION'!$C$5)</f>
        <v>23.681561767770706</v>
      </c>
      <c r="BO3" s="205">
        <f>(BO34+BO47+BO60+BO73+BO86+BO99+BO112+BO125+BO138+BO151+BO164+BO177+BO190)/('DATA SECTION'!$C$3+'DATA SECTION'!$C$4+'DATA SECTION'!$C$5)</f>
        <v>24.365362597106159</v>
      </c>
      <c r="BP3" s="205">
        <f>(BP34+BP47+BP60+BP73+BP86+BP99+BP112+BP125+BP138+BP151+BP164+BP177+BP190)/('DATA SECTION'!$C$3+'DATA SECTION'!$C$4+'DATA SECTION'!$C$5)</f>
        <v>25.064584311210254</v>
      </c>
      <c r="BQ3" s="205">
        <f>(BQ34+BQ47+BQ60+BQ73+BQ86+BQ99+BQ112+BQ125+BQ138+BQ151+BQ164+BQ177+BQ190)/('DATA SECTION'!$C$3+'DATA SECTION'!$C$4+'DATA SECTION'!$C$5)</f>
        <v>25.776055459010497</v>
      </c>
      <c r="BR3" s="205">
        <f>(BR34+BR47+BR60+BR73+BR86+BR99+BR112+BR125+BR138+BR151+BR164+BR177+BR190)/('DATA SECTION'!$C$3+'DATA SECTION'!$C$4+'DATA SECTION'!$C$5)</f>
        <v>26.502609553821415</v>
      </c>
      <c r="BS3" s="205">
        <f>(BS34+BS47+BS60+BS73+BS86+BS99+BS112+BS125+BS138+BS151+BS164+BS177+BS190)/('DATA SECTION'!$C$3+'DATA SECTION'!$C$4+'DATA SECTION'!$C$5)</f>
        <v>27.24060331814422</v>
      </c>
      <c r="BT3" s="205">
        <f>(BT34+BT47+BT60+BT73+BT86+BT99+BT112+BT125+BT138+BT151+BT164+BT177+BT190)/('DATA SECTION'!$C$3+'DATA SECTION'!$C$4+'DATA SECTION'!$C$5)</f>
        <v>27.986199492038292</v>
      </c>
      <c r="BU3" s="205">
        <f>(BU34+BU47+BU60+BU73+BU86+BU99+BU112+BU125+BU138+BU151+BU164+BU177+BU190)/('DATA SECTION'!$C$3+'DATA SECTION'!$C$4+'DATA SECTION'!$C$5)</f>
        <v>28.742878948465435</v>
      </c>
      <c r="BV3" s="205">
        <f>(BV34+BV47+BV60+BV73+BV86+BV99+BV112+BV125+BV138+BV151+BV164+BV177+BV190)/('DATA SECTION'!$C$3+'DATA SECTION'!$C$4+'DATA SECTION'!$C$5)</f>
        <v>29.513884320403324</v>
      </c>
      <c r="BW3" s="205">
        <f>(BW34+BW47+BW60+BW73+BW86+BW99+BW112+BW125+BW138+BW151+BW164+BW177+BW190)/('DATA SECTION'!$C$3+'DATA SECTION'!$C$4+'DATA SECTION'!$C$5)</f>
        <v>30.295296914503293</v>
      </c>
      <c r="BX3" s="205">
        <f>(BX34+BX47+BX60+BX73+BX86+BX99+BX112+BX125+BX138+BX151+BX164+BX177+BX190)/('DATA SECTION'!$C$3+'DATA SECTION'!$C$4+'DATA SECTION'!$C$5)</f>
        <v>31.082756953494908</v>
      </c>
      <c r="BY3" s="205">
        <f>(BY34+BY47+BY60+BY73+BY86+BY99+BY112+BY125+BY138+BY151+BY164+BY177+BY190)/('DATA SECTION'!$C$3+'DATA SECTION'!$C$4+'DATA SECTION'!$C$5)</f>
        <v>31.879551480850125</v>
      </c>
      <c r="BZ3" s="205">
        <f>(BZ34+BZ47+BZ60+BZ73+BZ86+BZ99+BZ112+BZ125+BZ138+BZ151+BZ164+BZ177+BZ190)/('DATA SECTION'!$C$3+'DATA SECTION'!$C$4+'DATA SECTION'!$C$5)</f>
        <v>32.692663392798877</v>
      </c>
      <c r="CA3" s="205">
        <f>(CA34+CA47+CA60+CA73+CA86+CA99+CA112+CA125+CA138+CA151+CA164+CA177+CA190)/('DATA SECTION'!$C$3+'DATA SECTION'!$C$4+'DATA SECTION'!$C$5)</f>
        <v>33.522831631889197</v>
      </c>
      <c r="CB3" s="205">
        <f>(CB34+CB47+CB60+CB73+CB86+CB99+CB112+CB125+CB138+CB151+CB164+CB177+CB190)/('DATA SECTION'!$C$3+'DATA SECTION'!$C$4+'DATA SECTION'!$C$5)</f>
        <v>34.36550094927621</v>
      </c>
      <c r="CC3" s="205">
        <f>(CC34+CC47+CC60+CC73+CC86+CC99+CC112+CC125+CC138+CC151+CC164+CC177+CC190)/('DATA SECTION'!$C$3+'DATA SECTION'!$C$4+'DATA SECTION'!$C$5)</f>
        <v>35.217695187798917</v>
      </c>
      <c r="CD3" s="205">
        <f>(CD34+CD47+CD60+CD73+CD86+CD99+CD112+CD125+CD138+CD151+CD164+CD177+CD190)/('DATA SECTION'!$C$3+'DATA SECTION'!$C$4+'DATA SECTION'!$C$5)</f>
        <v>36.081599628615088</v>
      </c>
      <c r="CE3" s="205">
        <f>(CE34+CE47+CE60+CE73+CE86+CE99+CE112+CE125+CE138+CE151+CE164+CE177+CE190)/('DATA SECTION'!$C$3+'DATA SECTION'!$C$4+'DATA SECTION'!$C$5)</f>
        <v>36.96172654721974</v>
      </c>
      <c r="CF3" s="205">
        <f>(CF34+CF47+CF60+CF73+CF86+CF99+CF112+CF125+CF138+CF151+CF164+CF177+CF190)/('DATA SECTION'!$C$3+'DATA SECTION'!$C$4+'DATA SECTION'!$C$5)</f>
        <v>37.858062549086839</v>
      </c>
      <c r="CG3" s="205">
        <f>(CG34+CG47+CG60+CG73+CG86+CG99+CG112+CG125+CG138+CG151+CG164+CG177+CG190)/('DATA SECTION'!$C$3+'DATA SECTION'!$C$4+'DATA SECTION'!$C$5)</f>
        <v>38.765101172333971</v>
      </c>
      <c r="CH3" s="205">
        <f>(CH34+CH47+CH60+CH73+CH86+CH99+CH112+CH125+CH138+CH151+CH164+CH177+CH190)/('DATA SECTION'!$C$3+'DATA SECTION'!$C$4+'DATA SECTION'!$C$5)</f>
        <v>39.687718247399019</v>
      </c>
      <c r="CI3" s="205">
        <f>(CI34+CI47+CI60+CI73+CI86+CI99+CI112+CI125+CI138+CI151+CI164+CI177+CI190)/('DATA SECTION'!$C$3+'DATA SECTION'!$C$4+'DATA SECTION'!$C$5)</f>
        <v>40.625783245561159</v>
      </c>
      <c r="CJ3" s="205">
        <f>(CJ34+CJ47+CJ60+CJ73+CJ86+CJ99+CJ112+CJ125+CJ138+CJ151+CJ164+CJ177+CJ190)/('DATA SECTION'!$C$3+'DATA SECTION'!$C$4+'DATA SECTION'!$C$5)</f>
        <v>41.5697506761651</v>
      </c>
      <c r="CK3" s="205">
        <f>(CK34+CK47+CK60+CK73+CK86+CK99+CK112+CK125+CK138+CK151+CK164+CK177+CK190)/('DATA SECTION'!$C$3+'DATA SECTION'!$C$4+'DATA SECTION'!$C$5)</f>
        <v>42.53225931230736</v>
      </c>
      <c r="CL3" s="205">
        <f>(CL34+CL47+CL60+CL73+CL86+CL99+CL112+CL125+CL138+CL151+CL164+CL177+CL190)/('DATA SECTION'!$C$3+'DATA SECTION'!$C$4+'DATA SECTION'!$C$5)</f>
        <v>43.505902885687419</v>
      </c>
      <c r="CM3" s="205">
        <f>(CM34+CM47+CM60+CM73+CM86+CM99+CM112+CM125+CM138+CM151+CM164+CM177+CM190)/('DATA SECTION'!$C$3+'DATA SECTION'!$C$4+'DATA SECTION'!$C$5)</f>
        <v>44.497325441103662</v>
      </c>
      <c r="CN3" s="205">
        <f>(CN34+CN47+CN60+CN73+CN86+CN99+CN112+CN125+CN138+CN151+CN164+CN177+CN190)/('DATA SECTION'!$C$3+'DATA SECTION'!$C$4+'DATA SECTION'!$C$5)</f>
        <v>45.505067030793647</v>
      </c>
      <c r="CO3" s="205">
        <f>(CO34+CO47+CO60+CO73+CO86+CO99+CO112+CO125+CO138+CO151+CO164+CO177+CO190)/('DATA SECTION'!$C$3+'DATA SECTION'!$C$4+'DATA SECTION'!$C$5)</f>
        <v>46.52361406790628</v>
      </c>
      <c r="CP3" s="205">
        <f>(CP34+CP47+CP60+CP73+CP86+CP99+CP112+CP125+CP138+CP151+CP164+CP177+CP190)/('DATA SECTION'!$C$3+'DATA SECTION'!$C$4+'DATA SECTION'!$C$5)</f>
        <v>47.551081043494257</v>
      </c>
      <c r="CQ3" s="205">
        <f>(CQ34+CQ47+CQ60+CQ73+CQ86+CQ99+CQ112+CQ125+CQ138+CQ151+CQ164+CQ177+CQ190)/('DATA SECTION'!$C$3+'DATA SECTION'!$C$4+'DATA SECTION'!$C$5)</f>
        <v>48.593202683232221</v>
      </c>
      <c r="CR3" s="205">
        <f>(CR34+CR47+CR60+CR73+CR86+CR99+CR112+CR125+CR138+CR151+CR164+CR177+CR190)/('DATA SECTION'!$C$3+'DATA SECTION'!$C$4+'DATA SECTION'!$C$5)</f>
        <v>49.644183055569769</v>
      </c>
      <c r="CS3" s="205">
        <f>(CS34+CS47+CS60+CS73+CS86+CS99+CS112+CS125+CS138+CS151+CS164+CS177+CS190)/('DATA SECTION'!$C$3+'DATA SECTION'!$C$4+'DATA SECTION'!$C$5)</f>
        <v>50.708438335653241</v>
      </c>
      <c r="CT3" s="205">
        <f>(CT34+CT47+CT60+CT73+CT86+CT99+CT112+CT125+CT138+CT151+CT164+CT177+CT190)/('DATA SECTION'!$C$3+'DATA SECTION'!$C$4+'DATA SECTION'!$C$5)</f>
        <v>51.787002983430696</v>
      </c>
      <c r="CU3" s="205">
        <f>(CU34+CU47+CU60+CU73+CU86+CU99+CU112+CU125+CU138+CU151+CU164+CU177+CU190)/('DATA SECTION'!$C$3+'DATA SECTION'!$C$4+'DATA SECTION'!$C$5)</f>
        <v>52.872362770451929</v>
      </c>
      <c r="CV3" s="205">
        <f>(CV34+CV47+CV60+CV73+CV86+CV99+CV112+CV125+CV138+CV151+CV164+CV177+CV190)/('DATA SECTION'!$C$3+'DATA SECTION'!$C$4+'DATA SECTION'!$C$5)</f>
        <v>53.970654212998063</v>
      </c>
      <c r="CW3" s="205">
        <f>(CW34+CW47+CW60+CW73+CW86+CW99+CW112+CW125+CW138+CW151+CW164+CW177+CW190)/('DATA SECTION'!$C$3+'DATA SECTION'!$C$4+'DATA SECTION'!$C$5)</f>
        <v>55.081329686281293</v>
      </c>
      <c r="CX3" s="205">
        <f>(CX34+CX47+CX60+CX73+CX86+CX99+CX112+CX125+CX138+CX151+CX164+CX177+CX190)/('DATA SECTION'!$C$3+'DATA SECTION'!$C$4+'DATA SECTION'!$C$5)</f>
        <v>56.188543742870891</v>
      </c>
      <c r="CY3" s="205">
        <f>(CY34+CY47+CY60+CY73+CY86+CY99+CY112+CY125+CY138+CY151+CY164+CY177+CY190)/('DATA SECTION'!$C$3+'DATA SECTION'!$C$4+'DATA SECTION'!$C$5)</f>
        <v>57.306382705573164</v>
      </c>
      <c r="CZ3" s="205">
        <f>(CZ34+CZ47+CZ60+CZ73+CZ86+CZ99+CZ112+CZ125+CZ138+CZ151+CZ164+CZ177+CZ190)/('DATA SECTION'!$C$3+'DATA SECTION'!$C$4+'DATA SECTION'!$C$5)</f>
        <v>58.426954632862753</v>
      </c>
      <c r="DA3" s="205">
        <f>(DA34+DA47+DA60+DA73+DA86+DA99+DA112+DA125+DA138+DA151+DA164+DA177+DA190)/('DATA SECTION'!$C$3+'DATA SECTION'!$C$4+'DATA SECTION'!$C$5)</f>
        <v>59.004545168041467</v>
      </c>
      <c r="DB3" s="205">
        <f>(DB34+DB47+DB60+DB73+DB86+DB99+DB112+DB125+DB138+DB151+DB164+DB177+DB190)/('DATA SECTION'!$C$3+'DATA SECTION'!$C$4+'DATA SECTION'!$C$5)</f>
        <v>60.182868494974088</v>
      </c>
      <c r="DC3" s="205">
        <f>(DC34+DC47+DC60+DC73+DC86+DC99+DC112+DC125+DC138+DC151+DC164+DC177+DC190)/('DATA SECTION'!$C$3+'DATA SECTION'!$C$4+'DATA SECTION'!$C$5)</f>
        <v>61.367744443476468</v>
      </c>
      <c r="DD3" s="205">
        <f>(DD34+DD47+DD60+DD73+DD86+DD99+DD112+DD125+DD138+DD151+DD164+DD177+DD190)/('DATA SECTION'!$C$3+'DATA SECTION'!$C$4+'DATA SECTION'!$C$5)</f>
        <v>62.564373021328933</v>
      </c>
      <c r="DE3" s="205">
        <f>(DE34+DE47+DE60+DE73+DE86+DE99+DE112+DE125+DE138+DE151+DE164+DE177+DE190)/('DATA SECTION'!$C$3+'DATA SECTION'!$C$4+'DATA SECTION'!$C$5)</f>
        <v>63.778196470015651</v>
      </c>
      <c r="DF3" s="205">
        <f>(DF34+DF47+DF60+DF73+DF86+DF99+DF112+DF125+DF138+DF151+DF164+DF177+DF190)/('DATA SECTION'!$C$3+'DATA SECTION'!$C$4+'DATA SECTION'!$C$5)</f>
        <v>64.993847099738019</v>
      </c>
      <c r="DG3" s="205">
        <f>(DG34+DG47+DG60+DG73+DG86+DG99+DG112+DG125+DG138+DG151+DG164+DG177+DG190)/('DATA SECTION'!$C$3+'DATA SECTION'!$C$4+'DATA SECTION'!$C$5)</f>
        <v>66.222114528415176</v>
      </c>
      <c r="DH3" s="205">
        <f>(DH34+DH47+DH60+DH73+DH86+DH99+DH112+DH125+DH138+DH151+DH164+DH177+DH190)/('DATA SECTION'!$C$3+'DATA SECTION'!$C$4+'DATA SECTION'!$C$5)</f>
        <v>67.472392763811953</v>
      </c>
      <c r="DI3" s="205">
        <f>(DI34+DI47+DI60+DI73+DI86+DI99+DI112+DI125+DI138+DI151+DI164+DI177+DI190)/('DATA SECTION'!$C$3+'DATA SECTION'!$C$4+'DATA SECTION'!$C$5)</f>
        <v>68.737389560405191</v>
      </c>
      <c r="DJ3" s="205">
        <f>(DJ34+DJ47+DJ60+DJ73+DJ86+DJ99+DJ112+DJ125+DJ138+DJ151+DJ164+DJ177+DJ190)/('DATA SECTION'!$C$3+'DATA SECTION'!$C$4+'DATA SECTION'!$C$5)</f>
        <v>70.011834091411728</v>
      </c>
      <c r="DK3" s="205">
        <f>(DK34+DK47+DK60+DK73+DK86+DK99+DK112+DK125+DK138+DK151+DK164+DK177+DK190)/('DATA SECTION'!$C$3+'DATA SECTION'!$C$4+'DATA SECTION'!$C$5)</f>
        <v>71.302259272455402</v>
      </c>
      <c r="DL3" s="205">
        <f>(DL34+DL47+DL60+DL73+DL86+DL99+DL112+DL125+DL138+DL151+DL164+DL177+DL190)/('DATA SECTION'!$C$3+'DATA SECTION'!$C$4+'DATA SECTION'!$C$5)</f>
        <v>72.60358578765657</v>
      </c>
      <c r="DM3" s="205">
        <f>(DM34+DM47+DM60+DM73+DM86+DM99+DM112+DM125+DM138+DM151+DM164+DM177+DM190)/('DATA SECTION'!$C$3+'DATA SECTION'!$C$4+'DATA SECTION'!$C$5)</f>
        <v>73.912087220717751</v>
      </c>
      <c r="DN3" s="205">
        <f>(DN34+DN47+DN60+DN73+DN86+DN99+DN112+DN125+DN138+DN151+DN164+DN177+DN190)/('DATA SECTION'!$C$3+'DATA SECTION'!$C$4+'DATA SECTION'!$C$5)</f>
        <v>75.226052823917456</v>
      </c>
      <c r="DO3" s="205">
        <f>(DO34+DO47+DO60+DO73+DO86+DO99+DO112+DO125+DO138+DO151+DO164+DO177+DO190)/('DATA SECTION'!$C$3+'DATA SECTION'!$C$4+'DATA SECTION'!$C$5)</f>
        <v>76.557565391523042</v>
      </c>
      <c r="DP3" s="205">
        <f>(DP34+DP47+DP60+DP73+DP86+DP99+DP112+DP125+DP138+DP151+DP164+DP177+DP190)/('DATA SECTION'!$C$3+'DATA SECTION'!$C$4+'DATA SECTION'!$C$5)</f>
        <v>77.909187917753556</v>
      </c>
      <c r="DQ3" s="205">
        <f>(DQ34+DQ47+DQ60+DQ73+DQ86+DQ99+DQ112+DQ125+DQ138+DQ151+DQ164+DQ177+DQ190)/('DATA SECTION'!$C$3+'DATA SECTION'!$C$4+'DATA SECTION'!$C$5)</f>
        <v>79.277927416942632</v>
      </c>
      <c r="DR3" s="205">
        <f>(DR34+DR47+DR60+DR73+DR86+DR99+DR112+DR125+DR138+DR151+DR164+DR177+DR190)/('DATA SECTION'!$C$3+'DATA SECTION'!$C$4+'DATA SECTION'!$C$5)</f>
        <v>80.660019947003974</v>
      </c>
      <c r="DS3" s="205">
        <f>(DS34+DS47+DS60+DS73+DS86+DS99+DS112+DS125+DS138+DS151+DS164+DS177+DS190)/('DATA SECTION'!$C$3+'DATA SECTION'!$C$4+'DATA SECTION'!$C$5)</f>
        <v>82.051505431046976</v>
      </c>
      <c r="DT3" s="205">
        <f>(DT34+DT47+DT60+DT73+DT86+DT99+DT112+DT125+DT138+DT151+DT164+DT177+DT190)/('DATA SECTION'!$C$3+'DATA SECTION'!$C$4+'DATA SECTION'!$C$5)</f>
        <v>83.447248953180164</v>
      </c>
      <c r="DU3" s="205">
        <f>(DU34+DU47+DU60+DU73+DU86+DU99+DU112+DU125+DU138+DU151+DU164+DU177+DU190)/('DATA SECTION'!$C$3+'DATA SECTION'!$C$4+'DATA SECTION'!$C$5)</f>
        <v>84.864872271690629</v>
      </c>
      <c r="DV3" s="205">
        <f>(DV34+DV47+DV60+DV73+DV86+DV99+DV112+DV125+DV138+DV151+DV164+DV177+DV190)/('DATA SECTION'!$C$3+'DATA SECTION'!$C$4+'DATA SECTION'!$C$5)</f>
        <v>86.294326769669723</v>
      </c>
      <c r="DW3" s="205">
        <f>(DW34+DW47+DW60+DW73+DW86+DW99+DW112+DW125+DW138+DW151+DW164+DW177+DW190)/('DATA SECTION'!$C$3+'DATA SECTION'!$C$4+'DATA SECTION'!$C$5)</f>
        <v>87.731123873948206</v>
      </c>
      <c r="DX3" s="205">
        <f>(DX34+DX47+DX60+DX73+DX86+DX99+DX112+DX125+DX138+DX151+DX164+DX177+DX190)/('DATA SECTION'!$C$3+'DATA SECTION'!$C$4+'DATA SECTION'!$C$5)</f>
        <v>89.178419873131546</v>
      </c>
      <c r="DY3" s="205">
        <f>(DY34+DY47+DY60+DY73+DY86+DY99+DY112+DY125+DY138+DY151+DY164+DY177+DY190)/('DATA SECTION'!$C$3+'DATA SECTION'!$C$4+'DATA SECTION'!$C$5)</f>
        <v>90.64306498522626</v>
      </c>
      <c r="DZ3" s="205">
        <f>(DZ34+DZ47+DZ60+DZ73+DZ86+DZ99+DZ112+DZ125+DZ138+DZ151+DZ164+DZ177+DZ190)/('DATA SECTION'!$C$3+'DATA SECTION'!$C$4+'DATA SECTION'!$C$5)</f>
        <v>92.125663588312207</v>
      </c>
      <c r="EA3" s="205">
        <f>(EA34+EA47+EA60+EA73+EA86+EA99+EA112+EA125+EA138+EA151+EA164+EA177+EA190)/('DATA SECTION'!$C$3+'DATA SECTION'!$C$4+'DATA SECTION'!$C$5)</f>
        <v>93.612964057219898</v>
      </c>
      <c r="EB3" s="205">
        <f>(EB34+EB47+EB60+EB73+EB86+EB99+EB112+EB125+EB138+EB151+EB164+EB177+EB190)/('DATA SECTION'!$C$3+'DATA SECTION'!$C$4+'DATA SECTION'!$C$5)</f>
        <v>87.710947501437005</v>
      </c>
      <c r="EC3" s="205">
        <f>(EC34+EC47+EC60+EC73+EC86+EC99+EC112+EC125+EC138+EC151+EC164+EC177+EC190)/('DATA SECTION'!$C$3+'DATA SECTION'!$C$4+'DATA SECTION'!$C$5)</f>
        <v>89.146445134112795</v>
      </c>
      <c r="ED3" s="205">
        <f>(ED34+ED47+ED60+ED73+ED86+ED99+ED112+ED125+ED138+ED151+ED164+ED177+ED190)/('DATA SECTION'!$C$3+'DATA SECTION'!$C$4+'DATA SECTION'!$C$5)</f>
        <v>83.017800950316698</v>
      </c>
      <c r="EE3" s="205">
        <f>(EE34+EE47+EE60+EE73+EE86+EE99+EE112+EE125+EE138+EE151+EE164+EE177+EE190)/('DATA SECTION'!$C$3+'DATA SECTION'!$C$4+'DATA SECTION'!$C$5)</f>
        <v>84.405401745816832</v>
      </c>
      <c r="EF3" s="205">
        <f>(EF34+EF47+EF60+EF73+EF86+EF99+EF112+EF125+EF138+EF151+EF164+EF177+EF190)/('DATA SECTION'!$C$3+'DATA SECTION'!$C$4+'DATA SECTION'!$C$5)</f>
        <v>85.803773393918334</v>
      </c>
      <c r="EG3" s="205">
        <f>(EG34+EG47+EG60+EG73+EG86+EG99+EG112+EG125+EG138+EG151+EG164+EG177+EG190)/('DATA SECTION'!$C$3+'DATA SECTION'!$C$4+'DATA SECTION'!$C$5)</f>
        <v>87.21768326774216</v>
      </c>
      <c r="EH3" s="205">
        <f>(EH34+EH47+EH60+EH73+EH86+EH99+EH112+EH125+EH138+EH151+EH164+EH177+EH190)/('DATA SECTION'!$C$3+'DATA SECTION'!$C$4+'DATA SECTION'!$C$5)</f>
        <v>88.640449447650212</v>
      </c>
      <c r="EI3" s="205">
        <f>(EI34+EI47+EI60+EI73+EI86+EI99+EI112+EI125+EI138+EI151+EI164+EI177+EI190)/('DATA SECTION'!$C$3+'DATA SECTION'!$C$4+'DATA SECTION'!$C$5)</f>
        <v>82.066340242816437</v>
      </c>
      <c r="EJ3" s="205">
        <f>(EJ34+EJ47+EJ60+EJ73+EJ86+EJ99+EJ112+EJ125+EJ138+EJ151+EJ164+EJ177+EJ190)/('DATA SECTION'!$C$3+'DATA SECTION'!$C$4+'DATA SECTION'!$C$5)</f>
        <v>83.437374914367325</v>
      </c>
      <c r="EK3" s="205">
        <f>(EK34+EK47+EK60+EK73+EK86+EK99+EK112+EK125+EK138+EK151+EK164+EK177+EK190)/('DATA SECTION'!$C$3+'DATA SECTION'!$C$4+'DATA SECTION'!$C$5)</f>
        <v>76.638147509826283</v>
      </c>
      <c r="EL3" s="205">
        <f>(EL34+EL47+EL60+EL73+EL86+EL99+EL112+EL125+EL138+EL151+EL164+EL177+EL190)/('DATA SECTION'!$C$3+'DATA SECTION'!$C$4+'DATA SECTION'!$C$5)</f>
        <v>77.956523424280732</v>
      </c>
      <c r="EM3" s="205">
        <f>(EM34+EM47+EM60+EM73+EM86+EM99+EM112+EM125+EM138+EM151+EM164+EM177+EM190)/('DATA SECTION'!$C$3+'DATA SECTION'!$C$4+'DATA SECTION'!$C$5)</f>
        <v>79.290767956927411</v>
      </c>
      <c r="EN3" s="205">
        <f>(EN34+EN47+EN60+EN73+EN86+EN99+EN112+EN125+EN138+EN151+EN164+EN177+EN190)/('DATA SECTION'!$C$3+'DATA SECTION'!$C$4+'DATA SECTION'!$C$5)</f>
        <v>80.635291317261448</v>
      </c>
      <c r="EO3" s="205">
        <f>(EO34+EO47+EO60+EO73+EO86+EO99+EO112+EO125+EO138+EO151+EO164+EO177+EO190)/('DATA SECTION'!$C$3+'DATA SECTION'!$C$4+'DATA SECTION'!$C$5)</f>
        <v>81.991879750266264</v>
      </c>
      <c r="EP3" s="205">
        <f>(EP34+EP47+EP60+EP73+EP86+EP99+EP112+EP125+EP138+EP151+EP164+EP177+EP190)/('DATA SECTION'!$C$3+'DATA SECTION'!$C$4+'DATA SECTION'!$C$5)</f>
        <v>74.752313947129679</v>
      </c>
      <c r="EQ3" s="205">
        <f>(EQ34+EQ47+EQ60+EQ73+EQ86+EQ99+EQ112+EQ125+EQ138+EQ151+EQ164+EQ177+EQ190)/('DATA SECTION'!$C$3+'DATA SECTION'!$C$4+'DATA SECTION'!$C$5)</f>
        <v>76.049937368526827</v>
      </c>
      <c r="ER3" s="205">
        <f>(ER34+ER47+ER60+ER73+ER86+ER99+ER112+ER125+ER138+ER151+ER164+ER177+ER190)/('DATA SECTION'!$C$3+'DATA SECTION'!$C$4+'DATA SECTION'!$C$5)</f>
        <v>68.558341353713118</v>
      </c>
      <c r="ES3" s="205">
        <f>(ES34+ES47+ES60+ES73+ES86+ES99+ES112+ES125+ES138+ES151+ES164+ES177+ES190)/('DATA SECTION'!$C$3+'DATA SECTION'!$C$4+'DATA SECTION'!$C$5)</f>
        <v>69.801047500982733</v>
      </c>
      <c r="ET3" s="205">
        <f>(ET34+ET47+ET60+ET73+ET86+ET99+ET112+ET125+ET138+ET151+ET164+ET177+ET190)/('DATA SECTION'!$C$3+'DATA SECTION'!$C$4+'DATA SECTION'!$C$5)</f>
        <v>71.050100127315645</v>
      </c>
      <c r="EU3" s="205">
        <f>(EU34+EU47+EU60+EU73+EU86+EU99+EU112+EU125+EU138+EU151+EU164+EU177+EU190)/('DATA SECTION'!$C$3+'DATA SECTION'!$C$4+'DATA SECTION'!$C$5)</f>
        <v>72.313571878887174</v>
      </c>
      <c r="EV3" s="205">
        <f>(EV34+EV47+EV60+EV73+EV86+EV99+EV112+EV125+EV138+EV151+EV164+EV177+EV190)/('DATA SECTION'!$C$3+'DATA SECTION'!$C$4+'DATA SECTION'!$C$5)</f>
        <v>73.588934852083739</v>
      </c>
      <c r="EW3" s="205">
        <f>(EW34+EW47+EW60+EW73+EW86+EW99+EW112+EW125+EW138+EW151+EW164+EW177+EW190)/('DATA SECTION'!$C$3+'DATA SECTION'!$C$4+'DATA SECTION'!$C$5)</f>
        <v>65.606500736807931</v>
      </c>
      <c r="EX3" s="205">
        <f>(EX34+EX47+EX60+EX73+EX86+EX99+EX112+EX125+EX138+EX151+EX164+EX177+EX190)/('DATA SECTION'!$C$3+'DATA SECTION'!$C$4+'DATA SECTION'!$C$5)</f>
        <v>66.807872883282499</v>
      </c>
      <c r="EY3" s="205">
        <f>(EY34+EY47+EY60+EY73+EY86+EY99+EY112+EY125+EY138+EY151+EY164+EY177+EY190)/('DATA SECTION'!$C$3+'DATA SECTION'!$C$4+'DATA SECTION'!$C$5)</f>
        <v>58.407747163914372</v>
      </c>
      <c r="EZ3" s="205">
        <f>(EZ34+EZ47+EZ60+EZ73+EZ86+EZ99+EZ112+EZ125+EZ138+EZ151+EZ164+EZ177+EZ190)/('DATA SECTION'!$C$3+'DATA SECTION'!$C$4+'DATA SECTION'!$C$5)</f>
        <v>59.004545168041467</v>
      </c>
      <c r="FA3" s="205">
        <f>(FA34+FA47+FA60+FA73+FA86+FA99+FA112+FA125+FA138+FA151+FA164+FA177+FA190)/('DATA SECTION'!$C$3+'DATA SECTION'!$C$4+'DATA SECTION'!$C$5)</f>
        <v>60.182868494974088</v>
      </c>
      <c r="FB3" s="205">
        <f>(FB34+FB47+FB60+FB73+FB86+FB99+FB112+FB125+FB138+FB151+FB164+FB177+FB190)/('DATA SECTION'!$C$3+'DATA SECTION'!$C$4+'DATA SECTION'!$C$5)</f>
        <v>61.367744443476468</v>
      </c>
      <c r="FC3" s="205">
        <f>(FC34+FC47+FC60+FC73+FC86+FC99+FC112+FC125+FC138+FC151+FC164+FC177+FC190)/('DATA SECTION'!$C$3+'DATA SECTION'!$C$4+'DATA SECTION'!$C$5)</f>
        <v>62.564373021328933</v>
      </c>
      <c r="FD3" s="205">
        <f>(FD34+FD47+FD60+FD73+FD86+FD99+FD112+FD125+FD138+FD151+FD164+FD177+FD190)/('DATA SECTION'!$C$3+'DATA SECTION'!$C$4+'DATA SECTION'!$C$5)</f>
        <v>63.778196470015651</v>
      </c>
      <c r="FE3" s="205">
        <f>(FE34+FE47+FE60+FE73+FE86+FE99+FE112+FE125+FE138+FE151+FE164+FE177+FE190)/('DATA SECTION'!$C$3+'DATA SECTION'!$C$4+'DATA SECTION'!$C$5)</f>
        <v>64.993847099738019</v>
      </c>
      <c r="FF3" s="205">
        <f>(FF34+FF47+FF60+FF73+FF86+FF99+FF112+FF125+FF138+FF151+FF164+FF177+FF190)/('DATA SECTION'!$C$3+'DATA SECTION'!$C$4+'DATA SECTION'!$C$5)</f>
        <v>66.222114528415176</v>
      </c>
      <c r="FG3" s="205">
        <f>(FG34+FG47+FG60+FG73+FG86+FG99+FG112+FG125+FG138+FG151+FG164+FG177+FG190)/('DATA SECTION'!$C$3+'DATA SECTION'!$C$4+'DATA SECTION'!$C$5)</f>
        <v>67.472392763811953</v>
      </c>
      <c r="FH3" s="205">
        <f>(FH34+FH47+FH60+FH73+FH86+FH99+FH112+FH125+FH138+FH151+FH164+FH177+FH190)/('DATA SECTION'!$C$3+'DATA SECTION'!$C$4+'DATA SECTION'!$C$5)</f>
        <v>68.737389560405191</v>
      </c>
      <c r="FI3" s="205">
        <f>(FI34+FI47+FI60+FI73+FI86+FI99+FI112+FI125+FI138+FI151+FI164+FI177+FI190)/('DATA SECTION'!$C$3+'DATA SECTION'!$C$4+'DATA SECTION'!$C$5)</f>
        <v>70.011834091411728</v>
      </c>
      <c r="FJ3" s="205">
        <f>(FJ34+FJ47+FJ60+FJ73+FJ86+FJ99+FJ112+FJ125+FJ138+FJ151+FJ164+FJ177+FJ190)/('DATA SECTION'!$C$3+'DATA SECTION'!$C$4+'DATA SECTION'!$C$5)</f>
        <v>71.302259272455402</v>
      </c>
      <c r="FK3" s="205">
        <f>(FK34+FK47+FK60+FK73+FK86+FK99+FK112+FK125+FK138+FK151+FK164+FK177+FK190)/('DATA SECTION'!$C$3+'DATA SECTION'!$C$4+'DATA SECTION'!$C$5)</f>
        <v>72.60358578765657</v>
      </c>
      <c r="FL3" s="205">
        <f>(FL34+FL47+FL60+FL73+FL86+FL99+FL112+FL125+FL138+FL151+FL164+FL177+FL190)/('DATA SECTION'!$C$3+'DATA SECTION'!$C$4+'DATA SECTION'!$C$5)</f>
        <v>73.912087220717751</v>
      </c>
      <c r="FM3" s="205">
        <f>(FM34+FM47+FM60+FM73+FM86+FM99+FM112+FM125+FM138+FM151+FM164+FM177+FM190)/('DATA SECTION'!$C$3+'DATA SECTION'!$C$4+'DATA SECTION'!$C$5)</f>
        <v>75.226052823917456</v>
      </c>
      <c r="FN3" s="205">
        <f>(FN34+FN47+FN60+FN73+FN86+FN99+FN112+FN125+FN138+FN151+FN164+FN177+FN190)/('DATA SECTION'!$C$3+'DATA SECTION'!$C$4+'DATA SECTION'!$C$5)</f>
        <v>76.557565391523042</v>
      </c>
      <c r="FO3" s="205">
        <f>(FO34+FO47+FO60+FO73+FO86+FO99+FO112+FO125+FO138+FO151+FO164+FO177+FO190)/('DATA SECTION'!$C$3+'DATA SECTION'!$C$4+'DATA SECTION'!$C$5)</f>
        <v>77.909187917753556</v>
      </c>
      <c r="FP3" s="205">
        <f>(FP34+FP47+FP60+FP73+FP86+FP99+FP112+FP125+FP138+FP151+FP164+FP177+FP190)/('DATA SECTION'!$C$3+'DATA SECTION'!$C$4+'DATA SECTION'!$C$5)</f>
        <v>79.277927416942632</v>
      </c>
      <c r="FQ3" s="205">
        <f>(FQ34+FQ47+FQ60+FQ73+FQ86+FQ99+FQ112+FQ125+FQ138+FQ151+FQ164+FQ177+FQ190)/('DATA SECTION'!$C$3+'DATA SECTION'!$C$4+'DATA SECTION'!$C$5)</f>
        <v>80.660019947003974</v>
      </c>
      <c r="FR3" s="205">
        <f>(FR34+FR47+FR60+FR73+FR86+FR99+FR112+FR125+FR138+FR151+FR164+FR177+FR190)/('DATA SECTION'!$C$3+'DATA SECTION'!$C$4+'DATA SECTION'!$C$5)</f>
        <v>82.051505431046976</v>
      </c>
      <c r="FS3" s="205">
        <f>(FS34+FS47+FS60+FS73+FS86+FS99+FS112+FS125+FS138+FS151+FS164+FS177+FS190)/('DATA SECTION'!$C$3+'DATA SECTION'!$C$4+'DATA SECTION'!$C$5)</f>
        <v>83.447248953180164</v>
      </c>
      <c r="FT3" s="205">
        <f>(FT34+FT47+FT60+FT73+FT86+FT99+FT112+FT125+FT138+FT151+FT164+FT177+FT190)/('DATA SECTION'!$C$3+'DATA SECTION'!$C$4+'DATA SECTION'!$C$5)</f>
        <v>84.864872271690629</v>
      </c>
      <c r="FU3" s="205">
        <f>(FU34+FU47+FU60+FU73+FU86+FU99+FU112+FU125+FU138+FU151+FU164+FU177+FU190)/('DATA SECTION'!$C$3+'DATA SECTION'!$C$4+'DATA SECTION'!$C$5)</f>
        <v>86.294326769669723</v>
      </c>
      <c r="FV3" s="205">
        <f>(FV34+FV47+FV60+FV73+FV86+FV99+FV112+FV125+FV138+FV151+FV164+FV177+FV190)/('DATA SECTION'!$C$3+'DATA SECTION'!$C$4+'DATA SECTION'!$C$5)</f>
        <v>87.731123873948206</v>
      </c>
      <c r="FW3" s="205">
        <f>(FW34+FW47+FW60+FW73+FW86+FW99+FW112+FW125+FW138+FW151+FW164+FW177+FW190)/('DATA SECTION'!$C$3+'DATA SECTION'!$C$4+'DATA SECTION'!$C$5)</f>
        <v>89.178419873131546</v>
      </c>
      <c r="FX3" s="205">
        <f>(FX34+FX47+FX60+FX73+FX86+FX99+FX112+FX125+FX138+FX151+FX164+FX177+FX190)/('DATA SECTION'!$C$3+'DATA SECTION'!$C$4+'DATA SECTION'!$C$5)</f>
        <v>90.64306498522626</v>
      </c>
      <c r="FY3" s="205">
        <f>(FY34+FY47+FY60+FY73+FY86+FY99+FY112+FY125+FY138+FY151+FY164+FY177+FY190)/('DATA SECTION'!$C$3+'DATA SECTION'!$C$4+'DATA SECTION'!$C$5)</f>
        <v>92.125663588312207</v>
      </c>
      <c r="FZ3" s="205">
        <f>(FZ34+FZ47+FZ60+FZ73+FZ86+FZ99+FZ112+FZ125+FZ138+FZ151+FZ164+FZ177+FZ190)/('DATA SECTION'!$C$3+'DATA SECTION'!$C$4+'DATA SECTION'!$C$5)</f>
        <v>93.612964057219898</v>
      </c>
      <c r="GA3" s="205">
        <f>(GA34+GA47+GA60+GA73+GA86+GA99+GA112+GA125+GA138+GA151+GA164+GA177+GA190)/('DATA SECTION'!$C$3+'DATA SECTION'!$C$4+'DATA SECTION'!$C$5)</f>
        <v>87.710947501437005</v>
      </c>
      <c r="GB3" s="205">
        <f>(GB34+GB47+GB60+GB73+GB86+GB99+GB112+GB125+GB138+GB151+GB164+GB177+GB190)/('DATA SECTION'!$C$3+'DATA SECTION'!$C$4+'DATA SECTION'!$C$5)</f>
        <v>89.146445134112795</v>
      </c>
      <c r="GC3" s="205">
        <f>(GC34+GC47+GC60+GC73+GC86+GC99+GC112+GC125+GC138+GC151+GC164+GC177+GC190)/('DATA SECTION'!$C$3+'DATA SECTION'!$C$4+'DATA SECTION'!$C$5)</f>
        <v>83.017800950316698</v>
      </c>
      <c r="GD3" s="205">
        <f>(GD34+GD47+GD60+GD73+GD86+GD99+GD112+GD125+GD138+GD151+GD164+GD177+GD190)/('DATA SECTION'!$C$3+'DATA SECTION'!$C$4+'DATA SECTION'!$C$5)</f>
        <v>84.405401745816832</v>
      </c>
      <c r="GE3" s="205">
        <f>(GE34+GE47+GE60+GE73+GE86+GE99+GE112+GE125+GE138+GE151+GE164+GE177+GE190)/('DATA SECTION'!$C$3+'DATA SECTION'!$C$4+'DATA SECTION'!$C$5)</f>
        <v>85.803773393918334</v>
      </c>
      <c r="GF3" s="205">
        <f>(GF34+GF47+GF60+GF73+GF86+GF99+GF112+GF125+GF138+GF151+GF164+GF177+GF190)/('DATA SECTION'!$C$3+'DATA SECTION'!$C$4+'DATA SECTION'!$C$5)</f>
        <v>87.21768326774216</v>
      </c>
      <c r="GG3" s="205">
        <f>(GG34+GG47+GG60+GG73+GG86+GG99+GG112+GG125+GG138+GG151+GG164+GG177+GG190)/('DATA SECTION'!$C$3+'DATA SECTION'!$C$4+'DATA SECTION'!$C$5)</f>
        <v>88.640449447650212</v>
      </c>
      <c r="GH3" s="205">
        <f>(GH34+GH47+GH60+GH73+GH86+GH99+GH112+GH125+GH138+GH151+GH164+GH177+GH190)/('DATA SECTION'!$C$3+'DATA SECTION'!$C$4+'DATA SECTION'!$C$5)</f>
        <v>82.066340242816437</v>
      </c>
      <c r="GI3" s="205">
        <f>(GI34+GI47+GI60+GI73+GI86+GI99+GI112+GI125+GI138+GI151+GI164+GI177+GI190)/('DATA SECTION'!$C$3+'DATA SECTION'!$C$4+'DATA SECTION'!$C$5)</f>
        <v>83.437374914367325</v>
      </c>
      <c r="GJ3" s="205">
        <f>(GJ34+GJ47+GJ60+GJ73+GJ86+GJ99+GJ112+GJ125+GJ138+GJ151+GJ164+GJ177+GJ190)/('DATA SECTION'!$C$3+'DATA SECTION'!$C$4+'DATA SECTION'!$C$5)</f>
        <v>76.638147509826283</v>
      </c>
      <c r="GK3" s="205">
        <f>(GK34+GK47+GK60+GK73+GK86+GK99+GK112+GK125+GK138+GK151+GK164+GK177+GK190)/('DATA SECTION'!$C$3+'DATA SECTION'!$C$4+'DATA SECTION'!$C$5)</f>
        <v>77.956523424280732</v>
      </c>
      <c r="GL3" s="205">
        <f>(GL34+GL47+GL60+GL73+GL86+GL99+GL112+GL125+GL138+GL151+GL164+GL177+GL190)/('DATA SECTION'!$C$3+'DATA SECTION'!$C$4+'DATA SECTION'!$C$5)</f>
        <v>79.290767956927411</v>
      </c>
      <c r="GM3" s="205">
        <f>(GM34+GM47+GM60+GM73+GM86+GM99+GM112+GM125+GM138+GM151+GM164+GM177+GM190)/('DATA SECTION'!$C$3+'DATA SECTION'!$C$4+'DATA SECTION'!$C$5)</f>
        <v>80.635291317261448</v>
      </c>
      <c r="GN3" s="205">
        <f>(GN34+GN47+GN60+GN73+GN86+GN99+GN112+GN125+GN138+GN151+GN164+GN177+GN190)/('DATA SECTION'!$C$3+'DATA SECTION'!$C$4+'DATA SECTION'!$C$5)</f>
        <v>81.991879750266264</v>
      </c>
      <c r="GO3" s="205">
        <f>(GO34+GO47+GO60+GO73+GO86+GO99+GO112+GO125+GO138+GO151+GO164+GO177+GO190)/('DATA SECTION'!$C$3+'DATA SECTION'!$C$4+'DATA SECTION'!$C$5)</f>
        <v>74.752313947129679</v>
      </c>
      <c r="GP3" s="205">
        <f>(GP34+GP47+GP60+GP73+GP86+GP99+GP112+GP125+GP138+GP151+GP164+GP177+GP190)/('DATA SECTION'!$C$3+'DATA SECTION'!$C$4+'DATA SECTION'!$C$5)</f>
        <v>76.049937368526827</v>
      </c>
      <c r="GQ3" s="205">
        <f>(GQ34+GQ47+GQ60+GQ73+GQ86+GQ99+GQ112+GQ125+GQ138+GQ151+GQ164+GQ177+GQ190)/('DATA SECTION'!$C$3+'DATA SECTION'!$C$4+'DATA SECTION'!$C$5)</f>
        <v>68.558341353713118</v>
      </c>
      <c r="GR3" s="205">
        <f>(GR34+GR47+GR60+GR73+GR86+GR99+GR112+GR125+GR138+GR151+GR164+GR177+GR190)/('DATA SECTION'!$C$3+'DATA SECTION'!$C$4+'DATA SECTION'!$C$5)</f>
        <v>69.801047500982733</v>
      </c>
      <c r="GS3" s="205">
        <f>(GS34+GS47+GS60+GS73+GS86+GS99+GS112+GS125+GS138+GS151+GS164+GS177+GS190)/('DATA SECTION'!$C$3+'DATA SECTION'!$C$4+'DATA SECTION'!$C$5)</f>
        <v>71.050100127315645</v>
      </c>
      <c r="GT3" s="205">
        <f>(GT34+GT47+GT60+GT73+GT86+GT99+GT112+GT125+GT138+GT151+GT164+GT177+GT190)/('DATA SECTION'!$C$3+'DATA SECTION'!$C$4+'DATA SECTION'!$C$5)</f>
        <v>72.313571878887174</v>
      </c>
      <c r="GU3" s="205">
        <f>(GU34+GU47+GU60+GU73+GU86+GU99+GU112+GU125+GU138+GU151+GU164+GU177+GU190)/('DATA SECTION'!$C$3+'DATA SECTION'!$C$4+'DATA SECTION'!$C$5)</f>
        <v>73.588934852083739</v>
      </c>
      <c r="GV3" s="205">
        <f>(GV34+GV47+GV60+GV73+GV86+GV99+GV112+GV125+GV138+GV151+GV164+GV177+GV190)/('DATA SECTION'!$C$3+'DATA SECTION'!$C$4+'DATA SECTION'!$C$5)</f>
        <v>65.606500736807931</v>
      </c>
      <c r="GW3" s="205">
        <f>(GW34+GW47+GW60+GW73+GW86+GW99+GW112+GW125+GW138+GW151+GW164+GW177+GW190)/('DATA SECTION'!$C$3+'DATA SECTION'!$C$4+'DATA SECTION'!$C$5)</f>
        <v>66.807872883282499</v>
      </c>
      <c r="GX3" s="205">
        <f>(GX34+GX47+GX60+GX73+GX86+GX99+GX112+GX125+GX138+GX151+GX164+GX177+GX190)/('DATA SECTION'!$C$3+'DATA SECTION'!$C$4+'DATA SECTION'!$C$5)</f>
        <v>58.407747163914372</v>
      </c>
      <c r="GY3" s="205">
        <f>(GY34+GY47+GY60+GY73+GY86+GY99+GY112+GY125+GY138+GY151+GY164+GY177+GY190)/('DATA SECTION'!$C$3+'DATA SECTION'!$C$4+'DATA SECTION'!$C$5)</f>
        <v>59.004545168041467</v>
      </c>
      <c r="GZ3" s="205">
        <f>(GZ34+GZ47+GZ60+GZ73+GZ86+GZ99+GZ112+GZ125+GZ138+GZ151+GZ164+GZ177+GZ190)/('DATA SECTION'!$C$3+'DATA SECTION'!$C$4+'DATA SECTION'!$C$5)</f>
        <v>60.182868494974088</v>
      </c>
      <c r="HA3" s="205">
        <f>(HA34+HA47+HA60+HA73+HA86+HA99+HA112+HA125+HA138+HA151+HA164+HA177+HA190)/('DATA SECTION'!$C$3+'DATA SECTION'!$C$4+'DATA SECTION'!$C$5)</f>
        <v>61.367744443476468</v>
      </c>
      <c r="HB3" s="205">
        <f>(HB34+HB47+HB60+HB73+HB86+HB99+HB112+HB125+HB138+HB151+HB164+HB177+HB190)/('DATA SECTION'!$C$3+'DATA SECTION'!$C$4+'DATA SECTION'!$C$5)</f>
        <v>62.564373021328933</v>
      </c>
      <c r="HC3" s="205">
        <f>(HC34+HC47+HC60+HC73+HC86+HC99+HC112+HC125+HC138+HC151+HC164+HC177+HC190)/('DATA SECTION'!$C$3+'DATA SECTION'!$C$4+'DATA SECTION'!$C$5)</f>
        <v>63.778196470015651</v>
      </c>
      <c r="HD3" s="205">
        <f>(HD34+HD47+HD60+HD73+HD86+HD99+HD112+HD125+HD138+HD151+HD164+HD177+HD190)/('DATA SECTION'!$C$3+'DATA SECTION'!$C$4+'DATA SECTION'!$C$5)</f>
        <v>64.993847099738019</v>
      </c>
      <c r="HE3" s="205">
        <f>(HE34+HE47+HE60+HE73+HE86+HE99+HE112+HE125+HE138+HE151+HE164+HE177+HE190)/('DATA SECTION'!$C$3+'DATA SECTION'!$C$4+'DATA SECTION'!$C$5)</f>
        <v>66.222114528415176</v>
      </c>
      <c r="HF3" s="205">
        <f>(HF34+HF47+HF60+HF73+HF86+HF99+HF112+HF125+HF138+HF151+HF164+HF177+HF190)/('DATA SECTION'!$C$3+'DATA SECTION'!$C$4+'DATA SECTION'!$C$5)</f>
        <v>67.472392763811953</v>
      </c>
      <c r="HG3" s="205">
        <f>(HG34+HG47+HG60+HG73+HG86+HG99+HG112+HG125+HG138+HG151+HG164+HG177+HG190)/('DATA SECTION'!$C$3+'DATA SECTION'!$C$4+'DATA SECTION'!$C$5)</f>
        <v>68.737389560405191</v>
      </c>
      <c r="HH3" s="205">
        <f>(HH34+HH47+HH60+HH73+HH86+HH99+HH112+HH125+HH138+HH151+HH164+HH177+HH190)/('DATA SECTION'!$C$3+'DATA SECTION'!$C$4+'DATA SECTION'!$C$5)</f>
        <v>70.011834091411728</v>
      </c>
      <c r="HI3" s="205">
        <f>(HI34+HI47+HI60+HI73+HI86+HI99+HI112+HI125+HI138+HI151+HI164+HI177+HI190)/('DATA SECTION'!$C$3+'DATA SECTION'!$C$4+'DATA SECTION'!$C$5)</f>
        <v>71.302259272455402</v>
      </c>
      <c r="HJ3" s="205">
        <f>(HJ34+HJ47+HJ60+HJ73+HJ86+HJ99+HJ112+HJ125+HJ138+HJ151+HJ164+HJ177+HJ190)/('DATA SECTION'!$C$3+'DATA SECTION'!$C$4+'DATA SECTION'!$C$5)</f>
        <v>72.60358578765657</v>
      </c>
      <c r="HK3" s="205">
        <f>(HK34+HK47+HK60+HK73+HK86+HK99+HK112+HK125+HK138+HK151+HK164+HK177+HK190)/('DATA SECTION'!$C$3+'DATA SECTION'!$C$4+'DATA SECTION'!$C$5)</f>
        <v>73.912087220717751</v>
      </c>
      <c r="HL3" s="205">
        <f>(HL34+HL47+HL60+HL73+HL86+HL99+HL112+HL125+HL138+HL151+HL164+HL177+HL190)/('DATA SECTION'!$C$3+'DATA SECTION'!$C$4+'DATA SECTION'!$C$5)</f>
        <v>75.226052823917456</v>
      </c>
      <c r="HM3" s="205">
        <f>(HM34+HM47+HM60+HM73+HM86+HM99+HM112+HM125+HM138+HM151+HM164+HM177+HM190)/('DATA SECTION'!$C$3+'DATA SECTION'!$C$4+'DATA SECTION'!$C$5)</f>
        <v>76.557565391523042</v>
      </c>
      <c r="HN3" s="205">
        <f>(HN34+HN47+HN60+HN73+HN86+HN99+HN112+HN125+HN138+HN151+HN164+HN177+HN190)/('DATA SECTION'!$C$3+'DATA SECTION'!$C$4+'DATA SECTION'!$C$5)</f>
        <v>77.909187917753556</v>
      </c>
      <c r="HO3" s="205">
        <f>(HO34+HO47+HO60+HO73+HO86+HO99+HO112+HO125+HO138+HO151+HO164+HO177+HO190)/('DATA SECTION'!$C$3+'DATA SECTION'!$C$4+'DATA SECTION'!$C$5)</f>
        <v>79.277927416942632</v>
      </c>
      <c r="HP3" s="205">
        <f>(HP34+HP47+HP60+HP73+HP86+HP99+HP112+HP125+HP138+HP151+HP164+HP177+HP190)/('DATA SECTION'!$C$3+'DATA SECTION'!$C$4+'DATA SECTION'!$C$5)</f>
        <v>80.660019947003974</v>
      </c>
      <c r="HQ3" s="205">
        <f>(HQ34+HQ47+HQ60+HQ73+HQ86+HQ99+HQ112+HQ125+HQ138+HQ151+HQ164+HQ177+HQ190)/('DATA SECTION'!$C$3+'DATA SECTION'!$C$4+'DATA SECTION'!$C$5)</f>
        <v>82.051505431046976</v>
      </c>
      <c r="HR3" s="205">
        <f>(HR34+HR47+HR60+HR73+HR86+HR99+HR112+HR125+HR138+HR151+HR164+HR177+HR190)/('DATA SECTION'!$C$3+'DATA SECTION'!$C$4+'DATA SECTION'!$C$5)</f>
        <v>83.447248953180164</v>
      </c>
      <c r="HS3" s="205">
        <f>(HS34+HS47+HS60+HS73+HS86+HS99+HS112+HS125+HS138+HS151+HS164+HS177+HS190)/('DATA SECTION'!$C$3+'DATA SECTION'!$C$4+'DATA SECTION'!$C$5)</f>
        <v>84.864872271690629</v>
      </c>
      <c r="HT3" s="205">
        <f>(HT34+HT47+HT60+HT73+HT86+HT99+HT112+HT125+HT138+HT151+HT164+HT177+HT190)/('DATA SECTION'!$C$3+'DATA SECTION'!$C$4+'DATA SECTION'!$C$5)</f>
        <v>86.294326769669723</v>
      </c>
      <c r="HU3" s="205">
        <f>(HU34+HU47+HU60+HU73+HU86+HU99+HU112+HU125+HU138+HU151+HU164+HU177+HU190)/('DATA SECTION'!$C$3+'DATA SECTION'!$C$4+'DATA SECTION'!$C$5)</f>
        <v>87.731123873948206</v>
      </c>
      <c r="HV3" s="205">
        <f>(HV34+HV47+HV60+HV73+HV86+HV99+HV112+HV125+HV138+HV151+HV164+HV177+HV190)/('DATA SECTION'!$C$3+'DATA SECTION'!$C$4+'DATA SECTION'!$C$5)</f>
        <v>89.178419873131546</v>
      </c>
      <c r="HW3" s="205">
        <f>(HW34+HW47+HW60+HW73+HW86+HW99+HW112+HW125+HW138+HW151+HW164+HW177+HW190)/('DATA SECTION'!$C$3+'DATA SECTION'!$C$4+'DATA SECTION'!$C$5)</f>
        <v>90.64306498522626</v>
      </c>
      <c r="HX3" s="205">
        <f>(HX34+HX47+HX60+HX73+HX86+HX99+HX112+HX125+HX138+HX151+HX164+HX177+HX190)/('DATA SECTION'!$C$3+'DATA SECTION'!$C$4+'DATA SECTION'!$C$5)</f>
        <v>92.125663588312207</v>
      </c>
      <c r="HY3" s="205">
        <f>(HY34+HY47+HY60+HY73+HY86+HY99+HY112+HY125+HY138+HY151+HY164+HY177+HY190)/('DATA SECTION'!$C$3+'DATA SECTION'!$C$4+'DATA SECTION'!$C$5)</f>
        <v>93.612964057219898</v>
      </c>
      <c r="HZ3" s="205">
        <f>(HZ34+HZ47+HZ60+HZ73+HZ86+HZ99+HZ112+HZ125+HZ138+HZ151+HZ164+HZ177+HZ190)/('DATA SECTION'!$C$3+'DATA SECTION'!$C$4+'DATA SECTION'!$C$5)</f>
        <v>87.710947501437005</v>
      </c>
      <c r="IA3" s="205">
        <f>(IA34+IA47+IA60+IA73+IA86+IA99+IA112+IA125+IA138+IA151+IA164+IA177+IA190)/('DATA SECTION'!$C$3+'DATA SECTION'!$C$4+'DATA SECTION'!$C$5)</f>
        <v>89.146445134112795</v>
      </c>
      <c r="IB3" s="205">
        <f>(IB34+IB47+IB60+IB73+IB86+IB99+IB112+IB125+IB138+IB151+IB164+IB177+IB190)/('DATA SECTION'!$C$3+'DATA SECTION'!$C$4+'DATA SECTION'!$C$5)</f>
        <v>83.017800950316698</v>
      </c>
      <c r="IC3" s="205">
        <f>(IC34+IC47+IC60+IC73+IC86+IC99+IC112+IC125+IC138+IC151+IC164+IC177+IC190)/('DATA SECTION'!$C$3+'DATA SECTION'!$C$4+'DATA SECTION'!$C$5)</f>
        <v>84.405401745816832</v>
      </c>
      <c r="ID3" s="205">
        <f>(ID34+ID47+ID60+ID73+ID86+ID99+ID112+ID125+ID138+ID151+ID164+ID177+ID190)/('DATA SECTION'!$C$3+'DATA SECTION'!$C$4+'DATA SECTION'!$C$5)</f>
        <v>85.803773393918334</v>
      </c>
      <c r="IE3" s="205">
        <f>(IE34+IE47+IE60+IE73+IE86+IE99+IE112+IE125+IE138+IE151+IE164+IE177+IE190)/('DATA SECTION'!$C$3+'DATA SECTION'!$C$4+'DATA SECTION'!$C$5)</f>
        <v>87.21768326774216</v>
      </c>
      <c r="IF3" s="205">
        <f>(IF34+IF47+IF60+IF73+IF86+IF99+IF112+IF125+IF138+IF151+IF164+IF177+IF190)/('DATA SECTION'!$C$3+'DATA SECTION'!$C$4+'DATA SECTION'!$C$5)</f>
        <v>88.640449447650212</v>
      </c>
      <c r="IG3" s="205">
        <f>(IG34+IG47+IG60+IG73+IG86+IG99+IG112+IG125+IG138+IG151+IG164+IG177+IG190)/('DATA SECTION'!$C$3+'DATA SECTION'!$C$4+'DATA SECTION'!$C$5)</f>
        <v>82.066340242816437</v>
      </c>
      <c r="IH3" s="205">
        <f>(IH34+IH47+IH60+IH73+IH86+IH99+IH112+IH125+IH138+IH151+IH164+IH177+IH190)/('DATA SECTION'!$C$3+'DATA SECTION'!$C$4+'DATA SECTION'!$C$5)</f>
        <v>83.437374914367325</v>
      </c>
      <c r="II3" s="205">
        <f>(II34+II47+II60+II73+II86+II99+II112+II125+II138+II151+II164+II177+II190)/('DATA SECTION'!$C$3+'DATA SECTION'!$C$4+'DATA SECTION'!$C$5)</f>
        <v>76.638147509826283</v>
      </c>
      <c r="IJ3" s="205">
        <f>(IJ34+IJ47+IJ60+IJ73+IJ86+IJ99+IJ112+IJ125+IJ138+IJ151+IJ164+IJ177+IJ190)/('DATA SECTION'!$C$3+'DATA SECTION'!$C$4+'DATA SECTION'!$C$5)</f>
        <v>77.956523424280732</v>
      </c>
      <c r="IK3" s="205">
        <f>(IK34+IK47+IK60+IK73+IK86+IK99+IK112+IK125+IK138+IK151+IK164+IK177+IK190)/('DATA SECTION'!$C$3+'DATA SECTION'!$C$4+'DATA SECTION'!$C$5)</f>
        <v>79.290767956927411</v>
      </c>
      <c r="IL3" s="205">
        <f>(IL34+IL47+IL60+IL73+IL86+IL99+IL112+IL125+IL138+IL151+IL164+IL177+IL190)/('DATA SECTION'!$C$3+'DATA SECTION'!$C$4+'DATA SECTION'!$C$5)</f>
        <v>80.635291317261448</v>
      </c>
      <c r="IM3" s="205">
        <f>(IM34+IM47+IM60+IM73+IM86+IM99+IM112+IM125+IM138+IM151+IM164+IM177+IM190)/('DATA SECTION'!$C$3+'DATA SECTION'!$C$4+'DATA SECTION'!$C$5)</f>
        <v>81.991879750266264</v>
      </c>
      <c r="IN3" s="205">
        <f>(IN34+IN47+IN60+IN73+IN86+IN99+IN112+IN125+IN138+IN151+IN164+IN177+IN190)/('DATA SECTION'!$C$3+'DATA SECTION'!$C$4+'DATA SECTION'!$C$5)</f>
        <v>74.752313947129679</v>
      </c>
      <c r="IO3" s="205">
        <f>(IO34+IO47+IO60+IO73+IO86+IO99+IO112+IO125+IO138+IO151+IO164+IO177+IO190)/('DATA SECTION'!$C$3+'DATA SECTION'!$C$4+'DATA SECTION'!$C$5)</f>
        <v>76.049937368526827</v>
      </c>
      <c r="IP3" s="205">
        <f>(IP34+IP47+IP60+IP73+IP86+IP99+IP112+IP125+IP138+IP151+IP164+IP177+IP190)/('DATA SECTION'!$C$3+'DATA SECTION'!$C$4+'DATA SECTION'!$C$5)</f>
        <v>68.558341353713118</v>
      </c>
      <c r="IQ3" s="205">
        <f>(IQ34+IQ47+IQ60+IQ73+IQ86+IQ99+IQ112+IQ125+IQ138+IQ151+IQ164+IQ177+IQ190)/('DATA SECTION'!$C$3+'DATA SECTION'!$C$4+'DATA SECTION'!$C$5)</f>
        <v>69.801047500982733</v>
      </c>
      <c r="IR3" s="205">
        <f>(IR34+IR47+IR60+IR73+IR86+IR99+IR112+IR125+IR138+IR151+IR164+IR177+IR190)/('DATA SECTION'!$C$3+'DATA SECTION'!$C$4+'DATA SECTION'!$C$5)</f>
        <v>71.050100127315645</v>
      </c>
      <c r="IS3" s="205">
        <f>(IS34+IS47+IS60+IS73+IS86+IS99+IS112+IS125+IS138+IS151+IS164+IS177+IS190)/('DATA SECTION'!$C$3+'DATA SECTION'!$C$4+'DATA SECTION'!$C$5)</f>
        <v>72.313571878887174</v>
      </c>
      <c r="IT3" s="205">
        <f>(IT34+IT47+IT60+IT73+IT86+IT99+IT112+IT125+IT138+IT151+IT164+IT177+IT190)/('DATA SECTION'!$C$3+'DATA SECTION'!$C$4+'DATA SECTION'!$C$5)</f>
        <v>73.588934852083739</v>
      </c>
      <c r="IU3" s="205">
        <f>(IU34+IU47+IU60+IU73+IU86+IU99+IU112+IU125+IU138+IU151+IU164+IU177+IU190)/('DATA SECTION'!$C$3+'DATA SECTION'!$C$4+'DATA SECTION'!$C$5)</f>
        <v>65.606500736807931</v>
      </c>
      <c r="IV3" s="205">
        <f>(IV34+IV47+IV60+IV73+IV86+IV99+IV112+IV125+IV138+IV151+IV164+IV177+IV190)/('DATA SECTION'!$C$3+'DATA SECTION'!$C$4+'DATA SECTION'!$C$5)</f>
        <v>66.807872883282499</v>
      </c>
      <c r="IW3" s="205">
        <f>(IW34+IW47+IW60+IW73+IW86+IW99+IW112+IW125+IW138+IW151+IW164+IW177+IW190)/('DATA SECTION'!$C$3+'DATA SECTION'!$C$4+'DATA SECTION'!$C$5)</f>
        <v>58.407747163914372</v>
      </c>
      <c r="IX3" s="205">
        <f>(IX34+IX47+IX60+IX73+IX86+IX99+IX112+IX125+IX138+IX151+IX164+IX177+IX190)/('DATA SECTION'!$C$3+'DATA SECTION'!$C$4+'DATA SECTION'!$C$5)</f>
        <v>59.004545168041467</v>
      </c>
      <c r="IY3" s="205">
        <f>(IY34+IY47+IY60+IY73+IY86+IY99+IY112+IY125+IY138+IY151+IY164+IY177+IY190)/('DATA SECTION'!$C$3+'DATA SECTION'!$C$4+'DATA SECTION'!$C$5)</f>
        <v>60.182868494974088</v>
      </c>
      <c r="IZ3" s="205">
        <f>(IZ34+IZ47+IZ60+IZ73+IZ86+IZ99+IZ112+IZ125+IZ138+IZ151+IZ164+IZ177+IZ190)/('DATA SECTION'!$C$3+'DATA SECTION'!$C$4+'DATA SECTION'!$C$5)</f>
        <v>61.367744443476468</v>
      </c>
      <c r="JA3" s="205">
        <f>(JA34+JA47+JA60+JA73+JA86+JA99+JA112+JA125+JA138+JA151+JA164+JA177+JA190)/('DATA SECTION'!$C$3+'DATA SECTION'!$C$4+'DATA SECTION'!$C$5)</f>
        <v>62.564373021328933</v>
      </c>
      <c r="JB3" s="205">
        <f>(JB34+JB47+JB60+JB73+JB86+JB99+JB112+JB125+JB138+JB151+JB164+JB177+JB190)/('DATA SECTION'!$C$3+'DATA SECTION'!$C$4+'DATA SECTION'!$C$5)</f>
        <v>63.778196470015651</v>
      </c>
      <c r="JC3" s="205">
        <f>(JC34+JC47+JC60+JC73+JC86+JC99+JC112+JC125+JC138+JC151+JC164+JC177+JC190)/('DATA SECTION'!$C$3+'DATA SECTION'!$C$4+'DATA SECTION'!$C$5)</f>
        <v>64.993847099738019</v>
      </c>
      <c r="JD3" s="205">
        <f>(JD34+JD47+JD60+JD73+JD86+JD99+JD112+JD125+JD138+JD151+JD164+JD177+JD190)/('DATA SECTION'!$C$3+'DATA SECTION'!$C$4+'DATA SECTION'!$C$5)</f>
        <v>66.222114528415176</v>
      </c>
      <c r="JE3" s="205">
        <f>(JE34+JE47+JE60+JE73+JE86+JE99+JE112+JE125+JE138+JE151+JE164+JE177+JE190)/('DATA SECTION'!$C$3+'DATA SECTION'!$C$4+'DATA SECTION'!$C$5)</f>
        <v>67.472392763811953</v>
      </c>
      <c r="JF3" s="205">
        <f>(JF34+JF47+JF60+JF73+JF86+JF99+JF112+JF125+JF138+JF151+JF164+JF177+JF190)/('DATA SECTION'!$C$3+'DATA SECTION'!$C$4+'DATA SECTION'!$C$5)</f>
        <v>68.737389560405191</v>
      </c>
      <c r="JG3" s="205">
        <f>(JG34+JG47+JG60+JG73+JG86+JG99+JG112+JG125+JG138+JG151+JG164+JG177+JG190)/('DATA SECTION'!$C$3+'DATA SECTION'!$C$4+'DATA SECTION'!$C$5)</f>
        <v>70.011834091411728</v>
      </c>
      <c r="JH3" s="205">
        <f>(JH34+JH47+JH60+JH73+JH86+JH99+JH112+JH125+JH138+JH151+JH164+JH177+JH190)/('DATA SECTION'!$C$3+'DATA SECTION'!$C$4+'DATA SECTION'!$C$5)</f>
        <v>71.302259272455402</v>
      </c>
      <c r="JI3" s="205">
        <f>(JI34+JI47+JI60+JI73+JI86+JI99+JI112+JI125+JI138+JI151+JI164+JI177+JI190)/('DATA SECTION'!$C$3+'DATA SECTION'!$C$4+'DATA SECTION'!$C$5)</f>
        <v>72.60358578765657</v>
      </c>
      <c r="JJ3" s="205">
        <f>(JJ34+JJ47+JJ60+JJ73+JJ86+JJ99+JJ112+JJ125+JJ138+JJ151+JJ164+JJ177+JJ190)/('DATA SECTION'!$C$3+'DATA SECTION'!$C$4+'DATA SECTION'!$C$5)</f>
        <v>73.912087220717751</v>
      </c>
      <c r="JK3" s="205">
        <f>(JK34+JK47+JK60+JK73+JK86+JK99+JK112+JK125+JK138+JK151+JK164+JK177+JK190)/('DATA SECTION'!$C$3+'DATA SECTION'!$C$4+'DATA SECTION'!$C$5)</f>
        <v>75.226052823917456</v>
      </c>
      <c r="JL3" s="205">
        <f>(JL34+JL47+JL60+JL73+JL86+JL99+JL112+JL125+JL138+JL151+JL164+JL177+JL190)/('DATA SECTION'!$C$3+'DATA SECTION'!$C$4+'DATA SECTION'!$C$5)</f>
        <v>76.557565391523042</v>
      </c>
      <c r="JM3" s="205">
        <f>(JM34+JM47+JM60+JM73+JM86+JM99+JM112+JM125+JM138+JM151+JM164+JM177+JM190)/('DATA SECTION'!$C$3+'DATA SECTION'!$C$4+'DATA SECTION'!$C$5)</f>
        <v>77.909187917753556</v>
      </c>
      <c r="JN3" s="205">
        <f>(JN34+JN47+JN60+JN73+JN86+JN99+JN112+JN125+JN138+JN151+JN164+JN177+JN190)/('DATA SECTION'!$C$3+'DATA SECTION'!$C$4+'DATA SECTION'!$C$5)</f>
        <v>79.277927416942632</v>
      </c>
      <c r="JO3" s="205">
        <f>(JO34+JO47+JO60+JO73+JO86+JO99+JO112+JO125+JO138+JO151+JO164+JO177+JO190)/('DATA SECTION'!$C$3+'DATA SECTION'!$C$4+'DATA SECTION'!$C$5)</f>
        <v>80.660019947003974</v>
      </c>
      <c r="JP3" s="205">
        <f>(JP34+JP47+JP60+JP73+JP86+JP99+JP112+JP125+JP138+JP151+JP164+JP177+JP190)/('DATA SECTION'!$C$3+'DATA SECTION'!$C$4+'DATA SECTION'!$C$5)</f>
        <v>82.051505431046976</v>
      </c>
      <c r="JQ3" s="205">
        <f>(JQ34+JQ47+JQ60+JQ73+JQ86+JQ99+JQ112+JQ125+JQ138+JQ151+JQ164+JQ177+JQ190)/('DATA SECTION'!$C$3+'DATA SECTION'!$C$4+'DATA SECTION'!$C$5)</f>
        <v>83.447248953180164</v>
      </c>
      <c r="JR3" s="205">
        <f>(JR34+JR47+JR60+JR73+JR86+JR99+JR112+JR125+JR138+JR151+JR164+JR177+JR190)/('DATA SECTION'!$C$3+'DATA SECTION'!$C$4+'DATA SECTION'!$C$5)</f>
        <v>84.864872271690629</v>
      </c>
      <c r="JS3" s="205">
        <f>(JS34+JS47+JS60+JS73+JS86+JS99+JS112+JS125+JS138+JS151+JS164+JS177+JS190)/('DATA SECTION'!$C$3+'DATA SECTION'!$C$4+'DATA SECTION'!$C$5)</f>
        <v>86.294326769669723</v>
      </c>
      <c r="JT3" s="205">
        <f>(JT34+JT47+JT60+JT73+JT86+JT99+JT112+JT125+JT138+JT151+JT164+JT177+JT190)/('DATA SECTION'!$C$3+'DATA SECTION'!$C$4+'DATA SECTION'!$C$5)</f>
        <v>87.731123873948206</v>
      </c>
      <c r="JU3" s="205">
        <f>(JU34+JU47+JU60+JU73+JU86+JU99+JU112+JU125+JU138+JU151+JU164+JU177+JU190)/('DATA SECTION'!$C$3+'DATA SECTION'!$C$4+'DATA SECTION'!$C$5)</f>
        <v>89.178419873131546</v>
      </c>
      <c r="JV3" s="205">
        <f>(JV34+JV47+JV60+JV73+JV86+JV99+JV112+JV125+JV138+JV151+JV164+JV177+JV190)/('DATA SECTION'!$C$3+'DATA SECTION'!$C$4+'DATA SECTION'!$C$5)</f>
        <v>90.64306498522626</v>
      </c>
      <c r="JW3" s="205">
        <f>(JW34+JW47+JW60+JW73+JW86+JW99+JW112+JW125+JW138+JW151+JW164+JW177+JW190)/('DATA SECTION'!$C$3+'DATA SECTION'!$C$4+'DATA SECTION'!$C$5)</f>
        <v>92.125663588312207</v>
      </c>
      <c r="JX3" s="205">
        <f>(JX34+JX47+JX60+JX73+JX86+JX99+JX112+JX125+JX138+JX151+JX164+JX177+JX190)/('DATA SECTION'!$C$3+'DATA SECTION'!$C$4+'DATA SECTION'!$C$5)</f>
        <v>93.612964057219898</v>
      </c>
      <c r="JY3" s="205">
        <f>(JY34+JY47+JY60+JY73+JY86+JY99+JY112+JY125+JY138+JY151+JY164+JY177+JY190)/('DATA SECTION'!$C$3+'DATA SECTION'!$C$4+'DATA SECTION'!$C$5)</f>
        <v>87.710947501437005</v>
      </c>
      <c r="JZ3" s="205">
        <f>(JZ34+JZ47+JZ60+JZ73+JZ86+JZ99+JZ112+JZ125+JZ138+JZ151+JZ164+JZ177+JZ190)/('DATA SECTION'!$C$3+'DATA SECTION'!$C$4+'DATA SECTION'!$C$5)</f>
        <v>89.146445134112795</v>
      </c>
      <c r="KA3" s="205">
        <f>(KA34+KA47+KA60+KA73+KA86+KA99+KA112+KA125+KA138+KA151+KA164+KA177+KA190)/('DATA SECTION'!$C$3+'DATA SECTION'!$C$4+'DATA SECTION'!$C$5)</f>
        <v>83.017800950316698</v>
      </c>
      <c r="KB3" s="205">
        <f>(KB34+KB47+KB60+KB73+KB86+KB99+KB112+KB125+KB138+KB151+KB164+KB177+KB190)/('DATA SECTION'!$C$3+'DATA SECTION'!$C$4+'DATA SECTION'!$C$5)</f>
        <v>84.405401745816832</v>
      </c>
      <c r="KC3" s="205">
        <f>(KC34+KC47+KC60+KC73+KC86+KC99+KC112+KC125+KC138+KC151+KC164+KC177+KC190)/('DATA SECTION'!$C$3+'DATA SECTION'!$C$4+'DATA SECTION'!$C$5)</f>
        <v>85.803773393918334</v>
      </c>
      <c r="KD3" s="205">
        <f>(KD34+KD47+KD60+KD73+KD86+KD99+KD112+KD125+KD138+KD151+KD164+KD177+KD190)/('DATA SECTION'!$C$3+'DATA SECTION'!$C$4+'DATA SECTION'!$C$5)</f>
        <v>87.21768326774216</v>
      </c>
      <c r="KE3" s="205">
        <f>(KE34+KE47+KE60+KE73+KE86+KE99+KE112+KE125+KE138+KE151+KE164+KE177+KE190)/('DATA SECTION'!$C$3+'DATA SECTION'!$C$4+'DATA SECTION'!$C$5)</f>
        <v>88.640449447650212</v>
      </c>
      <c r="KF3" s="205">
        <f>(KF34+KF47+KF60+KF73+KF86+KF99+KF112+KF125+KF138+KF151+KF164+KF177+KF190)/('DATA SECTION'!$C$3+'DATA SECTION'!$C$4+'DATA SECTION'!$C$5)</f>
        <v>82.066340242816437</v>
      </c>
      <c r="KG3" s="205">
        <f>(KG34+KG47+KG60+KG73+KG86+KG99+KG112+KG125+KG138+KG151+KG164+KG177+KG190)/('DATA SECTION'!$C$3+'DATA SECTION'!$C$4+'DATA SECTION'!$C$5)</f>
        <v>83.437374914367325</v>
      </c>
      <c r="KH3" s="205">
        <f>(KH34+KH47+KH60+KH73+KH86+KH99+KH112+KH125+KH138+KH151+KH164+KH177+KH190)/('DATA SECTION'!$C$3+'DATA SECTION'!$C$4+'DATA SECTION'!$C$5)</f>
        <v>76.638147509826283</v>
      </c>
      <c r="KI3" s="205">
        <f>(KI34+KI47+KI60+KI73+KI86+KI99+KI112+KI125+KI138+KI151+KI164+KI177+KI190)/('DATA SECTION'!$C$3+'DATA SECTION'!$C$4+'DATA SECTION'!$C$5)</f>
        <v>77.956523424280732</v>
      </c>
      <c r="KJ3" s="205">
        <f>(KJ34+KJ47+KJ60+KJ73+KJ86+KJ99+KJ112+KJ125+KJ138+KJ151+KJ164+KJ177+KJ190)/('DATA SECTION'!$C$3+'DATA SECTION'!$C$4+'DATA SECTION'!$C$5)</f>
        <v>79.290767956927411</v>
      </c>
      <c r="KK3" s="205">
        <f>(KK34+KK47+KK60+KK73+KK86+KK99+KK112+KK125+KK138+KK151+KK164+KK177+KK190)/('DATA SECTION'!$C$3+'DATA SECTION'!$C$4+'DATA SECTION'!$C$5)</f>
        <v>80.635291317261448</v>
      </c>
      <c r="KL3" s="205">
        <f>(KL34+KL47+KL60+KL73+KL86+KL99+KL112+KL125+KL138+KL151+KL164+KL177+KL190)/('DATA SECTION'!$C$3+'DATA SECTION'!$C$4+'DATA SECTION'!$C$5)</f>
        <v>81.991879750266264</v>
      </c>
      <c r="KM3" s="205">
        <f>(KM34+KM47+KM60+KM73+KM86+KM99+KM112+KM125+KM138+KM151+KM164+KM177+KM190)/('DATA SECTION'!$C$3+'DATA SECTION'!$C$4+'DATA SECTION'!$C$5)</f>
        <v>74.752313947129679</v>
      </c>
      <c r="KN3" s="205">
        <f>(KN34+KN47+KN60+KN73+KN86+KN99+KN112+KN125+KN138+KN151+KN164+KN177+KN190)/('DATA SECTION'!$C$3+'DATA SECTION'!$C$4+'DATA SECTION'!$C$5)</f>
        <v>76.049937368526827</v>
      </c>
      <c r="KO3" s="205">
        <f>(KO34+KO47+KO60+KO73+KO86+KO99+KO112+KO125+KO138+KO151+KO164+KO177+KO190)/('DATA SECTION'!$C$3+'DATA SECTION'!$C$4+'DATA SECTION'!$C$5)</f>
        <v>68.558341353713118</v>
      </c>
      <c r="KP3" s="205">
        <f>(KP34+KP47+KP60+KP73+KP86+KP99+KP112+KP125+KP138+KP151+KP164+KP177+KP190)/('DATA SECTION'!$C$3+'DATA SECTION'!$C$4+'DATA SECTION'!$C$5)</f>
        <v>69.801047500982733</v>
      </c>
      <c r="KQ3" s="205">
        <f>(KQ34+KQ47+KQ60+KQ73+KQ86+KQ99+KQ112+KQ125+KQ138+KQ151+KQ164+KQ177+KQ190)/('DATA SECTION'!$C$3+'DATA SECTION'!$C$4+'DATA SECTION'!$C$5)</f>
        <v>71.050100127315645</v>
      </c>
      <c r="KR3" s="205">
        <f>(KR34+KR47+KR60+KR73+KR86+KR99+KR112+KR125+KR138+KR151+KR164+KR177+KR190)/('DATA SECTION'!$C$3+'DATA SECTION'!$C$4+'DATA SECTION'!$C$5)</f>
        <v>72.313571878887174</v>
      </c>
      <c r="KS3" s="205">
        <f>(KS34+KS47+KS60+KS73+KS86+KS99+KS112+KS125+KS138+KS151+KS164+KS177+KS190)/('DATA SECTION'!$C$3+'DATA SECTION'!$C$4+'DATA SECTION'!$C$5)</f>
        <v>73.588934852083739</v>
      </c>
      <c r="KT3" s="205">
        <f>(KT34+KT47+KT60+KT73+KT86+KT99+KT112+KT125+KT138+KT151+KT164+KT177+KT190)/('DATA SECTION'!$C$3+'DATA SECTION'!$C$4+'DATA SECTION'!$C$5)</f>
        <v>65.606500736807931</v>
      </c>
      <c r="KU3" s="205">
        <f>(KU34+KU47+KU60+KU73+KU86+KU99+KU112+KU125+KU138+KU151+KU164+KU177+KU190)/('DATA SECTION'!$C$3+'DATA SECTION'!$C$4+'DATA SECTION'!$C$5)</f>
        <v>66.807872883282499</v>
      </c>
      <c r="KV3" s="205">
        <f>(KV34+KV47+KV60+KV73+KV86+KV99+KV112+KV125+KV138+KV151+KV164+KV177+KV190)/('DATA SECTION'!$C$3+'DATA SECTION'!$C$4+'DATA SECTION'!$C$5)</f>
        <v>58.407747163914372</v>
      </c>
      <c r="KW3" s="205">
        <f>(KW34+KW47+KW60+KW73+KW86+KW99+KW112+KW125+KW138+KW151+KW164+KW177+KW190)/('DATA SECTION'!$C$3+'DATA SECTION'!$C$4+'DATA SECTION'!$C$5)</f>
        <v>59.004545168041467</v>
      </c>
      <c r="KX3" s="205">
        <f>(KX34+KX47+KX60+KX73+KX86+KX99+KX112+KX125+KX138+KX151+KX164+KX177+KX190)/('DATA SECTION'!$C$3+'DATA SECTION'!$C$4+'DATA SECTION'!$C$5)</f>
        <v>60.182868494974088</v>
      </c>
      <c r="KY3" s="205">
        <f>(KY34+KY47+KY60+KY73+KY86+KY99+KY112+KY125+KY138+KY151+KY164+KY177+KY190)/('DATA SECTION'!$C$3+'DATA SECTION'!$C$4+'DATA SECTION'!$C$5)</f>
        <v>61.367744443476468</v>
      </c>
      <c r="KZ3" s="205">
        <f>(KZ34+KZ47+KZ60+KZ73+KZ86+KZ99+KZ112+KZ125+KZ138+KZ151+KZ164+KZ177+KZ190)/('DATA SECTION'!$C$3+'DATA SECTION'!$C$4+'DATA SECTION'!$C$5)</f>
        <v>62.564373021328933</v>
      </c>
      <c r="LA3" s="205">
        <f>(LA34+LA47+LA60+LA73+LA86+LA99+LA112+LA125+LA138+LA151+LA164+LA177+LA190)/('DATA SECTION'!$C$3+'DATA SECTION'!$C$4+'DATA SECTION'!$C$5)</f>
        <v>63.778196470015651</v>
      </c>
      <c r="LB3" s="205">
        <f>(LB34+LB47+LB60+LB73+LB86+LB99+LB112+LB125+LB138+LB151+LB164+LB177+LB190)/('DATA SECTION'!$C$3+'DATA SECTION'!$C$4+'DATA SECTION'!$C$5)</f>
        <v>64.993847099738019</v>
      </c>
      <c r="LC3" s="205">
        <f>(LC34+LC47+LC60+LC73+LC86+LC99+LC112+LC125+LC138+LC151+LC164+LC177+LC190)/('DATA SECTION'!$C$3+'DATA SECTION'!$C$4+'DATA SECTION'!$C$5)</f>
        <v>66.222114528415176</v>
      </c>
      <c r="LD3" s="205">
        <f>(LD34+LD47+LD60+LD73+LD86+LD99+LD112+LD125+LD138+LD151+LD164+LD177+LD190)/('DATA SECTION'!$C$3+'DATA SECTION'!$C$4+'DATA SECTION'!$C$5)</f>
        <v>67.472392763811953</v>
      </c>
      <c r="LE3" s="205">
        <f>(LE34+LE47+LE60+LE73+LE86+LE99+LE112+LE125+LE138+LE151+LE164+LE177+LE190)/('DATA SECTION'!$C$3+'DATA SECTION'!$C$4+'DATA SECTION'!$C$5)</f>
        <v>68.737389560405191</v>
      </c>
      <c r="LF3" s="205">
        <f>(LF34+LF47+LF60+LF73+LF86+LF99+LF112+LF125+LF138+LF151+LF164+LF177+LF190)/('DATA SECTION'!$C$3+'DATA SECTION'!$C$4+'DATA SECTION'!$C$5)</f>
        <v>70.011834091411728</v>
      </c>
      <c r="LG3" s="205">
        <f>(LG34+LG47+LG60+LG73+LG86+LG99+LG112+LG125+LG138+LG151+LG164+LG177+LG190)/('DATA SECTION'!$C$3+'DATA SECTION'!$C$4+'DATA SECTION'!$C$5)</f>
        <v>71.302259272455402</v>
      </c>
      <c r="LH3" s="205">
        <f>(LH34+LH47+LH60+LH73+LH86+LH99+LH112+LH125+LH138+LH151+LH164+LH177+LH190)/('DATA SECTION'!$C$3+'DATA SECTION'!$C$4+'DATA SECTION'!$C$5)</f>
        <v>72.60358578765657</v>
      </c>
      <c r="LI3" s="205">
        <f>(LI34+LI47+LI60+LI73+LI86+LI99+LI112+LI125+LI138+LI151+LI164+LI177+LI190)/('DATA SECTION'!$C$3+'DATA SECTION'!$C$4+'DATA SECTION'!$C$5)</f>
        <v>73.912087220717751</v>
      </c>
      <c r="LJ3" s="205">
        <f>(LJ34+LJ47+LJ60+LJ73+LJ86+LJ99+LJ112+LJ125+LJ138+LJ151+LJ164+LJ177+LJ190)/('DATA SECTION'!$C$3+'DATA SECTION'!$C$4+'DATA SECTION'!$C$5)</f>
        <v>75.226052823917456</v>
      </c>
      <c r="LK3" s="205">
        <f>(LK34+LK47+LK60+LK73+LK86+LK99+LK112+LK125+LK138+LK151+LK164+LK177+LK190)/('DATA SECTION'!$C$3+'DATA SECTION'!$C$4+'DATA SECTION'!$C$5)</f>
        <v>76.557565391523042</v>
      </c>
      <c r="LL3" s="205">
        <f>(LL34+LL47+LL60+LL73+LL86+LL99+LL112+LL125+LL138+LL151+LL164+LL177+LL190)/('DATA SECTION'!$C$3+'DATA SECTION'!$C$4+'DATA SECTION'!$C$5)</f>
        <v>77.909187917753556</v>
      </c>
      <c r="LM3" s="205">
        <f>(LM34+LM47+LM60+LM73+LM86+LM99+LM112+LM125+LM138+LM151+LM164+LM177+LM190)/('DATA SECTION'!$C$3+'DATA SECTION'!$C$4+'DATA SECTION'!$C$5)</f>
        <v>79.277927416942632</v>
      </c>
      <c r="LN3" s="205">
        <f>(LN34+LN47+LN60+LN73+LN86+LN99+LN112+LN125+LN138+LN151+LN164+LN177+LN190)/('DATA SECTION'!$C$3+'DATA SECTION'!$C$4+'DATA SECTION'!$C$5)</f>
        <v>80.660019947003974</v>
      </c>
      <c r="LO3" s="205">
        <f>(LO34+LO47+LO60+LO73+LO86+LO99+LO112+LO125+LO138+LO151+LO164+LO177+LO190)/('DATA SECTION'!$C$3+'DATA SECTION'!$C$4+'DATA SECTION'!$C$5)</f>
        <v>82.051505431046976</v>
      </c>
      <c r="LP3" s="205">
        <f>(LP34+LP47+LP60+LP73+LP86+LP99+LP112+LP125+LP138+LP151+LP164+LP177+LP190)/('DATA SECTION'!$C$3+'DATA SECTION'!$C$4+'DATA SECTION'!$C$5)</f>
        <v>83.447248953180164</v>
      </c>
      <c r="LQ3" s="205">
        <f>(LQ34+LQ47+LQ60+LQ73+LQ86+LQ99+LQ112+LQ125+LQ138+LQ151+LQ164+LQ177+LQ190)/('DATA SECTION'!$C$3+'DATA SECTION'!$C$4+'DATA SECTION'!$C$5)</f>
        <v>84.864872271690629</v>
      </c>
      <c r="LR3" s="205">
        <f>(LR34+LR47+LR60+LR73+LR86+LR99+LR112+LR125+LR138+LR151+LR164+LR177+LR190)/('DATA SECTION'!$C$3+'DATA SECTION'!$C$4+'DATA SECTION'!$C$5)</f>
        <v>86.294326769669723</v>
      </c>
      <c r="LS3" s="205">
        <f>(LS34+LS47+LS60+LS73+LS86+LS99+LS112+LS125+LS138+LS151+LS164+LS177+LS190)/('DATA SECTION'!$C$3+'DATA SECTION'!$C$4+'DATA SECTION'!$C$5)</f>
        <v>87.731123873948206</v>
      </c>
      <c r="LT3" s="205">
        <f>(LT34+LT47+LT60+LT73+LT86+LT99+LT112+LT125+LT138+LT151+LT164+LT177+LT190)/('DATA SECTION'!$C$3+'DATA SECTION'!$C$4+'DATA SECTION'!$C$5)</f>
        <v>89.178419873131546</v>
      </c>
      <c r="LU3" s="205">
        <f>(LU34+LU47+LU60+LU73+LU86+LU99+LU112+LU125+LU138+LU151+LU164+LU177+LU190)/('DATA SECTION'!$C$3+'DATA SECTION'!$C$4+'DATA SECTION'!$C$5)</f>
        <v>90.64306498522626</v>
      </c>
      <c r="LV3" s="205">
        <f>(LV34+LV47+LV60+LV73+LV86+LV99+LV112+LV125+LV138+LV151+LV164+LV177+LV190)/('DATA SECTION'!$C$3+'DATA SECTION'!$C$4+'DATA SECTION'!$C$5)</f>
        <v>92.125663588312207</v>
      </c>
      <c r="LW3" s="205">
        <f>(LW34+LW47+LW60+LW73+LW86+LW99+LW112+LW125+LW138+LW151+LW164+LW177+LW190)/('DATA SECTION'!$C$3+'DATA SECTION'!$C$4+'DATA SECTION'!$C$5)</f>
        <v>93.612964057219898</v>
      </c>
      <c r="LX3" s="205">
        <f>(LX34+LX47+LX60+LX73+LX86+LX99+LX112+LX125+LX138+LX151+LX164+LX177+LX190)/('DATA SECTION'!$C$3+'DATA SECTION'!$C$4+'DATA SECTION'!$C$5)</f>
        <v>87.710947501437005</v>
      </c>
      <c r="LY3" s="205">
        <f>(LY34+LY47+LY60+LY73+LY86+LY99+LY112+LY125+LY138+LY151+LY164+LY177+LY190)/('DATA SECTION'!$C$3+'DATA SECTION'!$C$4+'DATA SECTION'!$C$5)</f>
        <v>89.146445134112795</v>
      </c>
      <c r="LZ3" s="205">
        <f>(LZ34+LZ47+LZ60+LZ73+LZ86+LZ99+LZ112+LZ125+LZ138+LZ151+LZ164+LZ177+LZ190)/('DATA SECTION'!$C$3+'DATA SECTION'!$C$4+'DATA SECTION'!$C$5)</f>
        <v>83.017800950316698</v>
      </c>
      <c r="MA3" s="205">
        <f>(MA34+MA47+MA60+MA73+MA86+MA99+MA112+MA125+MA138+MA151+MA164+MA177+MA190)/('DATA SECTION'!$C$3+'DATA SECTION'!$C$4+'DATA SECTION'!$C$5)</f>
        <v>84.405401745816832</v>
      </c>
      <c r="MB3" s="205">
        <f>(MB34+MB47+MB60+MB73+MB86+MB99+MB112+MB125+MB138+MB151+MB164+MB177+MB190)/('DATA SECTION'!$C$3+'DATA SECTION'!$C$4+'DATA SECTION'!$C$5)</f>
        <v>85.803773393918334</v>
      </c>
      <c r="MC3" s="205">
        <f>(MC34+MC47+MC60+MC73+MC86+MC99+MC112+MC125+MC138+MC151+MC164+MC177+MC190)/('DATA SECTION'!$C$3+'DATA SECTION'!$C$4+'DATA SECTION'!$C$5)</f>
        <v>87.21768326774216</v>
      </c>
      <c r="MD3" s="205">
        <f>(MD34+MD47+MD60+MD73+MD86+MD99+MD112+MD125+MD138+MD151+MD164+MD177+MD190)/('DATA SECTION'!$C$3+'DATA SECTION'!$C$4+'DATA SECTION'!$C$5)</f>
        <v>88.640449447650212</v>
      </c>
      <c r="ME3" s="205">
        <f>(ME34+ME47+ME60+ME73+ME86+ME99+ME112+ME125+ME138+ME151+ME164+ME177+ME190)/('DATA SECTION'!$C$3+'DATA SECTION'!$C$4+'DATA SECTION'!$C$5)</f>
        <v>82.066340242816437</v>
      </c>
      <c r="MF3" s="205">
        <f>(MF34+MF47+MF60+MF73+MF86+MF99+MF112+MF125+MF138+MF151+MF164+MF177+MF190)/('DATA SECTION'!$C$3+'DATA SECTION'!$C$4+'DATA SECTION'!$C$5)</f>
        <v>83.437374914367325</v>
      </c>
      <c r="MG3" s="205">
        <f>(MG34+MG47+MG60+MG73+MG86+MG99+MG112+MG125+MG138+MG151+MG164+MG177+MG190)/('DATA SECTION'!$C$3+'DATA SECTION'!$C$4+'DATA SECTION'!$C$5)</f>
        <v>76.638147509826283</v>
      </c>
      <c r="MH3" s="205">
        <f>(MH34+MH47+MH60+MH73+MH86+MH99+MH112+MH125+MH138+MH151+MH164+MH177+MH190)/('DATA SECTION'!$C$3+'DATA SECTION'!$C$4+'DATA SECTION'!$C$5)</f>
        <v>77.956523424280732</v>
      </c>
      <c r="MI3" s="205">
        <f>(MI34+MI47+MI60+MI73+MI86+MI99+MI112+MI125+MI138+MI151+MI164+MI177+MI190)/('DATA SECTION'!$C$3+'DATA SECTION'!$C$4+'DATA SECTION'!$C$5)</f>
        <v>79.290767956927411</v>
      </c>
      <c r="MJ3" s="205">
        <f>(MJ34+MJ47+MJ60+MJ73+MJ86+MJ99+MJ112+MJ125+MJ138+MJ151+MJ164+MJ177+MJ190)/('DATA SECTION'!$C$3+'DATA SECTION'!$C$4+'DATA SECTION'!$C$5)</f>
        <v>80.635291317261448</v>
      </c>
      <c r="MK3" s="205">
        <f>(MK34+MK47+MK60+MK73+MK86+MK99+MK112+MK125+MK138+MK151+MK164+MK177+MK190)/('DATA SECTION'!$C$3+'DATA SECTION'!$C$4+'DATA SECTION'!$C$5)</f>
        <v>81.991879750266264</v>
      </c>
      <c r="ML3" s="205">
        <f>(ML34+ML47+ML60+ML73+ML86+ML99+ML112+ML125+ML138+ML151+ML164+ML177+ML190)/('DATA SECTION'!$C$3+'DATA SECTION'!$C$4+'DATA SECTION'!$C$5)</f>
        <v>74.752313947129679</v>
      </c>
      <c r="MM3" s="205">
        <f>(MM34+MM47+MM60+MM73+MM86+MM99+MM112+MM125+MM138+MM151+MM164+MM177+MM190)/('DATA SECTION'!$C$3+'DATA SECTION'!$C$4+'DATA SECTION'!$C$5)</f>
        <v>76.049937368526827</v>
      </c>
      <c r="MN3" s="205">
        <f>(MN34+MN47+MN60+MN73+MN86+MN99+MN112+MN125+MN138+MN151+MN164+MN177+MN190)/('DATA SECTION'!$C$3+'DATA SECTION'!$C$4+'DATA SECTION'!$C$5)</f>
        <v>68.558341353713118</v>
      </c>
      <c r="MO3" s="205">
        <f>(MO34+MO47+MO60+MO73+MO86+MO99+MO112+MO125+MO138+MO151+MO164+MO177+MO190)/('DATA SECTION'!$C$3+'DATA SECTION'!$C$4+'DATA SECTION'!$C$5)</f>
        <v>69.801047500982733</v>
      </c>
      <c r="MP3" s="205">
        <f>(MP34+MP47+MP60+MP73+MP86+MP99+MP112+MP125+MP138+MP151+MP164+MP177+MP190)/('DATA SECTION'!$C$3+'DATA SECTION'!$C$4+'DATA SECTION'!$C$5)</f>
        <v>71.050100127315645</v>
      </c>
      <c r="MQ3" s="205">
        <f>(MQ34+MQ47+MQ60+MQ73+MQ86+MQ99+MQ112+MQ125+MQ138+MQ151+MQ164+MQ177+MQ190)/('DATA SECTION'!$C$3+'DATA SECTION'!$C$4+'DATA SECTION'!$C$5)</f>
        <v>72.313571878887174</v>
      </c>
      <c r="MR3" s="205">
        <f>(MR34+MR47+MR60+MR73+MR86+MR99+MR112+MR125+MR138+MR151+MR164+MR177+MR190)/('DATA SECTION'!$C$3+'DATA SECTION'!$C$4+'DATA SECTION'!$C$5)</f>
        <v>73.588934852083739</v>
      </c>
      <c r="MS3" s="205">
        <f>(MS34+MS47+MS60+MS73+MS86+MS99+MS112+MS125+MS138+MS151+MS164+MS177+MS190)/('DATA SECTION'!$C$3+'DATA SECTION'!$C$4+'DATA SECTION'!$C$5)</f>
        <v>65.606500736807931</v>
      </c>
      <c r="MT3" s="205">
        <f>(MT34+MT47+MT60+MT73+MT86+MT99+MT112+MT125+MT138+MT151+MT164+MT177+MT190)/('DATA SECTION'!$C$3+'DATA SECTION'!$C$4+'DATA SECTION'!$C$5)</f>
        <v>66.807872883282499</v>
      </c>
      <c r="MU3" s="205">
        <f>(MU34+MU47+MU60+MU73+MU86+MU99+MU112+MU125+MU138+MU151+MU164+MU177+MU190)/('DATA SECTION'!$C$3+'DATA SECTION'!$C$4+'DATA SECTION'!$C$5)</f>
        <v>58.407747163914372</v>
      </c>
      <c r="MV3" s="205">
        <f>(MV34+MV47+MV60+MV73+MV86+MV99+MV112+MV125+MV138+MV151+MV164+MV177+MV190)/('DATA SECTION'!$C$3+'DATA SECTION'!$C$4+'DATA SECTION'!$C$5)</f>
        <v>59.004545168041467</v>
      </c>
      <c r="MW3" s="205">
        <f>(MW34+MW47+MW60+MW73+MW86+MW99+MW112+MW125+MW138+MW151+MW164+MW177+MW190)/('DATA SECTION'!$C$3+'DATA SECTION'!$C$4+'DATA SECTION'!$C$5)</f>
        <v>60.182868494974088</v>
      </c>
      <c r="MX3" s="205">
        <f>(MX34+MX47+MX60+MX73+MX86+MX99+MX112+MX125+MX138+MX151+MX164+MX177+MX190)/('DATA SECTION'!$C$3+'DATA SECTION'!$C$4+'DATA SECTION'!$C$5)</f>
        <v>61.367744443476468</v>
      </c>
      <c r="MY3" s="205">
        <f>(MY34+MY47+MY60+MY73+MY86+MY99+MY112+MY125+MY138+MY151+MY164+MY177+MY190)/('DATA SECTION'!$C$3+'DATA SECTION'!$C$4+'DATA SECTION'!$C$5)</f>
        <v>62.564373021328933</v>
      </c>
      <c r="MZ3" s="205">
        <f>(MZ34+MZ47+MZ60+MZ73+MZ86+MZ99+MZ112+MZ125+MZ138+MZ151+MZ164+MZ177+MZ190)/('DATA SECTION'!$C$3+'DATA SECTION'!$C$4+'DATA SECTION'!$C$5)</f>
        <v>63.778196470015651</v>
      </c>
      <c r="NA3" s="205">
        <f>(NA34+NA47+NA60+NA73+NA86+NA99+NA112+NA125+NA138+NA151+NA164+NA177+NA190)/('DATA SECTION'!$C$3+'DATA SECTION'!$C$4+'DATA SECTION'!$C$5)</f>
        <v>64.993847099738019</v>
      </c>
      <c r="NB3" s="205">
        <f>(NB34+NB47+NB60+NB73+NB86+NB99+NB112+NB125+NB138+NB151+NB164+NB177+NB190)/('DATA SECTION'!$C$3+'DATA SECTION'!$C$4+'DATA SECTION'!$C$5)</f>
        <v>66.222114528415176</v>
      </c>
      <c r="NC3" s="205">
        <f>(NC34+NC47+NC60+NC73+NC86+NC99+NC112+NC125+NC138+NC151+NC164+NC177+NC190)/('DATA SECTION'!$C$3+'DATA SECTION'!$C$4+'DATA SECTION'!$C$5)</f>
        <v>67.472392763811953</v>
      </c>
      <c r="ND3" s="205">
        <f>(ND34+ND47+ND60+ND73+ND86+ND99+ND112+ND125+ND138+ND151+ND164+ND177+ND190)/('DATA SECTION'!$C$3+'DATA SECTION'!$C$4+'DATA SECTION'!$C$5)</f>
        <v>68.737389560405191</v>
      </c>
      <c r="NE3" s="205">
        <f>(NE34+NE47+NE60+NE73+NE86+NE99+NE112+NE125+NE138+NE151+NE164+NE177+NE190)/('DATA SECTION'!$C$3+'DATA SECTION'!$C$4+'DATA SECTION'!$C$5)</f>
        <v>70.011834091411728</v>
      </c>
      <c r="NF3" s="205">
        <f>(NF34+NF47+NF60+NF73+NF86+NF99+NF112+NF125+NF138+NF151+NF164+NF177+NF190)/('DATA SECTION'!$C$3+'DATA SECTION'!$C$4+'DATA SECTION'!$C$5)</f>
        <v>71.302259272455402</v>
      </c>
      <c r="NG3" s="205">
        <f>(NG34+NG47+NG60+NG73+NG86+NG99+NG112+NG125+NG138+NG151+NG164+NG177+NG190)/('DATA SECTION'!$C$3+'DATA SECTION'!$C$4+'DATA SECTION'!$C$5)</f>
        <v>72.60358578765657</v>
      </c>
      <c r="NH3" s="205">
        <f>(NH34+NH47+NH60+NH73+NH86+NH99+NH112+NH125+NH138+NH151+NH164+NH177+NH190)/('DATA SECTION'!$C$3+'DATA SECTION'!$C$4+'DATA SECTION'!$C$5)</f>
        <v>73.912087220717751</v>
      </c>
      <c r="NI3" s="205">
        <f>(NI34+NI47+NI60+NI73+NI86+NI99+NI112+NI125+NI138+NI151+NI164+NI177+NI190)/('DATA SECTION'!$C$3+'DATA SECTION'!$C$4+'DATA SECTION'!$C$5)</f>
        <v>75.226052823917456</v>
      </c>
      <c r="NJ3" s="205">
        <f>(NJ34+NJ47+NJ60+NJ73+NJ86+NJ99+NJ112+NJ125+NJ138+NJ151+NJ164+NJ177+NJ190)/('DATA SECTION'!$C$3+'DATA SECTION'!$C$4+'DATA SECTION'!$C$5)</f>
        <v>76.557565391523042</v>
      </c>
      <c r="NK3" s="205">
        <f>(NK34+NK47+NK60+NK73+NK86+NK99+NK112+NK125+NK138+NK151+NK164+NK177+NK190)/('DATA SECTION'!$C$3+'DATA SECTION'!$C$4+'DATA SECTION'!$C$5)</f>
        <v>77.909187917753556</v>
      </c>
      <c r="NL3" s="205">
        <f>(NL34+NL47+NL60+NL73+NL86+NL99+NL112+NL125+NL138+NL151+NL164+NL177+NL190)/('DATA SECTION'!$C$3+'DATA SECTION'!$C$4+'DATA SECTION'!$C$5)</f>
        <v>79.277927416942632</v>
      </c>
      <c r="NM3" s="205">
        <f>(NM34+NM47+NM60+NM73+NM86+NM99+NM112+NM125+NM138+NM151+NM164+NM177+NM190)/('DATA SECTION'!$C$3+'DATA SECTION'!$C$4+'DATA SECTION'!$C$5)</f>
        <v>80.660019947003974</v>
      </c>
      <c r="NN3" s="205">
        <f>(NN34+NN47+NN60+NN73+NN86+NN99+NN112+NN125+NN138+NN151+NN164+NN177+NN190)/('DATA SECTION'!$C$3+'DATA SECTION'!$C$4+'DATA SECTION'!$C$5)</f>
        <v>82.051505431046976</v>
      </c>
      <c r="NO3" s="205">
        <f>(NO34+NO47+NO60+NO73+NO86+NO99+NO112+NO125+NO138+NO151+NO164+NO177+NO190)/('DATA SECTION'!$C$3+'DATA SECTION'!$C$4+'DATA SECTION'!$C$5)</f>
        <v>83.447248953180164</v>
      </c>
      <c r="NP3" s="205">
        <f>(NP34+NP47+NP60+NP73+NP86+NP99+NP112+NP125+NP138+NP151+NP164+NP177+NP190)/('DATA SECTION'!$C$3+'DATA SECTION'!$C$4+'DATA SECTION'!$C$5)</f>
        <v>84.864872271690629</v>
      </c>
      <c r="NQ3" s="205">
        <f>(NQ34+NQ47+NQ60+NQ73+NQ86+NQ99+NQ112+NQ125+NQ138+NQ151+NQ164+NQ177+NQ190)/('DATA SECTION'!$C$3+'DATA SECTION'!$C$4+'DATA SECTION'!$C$5)</f>
        <v>86.294326769669723</v>
      </c>
      <c r="NR3" s="205">
        <f>(NR34+NR47+NR60+NR73+NR86+NR99+NR112+NR125+NR138+NR151+NR164+NR177+NR190)/('DATA SECTION'!$C$3+'DATA SECTION'!$C$4+'DATA SECTION'!$C$5)</f>
        <v>87.731123873948206</v>
      </c>
      <c r="NS3" s="205">
        <f>(NS34+NS47+NS60+NS73+NS86+NS99+NS112+NS125+NS138+NS151+NS164+NS177+NS190)/('DATA SECTION'!$C$3+'DATA SECTION'!$C$4+'DATA SECTION'!$C$5)</f>
        <v>89.178419873131546</v>
      </c>
      <c r="NT3" s="205">
        <f>(NT34+NT47+NT60+NT73+NT86+NT99+NT112+NT125+NT138+NT151+NT164+NT177+NT190)/('DATA SECTION'!$C$3+'DATA SECTION'!$C$4+'DATA SECTION'!$C$5)</f>
        <v>90.64306498522626</v>
      </c>
      <c r="NU3" s="205">
        <f>(NU34+NU47+NU60+NU73+NU86+NU99+NU112+NU125+NU138+NU151+NU164+NU177+NU190)/('DATA SECTION'!$C$3+'DATA SECTION'!$C$4+'DATA SECTION'!$C$5)</f>
        <v>92.125663588312207</v>
      </c>
      <c r="NV3" s="205">
        <f>(NV34+NV47+NV60+NV73+NV86+NV99+NV112+NV125+NV138+NV151+NV164+NV177+NV190)/('DATA SECTION'!$C$3+'DATA SECTION'!$C$4+'DATA SECTION'!$C$5)</f>
        <v>93.612964057219898</v>
      </c>
      <c r="NW3" s="205">
        <f>(NW34+NW47+NW60+NW73+NW86+NW99+NW112+NW125+NW138+NW151+NW164+NW177+NW190)/('DATA SECTION'!$C$3+'DATA SECTION'!$C$4+'DATA SECTION'!$C$5)</f>
        <v>87.710947501437005</v>
      </c>
      <c r="NX3" s="205">
        <f>(NX34+NX47+NX60+NX73+NX86+NX99+NX112+NX125+NX138+NX151+NX164+NX177+NX190)/('DATA SECTION'!$C$3+'DATA SECTION'!$C$4+'DATA SECTION'!$C$5)</f>
        <v>89.146445134112795</v>
      </c>
      <c r="NY3" s="205">
        <f>(NY34+NY47+NY60+NY73+NY86+NY99+NY112+NY125+NY138+NY151+NY164+NY177+NY190)/('DATA SECTION'!$C$3+'DATA SECTION'!$C$4+'DATA SECTION'!$C$5)</f>
        <v>83.017800950316698</v>
      </c>
      <c r="NZ3" s="205">
        <f>(NZ34+NZ47+NZ60+NZ73+NZ86+NZ99+NZ112+NZ125+NZ138+NZ151+NZ164+NZ177+NZ190)/('DATA SECTION'!$C$3+'DATA SECTION'!$C$4+'DATA SECTION'!$C$5)</f>
        <v>84.405401745816832</v>
      </c>
      <c r="OA3" s="205">
        <f>(OA34+OA47+OA60+OA73+OA86+OA99+OA112+OA125+OA138+OA151+OA164+OA177+OA190)/('DATA SECTION'!$C$3+'DATA SECTION'!$C$4+'DATA SECTION'!$C$5)</f>
        <v>85.803773393918334</v>
      </c>
      <c r="OB3" s="205">
        <f>(OB34+OB47+OB60+OB73+OB86+OB99+OB112+OB125+OB138+OB151+OB164+OB177+OB190)/('DATA SECTION'!$C$3+'DATA SECTION'!$C$4+'DATA SECTION'!$C$5)</f>
        <v>87.21768326774216</v>
      </c>
      <c r="OC3" s="205">
        <f>(OC34+OC47+OC60+OC73+OC86+OC99+OC112+OC125+OC138+OC151+OC164+OC177+OC190)/('DATA SECTION'!$C$3+'DATA SECTION'!$C$4+'DATA SECTION'!$C$5)</f>
        <v>88.640449447650212</v>
      </c>
      <c r="OD3" s="205">
        <f>(OD34+OD47+OD60+OD73+OD86+OD99+OD112+OD125+OD138+OD151+OD164+OD177+OD190)/('DATA SECTION'!$C$3+'DATA SECTION'!$C$4+'DATA SECTION'!$C$5)</f>
        <v>82.066340242816437</v>
      </c>
      <c r="OE3" s="205">
        <f>(OE34+OE47+OE60+OE73+OE86+OE99+OE112+OE125+OE138+OE151+OE164+OE177+OE190)/('DATA SECTION'!$C$3+'DATA SECTION'!$C$4+'DATA SECTION'!$C$5)</f>
        <v>83.437374914367325</v>
      </c>
      <c r="OF3" s="205">
        <f>(OF34+OF47+OF60+OF73+OF86+OF99+OF112+OF125+OF138+OF151+OF164+OF177+OF190)/('DATA SECTION'!$C$3+'DATA SECTION'!$C$4+'DATA SECTION'!$C$5)</f>
        <v>76.638147509826283</v>
      </c>
      <c r="OG3" s="205">
        <f>(OG34+OG47+OG60+OG73+OG86+OG99+OG112+OG125+OG138+OG151+OG164+OG177+OG190)/('DATA SECTION'!$C$3+'DATA SECTION'!$C$4+'DATA SECTION'!$C$5)</f>
        <v>77.956523424280732</v>
      </c>
      <c r="OH3" s="205">
        <f>(OH34+OH47+OH60+OH73+OH86+OH99+OH112+OH125+OH138+OH151+OH164+OH177+OH190)/('DATA SECTION'!$C$3+'DATA SECTION'!$C$4+'DATA SECTION'!$C$5)</f>
        <v>79.290767956927411</v>
      </c>
      <c r="OI3" s="205">
        <f>(OI34+OI47+OI60+OI73+OI86+OI99+OI112+OI125+OI138+OI151+OI164+OI177+OI190)/('DATA SECTION'!$C$3+'DATA SECTION'!$C$4+'DATA SECTION'!$C$5)</f>
        <v>80.635291317261448</v>
      </c>
      <c r="OJ3" s="205">
        <f>(OJ34+OJ47+OJ60+OJ73+OJ86+OJ99+OJ112+OJ125+OJ138+OJ151+OJ164+OJ177+OJ190)/('DATA SECTION'!$C$3+'DATA SECTION'!$C$4+'DATA SECTION'!$C$5)</f>
        <v>81.991879750266264</v>
      </c>
      <c r="OK3" s="205">
        <f>(OK34+OK47+OK60+OK73+OK86+OK99+OK112+OK125+OK138+OK151+OK164+OK177+OK190)/('DATA SECTION'!$C$3+'DATA SECTION'!$C$4+'DATA SECTION'!$C$5)</f>
        <v>74.752313947129679</v>
      </c>
      <c r="OL3" s="205">
        <f>(OL34+OL47+OL60+OL73+OL86+OL99+OL112+OL125+OL138+OL151+OL164+OL177+OL190)/('DATA SECTION'!$C$3+'DATA SECTION'!$C$4+'DATA SECTION'!$C$5)</f>
        <v>76.049937368526827</v>
      </c>
      <c r="OM3" s="205">
        <f>(OM34+OM47+OM60+OM73+OM86+OM99+OM112+OM125+OM138+OM151+OM164+OM177+OM190)/('DATA SECTION'!$C$3+'DATA SECTION'!$C$4+'DATA SECTION'!$C$5)</f>
        <v>68.558341353713118</v>
      </c>
      <c r="ON3" s="205">
        <f>(ON34+ON47+ON60+ON73+ON86+ON99+ON112+ON125+ON138+ON151+ON164+ON177+ON190)/('DATA SECTION'!$C$3+'DATA SECTION'!$C$4+'DATA SECTION'!$C$5)</f>
        <v>69.801047500982733</v>
      </c>
      <c r="OO3" s="205">
        <f>(OO34+OO47+OO60+OO73+OO86+OO99+OO112+OO125+OO138+OO151+OO164+OO177+OO190)/('DATA SECTION'!$C$3+'DATA SECTION'!$C$4+'DATA SECTION'!$C$5)</f>
        <v>71.050100127315645</v>
      </c>
      <c r="OP3" s="205">
        <f>(OP34+OP47+OP60+OP73+OP86+OP99+OP112+OP125+OP138+OP151+OP164+OP177+OP190)/('DATA SECTION'!$C$3+'DATA SECTION'!$C$4+'DATA SECTION'!$C$5)</f>
        <v>72.313571878887174</v>
      </c>
      <c r="OQ3" s="205">
        <f>(OQ34+OQ47+OQ60+OQ73+OQ86+OQ99+OQ112+OQ125+OQ138+OQ151+OQ164+OQ177+OQ190)/('DATA SECTION'!$C$3+'DATA SECTION'!$C$4+'DATA SECTION'!$C$5)</f>
        <v>73.588934852083739</v>
      </c>
      <c r="OR3" s="205">
        <f>(OR34+OR47+OR60+OR73+OR86+OR99+OR112+OR125+OR138+OR151+OR164+OR177+OR190)/('DATA SECTION'!$C$3+'DATA SECTION'!$C$4+'DATA SECTION'!$C$5)</f>
        <v>65.606500736807931</v>
      </c>
      <c r="OS3" s="205">
        <f>(OS34+OS47+OS60+OS73+OS86+OS99+OS112+OS125+OS138+OS151+OS164+OS177+OS190)/('DATA SECTION'!$C$3+'DATA SECTION'!$C$4+'DATA SECTION'!$C$5)</f>
        <v>66.807872883282499</v>
      </c>
      <c r="OT3" s="205">
        <f>(OT34+OT47+OT60+OT73+OT86+OT99+OT112+OT125+OT138+OT151+OT164+OT177+OT190)/('DATA SECTION'!$C$3+'DATA SECTION'!$C$4+'DATA SECTION'!$C$5)</f>
        <v>58.407747163914372</v>
      </c>
      <c r="OU3" s="205">
        <f>(OU34+OU47+OU60+OU73+OU86+OU99+OU112+OU125+OU138+OU151+OU164+OU177+OU190)/('DATA SECTION'!$C$3+'DATA SECTION'!$C$4+'DATA SECTION'!$C$5)</f>
        <v>59.004545168041467</v>
      </c>
      <c r="OV3" s="205">
        <f>(OV34+OV47+OV60+OV73+OV86+OV99+OV112+OV125+OV138+OV151+OV164+OV177+OV190)/('DATA SECTION'!$C$3+'DATA SECTION'!$C$4+'DATA SECTION'!$C$5)</f>
        <v>60.182868494974088</v>
      </c>
      <c r="OW3" s="205">
        <f>(OW34+OW47+OW60+OW73+OW86+OW99+OW112+OW125+OW138+OW151+OW164+OW177+OW190)/('DATA SECTION'!$C$3+'DATA SECTION'!$C$4+'DATA SECTION'!$C$5)</f>
        <v>61.367744443476468</v>
      </c>
      <c r="OX3" s="205">
        <f>(OX34+OX47+OX60+OX73+OX86+OX99+OX112+OX125+OX138+OX151+OX164+OX177+OX190)/('DATA SECTION'!$C$3+'DATA SECTION'!$C$4+'DATA SECTION'!$C$5)</f>
        <v>62.564373021328933</v>
      </c>
      <c r="OY3" s="205">
        <f>(OY34+OY47+OY60+OY73+OY86+OY99+OY112+OY125+OY138+OY151+OY164+OY177+OY190)/('DATA SECTION'!$C$3+'DATA SECTION'!$C$4+'DATA SECTION'!$C$5)</f>
        <v>63.778196470015651</v>
      </c>
      <c r="OZ3" s="205">
        <f>(OZ34+OZ47+OZ60+OZ73+OZ86+OZ99+OZ112+OZ125+OZ138+OZ151+OZ164+OZ177+OZ190)/('DATA SECTION'!$C$3+'DATA SECTION'!$C$4+'DATA SECTION'!$C$5)</f>
        <v>64.993847099738019</v>
      </c>
      <c r="PA3" s="205">
        <f>(PA34+PA47+PA60+PA73+PA86+PA99+PA112+PA125+PA138+PA151+PA164+PA177+PA190)/('DATA SECTION'!$C$3+'DATA SECTION'!$C$4+'DATA SECTION'!$C$5)</f>
        <v>66.222114528415176</v>
      </c>
      <c r="PB3" s="205">
        <f>(PB34+PB47+PB60+PB73+PB86+PB99+PB112+PB125+PB138+PB151+PB164+PB177+PB190)/('DATA SECTION'!$C$3+'DATA SECTION'!$C$4+'DATA SECTION'!$C$5)</f>
        <v>67.472392763811953</v>
      </c>
      <c r="PC3" s="205">
        <f>(PC34+PC47+PC60+PC73+PC86+PC99+PC112+PC125+PC138+PC151+PC164+PC177+PC190)/('DATA SECTION'!$C$3+'DATA SECTION'!$C$4+'DATA SECTION'!$C$5)</f>
        <v>68.737389560405191</v>
      </c>
      <c r="PD3" s="205">
        <f>(PD34+PD47+PD60+PD73+PD86+PD99+PD112+PD125+PD138+PD151+PD164+PD177+PD190)/('DATA SECTION'!$C$3+'DATA SECTION'!$C$4+'DATA SECTION'!$C$5)</f>
        <v>70.011834091411728</v>
      </c>
      <c r="PE3" s="205">
        <f>(PE34+PE47+PE60+PE73+PE86+PE99+PE112+PE125+PE138+PE151+PE164+PE177+PE190)/('DATA SECTION'!$C$3+'DATA SECTION'!$C$4+'DATA SECTION'!$C$5)</f>
        <v>71.302259272455402</v>
      </c>
      <c r="PF3" s="205">
        <f>(PF34+PF47+PF60+PF73+PF86+PF99+PF112+PF125+PF138+PF151+PF164+PF177+PF190)/('DATA SECTION'!$C$3+'DATA SECTION'!$C$4+'DATA SECTION'!$C$5)</f>
        <v>72.60358578765657</v>
      </c>
      <c r="PG3" s="205">
        <f>(PG34+PG47+PG60+PG73+PG86+PG99+PG112+PG125+PG138+PG151+PG164+PG177+PG190)/('DATA SECTION'!$C$3+'DATA SECTION'!$C$4+'DATA SECTION'!$C$5)</f>
        <v>73.912087220717751</v>
      </c>
      <c r="PH3" s="205">
        <f>(PH34+PH47+PH60+PH73+PH86+PH99+PH112+PH125+PH138+PH151+PH164+PH177+PH190)/('DATA SECTION'!$C$3+'DATA SECTION'!$C$4+'DATA SECTION'!$C$5)</f>
        <v>75.226052823917456</v>
      </c>
      <c r="PI3" s="205">
        <f>(PI34+PI47+PI60+PI73+PI86+PI99+PI112+PI125+PI138+PI151+PI164+PI177+PI190)/('DATA SECTION'!$C$3+'DATA SECTION'!$C$4+'DATA SECTION'!$C$5)</f>
        <v>76.557565391523042</v>
      </c>
      <c r="PJ3" s="205">
        <f>(PJ34+PJ47+PJ60+PJ73+PJ86+PJ99+PJ112+PJ125+PJ138+PJ151+PJ164+PJ177+PJ190)/('DATA SECTION'!$C$3+'DATA SECTION'!$C$4+'DATA SECTION'!$C$5)</f>
        <v>77.909187917753556</v>
      </c>
      <c r="PK3" s="205">
        <f>(PK34+PK47+PK60+PK73+PK86+PK99+PK112+PK125+PK138+PK151+PK164+PK177+PK190)/('DATA SECTION'!$C$3+'DATA SECTION'!$C$4+'DATA SECTION'!$C$5)</f>
        <v>79.277927416942632</v>
      </c>
      <c r="PL3" s="205">
        <f>(PL34+PL47+PL60+PL73+PL86+PL99+PL112+PL125+PL138+PL151+PL164+PL177+PL190)/('DATA SECTION'!$C$3+'DATA SECTION'!$C$4+'DATA SECTION'!$C$5)</f>
        <v>80.660019947003974</v>
      </c>
      <c r="PM3" s="205">
        <f>(PM34+PM47+PM60+PM73+PM86+PM99+PM112+PM125+PM138+PM151+PM164+PM177+PM190)/('DATA SECTION'!$C$3+'DATA SECTION'!$C$4+'DATA SECTION'!$C$5)</f>
        <v>82.051505431046976</v>
      </c>
      <c r="PN3" s="205">
        <f>(PN34+PN47+PN60+PN73+PN86+PN99+PN112+PN125+PN138+PN151+PN164+PN177+PN190)/('DATA SECTION'!$C$3+'DATA SECTION'!$C$4+'DATA SECTION'!$C$5)</f>
        <v>83.447248953180164</v>
      </c>
      <c r="PO3" s="205">
        <f>(PO34+PO47+PO60+PO73+PO86+PO99+PO112+PO125+PO138+PO151+PO164+PO177+PO190)/('DATA SECTION'!$C$3+'DATA SECTION'!$C$4+'DATA SECTION'!$C$5)</f>
        <v>84.864872271690629</v>
      </c>
      <c r="PP3" s="205">
        <f>(PP34+PP47+PP60+PP73+PP86+PP99+PP112+PP125+PP138+PP151+PP164+PP177+PP190)/('DATA SECTION'!$C$3+'DATA SECTION'!$C$4+'DATA SECTION'!$C$5)</f>
        <v>86.294326769669723</v>
      </c>
      <c r="PQ3" s="205">
        <f>(PQ34+PQ47+PQ60+PQ73+PQ86+PQ99+PQ112+PQ125+PQ138+PQ151+PQ164+PQ177+PQ190)/('DATA SECTION'!$C$3+'DATA SECTION'!$C$4+'DATA SECTION'!$C$5)</f>
        <v>87.731123873948206</v>
      </c>
      <c r="PR3" s="205">
        <f>(PR34+PR47+PR60+PR73+PR86+PR99+PR112+PR125+PR138+PR151+PR164+PR177+PR190)/('DATA SECTION'!$C$3+'DATA SECTION'!$C$4+'DATA SECTION'!$C$5)</f>
        <v>89.178419873131546</v>
      </c>
      <c r="PS3" s="205">
        <f>(PS34+PS47+PS60+PS73+PS86+PS99+PS112+PS125+PS138+PS151+PS164+PS177+PS190)/('DATA SECTION'!$C$3+'DATA SECTION'!$C$4+'DATA SECTION'!$C$5)</f>
        <v>90.64306498522626</v>
      </c>
      <c r="PT3" s="205">
        <f>(PT34+PT47+PT60+PT73+PT86+PT99+PT112+PT125+PT138+PT151+PT164+PT177+PT190)/('DATA SECTION'!$C$3+'DATA SECTION'!$C$4+'DATA SECTION'!$C$5)</f>
        <v>92.125663588312207</v>
      </c>
      <c r="PU3" s="205">
        <f>(PU34+PU47+PU60+PU73+PU86+PU99+PU112+PU125+PU138+PU151+PU164+PU177+PU190)/('DATA SECTION'!$C$3+'DATA SECTION'!$C$4+'DATA SECTION'!$C$5)</f>
        <v>93.612964057219898</v>
      </c>
      <c r="PV3" s="205">
        <f>(PV34+PV47+PV60+PV73+PV86+PV99+PV112+PV125+PV138+PV151+PV164+PV177+PV190)/('DATA SECTION'!$C$3+'DATA SECTION'!$C$4+'DATA SECTION'!$C$5)</f>
        <v>87.710947501437005</v>
      </c>
      <c r="PW3" s="205">
        <f>(PW34+PW47+PW60+PW73+PW86+PW99+PW112+PW125+PW138+PW151+PW164+PW177+PW190)/('DATA SECTION'!$C$3+'DATA SECTION'!$C$4+'DATA SECTION'!$C$5)</f>
        <v>89.146445134112795</v>
      </c>
      <c r="PX3" s="205">
        <f>(PX34+PX47+PX60+PX73+PX86+PX99+PX112+PX125+PX138+PX151+PX164+PX177+PX190)/('DATA SECTION'!$C$3+'DATA SECTION'!$C$4+'DATA SECTION'!$C$5)</f>
        <v>83.017800950316698</v>
      </c>
      <c r="PY3" s="205">
        <f>(PY34+PY47+PY60+PY73+PY86+PY99+PY112+PY125+PY138+PY151+PY164+PY177+PY190)/('DATA SECTION'!$C$3+'DATA SECTION'!$C$4+'DATA SECTION'!$C$5)</f>
        <v>84.405401745816832</v>
      </c>
      <c r="PZ3" s="205">
        <f>(PZ34+PZ47+PZ60+PZ73+PZ86+PZ99+PZ112+PZ125+PZ138+PZ151+PZ164+PZ177+PZ190)/('DATA SECTION'!$C$3+'DATA SECTION'!$C$4+'DATA SECTION'!$C$5)</f>
        <v>85.803773393918334</v>
      </c>
      <c r="QA3" s="205">
        <f>(QA34+QA47+QA60+QA73+QA86+QA99+QA112+QA125+QA138+QA151+QA164+QA177+QA190)/('DATA SECTION'!$C$3+'DATA SECTION'!$C$4+'DATA SECTION'!$C$5)</f>
        <v>87.21768326774216</v>
      </c>
      <c r="QB3" s="205">
        <f>(QB34+QB47+QB60+QB73+QB86+QB99+QB112+QB125+QB138+QB151+QB164+QB177+QB190)/('DATA SECTION'!$C$3+'DATA SECTION'!$C$4+'DATA SECTION'!$C$5)</f>
        <v>88.640449447650212</v>
      </c>
      <c r="QC3" s="205">
        <f>(QC34+QC47+QC60+QC73+QC86+QC99+QC112+QC125+QC138+QC151+QC164+QC177+QC190)/('DATA SECTION'!$C$3+'DATA SECTION'!$C$4+'DATA SECTION'!$C$5)</f>
        <v>82.066340242816437</v>
      </c>
      <c r="QD3" s="205">
        <f>(QD34+QD47+QD60+QD73+QD86+QD99+QD112+QD125+QD138+QD151+QD164+QD177+QD190)/('DATA SECTION'!$C$3+'DATA SECTION'!$C$4+'DATA SECTION'!$C$5)</f>
        <v>83.437374914367325</v>
      </c>
      <c r="QE3" s="205">
        <f>(QE34+QE47+QE60+QE73+QE86+QE99+QE112+QE125+QE138+QE151+QE164+QE177+QE190)/('DATA SECTION'!$C$3+'DATA SECTION'!$C$4+'DATA SECTION'!$C$5)</f>
        <v>76.638147509826283</v>
      </c>
      <c r="QF3" s="205">
        <f>(QF34+QF47+QF60+QF73+QF86+QF99+QF112+QF125+QF138+QF151+QF164+QF177+QF190)/('DATA SECTION'!$C$3+'DATA SECTION'!$C$4+'DATA SECTION'!$C$5)</f>
        <v>77.956523424280732</v>
      </c>
      <c r="QG3" s="205">
        <f>(QG34+QG47+QG60+QG73+QG86+QG99+QG112+QG125+QG138+QG151+QG164+QG177+QG190)/('DATA SECTION'!$C$3+'DATA SECTION'!$C$4+'DATA SECTION'!$C$5)</f>
        <v>79.290767956927411</v>
      </c>
      <c r="QH3" s="205">
        <f>(QH34+QH47+QH60+QH73+QH86+QH99+QH112+QH125+QH138+QH151+QH164+QH177+QH190)/('DATA SECTION'!$C$3+'DATA SECTION'!$C$4+'DATA SECTION'!$C$5)</f>
        <v>80.635291317261448</v>
      </c>
      <c r="QI3" s="205">
        <f>(QI34+QI47+QI60+QI73+QI86+QI99+QI112+QI125+QI138+QI151+QI164+QI177+QI190)/('DATA SECTION'!$C$3+'DATA SECTION'!$C$4+'DATA SECTION'!$C$5)</f>
        <v>81.991879750266264</v>
      </c>
      <c r="QJ3" s="205">
        <f>(QJ34+QJ47+QJ60+QJ73+QJ86+QJ99+QJ112+QJ125+QJ138+QJ151+QJ164+QJ177+QJ190)/('DATA SECTION'!$C$3+'DATA SECTION'!$C$4+'DATA SECTION'!$C$5)</f>
        <v>74.752313947129679</v>
      </c>
      <c r="QK3" s="205">
        <f>(QK34+QK47+QK60+QK73+QK86+QK99+QK112+QK125+QK138+QK151+QK164+QK177+QK190)/('DATA SECTION'!$C$3+'DATA SECTION'!$C$4+'DATA SECTION'!$C$5)</f>
        <v>76.049937368526827</v>
      </c>
      <c r="QL3" s="205">
        <f>(QL34+QL47+QL60+QL73+QL86+QL99+QL112+QL125+QL138+QL151+QL164+QL177+QL190)/('DATA SECTION'!$C$3+'DATA SECTION'!$C$4+'DATA SECTION'!$C$5)</f>
        <v>68.558341353713118</v>
      </c>
      <c r="QM3" s="205">
        <f>(QM34+QM47+QM60+QM73+QM86+QM99+QM112+QM125+QM138+QM151+QM164+QM177+QM190)/('DATA SECTION'!$C$3+'DATA SECTION'!$C$4+'DATA SECTION'!$C$5)</f>
        <v>69.801047500982733</v>
      </c>
      <c r="QN3" s="205">
        <f>(QN34+QN47+QN60+QN73+QN86+QN99+QN112+QN125+QN138+QN151+QN164+QN177+QN190)/('DATA SECTION'!$C$3+'DATA SECTION'!$C$4+'DATA SECTION'!$C$5)</f>
        <v>71.050100127315645</v>
      </c>
      <c r="QO3" s="205">
        <f>(QO34+QO47+QO60+QO73+QO86+QO99+QO112+QO125+QO138+QO151+QO164+QO177+QO190)/('DATA SECTION'!$C$3+'DATA SECTION'!$C$4+'DATA SECTION'!$C$5)</f>
        <v>72.313571878887174</v>
      </c>
      <c r="QP3" s="205">
        <f>(QP34+QP47+QP60+QP73+QP86+QP99+QP112+QP125+QP138+QP151+QP164+QP177+QP190)/('DATA SECTION'!$C$3+'DATA SECTION'!$C$4+'DATA SECTION'!$C$5)</f>
        <v>73.588934852083739</v>
      </c>
      <c r="QQ3" s="205">
        <f>(QQ34+QQ47+QQ60+QQ73+QQ86+QQ99+QQ112+QQ125+QQ138+QQ151+QQ164+QQ177+QQ190)/('DATA SECTION'!$C$3+'DATA SECTION'!$C$4+'DATA SECTION'!$C$5)</f>
        <v>65.606500736807931</v>
      </c>
      <c r="QR3" s="205">
        <f>(QR34+QR47+QR60+QR73+QR86+QR99+QR112+QR125+QR138+QR151+QR164+QR177+QR190)/('DATA SECTION'!$C$3+'DATA SECTION'!$C$4+'DATA SECTION'!$C$5)</f>
        <v>66.807872883282499</v>
      </c>
      <c r="QS3" s="205">
        <f>(QS34+QS47+QS60+QS73+QS86+QS99+QS112+QS125+QS138+QS151+QS164+QS177+QS190)/('DATA SECTION'!$C$3+'DATA SECTION'!$C$4+'DATA SECTION'!$C$5)</f>
        <v>58.407747163914372</v>
      </c>
      <c r="QT3" s="205">
        <f>(QT34+QT47+QT60+QT73+QT86+QT99+QT112+QT125+QT138+QT151+QT164+QT177+QT190)/('DATA SECTION'!$C$3+'DATA SECTION'!$C$4+'DATA SECTION'!$C$5)</f>
        <v>59.004545168041467</v>
      </c>
      <c r="QU3" s="205">
        <f>(QU34+QU47+QU60+QU73+QU86+QU99+QU112+QU125+QU138+QU151+QU164+QU177+QU190)/('DATA SECTION'!$C$3+'DATA SECTION'!$C$4+'DATA SECTION'!$C$5)</f>
        <v>60.182868494974088</v>
      </c>
      <c r="QV3" s="205">
        <f>(QV34+QV47+QV60+QV73+QV86+QV99+QV112+QV125+QV138+QV151+QV164+QV177+QV190)/('DATA SECTION'!$C$3+'DATA SECTION'!$C$4+'DATA SECTION'!$C$5)</f>
        <v>61.367744443476468</v>
      </c>
      <c r="QW3" s="205">
        <f>(QW34+QW47+QW60+QW73+QW86+QW99+QW112+QW125+QW138+QW151+QW164+QW177+QW190)/('DATA SECTION'!$C$3+'DATA SECTION'!$C$4+'DATA SECTION'!$C$5)</f>
        <v>62.564373021328933</v>
      </c>
      <c r="QX3" s="205">
        <f>(QX34+QX47+QX60+QX73+QX86+QX99+QX112+QX125+QX138+QX151+QX164+QX177+QX190)/('DATA SECTION'!$C$3+'DATA SECTION'!$C$4+'DATA SECTION'!$C$5)</f>
        <v>63.778196470015651</v>
      </c>
      <c r="QY3" s="205">
        <f>(QY34+QY47+QY60+QY73+QY86+QY99+QY112+QY125+QY138+QY151+QY164+QY177+QY190)/('DATA SECTION'!$C$3+'DATA SECTION'!$C$4+'DATA SECTION'!$C$5)</f>
        <v>64.993847099738019</v>
      </c>
      <c r="QZ3" s="205">
        <f>(QZ34+QZ47+QZ60+QZ73+QZ86+QZ99+QZ112+QZ125+QZ138+QZ151+QZ164+QZ177+QZ190)/('DATA SECTION'!$C$3+'DATA SECTION'!$C$4+'DATA SECTION'!$C$5)</f>
        <v>66.222114528415176</v>
      </c>
      <c r="RA3" s="205">
        <f>(RA34+RA47+RA60+RA73+RA86+RA99+RA112+RA125+RA138+RA151+RA164+RA177+RA190)/('DATA SECTION'!$C$3+'DATA SECTION'!$C$4+'DATA SECTION'!$C$5)</f>
        <v>67.472392763811953</v>
      </c>
      <c r="RB3" s="205">
        <f>(RB34+RB47+RB60+RB73+RB86+RB99+RB112+RB125+RB138+RB151+RB164+RB177+RB190)/('DATA SECTION'!$C$3+'DATA SECTION'!$C$4+'DATA SECTION'!$C$5)</f>
        <v>68.737389560405191</v>
      </c>
      <c r="RC3" s="205">
        <f>(RC34+RC47+RC60+RC73+RC86+RC99+RC112+RC125+RC138+RC151+RC164+RC177+RC190)/('DATA SECTION'!$C$3+'DATA SECTION'!$C$4+'DATA SECTION'!$C$5)</f>
        <v>70.011834091411728</v>
      </c>
      <c r="RD3" s="205">
        <f>(RD34+RD47+RD60+RD73+RD86+RD99+RD112+RD125+RD138+RD151+RD164+RD177+RD190)/('DATA SECTION'!$C$3+'DATA SECTION'!$C$4+'DATA SECTION'!$C$5)</f>
        <v>71.302259272455402</v>
      </c>
      <c r="RE3" s="205">
        <f>(RE34+RE47+RE60+RE73+RE86+RE99+RE112+RE125+RE138+RE151+RE164+RE177+RE190)/('DATA SECTION'!$C$3+'DATA SECTION'!$C$4+'DATA SECTION'!$C$5)</f>
        <v>72.60358578765657</v>
      </c>
      <c r="RF3" s="205">
        <f>(RF34+RF47+RF60+RF73+RF86+RF99+RF112+RF125+RF138+RF151+RF164+RF177+RF190)/('DATA SECTION'!$C$3+'DATA SECTION'!$C$4+'DATA SECTION'!$C$5)</f>
        <v>73.912087220717751</v>
      </c>
      <c r="RG3" s="205">
        <f>(RG34+RG47+RG60+RG73+RG86+RG99+RG112+RG125+RG138+RG151+RG164+RG177+RG190)/('DATA SECTION'!$C$3+'DATA SECTION'!$C$4+'DATA SECTION'!$C$5)</f>
        <v>75.226052823917456</v>
      </c>
      <c r="RH3" s="205">
        <f>(RH34+RH47+RH60+RH73+RH86+RH99+RH112+RH125+RH138+RH151+RH164+RH177+RH190)/('DATA SECTION'!$C$3+'DATA SECTION'!$C$4+'DATA SECTION'!$C$5)</f>
        <v>76.557565391523042</v>
      </c>
      <c r="RI3" s="205">
        <f>(RI34+RI47+RI60+RI73+RI86+RI99+RI112+RI125+RI138+RI151+RI164+RI177+RI190)/('DATA SECTION'!$C$3+'DATA SECTION'!$C$4+'DATA SECTION'!$C$5)</f>
        <v>77.909187917753556</v>
      </c>
      <c r="RJ3" s="205">
        <f>(RJ34+RJ47+RJ60+RJ73+RJ86+RJ99+RJ112+RJ125+RJ138+RJ151+RJ164+RJ177+RJ190)/('DATA SECTION'!$C$3+'DATA SECTION'!$C$4+'DATA SECTION'!$C$5)</f>
        <v>79.277927416942632</v>
      </c>
      <c r="RK3" s="205">
        <f>(RK34+RK47+RK60+RK73+RK86+RK99+RK112+RK125+RK138+RK151+RK164+RK177+RK190)/('DATA SECTION'!$C$3+'DATA SECTION'!$C$4+'DATA SECTION'!$C$5)</f>
        <v>80.660019947003974</v>
      </c>
      <c r="RL3" s="205">
        <f>(RL34+RL47+RL60+RL73+RL86+RL99+RL112+RL125+RL138+RL151+RL164+RL177+RL190)/('DATA SECTION'!$C$3+'DATA SECTION'!$C$4+'DATA SECTION'!$C$5)</f>
        <v>82.051505431046976</v>
      </c>
      <c r="RM3" s="205">
        <f>(RM34+RM47+RM60+RM73+RM86+RM99+RM112+RM125+RM138+RM151+RM164+RM177+RM190)/('DATA SECTION'!$C$3+'DATA SECTION'!$C$4+'DATA SECTION'!$C$5)</f>
        <v>83.447248953180164</v>
      </c>
      <c r="RN3" s="205">
        <f>(RN34+RN47+RN60+RN73+RN86+RN99+RN112+RN125+RN138+RN151+RN164+RN177+RN190)/('DATA SECTION'!$C$3+'DATA SECTION'!$C$4+'DATA SECTION'!$C$5)</f>
        <v>84.864872271690629</v>
      </c>
      <c r="RO3" s="205">
        <f>(RO34+RO47+RO60+RO73+RO86+RO99+RO112+RO125+RO138+RO151+RO164+RO177+RO190)/('DATA SECTION'!$C$3+'DATA SECTION'!$C$4+'DATA SECTION'!$C$5)</f>
        <v>86.294326769669723</v>
      </c>
      <c r="RP3" s="205">
        <f>(RP34+RP47+RP60+RP73+RP86+RP99+RP112+RP125+RP138+RP151+RP164+RP177+RP190)/('DATA SECTION'!$C$3+'DATA SECTION'!$C$4+'DATA SECTION'!$C$5)</f>
        <v>87.731123873948206</v>
      </c>
      <c r="RQ3" s="205">
        <f>(RQ34+RQ47+RQ60+RQ73+RQ86+RQ99+RQ112+RQ125+RQ138+RQ151+RQ164+RQ177+RQ190)/('DATA SECTION'!$C$3+'DATA SECTION'!$C$4+'DATA SECTION'!$C$5)</f>
        <v>89.178419873131546</v>
      </c>
      <c r="RR3" s="205">
        <f>(RR34+RR47+RR60+RR73+RR86+RR99+RR112+RR125+RR138+RR151+RR164+RR177+RR190)/('DATA SECTION'!$C$3+'DATA SECTION'!$C$4+'DATA SECTION'!$C$5)</f>
        <v>90.64306498522626</v>
      </c>
      <c r="RS3" s="205">
        <f>(RS34+RS47+RS60+RS73+RS86+RS99+RS112+RS125+RS138+RS151+RS164+RS177+RS190)/('DATA SECTION'!$C$3+'DATA SECTION'!$C$4+'DATA SECTION'!$C$5)</f>
        <v>92.125663588312207</v>
      </c>
      <c r="RT3" s="205">
        <f>(RT34+RT47+RT60+RT73+RT86+RT99+RT112+RT125+RT138+RT151+RT164+RT177+RT190)/('DATA SECTION'!$C$3+'DATA SECTION'!$C$4+'DATA SECTION'!$C$5)</f>
        <v>93.612964057219898</v>
      </c>
      <c r="RU3" s="205">
        <f>(RU34+RU47+RU60+RU73+RU86+RU99+RU112+RU125+RU138+RU151+RU164+RU177+RU190)/('DATA SECTION'!$C$3+'DATA SECTION'!$C$4+'DATA SECTION'!$C$5)</f>
        <v>87.710947501437005</v>
      </c>
      <c r="RV3" s="205">
        <f>(RV34+RV47+RV60+RV73+RV86+RV99+RV112+RV125+RV138+RV151+RV164+RV177+RV190)/('DATA SECTION'!$C$3+'DATA SECTION'!$C$4+'DATA SECTION'!$C$5)</f>
        <v>89.146445134112795</v>
      </c>
      <c r="RW3" s="205">
        <f>(RW34+RW47+RW60+RW73+RW86+RW99+RW112+RW125+RW138+RW151+RW164+RW177+RW190)/('DATA SECTION'!$C$3+'DATA SECTION'!$C$4+'DATA SECTION'!$C$5)</f>
        <v>83.017800950316698</v>
      </c>
      <c r="RX3" s="205">
        <f>(RX34+RX47+RX60+RX73+RX86+RX99+RX112+RX125+RX138+RX151+RX164+RX177+RX190)/('DATA SECTION'!$C$3+'DATA SECTION'!$C$4+'DATA SECTION'!$C$5)</f>
        <v>84.405401745816832</v>
      </c>
      <c r="RY3" s="205">
        <f>(RY34+RY47+RY60+RY73+RY86+RY99+RY112+RY125+RY138+RY151+RY164+RY177+RY190)/('DATA SECTION'!$C$3+'DATA SECTION'!$C$4+'DATA SECTION'!$C$5)</f>
        <v>85.803773393918334</v>
      </c>
      <c r="RZ3" s="205">
        <f>(RZ34+RZ47+RZ60+RZ73+RZ86+RZ99+RZ112+RZ125+RZ138+RZ151+RZ164+RZ177+RZ190)/('DATA SECTION'!$C$3+'DATA SECTION'!$C$4+'DATA SECTION'!$C$5)</f>
        <v>87.21768326774216</v>
      </c>
      <c r="SA3" s="205">
        <f>(SA34+SA47+SA60+SA73+SA86+SA99+SA112+SA125+SA138+SA151+SA164+SA177+SA190)/('DATA SECTION'!$C$3+'DATA SECTION'!$C$4+'DATA SECTION'!$C$5)</f>
        <v>88.640449447650212</v>
      </c>
      <c r="SB3" s="205">
        <f>(SB34+SB47+SB60+SB73+SB86+SB99+SB112+SB125+SB138+SB151+SB164+SB177+SB190)/('DATA SECTION'!$C$3+'DATA SECTION'!$C$4+'DATA SECTION'!$C$5)</f>
        <v>82.066340242816437</v>
      </c>
      <c r="SC3" s="205">
        <f>(SC34+SC47+SC60+SC73+SC86+SC99+SC112+SC125+SC138+SC151+SC164+SC177+SC190)/('DATA SECTION'!$C$3+'DATA SECTION'!$C$4+'DATA SECTION'!$C$5)</f>
        <v>83.437374914367325</v>
      </c>
      <c r="SD3" s="205">
        <f>(SD34+SD47+SD60+SD73+SD86+SD99+SD112+SD125+SD138+SD151+SD164+SD177+SD190)/('DATA SECTION'!$C$3+'DATA SECTION'!$C$4+'DATA SECTION'!$C$5)</f>
        <v>76.638147509826283</v>
      </c>
      <c r="SE3" s="205">
        <f>(SE34+SE47+SE60+SE73+SE86+SE99+SE112+SE125+SE138+SE151+SE164+SE177+SE190)/('DATA SECTION'!$C$3+'DATA SECTION'!$C$4+'DATA SECTION'!$C$5)</f>
        <v>77.956523424280732</v>
      </c>
      <c r="SF3" s="205">
        <f>(SF34+SF47+SF60+SF73+SF86+SF99+SF112+SF125+SF138+SF151+SF164+SF177+SF190)/('DATA SECTION'!$C$3+'DATA SECTION'!$C$4+'DATA SECTION'!$C$5)</f>
        <v>79.290767956927411</v>
      </c>
      <c r="SG3" s="205">
        <f>(SG34+SG47+SG60+SG73+SG86+SG99+SG112+SG125+SG138+SG151+SG164+SG177+SG190)/('DATA SECTION'!$C$3+'DATA SECTION'!$C$4+'DATA SECTION'!$C$5)</f>
        <v>80.635291317261448</v>
      </c>
      <c r="SH3" s="205">
        <f>(SH34+SH47+SH60+SH73+SH86+SH99+SH112+SH125+SH138+SH151+SH164+SH177+SH190)/('DATA SECTION'!$C$3+'DATA SECTION'!$C$4+'DATA SECTION'!$C$5)</f>
        <v>81.991879750266264</v>
      </c>
      <c r="SI3" s="205">
        <f>(SI34+SI47+SI60+SI73+SI86+SI99+SI112+SI125+SI138+SI151+SI164+SI177+SI190)/('DATA SECTION'!$C$3+'DATA SECTION'!$C$4+'DATA SECTION'!$C$5)</f>
        <v>74.752313947129679</v>
      </c>
      <c r="SJ3" s="205">
        <f>(SJ34+SJ47+SJ60+SJ73+SJ86+SJ99+SJ112+SJ125+SJ138+SJ151+SJ164+SJ177+SJ190)/('DATA SECTION'!$C$3+'DATA SECTION'!$C$4+'DATA SECTION'!$C$5)</f>
        <v>76.049937368526827</v>
      </c>
      <c r="SK3" s="205">
        <f>(SK34+SK47+SK60+SK73+SK86+SK99+SK112+SK125+SK138+SK151+SK164+SK177+SK190)/('DATA SECTION'!$C$3+'DATA SECTION'!$C$4+'DATA SECTION'!$C$5)</f>
        <v>68.558341353713118</v>
      </c>
      <c r="SL3" s="205">
        <f>(SL34+SL47+SL60+SL73+SL86+SL99+SL112+SL125+SL138+SL151+SL164+SL177+SL190)/('DATA SECTION'!$C$3+'DATA SECTION'!$C$4+'DATA SECTION'!$C$5)</f>
        <v>69.801047500982733</v>
      </c>
      <c r="SM3" s="205">
        <f>(SM34+SM47+SM60+SM73+SM86+SM99+SM112+SM125+SM138+SM151+SM164+SM177+SM190)/('DATA SECTION'!$C$3+'DATA SECTION'!$C$4+'DATA SECTION'!$C$5)</f>
        <v>71.050100127315645</v>
      </c>
      <c r="SN3" s="205">
        <f>(SN34+SN47+SN60+SN73+SN86+SN99+SN112+SN125+SN138+SN151+SN164+SN177+SN190)/('DATA SECTION'!$C$3+'DATA SECTION'!$C$4+'DATA SECTION'!$C$5)</f>
        <v>72.313571878887174</v>
      </c>
      <c r="SO3" s="205">
        <f>(SO34+SO47+SO60+SO73+SO86+SO99+SO112+SO125+SO138+SO151+SO164+SO177+SO190)/('DATA SECTION'!$C$3+'DATA SECTION'!$C$4+'DATA SECTION'!$C$5)</f>
        <v>73.588934852083739</v>
      </c>
      <c r="SP3" s="205">
        <f>(SP34+SP47+SP60+SP73+SP86+SP99+SP112+SP125+SP138+SP151+SP164+SP177+SP190)/('DATA SECTION'!$C$3+'DATA SECTION'!$C$4+'DATA SECTION'!$C$5)</f>
        <v>65.606500736807931</v>
      </c>
      <c r="SQ3" s="205">
        <f>(SQ34+SQ47+SQ60+SQ73+SQ86+SQ99+SQ112+SQ125+SQ138+SQ151+SQ164+SQ177+SQ190)/('DATA SECTION'!$C$3+'DATA SECTION'!$C$4+'DATA SECTION'!$C$5)</f>
        <v>66.807872883282499</v>
      </c>
      <c r="SR3" s="205">
        <f>(SR34+SR47+SR60+SR73+SR86+SR99+SR112+SR125+SR138+SR151+SR164+SR177+SR190)/('DATA SECTION'!$C$3+'DATA SECTION'!$C$4+'DATA SECTION'!$C$5)</f>
        <v>58.407747163914372</v>
      </c>
      <c r="SS3" s="205">
        <f>(SS34+SS47+SS60+SS73+SS86+SS99+SS112+SS125+SS138+SS151+SS164+SS177+SS190)/('DATA SECTION'!$C$3+'DATA SECTION'!$C$4+'DATA SECTION'!$C$5)</f>
        <v>59.004545168041467</v>
      </c>
      <c r="ST3" s="205">
        <f>(ST34+ST47+ST60+ST73+ST86+ST99+ST112+ST125+ST138+ST151+ST164+ST177+ST190)/('DATA SECTION'!$C$3+'DATA SECTION'!$C$4+'DATA SECTION'!$C$5)</f>
        <v>60.182868494974088</v>
      </c>
      <c r="SU3" s="205">
        <f>(SU34+SU47+SU60+SU73+SU86+SU99+SU112+SU125+SU138+SU151+SU164+SU177+SU190)/('DATA SECTION'!$C$3+'DATA SECTION'!$C$4+'DATA SECTION'!$C$5)</f>
        <v>61.367744443476468</v>
      </c>
      <c r="SV3" s="205">
        <f>(SV34+SV47+SV60+SV73+SV86+SV99+SV112+SV125+SV138+SV151+SV164+SV177+SV190)/('DATA SECTION'!$C$3+'DATA SECTION'!$C$4+'DATA SECTION'!$C$5)</f>
        <v>62.564373021328933</v>
      </c>
      <c r="SW3" s="205">
        <f>(SW34+SW47+SW60+SW73+SW86+SW99+SW112+SW125+SW138+SW151+SW164+SW177+SW190)/('DATA SECTION'!$C$3+'DATA SECTION'!$C$4+'DATA SECTION'!$C$5)</f>
        <v>63.778196470015651</v>
      </c>
      <c r="SX3" s="205">
        <f>(SX34+SX47+SX60+SX73+SX86+SX99+SX112+SX125+SX138+SX151+SX164+SX177+SX190)/('DATA SECTION'!$C$3+'DATA SECTION'!$C$4+'DATA SECTION'!$C$5)</f>
        <v>64.993847099738019</v>
      </c>
      <c r="SY3" s="205">
        <f>(SY34+SY47+SY60+SY73+SY86+SY99+SY112+SY125+SY138+SY151+SY164+SY177+SY190)/('DATA SECTION'!$C$3+'DATA SECTION'!$C$4+'DATA SECTION'!$C$5)</f>
        <v>66.222114528415176</v>
      </c>
      <c r="SZ3" s="205">
        <f>(SZ34+SZ47+SZ60+SZ73+SZ86+SZ99+SZ112+SZ125+SZ138+SZ151+SZ164+SZ177+SZ190)/('DATA SECTION'!$C$3+'DATA SECTION'!$C$4+'DATA SECTION'!$C$5)</f>
        <v>67.472392763811953</v>
      </c>
      <c r="TA3" s="205">
        <f>(TA34+TA47+TA60+TA73+TA86+TA99+TA112+TA125+TA138+TA151+TA164+TA177+TA190)/('DATA SECTION'!$C$3+'DATA SECTION'!$C$4+'DATA SECTION'!$C$5)</f>
        <v>68.737389560405191</v>
      </c>
      <c r="TB3" s="205">
        <f>(TB34+TB47+TB60+TB73+TB86+TB99+TB112+TB125+TB138+TB151+TB164+TB177+TB190)/('DATA SECTION'!$C$3+'DATA SECTION'!$C$4+'DATA SECTION'!$C$5)</f>
        <v>70.011834091411728</v>
      </c>
      <c r="TC3" s="205">
        <f>(TC34+TC47+TC60+TC73+TC86+TC99+TC112+TC125+TC138+TC151+TC164+TC177+TC190)/('DATA SECTION'!$C$3+'DATA SECTION'!$C$4+'DATA SECTION'!$C$5)</f>
        <v>71.302259272455402</v>
      </c>
      <c r="TD3" s="205">
        <f>(TD34+TD47+TD60+TD73+TD86+TD99+TD112+TD125+TD138+TD151+TD164+TD177+TD190)/('DATA SECTION'!$C$3+'DATA SECTION'!$C$4+'DATA SECTION'!$C$5)</f>
        <v>72.60358578765657</v>
      </c>
      <c r="TE3" s="205">
        <f>(TE34+TE47+TE60+TE73+TE86+TE99+TE112+TE125+TE138+TE151+TE164+TE177+TE190)/('DATA SECTION'!$C$3+'DATA SECTION'!$C$4+'DATA SECTION'!$C$5)</f>
        <v>73.912087220717751</v>
      </c>
      <c r="TF3" s="205">
        <f>(TF34+TF47+TF60+TF73+TF86+TF99+TF112+TF125+TF138+TF151+TF164+TF177+TF190)/('DATA SECTION'!$C$3+'DATA SECTION'!$C$4+'DATA SECTION'!$C$5)</f>
        <v>75.226052823917456</v>
      </c>
      <c r="TG3" s="205">
        <f>(TG34+TG47+TG60+TG73+TG86+TG99+TG112+TG125+TG138+TG151+TG164+TG177+TG190)/('DATA SECTION'!$C$3+'DATA SECTION'!$C$4+'DATA SECTION'!$C$5)</f>
        <v>76.557565391523042</v>
      </c>
      <c r="TH3" s="205">
        <f>(TH34+TH47+TH60+TH73+TH86+TH99+TH112+TH125+TH138+TH151+TH164+TH177+TH190)/('DATA SECTION'!$C$3+'DATA SECTION'!$C$4+'DATA SECTION'!$C$5)</f>
        <v>77.909187917753556</v>
      </c>
      <c r="TI3" s="205">
        <f>(TI34+TI47+TI60+TI73+TI86+TI99+TI112+TI125+TI138+TI151+TI164+TI177+TI190)/('DATA SECTION'!$C$3+'DATA SECTION'!$C$4+'DATA SECTION'!$C$5)</f>
        <v>79.277927416942632</v>
      </c>
      <c r="TJ3" s="205">
        <f>(TJ34+TJ47+TJ60+TJ73+TJ86+TJ99+TJ112+TJ125+TJ138+TJ151+TJ164+TJ177+TJ190)/('DATA SECTION'!$C$3+'DATA SECTION'!$C$4+'DATA SECTION'!$C$5)</f>
        <v>80.660019947003974</v>
      </c>
      <c r="TK3" s="205">
        <f>(TK34+TK47+TK60+TK73+TK86+TK99+TK112+TK125+TK138+TK151+TK164+TK177+TK190)/('DATA SECTION'!$C$3+'DATA SECTION'!$C$4+'DATA SECTION'!$C$5)</f>
        <v>82.051505431046976</v>
      </c>
      <c r="TL3" s="205">
        <f>(TL34+TL47+TL60+TL73+TL86+TL99+TL112+TL125+TL138+TL151+TL164+TL177+TL190)/('DATA SECTION'!$C$3+'DATA SECTION'!$C$4+'DATA SECTION'!$C$5)</f>
        <v>83.447248953180164</v>
      </c>
      <c r="TM3" s="205">
        <f>(TM34+TM47+TM60+TM73+TM86+TM99+TM112+TM125+TM138+TM151+TM164+TM177+TM190)/('DATA SECTION'!$C$3+'DATA SECTION'!$C$4+'DATA SECTION'!$C$5)</f>
        <v>84.864872271690629</v>
      </c>
      <c r="TN3" s="205">
        <f>(TN34+TN47+TN60+TN73+TN86+TN99+TN112+TN125+TN138+TN151+TN164+TN177+TN190)/('DATA SECTION'!$C$3+'DATA SECTION'!$C$4+'DATA SECTION'!$C$5)</f>
        <v>86.294326769669723</v>
      </c>
      <c r="TO3" s="205">
        <f>(TO34+TO47+TO60+TO73+TO86+TO99+TO112+TO125+TO138+TO151+TO164+TO177+TO190)/('DATA SECTION'!$C$3+'DATA SECTION'!$C$4+'DATA SECTION'!$C$5)</f>
        <v>87.731123873948206</v>
      </c>
      <c r="TP3" s="205">
        <f>(TP34+TP47+TP60+TP73+TP86+TP99+TP112+TP125+TP138+TP151+TP164+TP177+TP190)/('DATA SECTION'!$C$3+'DATA SECTION'!$C$4+'DATA SECTION'!$C$5)</f>
        <v>89.178419873131546</v>
      </c>
      <c r="TQ3" s="205">
        <f>(TQ34+TQ47+TQ60+TQ73+TQ86+TQ99+TQ112+TQ125+TQ138+TQ151+TQ164+TQ177+TQ190)/('DATA SECTION'!$C$3+'DATA SECTION'!$C$4+'DATA SECTION'!$C$5)</f>
        <v>90.64306498522626</v>
      </c>
      <c r="TR3" s="205">
        <f>(TR34+TR47+TR60+TR73+TR86+TR99+TR112+TR125+TR138+TR151+TR164+TR177+TR190)/('DATA SECTION'!$C$3+'DATA SECTION'!$C$4+'DATA SECTION'!$C$5)</f>
        <v>92.125663588312207</v>
      </c>
      <c r="TS3" s="205">
        <f>(TS34+TS47+TS60+TS73+TS86+TS99+TS112+TS125+TS138+TS151+TS164+TS177+TS190)/('DATA SECTION'!$C$3+'DATA SECTION'!$C$4+'DATA SECTION'!$C$5)</f>
        <v>93.612964057219898</v>
      </c>
      <c r="TT3" s="205">
        <f>(TT34+TT47+TT60+TT73+TT86+TT99+TT112+TT125+TT138+TT151+TT164+TT177+TT190)/('DATA SECTION'!$C$3+'DATA SECTION'!$C$4+'DATA SECTION'!$C$5)</f>
        <v>87.710947501437005</v>
      </c>
      <c r="TU3" s="205">
        <f>(TU34+TU47+TU60+TU73+TU86+TU99+TU112+TU125+TU138+TU151+TU164+TU177+TU190)/('DATA SECTION'!$C$3+'DATA SECTION'!$C$4+'DATA SECTION'!$C$5)</f>
        <v>89.146445134112795</v>
      </c>
      <c r="TV3" s="205">
        <f>(TV34+TV47+TV60+TV73+TV86+TV99+TV112+TV125+TV138+TV151+TV164+TV177+TV190)/('DATA SECTION'!$C$3+'DATA SECTION'!$C$4+'DATA SECTION'!$C$5)</f>
        <v>83.017800950316698</v>
      </c>
      <c r="TW3" s="205">
        <f>(TW34+TW47+TW60+TW73+TW86+TW99+TW112+TW125+TW138+TW151+TW164+TW177+TW190)/('DATA SECTION'!$C$3+'DATA SECTION'!$C$4+'DATA SECTION'!$C$5)</f>
        <v>84.405401745816832</v>
      </c>
      <c r="TX3" s="205">
        <f>(TX34+TX47+TX60+TX73+TX86+TX99+TX112+TX125+TX138+TX151+TX164+TX177+TX190)/('DATA SECTION'!$C$3+'DATA SECTION'!$C$4+'DATA SECTION'!$C$5)</f>
        <v>85.803773393918334</v>
      </c>
      <c r="TY3" s="205">
        <f>(TY34+TY47+TY60+TY73+TY86+TY99+TY112+TY125+TY138+TY151+TY164+TY177+TY190)/('DATA SECTION'!$C$3+'DATA SECTION'!$C$4+'DATA SECTION'!$C$5)</f>
        <v>87.21768326774216</v>
      </c>
      <c r="TZ3" s="205">
        <f>(TZ34+TZ47+TZ60+TZ73+TZ86+TZ99+TZ112+TZ125+TZ138+TZ151+TZ164+TZ177+TZ190)/('DATA SECTION'!$C$3+'DATA SECTION'!$C$4+'DATA SECTION'!$C$5)</f>
        <v>88.640449447650212</v>
      </c>
      <c r="UA3" s="205">
        <f>(UA34+UA47+UA60+UA73+UA86+UA99+UA112+UA125+UA138+UA151+UA164+UA177+UA190)/('DATA SECTION'!$C$3+'DATA SECTION'!$C$4+'DATA SECTION'!$C$5)</f>
        <v>82.066340242816437</v>
      </c>
      <c r="UB3" s="205">
        <f>(UB34+UB47+UB60+UB73+UB86+UB99+UB112+UB125+UB138+UB151+UB164+UB177+UB190)/('DATA SECTION'!$C$3+'DATA SECTION'!$C$4+'DATA SECTION'!$C$5)</f>
        <v>83.437374914367325</v>
      </c>
      <c r="UC3" s="205">
        <f>(UC34+UC47+UC60+UC73+UC86+UC99+UC112+UC125+UC138+UC151+UC164+UC177+UC190)/('DATA SECTION'!$C$3+'DATA SECTION'!$C$4+'DATA SECTION'!$C$5)</f>
        <v>76.638147509826283</v>
      </c>
      <c r="UD3" s="205">
        <f>(UD34+UD47+UD60+UD73+UD86+UD99+UD112+UD125+UD138+UD151+UD164+UD177+UD190)/('DATA SECTION'!$C$3+'DATA SECTION'!$C$4+'DATA SECTION'!$C$5)</f>
        <v>77.956523424280732</v>
      </c>
      <c r="UE3" s="205">
        <f>(UE34+UE47+UE60+UE73+UE86+UE99+UE112+UE125+UE138+UE151+UE164+UE177+UE190)/('DATA SECTION'!$C$3+'DATA SECTION'!$C$4+'DATA SECTION'!$C$5)</f>
        <v>79.290767956927411</v>
      </c>
      <c r="UF3" s="205">
        <f>(UF34+UF47+UF60+UF73+UF86+UF99+UF112+UF125+UF138+UF151+UF164+UF177+UF190)/('DATA SECTION'!$C$3+'DATA SECTION'!$C$4+'DATA SECTION'!$C$5)</f>
        <v>80.635291317261448</v>
      </c>
      <c r="UG3" s="205">
        <f>(UG34+UG47+UG60+UG73+UG86+UG99+UG112+UG125+UG138+UG151+UG164+UG177+UG190)/('DATA SECTION'!$C$3+'DATA SECTION'!$C$4+'DATA SECTION'!$C$5)</f>
        <v>81.991879750266264</v>
      </c>
      <c r="UH3" s="205">
        <f>(UH34+UH47+UH60+UH73+UH86+UH99+UH112+UH125+UH138+UH151+UH164+UH177+UH190)/('DATA SECTION'!$C$3+'DATA SECTION'!$C$4+'DATA SECTION'!$C$5)</f>
        <v>74.752313947129679</v>
      </c>
      <c r="UI3" s="205">
        <f>(UI34+UI47+UI60+UI73+UI86+UI99+UI112+UI125+UI138+UI151+UI164+UI177+UI190)/('DATA SECTION'!$C$3+'DATA SECTION'!$C$4+'DATA SECTION'!$C$5)</f>
        <v>76.049937368526827</v>
      </c>
      <c r="UJ3" s="205">
        <f>(UJ34+UJ47+UJ60+UJ73+UJ86+UJ99+UJ112+UJ125+UJ138+UJ151+UJ164+UJ177+UJ190)/('DATA SECTION'!$C$3+'DATA SECTION'!$C$4+'DATA SECTION'!$C$5)</f>
        <v>68.558341353713118</v>
      </c>
      <c r="UK3" s="205">
        <f>(UK34+UK47+UK60+UK73+UK86+UK99+UK112+UK125+UK138+UK151+UK164+UK177+UK190)/('DATA SECTION'!$C$3+'DATA SECTION'!$C$4+'DATA SECTION'!$C$5)</f>
        <v>69.801047500982733</v>
      </c>
      <c r="UL3" s="205">
        <f>(UL34+UL47+UL60+UL73+UL86+UL99+UL112+UL125+UL138+UL151+UL164+UL177+UL190)/('DATA SECTION'!$C$3+'DATA SECTION'!$C$4+'DATA SECTION'!$C$5)</f>
        <v>71.050100127315645</v>
      </c>
      <c r="UM3" s="205">
        <f>(UM34+UM47+UM60+UM73+UM86+UM99+UM112+UM125+UM138+UM151+UM164+UM177+UM190)/('DATA SECTION'!$C$3+'DATA SECTION'!$C$4+'DATA SECTION'!$C$5)</f>
        <v>72.313571878887174</v>
      </c>
      <c r="UN3" s="205">
        <f>(UN34+UN47+UN60+UN73+UN86+UN99+UN112+UN125+UN138+UN151+UN164+UN177+UN190)/('DATA SECTION'!$C$3+'DATA SECTION'!$C$4+'DATA SECTION'!$C$5)</f>
        <v>73.588934852083739</v>
      </c>
      <c r="UO3" s="205">
        <f>(UO34+UO47+UO60+UO73+UO86+UO99+UO112+UO125+UO138+UO151+UO164+UO177+UO190)/('DATA SECTION'!$C$3+'DATA SECTION'!$C$4+'DATA SECTION'!$C$5)</f>
        <v>65.606500736807931</v>
      </c>
      <c r="UP3" s="205">
        <f>(UP34+UP47+UP60+UP73+UP86+UP99+UP112+UP125+UP138+UP151+UP164+UP177+UP190)/('DATA SECTION'!$C$3+'DATA SECTION'!$C$4+'DATA SECTION'!$C$5)</f>
        <v>66.807872883282499</v>
      </c>
      <c r="UQ3" s="205">
        <f>(UQ34+UQ47+UQ60+UQ73+UQ86+UQ99+UQ112+UQ125+UQ138+UQ151+UQ164+UQ177+UQ190)/('DATA SECTION'!$C$3+'DATA SECTION'!$C$4+'DATA SECTION'!$C$5)</f>
        <v>58.407747163914372</v>
      </c>
      <c r="UR3" s="205">
        <f>(UR34+UR47+UR60+UR73+UR86+UR99+UR112+UR125+UR138+UR151+UR164+UR177+UR190)/('DATA SECTION'!$C$3+'DATA SECTION'!$C$4+'DATA SECTION'!$C$5)</f>
        <v>59.004545168041467</v>
      </c>
      <c r="US3" s="205">
        <f>(US34+US47+US60+US73+US86+US99+US112+US125+US138+US151+US164+US177+US190)/('DATA SECTION'!$C$3+'DATA SECTION'!$C$4+'DATA SECTION'!$C$5)</f>
        <v>60.182868494974088</v>
      </c>
      <c r="UT3" s="205">
        <f>(UT34+UT47+UT60+UT73+UT86+UT99+UT112+UT125+UT138+UT151+UT164+UT177+UT190)/('DATA SECTION'!$C$3+'DATA SECTION'!$C$4+'DATA SECTION'!$C$5)</f>
        <v>61.367744443476468</v>
      </c>
      <c r="UU3" s="205">
        <f>(UU34+UU47+UU60+UU73+UU86+UU99+UU112+UU125+UU138+UU151+UU164+UU177+UU190)/('DATA SECTION'!$C$3+'DATA SECTION'!$C$4+'DATA SECTION'!$C$5)</f>
        <v>62.564373021328933</v>
      </c>
      <c r="UV3" s="205">
        <f>(UV34+UV47+UV60+UV73+UV86+UV99+UV112+UV125+UV138+UV151+UV164+UV177+UV190)/('DATA SECTION'!$C$3+'DATA SECTION'!$C$4+'DATA SECTION'!$C$5)</f>
        <v>63.778196470015651</v>
      </c>
      <c r="UW3" s="205">
        <f>(UW34+UW47+UW60+UW73+UW86+UW99+UW112+UW125+UW138+UW151+UW164+UW177+UW190)/('DATA SECTION'!$C$3+'DATA SECTION'!$C$4+'DATA SECTION'!$C$5)</f>
        <v>64.993847099738019</v>
      </c>
      <c r="UX3" s="205">
        <f>(UX34+UX47+UX60+UX73+UX86+UX99+UX112+UX125+UX138+UX151+UX164+UX177+UX190)/('DATA SECTION'!$C$3+'DATA SECTION'!$C$4+'DATA SECTION'!$C$5)</f>
        <v>66.222114528415176</v>
      </c>
      <c r="UY3" s="205">
        <f>(UY34+UY47+UY60+UY73+UY86+UY99+UY112+UY125+UY138+UY151+UY164+UY177+UY190)/('DATA SECTION'!$C$3+'DATA SECTION'!$C$4+'DATA SECTION'!$C$5)</f>
        <v>67.472392763811953</v>
      </c>
      <c r="UZ3" s="205">
        <f>(UZ34+UZ47+UZ60+UZ73+UZ86+UZ99+UZ112+UZ125+UZ138+UZ151+UZ164+UZ177+UZ190)/('DATA SECTION'!$C$3+'DATA SECTION'!$C$4+'DATA SECTION'!$C$5)</f>
        <v>68.737389560405191</v>
      </c>
      <c r="VA3" s="205">
        <f>(VA34+VA47+VA60+VA73+VA86+VA99+VA112+VA125+VA138+VA151+VA164+VA177+VA190)/('DATA SECTION'!$C$3+'DATA SECTION'!$C$4+'DATA SECTION'!$C$5)</f>
        <v>70.011834091411728</v>
      </c>
      <c r="VB3" s="205">
        <f>(VB34+VB47+VB60+VB73+VB86+VB99+VB112+VB125+VB138+VB151+VB164+VB177+VB190)/('DATA SECTION'!$C$3+'DATA SECTION'!$C$4+'DATA SECTION'!$C$5)</f>
        <v>71.302259272455402</v>
      </c>
      <c r="VC3" s="205">
        <f>(VC34+VC47+VC60+VC73+VC86+VC99+VC112+VC125+VC138+VC151+VC164+VC177+VC190)/('DATA SECTION'!$C$3+'DATA SECTION'!$C$4+'DATA SECTION'!$C$5)</f>
        <v>72.60358578765657</v>
      </c>
      <c r="VD3" s="205">
        <f>(VD34+VD47+VD60+VD73+VD86+VD99+VD112+VD125+VD138+VD151+VD164+VD177+VD190)/('DATA SECTION'!$C$3+'DATA SECTION'!$C$4+'DATA SECTION'!$C$5)</f>
        <v>73.912087220717751</v>
      </c>
      <c r="VE3" s="205">
        <f>(VE34+VE47+VE60+VE73+VE86+VE99+VE112+VE125+VE138+VE151+VE164+VE177+VE190)/('DATA SECTION'!$C$3+'DATA SECTION'!$C$4+'DATA SECTION'!$C$5)</f>
        <v>75.226052823917456</v>
      </c>
      <c r="VF3" s="205">
        <f>(VF34+VF47+VF60+VF73+VF86+VF99+VF112+VF125+VF138+VF151+VF164+VF177+VF190)/('DATA SECTION'!$C$3+'DATA SECTION'!$C$4+'DATA SECTION'!$C$5)</f>
        <v>76.557565391523042</v>
      </c>
      <c r="VG3" s="205">
        <f>(VG34+VG47+VG60+VG73+VG86+VG99+VG112+VG125+VG138+VG151+VG164+VG177+VG190)/('DATA SECTION'!$C$3+'DATA SECTION'!$C$4+'DATA SECTION'!$C$5)</f>
        <v>77.909187917753556</v>
      </c>
      <c r="VH3" s="205">
        <f>(VH34+VH47+VH60+VH73+VH86+VH99+VH112+VH125+VH138+VH151+VH164+VH177+VH190)/('DATA SECTION'!$C$3+'DATA SECTION'!$C$4+'DATA SECTION'!$C$5)</f>
        <v>79.277927416942632</v>
      </c>
      <c r="VI3" s="205">
        <f>(VI34+VI47+VI60+VI73+VI86+VI99+VI112+VI125+VI138+VI151+VI164+VI177+VI190)/('DATA SECTION'!$C$3+'DATA SECTION'!$C$4+'DATA SECTION'!$C$5)</f>
        <v>80.660019947003974</v>
      </c>
      <c r="VJ3" s="205">
        <f>(VJ34+VJ47+VJ60+VJ73+VJ86+VJ99+VJ112+VJ125+VJ138+VJ151+VJ164+VJ177+VJ190)/('DATA SECTION'!$C$3+'DATA SECTION'!$C$4+'DATA SECTION'!$C$5)</f>
        <v>82.051505431046976</v>
      </c>
      <c r="VK3" s="205">
        <f>(VK34+VK47+VK60+VK73+VK86+VK99+VK112+VK125+VK138+VK151+VK164+VK177+VK190)/('DATA SECTION'!$C$3+'DATA SECTION'!$C$4+'DATA SECTION'!$C$5)</f>
        <v>83.447248953180164</v>
      </c>
      <c r="VL3" s="205">
        <f>(VL34+VL47+VL60+VL73+VL86+VL99+VL112+VL125+VL138+VL151+VL164+VL177+VL190)/('DATA SECTION'!$C$3+'DATA SECTION'!$C$4+'DATA SECTION'!$C$5)</f>
        <v>84.864872271690629</v>
      </c>
      <c r="VM3" s="205">
        <f>(VM34+VM47+VM60+VM73+VM86+VM99+VM112+VM125+VM138+VM151+VM164+VM177+VM190)/('DATA SECTION'!$C$3+'DATA SECTION'!$C$4+'DATA SECTION'!$C$5)</f>
        <v>86.294326769669723</v>
      </c>
      <c r="VN3" s="205">
        <f>(VN34+VN47+VN60+VN73+VN86+VN99+VN112+VN125+VN138+VN151+VN164+VN177+VN190)/('DATA SECTION'!$C$3+'DATA SECTION'!$C$4+'DATA SECTION'!$C$5)</f>
        <v>87.731123873948206</v>
      </c>
      <c r="VO3" s="205">
        <f>(VO34+VO47+VO60+VO73+VO86+VO99+VO112+VO125+VO138+VO151+VO164+VO177+VO190)/('DATA SECTION'!$C$3+'DATA SECTION'!$C$4+'DATA SECTION'!$C$5)</f>
        <v>89.178419873131546</v>
      </c>
      <c r="VP3" s="205">
        <f>(VP34+VP47+VP60+VP73+VP86+VP99+VP112+VP125+VP138+VP151+VP164+VP177+VP190)/('DATA SECTION'!$C$3+'DATA SECTION'!$C$4+'DATA SECTION'!$C$5)</f>
        <v>90.64306498522626</v>
      </c>
      <c r="VQ3" s="205">
        <f>(VQ34+VQ47+VQ60+VQ73+VQ86+VQ99+VQ112+VQ125+VQ138+VQ151+VQ164+VQ177+VQ190)/('DATA SECTION'!$C$3+'DATA SECTION'!$C$4+'DATA SECTION'!$C$5)</f>
        <v>92.125663588312207</v>
      </c>
      <c r="VR3" s="205">
        <f>(VR34+VR47+VR60+VR73+VR86+VR99+VR112+VR125+VR138+VR151+VR164+VR177+VR190)/('DATA SECTION'!$C$3+'DATA SECTION'!$C$4+'DATA SECTION'!$C$5)</f>
        <v>93.612964057219898</v>
      </c>
      <c r="VS3" s="205">
        <f>(VS34+VS47+VS60+VS73+VS86+VS99+VS112+VS125+VS138+VS151+VS164+VS177+VS190)/('DATA SECTION'!$C$3+'DATA SECTION'!$C$4+'DATA SECTION'!$C$5)</f>
        <v>87.710947501437005</v>
      </c>
      <c r="VT3" s="205">
        <f>(VT34+VT47+VT60+VT73+VT86+VT99+VT112+VT125+VT138+VT151+VT164+VT177+VT190)/('DATA SECTION'!$C$3+'DATA SECTION'!$C$4+'DATA SECTION'!$C$5)</f>
        <v>89.146445134112795</v>
      </c>
      <c r="VU3" s="205">
        <f>(VU34+VU47+VU60+VU73+VU86+VU99+VU112+VU125+VU138+VU151+VU164+VU177+VU190)/('DATA SECTION'!$C$3+'DATA SECTION'!$C$4+'DATA SECTION'!$C$5)</f>
        <v>83.017800950316698</v>
      </c>
      <c r="VV3" s="205">
        <f>(VV34+VV47+VV60+VV73+VV86+VV99+VV112+VV125+VV138+VV151+VV164+VV177+VV190)/('DATA SECTION'!$C$3+'DATA SECTION'!$C$4+'DATA SECTION'!$C$5)</f>
        <v>84.405401745816832</v>
      </c>
      <c r="VW3" s="205">
        <f>(VW34+VW47+VW60+VW73+VW86+VW99+VW112+VW125+VW138+VW151+VW164+VW177+VW190)/('DATA SECTION'!$C$3+'DATA SECTION'!$C$4+'DATA SECTION'!$C$5)</f>
        <v>85.803773393918334</v>
      </c>
      <c r="VX3" s="205">
        <f>(VX34+VX47+VX60+VX73+VX86+VX99+VX112+VX125+VX138+VX151+VX164+VX177+VX190)/('DATA SECTION'!$C$3+'DATA SECTION'!$C$4+'DATA SECTION'!$C$5)</f>
        <v>87.21768326774216</v>
      </c>
      <c r="VY3" s="205">
        <f>(VY34+VY47+VY60+VY73+VY86+VY99+VY112+VY125+VY138+VY151+VY164+VY177+VY190)/('DATA SECTION'!$C$3+'DATA SECTION'!$C$4+'DATA SECTION'!$C$5)</f>
        <v>88.640449447650212</v>
      </c>
      <c r="VZ3" s="205">
        <f>(VZ34+VZ47+VZ60+VZ73+VZ86+VZ99+VZ112+VZ125+VZ138+VZ151+VZ164+VZ177+VZ190)/('DATA SECTION'!$C$3+'DATA SECTION'!$C$4+'DATA SECTION'!$C$5)</f>
        <v>82.066340242816437</v>
      </c>
      <c r="WA3" s="205">
        <f>(WA34+WA47+WA60+WA73+WA86+WA99+WA112+WA125+WA138+WA151+WA164+WA177+WA190)/('DATA SECTION'!$C$3+'DATA SECTION'!$C$4+'DATA SECTION'!$C$5)</f>
        <v>83.437374914367325</v>
      </c>
      <c r="WB3" s="205">
        <f>(WB34+WB47+WB60+WB73+WB86+WB99+WB112+WB125+WB138+WB151+WB164+WB177+WB190)/('DATA SECTION'!$C$3+'DATA SECTION'!$C$4+'DATA SECTION'!$C$5)</f>
        <v>76.638147509826283</v>
      </c>
      <c r="WC3" s="205">
        <f>(WC34+WC47+WC60+WC73+WC86+WC99+WC112+WC125+WC138+WC151+WC164+WC177+WC190)/('DATA SECTION'!$C$3+'DATA SECTION'!$C$4+'DATA SECTION'!$C$5)</f>
        <v>77.956523424280732</v>
      </c>
      <c r="WD3" s="205">
        <f>(WD34+WD47+WD60+WD73+WD86+WD99+WD112+WD125+WD138+WD151+WD164+WD177+WD190)/('DATA SECTION'!$C$3+'DATA SECTION'!$C$4+'DATA SECTION'!$C$5)</f>
        <v>79.290767956927411</v>
      </c>
      <c r="WE3" s="205">
        <f>(WE34+WE47+WE60+WE73+WE86+WE99+WE112+WE125+WE138+WE151+WE164+WE177+WE190)/('DATA SECTION'!$C$3+'DATA SECTION'!$C$4+'DATA SECTION'!$C$5)</f>
        <v>80.635291317261448</v>
      </c>
      <c r="WF3" s="205">
        <f>(WF34+WF47+WF60+WF73+WF86+WF99+WF112+WF125+WF138+WF151+WF164+WF177+WF190)/('DATA SECTION'!$C$3+'DATA SECTION'!$C$4+'DATA SECTION'!$C$5)</f>
        <v>81.991879750266264</v>
      </c>
      <c r="WG3" s="205">
        <f>(WG34+WG47+WG60+WG73+WG86+WG99+WG112+WG125+WG138+WG151+WG164+WG177+WG190)/('DATA SECTION'!$C$3+'DATA SECTION'!$C$4+'DATA SECTION'!$C$5)</f>
        <v>74.752313947129679</v>
      </c>
      <c r="WH3" s="205">
        <f>(WH34+WH47+WH60+WH73+WH86+WH99+WH112+WH125+WH138+WH151+WH164+WH177+WH190)/('DATA SECTION'!$C$3+'DATA SECTION'!$C$4+'DATA SECTION'!$C$5)</f>
        <v>76.049937368526827</v>
      </c>
      <c r="WI3" s="205">
        <f>(WI34+WI47+WI60+WI73+WI86+WI99+WI112+WI125+WI138+WI151+WI164+WI177+WI190)/('DATA SECTION'!$C$3+'DATA SECTION'!$C$4+'DATA SECTION'!$C$5)</f>
        <v>68.558341353713118</v>
      </c>
      <c r="WJ3" s="205">
        <f>(WJ34+WJ47+WJ60+WJ73+WJ86+WJ99+WJ112+WJ125+WJ138+WJ151+WJ164+WJ177+WJ190)/('DATA SECTION'!$C$3+'DATA SECTION'!$C$4+'DATA SECTION'!$C$5)</f>
        <v>69.801047500982733</v>
      </c>
      <c r="WK3" s="205">
        <f>(WK34+WK47+WK60+WK73+WK86+WK99+WK112+WK125+WK138+WK151+WK164+WK177+WK190)/('DATA SECTION'!$C$3+'DATA SECTION'!$C$4+'DATA SECTION'!$C$5)</f>
        <v>71.050100127315645</v>
      </c>
      <c r="WL3" s="205">
        <f>(WL34+WL47+WL60+WL73+WL86+WL99+WL112+WL125+WL138+WL151+WL164+WL177+WL190)/('DATA SECTION'!$C$3+'DATA SECTION'!$C$4+'DATA SECTION'!$C$5)</f>
        <v>72.313571878887174</v>
      </c>
      <c r="WM3" s="205">
        <f>(WM34+WM47+WM60+WM73+WM86+WM99+WM112+WM125+WM138+WM151+WM164+WM177+WM190)/('DATA SECTION'!$C$3+'DATA SECTION'!$C$4+'DATA SECTION'!$C$5)</f>
        <v>73.588934852083739</v>
      </c>
      <c r="WN3" s="205">
        <f>(WN34+WN47+WN60+WN73+WN86+WN99+WN112+WN125+WN138+WN151+WN164+WN177+WN190)/('DATA SECTION'!$C$3+'DATA SECTION'!$C$4+'DATA SECTION'!$C$5)</f>
        <v>65.606500736807931</v>
      </c>
      <c r="WO3" s="205">
        <f>(WO34+WO47+WO60+WO73+WO86+WO99+WO112+WO125+WO138+WO151+WO164+WO177+WO190)/('DATA SECTION'!$C$3+'DATA SECTION'!$C$4+'DATA SECTION'!$C$5)</f>
        <v>66.807872883282499</v>
      </c>
      <c r="WP3" s="205">
        <f>(WP34+WP47+WP60+WP73+WP86+WP99+WP112+WP125+WP138+WP151+WP164+WP177+WP190)/('DATA SECTION'!$C$3+'DATA SECTION'!$C$4+'DATA SECTION'!$C$5)</f>
        <v>58.407747163914372</v>
      </c>
      <c r="WQ3" s="205">
        <f>(WQ34+WQ47+WQ60+WQ73+WQ86+WQ99+WQ112+WQ125+WQ138+WQ151+WQ164+WQ177+WQ190)/('DATA SECTION'!$C$3+'DATA SECTION'!$C$4+'DATA SECTION'!$C$5)</f>
        <v>59.004545168041467</v>
      </c>
      <c r="WR3" s="205">
        <f>(WR34+WR47+WR60+WR73+WR86+WR99+WR112+WR125+WR138+WR151+WR164+WR177+WR190)/('DATA SECTION'!$C$3+'DATA SECTION'!$C$4+'DATA SECTION'!$C$5)</f>
        <v>60.182868494974088</v>
      </c>
      <c r="WS3" s="205">
        <f>(WS34+WS47+WS60+WS73+WS86+WS99+WS112+WS125+WS138+WS151+WS164+WS177+WS190)/('DATA SECTION'!$C$3+'DATA SECTION'!$C$4+'DATA SECTION'!$C$5)</f>
        <v>61.367744443476468</v>
      </c>
      <c r="WT3" s="205">
        <f>(WT34+WT47+WT60+WT73+WT86+WT99+WT112+WT125+WT138+WT151+WT164+WT177+WT190)/('DATA SECTION'!$C$3+'DATA SECTION'!$C$4+'DATA SECTION'!$C$5)</f>
        <v>62.564373021328933</v>
      </c>
      <c r="WU3" s="205">
        <f>(WU34+WU47+WU60+WU73+WU86+WU99+WU112+WU125+WU138+WU151+WU164+WU177+WU190)/('DATA SECTION'!$C$3+'DATA SECTION'!$C$4+'DATA SECTION'!$C$5)</f>
        <v>63.778196470015651</v>
      </c>
      <c r="WV3" s="205">
        <f>(WV34+WV47+WV60+WV73+WV86+WV99+WV112+WV125+WV138+WV151+WV164+WV177+WV190)/('DATA SECTION'!$C$3+'DATA SECTION'!$C$4+'DATA SECTION'!$C$5)</f>
        <v>64.993847099738019</v>
      </c>
      <c r="WW3" s="205">
        <f>(WW34+WW47+WW60+WW73+WW86+WW99+WW112+WW125+WW138+WW151+WW164+WW177+WW190)/('DATA SECTION'!$C$3+'DATA SECTION'!$C$4+'DATA SECTION'!$C$5)</f>
        <v>66.222114528415176</v>
      </c>
      <c r="WX3" s="205">
        <f>(WX34+WX47+WX60+WX73+WX86+WX99+WX112+WX125+WX138+WX151+WX164+WX177+WX190)/('DATA SECTION'!$C$3+'DATA SECTION'!$C$4+'DATA SECTION'!$C$5)</f>
        <v>67.472392763811953</v>
      </c>
      <c r="WY3" s="205">
        <f>(WY34+WY47+WY60+WY73+WY86+WY99+WY112+WY125+WY138+WY151+WY164+WY177+WY190)/('DATA SECTION'!$C$3+'DATA SECTION'!$C$4+'DATA SECTION'!$C$5)</f>
        <v>68.737389560405191</v>
      </c>
      <c r="WZ3" s="205">
        <f>(WZ34+WZ47+WZ60+WZ73+WZ86+WZ99+WZ112+WZ125+WZ138+WZ151+WZ164+WZ177+WZ190)/('DATA SECTION'!$C$3+'DATA SECTION'!$C$4+'DATA SECTION'!$C$5)</f>
        <v>70.011834091411728</v>
      </c>
      <c r="XA3" s="205">
        <f>(XA34+XA47+XA60+XA73+XA86+XA99+XA112+XA125+XA138+XA151+XA164+XA177+XA190)/('DATA SECTION'!$C$3+'DATA SECTION'!$C$4+'DATA SECTION'!$C$5)</f>
        <v>71.302259272455402</v>
      </c>
      <c r="XB3" s="205">
        <f>(XB34+XB47+XB60+XB73+XB86+XB99+XB112+XB125+XB138+XB151+XB164+XB177+XB190)/('DATA SECTION'!$C$3+'DATA SECTION'!$C$4+'DATA SECTION'!$C$5)</f>
        <v>72.60358578765657</v>
      </c>
      <c r="XC3" s="205">
        <f>(XC34+XC47+XC60+XC73+XC86+XC99+XC112+XC125+XC138+XC151+XC164+XC177+XC190)/('DATA SECTION'!$C$3+'DATA SECTION'!$C$4+'DATA SECTION'!$C$5)</f>
        <v>73.912087220717751</v>
      </c>
      <c r="XD3" s="205">
        <f>(XD34+XD47+XD60+XD73+XD86+XD99+XD112+XD125+XD138+XD151+XD164+XD177+XD190)/('DATA SECTION'!$C$3+'DATA SECTION'!$C$4+'DATA SECTION'!$C$5)</f>
        <v>75.226052823917456</v>
      </c>
      <c r="XE3" s="205">
        <f>(XE34+XE47+XE60+XE73+XE86+XE99+XE112+XE125+XE138+XE151+XE164+XE177+XE190)/('DATA SECTION'!$C$3+'DATA SECTION'!$C$4+'DATA SECTION'!$C$5)</f>
        <v>76.557565391523042</v>
      </c>
      <c r="XF3" s="205">
        <f>(XF34+XF47+XF60+XF73+XF86+XF99+XF112+XF125+XF138+XF151+XF164+XF177+XF190)/('DATA SECTION'!$C$3+'DATA SECTION'!$C$4+'DATA SECTION'!$C$5)</f>
        <v>77.909187917753556</v>
      </c>
      <c r="XG3" s="205">
        <f>(XG34+XG47+XG60+XG73+XG86+XG99+XG112+XG125+XG138+XG151+XG164+XG177+XG190)/('DATA SECTION'!$C$3+'DATA SECTION'!$C$4+'DATA SECTION'!$C$5)</f>
        <v>79.277927416942632</v>
      </c>
      <c r="XH3" s="205">
        <f>(XH34+XH47+XH60+XH73+XH86+XH99+XH112+XH125+XH138+XH151+XH164+XH177+XH190)/('DATA SECTION'!$C$3+'DATA SECTION'!$C$4+'DATA SECTION'!$C$5)</f>
        <v>80.660019947003974</v>
      </c>
      <c r="XI3" s="205">
        <f>(XI34+XI47+XI60+XI73+XI86+XI99+XI112+XI125+XI138+XI151+XI164+XI177+XI190)/('DATA SECTION'!$C$3+'DATA SECTION'!$C$4+'DATA SECTION'!$C$5)</f>
        <v>82.051505431046976</v>
      </c>
      <c r="XJ3" s="205">
        <f>(XJ34+XJ47+XJ60+XJ73+XJ86+XJ99+XJ112+XJ125+XJ138+XJ151+XJ164+XJ177+XJ190)/('DATA SECTION'!$C$3+'DATA SECTION'!$C$4+'DATA SECTION'!$C$5)</f>
        <v>83.447248953180164</v>
      </c>
      <c r="XK3" s="205">
        <f>(XK34+XK47+XK60+XK73+XK86+XK99+XK112+XK125+XK138+XK151+XK164+XK177+XK190)/('DATA SECTION'!$C$3+'DATA SECTION'!$C$4+'DATA SECTION'!$C$5)</f>
        <v>84.864872271690629</v>
      </c>
      <c r="XL3" s="205">
        <f>(XL34+XL47+XL60+XL73+XL86+XL99+XL112+XL125+XL138+XL151+XL164+XL177+XL190)/('DATA SECTION'!$C$3+'DATA SECTION'!$C$4+'DATA SECTION'!$C$5)</f>
        <v>86.294326769669723</v>
      </c>
      <c r="XM3" s="205">
        <f>(XM34+XM47+XM60+XM73+XM86+XM99+XM112+XM125+XM138+XM151+XM164+XM177+XM190)/('DATA SECTION'!$C$3+'DATA SECTION'!$C$4+'DATA SECTION'!$C$5)</f>
        <v>87.731123873948206</v>
      </c>
      <c r="XN3" s="205">
        <f>(XN34+XN47+XN60+XN73+XN86+XN99+XN112+XN125+XN138+XN151+XN164+XN177+XN190)/('DATA SECTION'!$C$3+'DATA SECTION'!$C$4+'DATA SECTION'!$C$5)</f>
        <v>89.178419873131546</v>
      </c>
      <c r="XO3" s="205">
        <f>(XO34+XO47+XO60+XO73+XO86+XO99+XO112+XO125+XO138+XO151+XO164+XO177+XO190)/('DATA SECTION'!$C$3+'DATA SECTION'!$C$4+'DATA SECTION'!$C$5)</f>
        <v>90.64306498522626</v>
      </c>
      <c r="XP3" s="205">
        <f>(XP34+XP47+XP60+XP73+XP86+XP99+XP112+XP125+XP138+XP151+XP164+XP177+XP190)/('DATA SECTION'!$C$3+'DATA SECTION'!$C$4+'DATA SECTION'!$C$5)</f>
        <v>92.125663588312207</v>
      </c>
      <c r="XQ3" s="205">
        <f>(XQ34+XQ47+XQ60+XQ73+XQ86+XQ99+XQ112+XQ125+XQ138+XQ151+XQ164+XQ177+XQ190)/('DATA SECTION'!$C$3+'DATA SECTION'!$C$4+'DATA SECTION'!$C$5)</f>
        <v>93.612964057219898</v>
      </c>
      <c r="XR3" s="205">
        <f>(XR34+XR47+XR60+XR73+XR86+XR99+XR112+XR125+XR138+XR151+XR164+XR177+XR190)/('DATA SECTION'!$C$3+'DATA SECTION'!$C$4+'DATA SECTION'!$C$5)</f>
        <v>87.710947501437005</v>
      </c>
      <c r="XS3" s="205">
        <f>(XS34+XS47+XS60+XS73+XS86+XS99+XS112+XS125+XS138+XS151+XS164+XS177+XS190)/('DATA SECTION'!$C$3+'DATA SECTION'!$C$4+'DATA SECTION'!$C$5)</f>
        <v>89.146445134112795</v>
      </c>
      <c r="XT3" s="205">
        <f>(XT34+XT47+XT60+XT73+XT86+XT99+XT112+XT125+XT138+XT151+XT164+XT177+XT190)/('DATA SECTION'!$C$3+'DATA SECTION'!$C$4+'DATA SECTION'!$C$5)</f>
        <v>83.017800950316698</v>
      </c>
      <c r="XU3" s="205">
        <f>(XU34+XU47+XU60+XU73+XU86+XU99+XU112+XU125+XU138+XU151+XU164+XU177+XU190)/('DATA SECTION'!$C$3+'DATA SECTION'!$C$4+'DATA SECTION'!$C$5)</f>
        <v>84.405401745816832</v>
      </c>
      <c r="XV3" s="205">
        <f>(XV34+XV47+XV60+XV73+XV86+XV99+XV112+XV125+XV138+XV151+XV164+XV177+XV190)/('DATA SECTION'!$C$3+'DATA SECTION'!$C$4+'DATA SECTION'!$C$5)</f>
        <v>85.803773393918334</v>
      </c>
      <c r="XW3" s="205">
        <f>(XW34+XW47+XW60+XW73+XW86+XW99+XW112+XW125+XW138+XW151+XW164+XW177+XW190)/('DATA SECTION'!$C$3+'DATA SECTION'!$C$4+'DATA SECTION'!$C$5)</f>
        <v>87.21768326774216</v>
      </c>
      <c r="XX3" s="205">
        <f>(XX34+XX47+XX60+XX73+XX86+XX99+XX112+XX125+XX138+XX151+XX164+XX177+XX190)/('DATA SECTION'!$C$3+'DATA SECTION'!$C$4+'DATA SECTION'!$C$5)</f>
        <v>88.640449447650212</v>
      </c>
      <c r="XY3" s="205">
        <f>(XY34+XY47+XY60+XY73+XY86+XY99+XY112+XY125+XY138+XY151+XY164+XY177+XY190)/('DATA SECTION'!$C$3+'DATA SECTION'!$C$4+'DATA SECTION'!$C$5)</f>
        <v>82.066340242816437</v>
      </c>
      <c r="XZ3" s="205">
        <f>(XZ34+XZ47+XZ60+XZ73+XZ86+XZ99+XZ112+XZ125+XZ138+XZ151+XZ164+XZ177+XZ190)/('DATA SECTION'!$C$3+'DATA SECTION'!$C$4+'DATA SECTION'!$C$5)</f>
        <v>83.437374914367325</v>
      </c>
      <c r="YA3" s="205">
        <f>(YA34+YA47+YA60+YA73+YA86+YA99+YA112+YA125+YA138+YA151+YA164+YA177+YA190)/('DATA SECTION'!$C$3+'DATA SECTION'!$C$4+'DATA SECTION'!$C$5)</f>
        <v>76.638147509826283</v>
      </c>
      <c r="YB3" s="205">
        <f>(YB34+YB47+YB60+YB73+YB86+YB99+YB112+YB125+YB138+YB151+YB164+YB177+YB190)/('DATA SECTION'!$C$3+'DATA SECTION'!$C$4+'DATA SECTION'!$C$5)</f>
        <v>77.956523424280732</v>
      </c>
      <c r="YC3" s="205">
        <f>(YC34+YC47+YC60+YC73+YC86+YC99+YC112+YC125+YC138+YC151+YC164+YC177+YC190)/('DATA SECTION'!$C$3+'DATA SECTION'!$C$4+'DATA SECTION'!$C$5)</f>
        <v>79.290767956927411</v>
      </c>
      <c r="YD3" s="205">
        <f>(YD34+YD47+YD60+YD73+YD86+YD99+YD112+YD125+YD138+YD151+YD164+YD177+YD190)/('DATA SECTION'!$C$3+'DATA SECTION'!$C$4+'DATA SECTION'!$C$5)</f>
        <v>80.635291317261448</v>
      </c>
      <c r="YE3" s="205">
        <f>(YE34+YE47+YE60+YE73+YE86+YE99+YE112+YE125+YE138+YE151+YE164+YE177+YE190)/('DATA SECTION'!$C$3+'DATA SECTION'!$C$4+'DATA SECTION'!$C$5)</f>
        <v>81.991879750266264</v>
      </c>
      <c r="YF3" s="205">
        <f>(YF34+YF47+YF60+YF73+YF86+YF99+YF112+YF125+YF138+YF151+YF164+YF177+YF190)/('DATA SECTION'!$C$3+'DATA SECTION'!$C$4+'DATA SECTION'!$C$5)</f>
        <v>74.752313947129679</v>
      </c>
      <c r="YG3" s="205">
        <f>(YG34+YG47+YG60+YG73+YG86+YG99+YG112+YG125+YG138+YG151+YG164+YG177+YG190)/('DATA SECTION'!$C$3+'DATA SECTION'!$C$4+'DATA SECTION'!$C$5)</f>
        <v>76.049937368526827</v>
      </c>
      <c r="YH3" s="205">
        <f>(YH34+YH47+YH60+YH73+YH86+YH99+YH112+YH125+YH138+YH151+YH164+YH177+YH190)/('DATA SECTION'!$C$3+'DATA SECTION'!$C$4+'DATA SECTION'!$C$5)</f>
        <v>68.558341353713118</v>
      </c>
      <c r="YI3" s="205">
        <f>(YI34+YI47+YI60+YI73+YI86+YI99+YI112+YI125+YI138+YI151+YI164+YI177+YI190)/('DATA SECTION'!$C$3+'DATA SECTION'!$C$4+'DATA SECTION'!$C$5)</f>
        <v>69.801047500982733</v>
      </c>
      <c r="YJ3" s="205">
        <f>(YJ34+YJ47+YJ60+YJ73+YJ86+YJ99+YJ112+YJ125+YJ138+YJ151+YJ164+YJ177+YJ190)/('DATA SECTION'!$C$3+'DATA SECTION'!$C$4+'DATA SECTION'!$C$5)</f>
        <v>71.050100127315645</v>
      </c>
      <c r="YK3" s="205">
        <f>(YK34+YK47+YK60+YK73+YK86+YK99+YK112+YK125+YK138+YK151+YK164+YK177+YK190)/('DATA SECTION'!$C$3+'DATA SECTION'!$C$4+'DATA SECTION'!$C$5)</f>
        <v>72.313571878887174</v>
      </c>
      <c r="YL3" s="205">
        <f>(YL34+YL47+YL60+YL73+YL86+YL99+YL112+YL125+YL138+YL151+YL164+YL177+YL190)/('DATA SECTION'!$C$3+'DATA SECTION'!$C$4+'DATA SECTION'!$C$5)</f>
        <v>73.588934852083739</v>
      </c>
      <c r="YM3" s="205">
        <f>(YM34+YM47+YM60+YM73+YM86+YM99+YM112+YM125+YM138+YM151+YM164+YM177+YM190)/('DATA SECTION'!$C$3+'DATA SECTION'!$C$4+'DATA SECTION'!$C$5)</f>
        <v>65.606500736807931</v>
      </c>
      <c r="YN3" s="205">
        <f>(YN34+YN47+YN60+YN73+YN86+YN99+YN112+YN125+YN138+YN151+YN164+YN177+YN190)/('DATA SECTION'!$C$3+'DATA SECTION'!$C$4+'DATA SECTION'!$C$5)</f>
        <v>66.807872883282499</v>
      </c>
      <c r="YO3" s="205">
        <f>(YO34+YO47+YO60+YO73+YO86+YO99+YO112+YO125+YO138+YO151+YO164+YO177+YO190)/('DATA SECTION'!$C$3+'DATA SECTION'!$C$4+'DATA SECTION'!$C$5)</f>
        <v>58.407747163914372</v>
      </c>
      <c r="YP3" s="205">
        <f>(YP34+YP47+YP60+YP73+YP86+YP99+YP112+YP125+YP138+YP151+YP164+YP177+YP190)/('DATA SECTION'!$C$3+'DATA SECTION'!$C$4+'DATA SECTION'!$C$5)</f>
        <v>58.310100723597024</v>
      </c>
      <c r="YQ3" s="205">
        <f>(YQ34+YQ47+YQ60+YQ73+YQ86+YQ99+YQ112+YQ125+YQ138+YQ151+YQ164+YQ177+YQ190)/('DATA SECTION'!$C$3+'DATA SECTION'!$C$4+'DATA SECTION'!$C$5)</f>
        <v>59.420120479101072</v>
      </c>
      <c r="YR3" s="205">
        <f>(YR34+YR47+YR60+YR73+YR86+YR99+YR112+YR125+YR138+YR151+YR164+YR177+YR190)/('DATA SECTION'!$C$3+'DATA SECTION'!$C$4+'DATA SECTION'!$C$5)</f>
        <v>60.530383327050735</v>
      </c>
      <c r="YS3" s="205">
        <f>(YS34+YS47+YS60+YS73+YS86+YS99+YS112+YS125+YS138+YS151+YS164+YS177+YS190)/('DATA SECTION'!$C$3+'DATA SECTION'!$C$4+'DATA SECTION'!$C$5)</f>
        <v>61.646860286460758</v>
      </c>
      <c r="YT3" s="205">
        <f>(YT34+YT47+YT60+YT73+YT86+YT99+YT112+YT125+YT138+YT151+YT164+YT177+YT190)/('DATA SECTION'!$C$3+'DATA SECTION'!$C$4+'DATA SECTION'!$C$5)</f>
        <v>62.773181994327416</v>
      </c>
      <c r="YU3" s="205">
        <f>(YU34+YU47+YU60+YU73+YU86+YU99+YU112+YU125+YU138+YU151+YU164+YU177+YU190)/('DATA SECTION'!$C$3+'DATA SECTION'!$C$4+'DATA SECTION'!$C$5)</f>
        <v>63.893691253684629</v>
      </c>
      <c r="YV3" s="205">
        <f>(YV34+YV47+YV60+YV73+YV86+YV99+YV112+YV125+YV138+YV151+YV164+YV177+YV190)/('DATA SECTION'!$C$3+'DATA SECTION'!$C$4+'DATA SECTION'!$C$5)</f>
        <v>65.020402916848525</v>
      </c>
      <c r="YW3" s="205">
        <f>(YW34+YW47+YW60+YW73+YW86+YW99+YW112+YW125+YW138+YW151+YW164+YW177+YW190)/('DATA SECTION'!$C$3+'DATA SECTION'!$C$4+'DATA SECTION'!$C$5)</f>
        <v>66.160372313969759</v>
      </c>
      <c r="YX3" s="205">
        <f>(YX34+YX47+YX60+YX73+YX86+YX99+YX112+YX125+YX138+YX151+YX164+YX177+YX190)/('DATA SECTION'!$C$3+'DATA SECTION'!$C$4+'DATA SECTION'!$C$5)</f>
        <v>67.307909923850019</v>
      </c>
      <c r="YY3" s="205">
        <f>(YY34+YY47+YY60+YY73+YY86+YY99+YY112+YY125+YY138+YY151+YY164+YY177+YY190)/('DATA SECTION'!$C$3+'DATA SECTION'!$C$4+'DATA SECTION'!$C$5)</f>
        <v>68.455348823418888</v>
      </c>
      <c r="YZ3" s="205">
        <f>(YZ34+YZ47+YZ60+YZ73+YZ86+YZ99+YZ112+YZ125+YZ138+YZ151+YZ164+YZ177+YZ190)/('DATA SECTION'!$C$3+'DATA SECTION'!$C$4+'DATA SECTION'!$C$5)</f>
        <v>69.609067111941556</v>
      </c>
      <c r="ZA3" s="205">
        <f>(ZA34+ZA47+ZA60+ZA73+ZA86+ZA99+ZA112+ZA125+ZA138+ZA151+ZA164+ZA177+ZA190)/('DATA SECTION'!$C$3+'DATA SECTION'!$C$4+'DATA SECTION'!$C$5)</f>
        <v>70.765907896112211</v>
      </c>
      <c r="ZB3" s="205">
        <f>(ZB34+ZB47+ZB60+ZB73+ZB86+ZB99+ZB112+ZB125+ZB138+ZB151+ZB164+ZB177+ZB190)/('DATA SECTION'!$C$3+'DATA SECTION'!$C$4+'DATA SECTION'!$C$5)</f>
        <v>71.919431826986482</v>
      </c>
      <c r="ZC3" s="205">
        <f>(ZC34+ZC47+ZC60+ZC73+ZC86+ZC99+ZC112+ZC125+ZC138+ZC151+ZC164+ZC177+ZC190)/('DATA SECTION'!$C$3+'DATA SECTION'!$C$4+'DATA SECTION'!$C$5)</f>
        <v>73.070130353827693</v>
      </c>
      <c r="ZD3" s="205">
        <f>(ZD34+ZD47+ZD60+ZD73+ZD86+ZD99+ZD112+ZD125+ZD138+ZD151+ZD164+ZD177+ZD190)/('DATA SECTION'!$C$3+'DATA SECTION'!$C$4+'DATA SECTION'!$C$5)</f>
        <v>74.227119230329947</v>
      </c>
      <c r="ZE3" s="205">
        <f>(ZE34+ZE47+ZE60+ZE73+ZE86+ZE99+ZE112+ZE125+ZE138+ZE151+ZE164+ZE177+ZE190)/('DATA SECTION'!$C$3+'DATA SECTION'!$C$4+'DATA SECTION'!$C$5)</f>
        <v>75.395839320748095</v>
      </c>
      <c r="ZF3" s="205">
        <f>(ZF34+ZF47+ZF60+ZF73+ZF86+ZF99+ZF112+ZF125+ZF138+ZF151+ZF164+ZF177+ZF190)/('DATA SECTION'!$C$3+'DATA SECTION'!$C$4+'DATA SECTION'!$C$5)</f>
        <v>76.570159144594612</v>
      </c>
      <c r="ZG3" s="205">
        <f>(ZG34+ZG47+ZG60+ZG73+ZG86+ZG99+ZG112+ZG125+ZG138+ZG151+ZG164+ZG177+ZG190)/('DATA SECTION'!$C$3+'DATA SECTION'!$C$4+'DATA SECTION'!$C$5)</f>
        <v>77.749641839166316</v>
      </c>
      <c r="ZH3" s="205">
        <f>(ZH34+ZH47+ZH60+ZH73+ZH86+ZH99+ZH112+ZH125+ZH138+ZH151+ZH164+ZH177+ZH190)/('DATA SECTION'!$C$3+'DATA SECTION'!$C$4+'DATA SECTION'!$C$5)</f>
        <v>78.926590879831565</v>
      </c>
      <c r="ZI3" s="205">
        <f>(ZI34+ZI47+ZI60+ZI73+ZI86+ZI99+ZI112+ZI125+ZI138+ZI151+ZI164+ZI177+ZI190)/('DATA SECTION'!$C$3+'DATA SECTION'!$C$4+'DATA SECTION'!$C$5)</f>
        <v>80.099098318712308</v>
      </c>
      <c r="ZJ3" s="205">
        <f>(ZJ34+ZJ47+ZJ60+ZJ73+ZJ86+ZJ99+ZJ112+ZJ125+ZJ138+ZJ151+ZJ164+ZJ177+ZJ190)/('DATA SECTION'!$C$3+'DATA SECTION'!$C$4+'DATA SECTION'!$C$5)</f>
        <v>81.281200166029421</v>
      </c>
      <c r="ZK3" s="205">
        <f>(ZK34+ZK47+ZK60+ZK73+ZK86+ZK99+ZK112+ZK125+ZK138+ZK151+ZK164+ZK177+ZK190)/('DATA SECTION'!$C$3+'DATA SECTION'!$C$4+'DATA SECTION'!$C$5)</f>
        <v>82.466413626653448</v>
      </c>
      <c r="ZL3" s="205">
        <f>(ZL34+ZL47+ZL60+ZL73+ZL86+ZL99+ZL112+ZL125+ZL138+ZL151+ZL164+ZL177+ZL190)/('DATA SECTION'!$C$3+'DATA SECTION'!$C$4+'DATA SECTION'!$C$5)</f>
        <v>83.647035005206988</v>
      </c>
      <c r="ZM3" s="205">
        <f>(ZM34+ZM47+ZM60+ZM73+ZM86+ZM99+ZM112+ZM125+ZM138+ZM151+ZM164+ZM177+ZM190)/('DATA SECTION'!$C$3+'DATA SECTION'!$C$4+'DATA SECTION'!$C$5)</f>
        <v>84.829607789534649</v>
      </c>
      <c r="ZN3" s="205">
        <f>(ZN34+ZN47+ZN60+ZN73+ZN86+ZN99+ZN112+ZN125+ZN138+ZN151+ZN164+ZN177+ZN190)/('DATA SECTION'!$C$3+'DATA SECTION'!$C$4+'DATA SECTION'!$C$5)</f>
        <v>86.016983185753972</v>
      </c>
      <c r="ZO3" s="205">
        <f>(ZO34+ZO47+ZO60+ZO73+ZO86+ZO99+ZO112+ZO125+ZO138+ZO151+ZO164+ZO177+ZO190)/('DATA SECTION'!$C$3+'DATA SECTION'!$C$4+'DATA SECTION'!$C$5)</f>
        <v>87.20883955695794</v>
      </c>
      <c r="ZP3" s="205">
        <f>(ZP34+ZP47+ZP60+ZP73+ZP86+ZP99+ZP112+ZP125+ZP138+ZP151+ZP164+ZP177+ZP190)/('DATA SECTION'!$C$3+'DATA SECTION'!$C$4+'DATA SECTION'!$C$5)</f>
        <v>88.39628714538631</v>
      </c>
      <c r="ZQ3" s="205">
        <f>(ZQ34+ZQ47+ZQ60+ZQ73+ZQ86+ZQ99+ZQ112+ZQ125+ZQ138+ZQ151+ZQ164+ZQ177+ZQ190)/('DATA SECTION'!$C$3+'DATA SECTION'!$C$4+'DATA SECTION'!$C$5)</f>
        <v>82.180802809796845</v>
      </c>
      <c r="ZR3" s="205">
        <f>(ZR34+ZR47+ZR60+ZR73+ZR86+ZR99+ZR112+ZR125+ZR138+ZR151+ZR164+ZR177+ZR190)/('DATA SECTION'!$C$3+'DATA SECTION'!$C$4+'DATA SECTION'!$C$5)</f>
        <v>83.293925537212886</v>
      </c>
      <c r="ZS3" s="205">
        <f>(ZS34+ZS47+ZS60+ZS73+ZS86+ZS99+ZS112+ZS125+ZS138+ZS151+ZS164+ZS177+ZS190)/('DATA SECTION'!$C$3+'DATA SECTION'!$C$4+'DATA SECTION'!$C$5)</f>
        <v>76.829277875383013</v>
      </c>
      <c r="ZT3" s="205">
        <f>(ZT34+ZT47+ZT60+ZT73+ZT86+ZT99+ZT112+ZT125+ZT138+ZT151+ZT164+ZT177+ZT190)/('DATA SECTION'!$C$3+'DATA SECTION'!$C$4+'DATA SECTION'!$C$5)</f>
        <v>77.867045101764845</v>
      </c>
      <c r="ZU3" s="205">
        <f>(ZU34+ZU47+ZU60+ZU73+ZU86+ZU99+ZU112+ZU125+ZU138+ZU151+ZU164+ZU177+ZU190)/('DATA SECTION'!$C$3+'DATA SECTION'!$C$4+'DATA SECTION'!$C$5)</f>
        <v>78.907038998738741</v>
      </c>
      <c r="ZV3" s="205">
        <f>(ZV34+ZV47+ZV60+ZV73+ZV86+ZV99+ZV112+ZV125+ZV138+ZV151+ZV164+ZV177+ZV190)/('DATA SECTION'!$C$3+'DATA SECTION'!$C$4+'DATA SECTION'!$C$5)</f>
        <v>79.948925025912445</v>
      </c>
      <c r="ZW3" s="205">
        <f>(ZW34+ZW47+ZW60+ZW73+ZW86+ZW99+ZW112+ZW125+ZW138+ZW151+ZW164+ZW177+ZW190)/('DATA SECTION'!$C$3+'DATA SECTION'!$C$4+'DATA SECTION'!$C$5)</f>
        <v>80.985920297391786</v>
      </c>
      <c r="ZX3" s="205">
        <f>(ZX34+ZX47+ZX60+ZX73+ZX86+ZX99+ZX112+ZX125+ZX138+ZX151+ZX164+ZX177+ZX190)/('DATA SECTION'!$C$3+'DATA SECTION'!$C$4+'DATA SECTION'!$C$5)</f>
        <v>74.018149593401873</v>
      </c>
      <c r="ZY3" s="205">
        <f>(ZY34+ZY47+ZY60+ZY73+ZY86+ZY99+ZY112+ZY125+ZY138+ZY151+ZY164+ZY177+ZY190)/('DATA SECTION'!$C$3+'DATA SECTION'!$C$4+'DATA SECTION'!$C$5)</f>
        <v>74.982175766396651</v>
      </c>
      <c r="ZZ3" s="205">
        <f>(ZZ34+ZZ47+ZZ60+ZZ73+ZZ86+ZZ99+ZZ112+ZZ125+ZZ138+ZZ151+ZZ164+ZZ177+ZZ190)/('DATA SECTION'!$C$3+'DATA SECTION'!$C$4+'DATA SECTION'!$C$5)</f>
        <v>67.769953564036413</v>
      </c>
      <c r="AAA3" s="205">
        <f>(AAA34+AAA47+AAA60+AAA73+AAA86+AAA99+AAA112+AAA125+AAA138+AAA151+AAA164+AAA177+AAA190)/('DATA SECTION'!$C$3+'DATA SECTION'!$C$4+'DATA SECTION'!$C$5)</f>
        <v>68.662656169092955</v>
      </c>
      <c r="AAB3" s="205">
        <f>(AAB34+AAB47+AAB60+AAB73+AAB86+AAB99+AAB112+AAB125+AAB138+AAB151+AAB164+AAB177+AAB190)/('DATA SECTION'!$C$3+'DATA SECTION'!$C$4+'DATA SECTION'!$C$5)</f>
        <v>69.559958041207011</v>
      </c>
      <c r="AAC3" s="205">
        <f>(AAC34+AAC47+AAC60+AAC73+AAC86+AAC99+AAC112+AAC125+AAC138+AAC151+AAC164+AAC177+AAC190)/('DATA SECTION'!$C$3+'DATA SECTION'!$C$4+'DATA SECTION'!$C$5)</f>
        <v>70.461729550375765</v>
      </c>
      <c r="AAD3" s="205">
        <f>(AAD34+AAD47+AAD60+AAD73+AAD86+AAD99+AAD112+AAD125+AAD138+AAD151+AAD164+AAD177+AAD190)/('DATA SECTION'!$C$3+'DATA SECTION'!$C$4+'DATA SECTION'!$C$5)</f>
        <v>71.363898891126354</v>
      </c>
      <c r="AAE3" s="205">
        <f>(AAE34+AAE47+AAE60+AAE73+AAE86+AAE99+AAE112+AAE125+AAE138+AAE151+AAE164+AAE177+AAE190)/('DATA SECTION'!$C$3+'DATA SECTION'!$C$4+'DATA SECTION'!$C$5)</f>
        <v>63.659949368783458</v>
      </c>
      <c r="AAF3" s="205">
        <f>(AAF34+AAF47+AAF60+AAF73+AAF86+AAF99+AAF112+AAF125+AAF138+AAF151+AAF164+AAF177+AAF190)/('DATA SECTION'!$C$3+'DATA SECTION'!$C$4+'DATA SECTION'!$C$5)</f>
        <v>64.488958374295407</v>
      </c>
      <c r="AAG3" s="205">
        <f>(AAG34+AAG47+AAG60+AAG73+AAG86+AAG99+AAG112+AAG125+AAG138+AAG151+AAG164+AAG177+AAG190)/('DATA SECTION'!$C$3+'DATA SECTION'!$C$4+'DATA SECTION'!$C$5)</f>
        <v>56.520036459637687</v>
      </c>
      <c r="AAH3" s="205">
        <f>(AAH34+AAH47+AAH60+AAH73+AAH86+AAH99+AAH112+AAH125+AAH138+AAH151+AAH164+AAH177+AAH190)/('DATA SECTION'!$C$3+'DATA SECTION'!$C$4+'DATA SECTION'!$C$5)</f>
        <v>57.275603529412791</v>
      </c>
      <c r="AAI3" s="205">
        <f>(AAI34+AAI47+AAI60+AAI73+AAI86+AAI99+AAI112+AAI125+AAI138+AAI151+AAI164+AAI177+AAI190)/('DATA SECTION'!$C$3+'DATA SECTION'!$C$4+'DATA SECTION'!$C$5)</f>
        <v>58.035148264316241</v>
      </c>
      <c r="AAJ3" s="205">
        <f>(AAJ34+AAJ47+AAJ60+AAJ73+AAJ86+AAJ99+AAJ112+AAJ125+AAJ138+AAJ151+AAJ164+AAJ177+AAJ190)/('DATA SECTION'!$C$3+'DATA SECTION'!$C$4+'DATA SECTION'!$C$5)</f>
        <v>58.800534290536227</v>
      </c>
      <c r="AAK3" s="205">
        <f>(AAK34+AAK47+AAK60+AAK73+AAK86+AAK99+AAK112+AAK125+AAK138+AAK151+AAK164+AAK177+AAK190)/('DATA SECTION'!$C$3+'DATA SECTION'!$C$4+'DATA SECTION'!$C$5)</f>
        <v>59.569706180017796</v>
      </c>
      <c r="AAL3" s="205">
        <f>(AAL34+AAL47+AAL60+AAL73+AAL86+AAL99+AAL112+AAL125+AAL138+AAL151+AAL164+AAL177+AAL190)/('DATA SECTION'!$C$3+'DATA SECTION'!$C$4+'DATA SECTION'!$C$5)</f>
        <v>51.080710602058005</v>
      </c>
      <c r="AAM3" s="205">
        <f>(AAM34+AAM47+AAM60+AAM73+AAM86+AAM99+AAM112+AAM125+AAM138+AAM151+AAM164+AAM177+AAM190)/('DATA SECTION'!$C$3+'DATA SECTION'!$C$4+'DATA SECTION'!$C$5)</f>
        <v>51.768838163771427</v>
      </c>
      <c r="AAN3" s="205">
        <f>(AAN34+AAN47+AAN60+AAN73+AAN86+AAN99+AAN112+AAN125+AAN138+AAN151+AAN164+AAN177+AAN190)/('DATA SECTION'!$C$3+'DATA SECTION'!$C$4+'DATA SECTION'!$C$5)</f>
        <v>42.856593735796793</v>
      </c>
      <c r="AAO3" s="205">
        <f>(AAO34+AAO47+AAO60+AAO73+AAO86+AAO99+AAO112+AAO125+AAO138+AAO151+AAO164+AAO177+AAO190)/('DATA SECTION'!$C$3+'DATA SECTION'!$C$4+'DATA SECTION'!$C$5)</f>
        <v>42.790049602335671</v>
      </c>
      <c r="AAP3" s="205">
        <f>(AAP34+AAP47+AAP60+AAP73+AAP86+AAP99+AAP112+AAP125+AAP138+AAP151+AAP164+AAP177+AAP190)/('DATA SECTION'!$C$3+'DATA SECTION'!$C$4+'DATA SECTION'!$C$5)</f>
        <v>43.396076118796657</v>
      </c>
      <c r="AAQ3" s="205">
        <f>(AAQ34+AAQ47+AAQ60+AAQ73+AAQ86+AAQ99+AAQ112+AAQ125+AAQ138+AAQ151+AAQ164+AAQ177+AAQ190)/('DATA SECTION'!$C$3+'DATA SECTION'!$C$4+'DATA SECTION'!$C$5)</f>
        <v>44.005639606604866</v>
      </c>
      <c r="AAR3" s="205">
        <f>(AAR34+AAR47+AAR60+AAR73+AAR86+AAR99+AAR112+AAR125+AAR138+AAR151+AAR164+AAR177+AAR190)/('DATA SECTION'!$C$3+'DATA SECTION'!$C$4+'DATA SECTION'!$C$5)</f>
        <v>44.618648400194544</v>
      </c>
      <c r="AAS3" s="205">
        <f>(AAS34+AAS47+AAS60+AAS73+AAS86+AAS99+AAS112+AAS125+AAS138+AAS151+AAS164+AAS177+AAS190)/('DATA SECTION'!$C$3+'DATA SECTION'!$C$4+'DATA SECTION'!$C$5)</f>
        <v>45.235008333908866</v>
      </c>
      <c r="AAT3" s="205">
        <f>(AAT34+AAT47+AAT60+AAT73+AAT86+AAT99+AAT112+AAT125+AAT138+AAT151+AAT164+AAT177+AAT190)/('DATA SECTION'!$C$3+'DATA SECTION'!$C$4+'DATA SECTION'!$C$5)</f>
        <v>45.846460860353424</v>
      </c>
      <c r="AAU3" s="205">
        <f>(AAU34+AAU47+AAU60+AAU73+AAU86+AAU99+AAU112+AAU125+AAU138+AAU151+AAU164+AAU177+AAU190)/('DATA SECTION'!$C$3+'DATA SECTION'!$C$4+'DATA SECTION'!$C$5)</f>
        <v>46.460908830045064</v>
      </c>
      <c r="AAV3" s="205">
        <f>(AAV34+AAV47+AAV60+AAV73+AAV86+AAV99+AAV112+AAV125+AAV138+AAV151+AAV164+AAV177+AAV190)/('DATA SECTION'!$C$3+'DATA SECTION'!$C$4+'DATA SECTION'!$C$5)</f>
        <v>47.083591815054625</v>
      </c>
      <c r="AAW3" s="205">
        <f>(AAW34+AAW47+AAW60+AAW73+AAW86+AAW99+AAW112+AAW125+AAW138+AAW151+AAW164+AAW177+AAW190)/('DATA SECTION'!$C$3+'DATA SECTION'!$C$4+'DATA SECTION'!$C$5)</f>
        <v>47.709208276413285</v>
      </c>
      <c r="AAX3" s="205">
        <f>(AAX34+AAX47+AAX60+AAX73+AAX86+AAX99+AAX112+AAX125+AAX138+AAX151+AAX164+AAX177+AAX190)/('DATA SECTION'!$C$3+'DATA SECTION'!$C$4+'DATA SECTION'!$C$5)</f>
        <v>48.337653709571555</v>
      </c>
      <c r="AAY3" s="205">
        <f>(AAY34+AAY47+AAY60+AAY73+AAY86+AAY99+AAY112+AAY125+AAY138+AAY151+AAY164+AAY177+AAY190)/('DATA SECTION'!$C$3+'DATA SECTION'!$C$4+'DATA SECTION'!$C$5)</f>
        <v>48.968821233871253</v>
      </c>
      <c r="AAZ3" s="205">
        <f>(AAZ34+AAZ47+AAZ60+AAZ73+AAZ86+AAZ99+AAZ112+AAZ125+AAZ138+AAZ151+AAZ164+AAZ177+AAZ190)/('DATA SECTION'!$C$3+'DATA SECTION'!$C$4+'DATA SECTION'!$C$5)</f>
        <v>49.602601609840669</v>
      </c>
      <c r="ABA3" s="205">
        <f>(ABA34+ABA47+ABA60+ABA73+ABA86+ABA99+ABA112+ABA125+ABA138+ABA151+ABA164+ABA177+ABA190)/('DATA SECTION'!$C$3+'DATA SECTION'!$C$4+'DATA SECTION'!$C$5)</f>
        <v>50.230525452947056</v>
      </c>
      <c r="ABB3" s="205">
        <f>(ABB34+ABB47+ABB60+ABB73+ABB86+ABB99+ABB112+ABB125+ABB138+ABB151+ABB164+ABB177+ABB190)/('DATA SECTION'!$C$3+'DATA SECTION'!$C$4+'DATA SECTION'!$C$5)</f>
        <v>50.8606902268113</v>
      </c>
      <c r="ABC3" s="205">
        <f>(ABC34+ABC47+ABC60+ABC73+ABC86+ABC99+ABC112+ABC125+ABC138+ABC151+ABC164+ABC177+ABC190)/('DATA SECTION'!$C$3+'DATA SECTION'!$C$4+'DATA SECTION'!$C$5)</f>
        <v>51.492981080312795</v>
      </c>
      <c r="ABD3" s="205">
        <f>(ABD34+ABD47+ABD60+ABD73+ABD86+ABD99+ABD112+ABD125+ABD138+ABD151+ABD164+ABD177+ABD190)/('DATA SECTION'!$C$3+'DATA SECTION'!$C$4+'DATA SECTION'!$C$5)</f>
        <v>52.133132458743049</v>
      </c>
      <c r="ABE3" s="205">
        <f>(ABE34+ABE47+ABE60+ABE73+ABE86+ABE99+ABE112+ABE125+ABE138+ABE151+ABE164+ABE177+ABE190)/('DATA SECTION'!$C$3+'DATA SECTION'!$C$4+'DATA SECTION'!$C$5)</f>
        <v>52.775317863121202</v>
      </c>
      <c r="ABF3" s="205">
        <f>(ABF34+ABF47+ABF60+ABF73+ABF86+ABF99+ABF112+ABF125+ABF138+ABF151+ABF164+ABF177+ABF190)/('DATA SECTION'!$C$3+'DATA SECTION'!$C$4+'DATA SECTION'!$C$5)</f>
        <v>53.41941662885975</v>
      </c>
      <c r="ABG3" s="205">
        <f>(ABG34+ABG47+ABG60+ABG73+ABG86+ABG99+ABG112+ABG125+ABG138+ABG151+ABG164+ABG177+ABG190)/('DATA SECTION'!$C$3+'DATA SECTION'!$C$4+'DATA SECTION'!$C$5)</f>
        <v>54.065305939008688</v>
      </c>
      <c r="ABH3" s="205">
        <f>(ABH34+ABH47+ABH60+ABH73+ABH86+ABH99+ABH112+ABH125+ABH138+ABH151+ABH164+ABH177+ABH190)/('DATA SECTION'!$C$3+'DATA SECTION'!$C$4+'DATA SECTION'!$C$5)</f>
        <v>54.704370004714725</v>
      </c>
      <c r="ABI3" s="205">
        <f>(ABI34+ABI47+ABI60+ABI73+ABI86+ABI99+ABI112+ABI125+ABI138+ABI151+ABI164+ABI177+ABI190)/('DATA SECTION'!$C$3+'DATA SECTION'!$C$4+'DATA SECTION'!$C$5)</f>
        <v>55.350987951287316</v>
      </c>
      <c r="ABJ3" s="205">
        <f>(ABJ34+ABJ47+ABJ60+ABJ73+ABJ86+ABJ99+ABJ112+ABJ125+ABJ138+ABJ151+ABJ164+ABJ177+ABJ190)/('DATA SECTION'!$C$3+'DATA SECTION'!$C$4+'DATA SECTION'!$C$5)</f>
        <v>55.999029855166427</v>
      </c>
      <c r="ABK3" s="205">
        <f>(ABK34+ABK47+ABK60+ABK73+ABK86+ABK99+ABK112+ABK125+ABK138+ABK151+ABK164+ABK177+ABK190)/('DATA SECTION'!$C$3+'DATA SECTION'!$C$4+'DATA SECTION'!$C$5)</f>
        <v>56.648366920453299</v>
      </c>
      <c r="ABL3" s="205">
        <f>(ABL34+ABL47+ABL60+ABL73+ABL86+ABL99+ABL112+ABL125+ABL138+ABL151+ABL164+ABL177+ABL190)/('DATA SECTION'!$C$3+'DATA SECTION'!$C$4+'DATA SECTION'!$C$5)</f>
        <v>57.298868392281427</v>
      </c>
      <c r="ABM3" s="205">
        <f>(ABM34+ABM47+ABM60+ABM73+ABM86+ABM99+ABM112+ABM125+ABM138+ABM151+ABM164+ABM177+ABM190)/('DATA SECTION'!$C$3+'DATA SECTION'!$C$4+'DATA SECTION'!$C$5)</f>
        <v>57.950401592427376</v>
      </c>
      <c r="ABN3" s="205">
        <f>(ABN34+ABN47+ABN60+ABN73+ABN86+ABN99+ABN112+ABN125+ABN138+ABN151+ABN164+ABN177+ABN190)/('DATA SECTION'!$C$3+'DATA SECTION'!$C$4+'DATA SECTION'!$C$5)</f>
        <v>58.60283195642301</v>
      </c>
      <c r="ABO3" s="205">
        <f>(ABO34+ABO47+ABO60+ABO73+ABO86+ABO99+ABO112+ABO125+ABO138+ABO151+ABO164+ABO177+ABO190)/('DATA SECTION'!$C$3+'DATA SECTION'!$C$4+'DATA SECTION'!$C$5)</f>
        <v>59.247463107943666</v>
      </c>
      <c r="ABP3" s="205">
        <f>(ABP34+ABP47+ABP60+ABP73+ABP86+ABP99+ABP112+ABP125+ABP138+ABP151+ABP164+ABP177+ABP190)/('DATA SECTION'!$C$3+'DATA SECTION'!$C$4+'DATA SECTION'!$C$5)</f>
        <v>52.493252313638088</v>
      </c>
      <c r="ABQ3" s="205">
        <f>(ABQ34+ABQ47+ABQ60+ABQ73+ABQ86+ABQ99+ABQ112+ABQ125+ABQ138+ABQ151+ABQ164+ABQ177+ABQ190)/('DATA SECTION'!$C$3+'DATA SECTION'!$C$4+'DATA SECTION'!$C$5)</f>
        <v>53.064845505497708</v>
      </c>
      <c r="ABR3" s="205">
        <f>(ABR34+ABR47+ABR60+ABR73+ABR86+ABR99+ABR112+ABR125+ABR138+ABR151+ABR164+ABR177+ABR190)/('DATA SECTION'!$C$3+'DATA SECTION'!$C$4+'DATA SECTION'!$C$5)</f>
        <v>46.056074403096957</v>
      </c>
      <c r="ABS3" s="205">
        <f>(ABS34+ABS47+ABS60+ABS73+ABS86+ABS99+ABS112+ABS125+ABS138+ABS151+ABS164+ABS177+ABS190)/('DATA SECTION'!$C$3+'DATA SECTION'!$C$4+'DATA SECTION'!$C$5)</f>
        <v>46.54733919673</v>
      </c>
      <c r="ABT3" s="205">
        <f>(ABT34+ABT47+ABT60+ABT73+ABT86+ABT99+ABT112+ABT125+ABT138+ABT151+ABT164+ABT177+ABT190)/('DATA SECTION'!$C$3+'DATA SECTION'!$C$4+'DATA SECTION'!$C$5)</f>
        <v>47.03867222158437</v>
      </c>
      <c r="ABU3" s="205">
        <f>(ABU34+ABU47+ABU60+ABU73+ABU86+ABU99+ABU112+ABU125+ABU138+ABU151+ABU164+ABU177+ABU190)/('DATA SECTION'!$C$3+'DATA SECTION'!$C$4+'DATA SECTION'!$C$5)</f>
        <v>47.529965020343127</v>
      </c>
      <c r="ABV3" s="205">
        <f>(ABV34+ABV47+ABV60+ABV73+ABV86+ABV99+ABV112+ABV125+ABV138+ABV151+ABV164+ABV177+ABV190)/('DATA SECTION'!$C$3+'DATA SECTION'!$C$4+'DATA SECTION'!$C$5)</f>
        <v>48.014666202089046</v>
      </c>
      <c r="ABW3" s="205">
        <f>(ABW34+ABW47+ABW60+ABW73+ABW86+ABW99+ABW112+ABW125+ABW138+ABW151+ABW164+ABW177+ABW190)/('DATA SECTION'!$C$3+'DATA SECTION'!$C$4+'DATA SECTION'!$C$5)</f>
        <v>40.496589566651316</v>
      </c>
      <c r="ABX3" s="205">
        <f>(ABX34+ABX47+ABX60+ABX73+ABX86+ABX99+ABX112+ABX125+ABX138+ABX151+ABX164+ABX177+ABX190)/('DATA SECTION'!$C$3+'DATA SECTION'!$C$4+'DATA SECTION'!$C$5)</f>
        <v>40.905115602059958</v>
      </c>
      <c r="ABY3" s="205">
        <f>(ABY34+ABY47+ABY60+ABY73+ABY86+ABY99+ABY112+ABY125+ABY138+ABY151+ABY164+ABY177+ABY190)/('DATA SECTION'!$C$3+'DATA SECTION'!$C$4+'DATA SECTION'!$C$5)</f>
        <v>33.132244624138849</v>
      </c>
      <c r="ABZ3" s="205">
        <f>(ABZ34+ABZ47+ABZ60+ABZ73+ABZ86+ABZ99+ABZ112+ABZ125+ABZ138+ABZ151+ABZ164+ABZ177+ABZ190)/('DATA SECTION'!$C$3+'DATA SECTION'!$C$4+'DATA SECTION'!$C$5)</f>
        <v>33.459197983177056</v>
      </c>
      <c r="ACA3" s="205">
        <f>(ACA34+ACA47+ACA60+ACA73+ACA86+ACA99+ACA112+ACA125+ACA138+ACA151+ACA164+ACA177+ACA190)/('DATA SECTION'!$C$3+'DATA SECTION'!$C$4+'DATA SECTION'!$C$5)</f>
        <v>33.785700926133778</v>
      </c>
      <c r="ACB3" s="205">
        <f>(ACB34+ACB47+ACB60+ACB73+ACB86+ACB99+ACB112+ACB125+ACB138+ACB151+ACB164+ACB177+ACB190)/('DATA SECTION'!$C$3+'DATA SECTION'!$C$4+'DATA SECTION'!$C$5)</f>
        <v>34.111677249355154</v>
      </c>
      <c r="ACC3" s="205">
        <f>(ACC34+ACC47+ACC60+ACC73+ACC86+ACC99+ACC112+ACC125+ACC138+ACC151+ACC164+ACC177+ACC190)/('DATA SECTION'!$C$3+'DATA SECTION'!$C$4+'DATA SECTION'!$C$5)</f>
        <v>34.440798706772014</v>
      </c>
      <c r="ACD3" s="205">
        <f>(ACD34+ACD47+ACD60+ACD73+ACD86+ACD99+ACD112+ACD125+ACD138+ACD151+ACD164+ACD177+ACD190)/('DATA SECTION'!$C$3+'DATA SECTION'!$C$4+'DATA SECTION'!$C$5)</f>
        <v>26.159111263897447</v>
      </c>
      <c r="ACE3" s="205">
        <f>(ACE34+ACE47+ACE60+ACE73+ACE86+ACE99+ACE112+ACE125+ACE138+ACE151+ACE164+ACE177+ACE190)/('DATA SECTION'!$C$3+'DATA SECTION'!$C$4+'DATA SECTION'!$C$5)</f>
        <v>26.405754312957054</v>
      </c>
      <c r="ACF3" s="205">
        <f>(ACF34+ACF47+ACF60+ACF73+ACF86+ACF99+ACF112+ACF125+ACF138+ACF151+ACF164+ACF177+ACF190)/('DATA SECTION'!$C$3+'DATA SECTION'!$C$4+'DATA SECTION'!$C$5)</f>
        <v>17.849903018059877</v>
      </c>
      <c r="ACG3" s="205">
        <f>(ACG34+ACG47+ACG60+ACG73+ACG86+ACG99+ACG112+ACG125+ACG138+ACG151+ACG164+ACG177+ACG190)/('DATA SECTION'!$C$3+'DATA SECTION'!$C$4+'DATA SECTION'!$C$5)</f>
        <v>18.014044517552033</v>
      </c>
      <c r="ACH3" s="205">
        <f>(ACH34+ACH47+ACH60+ACH73+ACH86+ACH99+ACH112+ACH125+ACH138+ACH151+ACH164+ACH177+ACH190)/('DATA SECTION'!$C$3+'DATA SECTION'!$C$4+'DATA SECTION'!$C$5)</f>
        <v>18.177737356863705</v>
      </c>
      <c r="ACI3" s="205">
        <f>(ACI34+ACI47+ACI60+ACI73+ACI86+ACI99+ACI112+ACI125+ACI138+ACI151+ACI164+ACI177+ACI190)/('DATA SECTION'!$C$3+'DATA SECTION'!$C$4+'DATA SECTION'!$C$5)</f>
        <v>18.342917665889122</v>
      </c>
      <c r="ACJ3" s="205">
        <f>(ACJ34+ACJ47+ACJ60+ACJ73+ACJ86+ACJ99+ACJ112+ACJ125+ACJ138+ACJ151+ACJ164+ACJ177+ACJ190)/('DATA SECTION'!$C$3+'DATA SECTION'!$C$4+'DATA SECTION'!$C$5)</f>
        <v>18.507605165802428</v>
      </c>
      <c r="ACK3" s="205">
        <f>(ACK34+ACK47+ACK60+ACK73+ACK86+ACK99+ACK112+ACK125+ACK138+ACK151+ACK164+ACK177+ACK190)/('DATA SECTION'!$C$3+'DATA SECTION'!$C$4+'DATA SECTION'!$C$5)</f>
        <v>9.4179569939370253</v>
      </c>
      <c r="ACL3" s="205">
        <f>(ACL34+ACL47+ACL60+ACL73+ACL86+ACL99+ACL112+ACL125+ACL138+ACL151+ACL164+ACL177+ACL190)/('DATA SECTION'!$C$3+'DATA SECTION'!$C$4+'DATA SECTION'!$C$5)</f>
        <v>9.5014901777093375</v>
      </c>
      <c r="ACM3" s="205">
        <f>(ACM34+ACM47+ACM60+ACM73+ACM86+ACM99+ACM112+ACM125+ACM138+ACM151+ACM164+ACM177+ACM190)/('DATA SECTION'!$C$3+'DATA SECTION'!$C$4+'DATA SECTION'!$C$5)</f>
        <v>-1.9207468948374294E-2</v>
      </c>
      <c r="ACN3" s="205">
        <f>(ACN34+ACN47+ACN60+ACN73+ACN86+ACN99+ACN112+ACN125+ACN138+ACN151+ACN164+ACN177+ACN190)/('DATA SECTION'!$C$3+'DATA SECTION'!$C$4+'DATA SECTION'!$C$5)</f>
        <v>0</v>
      </c>
      <c r="ACO3" s="205">
        <f>(ACO34+ACO47+ACO60+ACO73+ACO86+ACO99+ACO112+ACO125+ACO138+ACO151+ACO164+ACO177+ACO190)/('DATA SECTION'!$C$3+'DATA SECTION'!$C$4+'DATA SECTION'!$C$5)</f>
        <v>0</v>
      </c>
      <c r="ACP3" s="205">
        <f>(ACP34+ACP47+ACP60+ACP73+ACP86+ACP99+ACP112+ACP125+ACP138+ACP151+ACP164+ACP177+ACP190)/('DATA SECTION'!$C$3+'DATA SECTION'!$C$4+'DATA SECTION'!$C$5)</f>
        <v>0</v>
      </c>
      <c r="ACQ3" s="205">
        <f>(ACQ34+ACQ47+ACQ60+ACQ73+ACQ86+ACQ99+ACQ112+ACQ125+ACQ138+ACQ151+ACQ164+ACQ177+ACQ190)/('DATA SECTION'!$C$3+'DATA SECTION'!$C$4+'DATA SECTION'!$C$5)</f>
        <v>0</v>
      </c>
      <c r="ACR3" s="205">
        <f>(ACR34+ACR47+ACR60+ACR73+ACR86+ACR99+ACR112+ACR125+ACR138+ACR151+ACR164+ACR177+ACR190)/('DATA SECTION'!$C$3+'DATA SECTION'!$C$4+'DATA SECTION'!$C$5)</f>
        <v>0</v>
      </c>
      <c r="ACS3" s="205">
        <f>(ACS34+ACS47+ACS60+ACS73+ACS86+ACS99+ACS112+ACS125+ACS138+ACS151+ACS164+ACS177+ACS190)/('DATA SECTION'!$C$3+'DATA SECTION'!$C$4+'DATA SECTION'!$C$5)</f>
        <v>0</v>
      </c>
      <c r="ACT3" s="205">
        <f>(ACT34+ACT47+ACT60+ACT73+ACT86+ACT99+ACT112+ACT125+ACT138+ACT151+ACT164+ACT177+ACT190)/('DATA SECTION'!$C$3+'DATA SECTION'!$C$4+'DATA SECTION'!$C$5)</f>
        <v>0</v>
      </c>
      <c r="ACU3" s="205">
        <f>(ACU34+ACU47+ACU60+ACU73+ACU86+ACU99+ACU112+ACU125+ACU138+ACU151+ACU164+ACU177+ACU190)/('DATA SECTION'!$C$3+'DATA SECTION'!$C$4+'DATA SECTION'!$C$5)</f>
        <v>0</v>
      </c>
      <c r="ACV3" s="205">
        <f>(ACV34+ACV47+ACV60+ACV73+ACV86+ACV99+ACV112+ACV125+ACV138+ACV151+ACV164+ACV177+ACV190)/('DATA SECTION'!$C$3+'DATA SECTION'!$C$4+'DATA SECTION'!$C$5)</f>
        <v>0</v>
      </c>
      <c r="ACW3" s="205">
        <f>(ACW34+ACW47+ACW60+ACW73+ACW86+ACW99+ACW112+ACW125+ACW138+ACW151+ACW164+ACW177+ACW190)/('DATA SECTION'!$C$3+'DATA SECTION'!$C$4+'DATA SECTION'!$C$5)</f>
        <v>0</v>
      </c>
      <c r="ACX3" s="205">
        <f>(ACX34+ACX47+ACX60+ACX73+ACX86+ACX99+ACX112+ACX125+ACX138+ACX151+ACX164+ACX177+ACX190)/('DATA SECTION'!$C$3+'DATA SECTION'!$C$4+'DATA SECTION'!$C$5)</f>
        <v>0</v>
      </c>
      <c r="ACY3" s="205">
        <f>(ACY34+ACY47+ACY60+ACY73+ACY86+ACY99+ACY112+ACY125+ACY138+ACY151+ACY164+ACY177+ACY190)/('DATA SECTION'!$C$3+'DATA SECTION'!$C$4+'DATA SECTION'!$C$5)</f>
        <v>0</v>
      </c>
      <c r="ACZ3" s="205">
        <f>(ACZ34+ACZ47+ACZ60+ACZ73+ACZ86+ACZ99+ACZ112+ACZ125+ACZ138+ACZ151+ACZ164+ACZ177+ACZ190)/('DATA SECTION'!$C$3+'DATA SECTION'!$C$4+'DATA SECTION'!$C$5)</f>
        <v>0</v>
      </c>
      <c r="ADA3" s="205">
        <f>(ADA34+ADA47+ADA60+ADA73+ADA86+ADA99+ADA112+ADA125+ADA138+ADA151+ADA164+ADA177+ADA190)/('DATA SECTION'!$C$3+'DATA SECTION'!$C$4+'DATA SECTION'!$C$5)</f>
        <v>0</v>
      </c>
      <c r="ADB3" s="205">
        <f>(ADB34+ADB47+ADB60+ADB73+ADB86+ADB99+ADB112+ADB125+ADB138+ADB151+ADB164+ADB177+ADB190)/('DATA SECTION'!$C$3+'DATA SECTION'!$C$4+'DATA SECTION'!$C$5)</f>
        <v>0</v>
      </c>
      <c r="ADC3" s="205">
        <f>(ADC34+ADC47+ADC60+ADC73+ADC86+ADC99+ADC112+ADC125+ADC138+ADC151+ADC164+ADC177+ADC190)/('DATA SECTION'!$C$3+'DATA SECTION'!$C$4+'DATA SECTION'!$C$5)</f>
        <v>0</v>
      </c>
      <c r="ADD3" s="205">
        <f>(ADD34+ADD47+ADD60+ADD73+ADD86+ADD99+ADD112+ADD125+ADD138+ADD151+ADD164+ADD177+ADD190)/('DATA SECTION'!$C$3+'DATA SECTION'!$C$4+'DATA SECTION'!$C$5)</f>
        <v>0</v>
      </c>
      <c r="ADE3" s="205">
        <f>(ADE34+ADE47+ADE60+ADE73+ADE86+ADE99+ADE112+ADE125+ADE138+ADE151+ADE164+ADE177+ADE190)/('DATA SECTION'!$C$3+'DATA SECTION'!$C$4+'DATA SECTION'!$C$5)</f>
        <v>0</v>
      </c>
      <c r="ADF3" s="205">
        <f>(ADF34+ADF47+ADF60+ADF73+ADF86+ADF99+ADF112+ADF125+ADF138+ADF151+ADF164+ADF177+ADF190)/('DATA SECTION'!$C$3+'DATA SECTION'!$C$4+'DATA SECTION'!$C$5)</f>
        <v>0</v>
      </c>
      <c r="ADG3" s="205">
        <f>(ADG34+ADG47+ADG60+ADG73+ADG86+ADG99+ADG112+ADG125+ADG138+ADG151+ADG164+ADG177+ADG190)/('DATA SECTION'!$C$3+'DATA SECTION'!$C$4+'DATA SECTION'!$C$5)</f>
        <v>0</v>
      </c>
      <c r="ADH3" s="205">
        <f>(ADH34+ADH47+ADH60+ADH73+ADH86+ADH99+ADH112+ADH125+ADH138+ADH151+ADH164+ADH177+ADH190)/('DATA SECTION'!$C$3+'DATA SECTION'!$C$4+'DATA SECTION'!$C$5)</f>
        <v>0</v>
      </c>
      <c r="ADI3" s="205">
        <f>(ADI34+ADI47+ADI60+ADI73+ADI86+ADI99+ADI112+ADI125+ADI138+ADI151+ADI164+ADI177+ADI190)/('DATA SECTION'!$C$3+'DATA SECTION'!$C$4+'DATA SECTION'!$C$5)</f>
        <v>0</v>
      </c>
      <c r="ADJ3" s="205">
        <f>(ADJ34+ADJ47+ADJ60+ADJ73+ADJ86+ADJ99+ADJ112+ADJ125+ADJ138+ADJ151+ADJ164+ADJ177+ADJ190)/('DATA SECTION'!$C$3+'DATA SECTION'!$C$4+'DATA SECTION'!$C$5)</f>
        <v>0</v>
      </c>
      <c r="ADK3" s="205">
        <f>(ADK34+ADK47+ADK60+ADK73+ADK86+ADK99+ADK112+ADK125+ADK138+ADK151+ADK164+ADK177+ADK190)/('DATA SECTION'!$C$3+'DATA SECTION'!$C$4+'DATA SECTION'!$C$5)</f>
        <v>0</v>
      </c>
      <c r="ADL3" s="205">
        <f>(ADL34+ADL47+ADL60+ADL73+ADL86+ADL99+ADL112+ADL125+ADL138+ADL151+ADL164+ADL177+ADL190)/('DATA SECTION'!$C$3+'DATA SECTION'!$C$4+'DATA SECTION'!$C$5)</f>
        <v>0</v>
      </c>
      <c r="ADM3" s="205">
        <f>(ADM34+ADM47+ADM60+ADM73+ADM86+ADM99+ADM112+ADM125+ADM138+ADM151+ADM164+ADM177+ADM190)/('DATA SECTION'!$C$3+'DATA SECTION'!$C$4+'DATA SECTION'!$C$5)</f>
        <v>0</v>
      </c>
      <c r="ADN3" s="205">
        <f>(ADN34+ADN47+ADN60+ADN73+ADN86+ADN99+ADN112+ADN125+ADN138+ADN151+ADN164+ADN177+ADN190)/('DATA SECTION'!$C$3+'DATA SECTION'!$C$4+'DATA SECTION'!$C$5)</f>
        <v>0</v>
      </c>
      <c r="ADO3" s="205">
        <f>(ADO34+ADO47+ADO60+ADO73+ADO86+ADO99+ADO112+ADO125+ADO138+ADO151+ADO164+ADO177+ADO190)/('DATA SECTION'!$C$3+'DATA SECTION'!$C$4+'DATA SECTION'!$C$5)</f>
        <v>0</v>
      </c>
      <c r="ADP3" s="205">
        <f>(ADP34+ADP47+ADP60+ADP73+ADP86+ADP99+ADP112+ADP125+ADP138+ADP151+ADP164+ADP177+ADP190)/('DATA SECTION'!$C$3+'DATA SECTION'!$C$4+'DATA SECTION'!$C$5)</f>
        <v>0</v>
      </c>
      <c r="ADQ3" s="205">
        <f>(ADQ34+ADQ47+ADQ60+ADQ73+ADQ86+ADQ99+ADQ112+ADQ125+ADQ138+ADQ151+ADQ164+ADQ177+ADQ190)/('DATA SECTION'!$C$3+'DATA SECTION'!$C$4+'DATA SECTION'!$C$5)</f>
        <v>0</v>
      </c>
      <c r="ADR3" s="205">
        <f>(ADR34+ADR47+ADR60+ADR73+ADR86+ADR99+ADR112+ADR125+ADR138+ADR151+ADR164+ADR177+ADR190)/('DATA SECTION'!$C$3+'DATA SECTION'!$C$4+'DATA SECTION'!$C$5)</f>
        <v>0</v>
      </c>
      <c r="ADS3" s="205">
        <f>(ADS34+ADS47+ADS60+ADS73+ADS86+ADS99+ADS112+ADS125+ADS138+ADS151+ADS164+ADS177+ADS190)/('DATA SECTION'!$C$3+'DATA SECTION'!$C$4+'DATA SECTION'!$C$5)</f>
        <v>0</v>
      </c>
      <c r="ADT3" s="205">
        <f>(ADT34+ADT47+ADT60+ADT73+ADT86+ADT99+ADT112+ADT125+ADT138+ADT151+ADT164+ADT177+ADT190)/('DATA SECTION'!$C$3+'DATA SECTION'!$C$4+'DATA SECTION'!$C$5)</f>
        <v>0</v>
      </c>
      <c r="ADU3" s="205">
        <f>(ADU34+ADU47+ADU60+ADU73+ADU86+ADU99+ADU112+ADU125+ADU138+ADU151+ADU164+ADU177+ADU190)/('DATA SECTION'!$C$3+'DATA SECTION'!$C$4+'DATA SECTION'!$C$5)</f>
        <v>0</v>
      </c>
      <c r="ADV3" s="205">
        <f>(ADV34+ADV47+ADV60+ADV73+ADV86+ADV99+ADV112+ADV125+ADV138+ADV151+ADV164+ADV177+ADV190)/('DATA SECTION'!$C$3+'DATA SECTION'!$C$4+'DATA SECTION'!$C$5)</f>
        <v>0</v>
      </c>
      <c r="ADW3" s="205">
        <f>(ADW34+ADW47+ADW60+ADW73+ADW86+ADW99+ADW112+ADW125+ADW138+ADW151+ADW164+ADW177+ADW190)/('DATA SECTION'!$C$3+'DATA SECTION'!$C$4+'DATA SECTION'!$C$5)</f>
        <v>0</v>
      </c>
      <c r="ADX3" s="205">
        <f>(ADX34+ADX47+ADX60+ADX73+ADX86+ADX99+ADX112+ADX125+ADX138+ADX151+ADX164+ADX177+ADX190)/('DATA SECTION'!$C$3+'DATA SECTION'!$C$4+'DATA SECTION'!$C$5)</f>
        <v>0</v>
      </c>
      <c r="ADY3" s="205">
        <f>(ADY34+ADY47+ADY60+ADY73+ADY86+ADY99+ADY112+ADY125+ADY138+ADY151+ADY164+ADY177+ADY190)/('DATA SECTION'!$C$3+'DATA SECTION'!$C$4+'DATA SECTION'!$C$5)</f>
        <v>0</v>
      </c>
      <c r="ADZ3" s="205">
        <f>(ADZ34+ADZ47+ADZ60+ADZ73+ADZ86+ADZ99+ADZ112+ADZ125+ADZ138+ADZ151+ADZ164+ADZ177+ADZ190)/('DATA SECTION'!$C$3+'DATA SECTION'!$C$4+'DATA SECTION'!$C$5)</f>
        <v>0</v>
      </c>
      <c r="AEA3" s="205">
        <f>(AEA34+AEA47+AEA60+AEA73+AEA86+AEA99+AEA112+AEA125+AEA138+AEA151+AEA164+AEA177+AEA190)/('DATA SECTION'!$C$3+'DATA SECTION'!$C$4+'DATA SECTION'!$C$5)</f>
        <v>0</v>
      </c>
      <c r="AEB3" s="205">
        <f>(AEB34+AEB47+AEB60+AEB73+AEB86+AEB99+AEB112+AEB125+AEB138+AEB151+AEB164+AEB177+AEB190)/('DATA SECTION'!$C$3+'DATA SECTION'!$C$4+'DATA SECTION'!$C$5)</f>
        <v>0</v>
      </c>
      <c r="AEC3" s="205">
        <f>(AEC34+AEC47+AEC60+AEC73+AEC86+AEC99+AEC112+AEC125+AEC138+AEC151+AEC164+AEC177+AEC190)/('DATA SECTION'!$C$3+'DATA SECTION'!$C$4+'DATA SECTION'!$C$5)</f>
        <v>0</v>
      </c>
      <c r="AED3" s="205">
        <f>(AED34+AED47+AED60+AED73+AED86+AED99+AED112+AED125+AED138+AED151+AED164+AED177+AED190)/('DATA SECTION'!$C$3+'DATA SECTION'!$C$4+'DATA SECTION'!$C$5)</f>
        <v>0</v>
      </c>
      <c r="AEE3" s="205">
        <f>(AEE34+AEE47+AEE60+AEE73+AEE86+AEE99+AEE112+AEE125+AEE138+AEE151+AEE164+AEE177+AEE190)/('DATA SECTION'!$C$3+'DATA SECTION'!$C$4+'DATA SECTION'!$C$5)</f>
        <v>0</v>
      </c>
      <c r="AEF3" s="205">
        <f>(AEF34+AEF47+AEF60+AEF73+AEF86+AEF99+AEF112+AEF125+AEF138+AEF151+AEF164+AEF177+AEF190)/('DATA SECTION'!$C$3+'DATA SECTION'!$C$4+'DATA SECTION'!$C$5)</f>
        <v>0</v>
      </c>
      <c r="AEG3" s="205">
        <f>(AEG34+AEG47+AEG60+AEG73+AEG86+AEG99+AEG112+AEG125+AEG138+AEG151+AEG164+AEG177+AEG190)/('DATA SECTION'!$C$3+'DATA SECTION'!$C$4+'DATA SECTION'!$C$5)</f>
        <v>0</v>
      </c>
      <c r="AEH3" s="205">
        <f>(AEH34+AEH47+AEH60+AEH73+AEH86+AEH99+AEH112+AEH125+AEH138+AEH151+AEH164+AEH177+AEH190)/('DATA SECTION'!$C$3+'DATA SECTION'!$C$4+'DATA SECTION'!$C$5)</f>
        <v>0</v>
      </c>
      <c r="AEI3" s="205">
        <f>(AEI34+AEI47+AEI60+AEI73+AEI86+AEI99+AEI112+AEI125+AEI138+AEI151+AEI164+AEI177+AEI190)/('DATA SECTION'!$C$3+'DATA SECTION'!$C$4+'DATA SECTION'!$C$5)</f>
        <v>0</v>
      </c>
      <c r="AEJ3" s="205">
        <f>(AEJ34+AEJ47+AEJ60+AEJ73+AEJ86+AEJ99+AEJ112+AEJ125+AEJ138+AEJ151+AEJ164+AEJ177+AEJ190)/('DATA SECTION'!$C$3+'DATA SECTION'!$C$4+'DATA SECTION'!$C$5)</f>
        <v>0</v>
      </c>
      <c r="AEK3" s="205">
        <f>(AEK34+AEK47+AEK60+AEK73+AEK86+AEK99+AEK112+AEK125+AEK138+AEK151+AEK164+AEK177+AEK190)/('DATA SECTION'!$C$3+'DATA SECTION'!$C$4+'DATA SECTION'!$C$5)</f>
        <v>0</v>
      </c>
      <c r="AEL3" s="205">
        <f>(AEL34+AEL47+AEL60+AEL73+AEL86+AEL99+AEL112+AEL125+AEL138+AEL151+AEL164+AEL177+AEL190)/('DATA SECTION'!$C$3+'DATA SECTION'!$C$4+'DATA SECTION'!$C$5)</f>
        <v>0</v>
      </c>
      <c r="AEM3" s="205">
        <f>(AEM34+AEM47+AEM60+AEM73+AEM86+AEM99+AEM112+AEM125+AEM138+AEM151+AEM164+AEM177+AEM190)/('DATA SECTION'!$C$3+'DATA SECTION'!$C$4+'DATA SECTION'!$C$5)</f>
        <v>0</v>
      </c>
      <c r="AEN3" s="205">
        <f>(AEN34+AEN47+AEN60+AEN73+AEN86+AEN99+AEN112+AEN125+AEN138+AEN151+AEN164+AEN177+AEN190)/('DATA SECTION'!$C$3+'DATA SECTION'!$C$4+'DATA SECTION'!$C$5)</f>
        <v>0</v>
      </c>
      <c r="AEO3" s="205">
        <f>(AEO34+AEO47+AEO60+AEO73+AEO86+AEO99+AEO112+AEO125+AEO138+AEO151+AEO164+AEO177+AEO190)/('DATA SECTION'!$C$3+'DATA SECTION'!$C$4+'DATA SECTION'!$C$5)</f>
        <v>0</v>
      </c>
      <c r="AEP3" s="205">
        <f>(AEP34+AEP47+AEP60+AEP73+AEP86+AEP99+AEP112+AEP125+AEP138+AEP151+AEP164+AEP177+AEP190)/('DATA SECTION'!$C$3+'DATA SECTION'!$C$4+'DATA SECTION'!$C$5)</f>
        <v>0</v>
      </c>
      <c r="AEQ3" s="205">
        <f>(AEQ34+AEQ47+AEQ60+AEQ73+AEQ86+AEQ99+AEQ112+AEQ125+AEQ138+AEQ151+AEQ164+AEQ177+AEQ190)/('DATA SECTION'!$C$3+'DATA SECTION'!$C$4+'DATA SECTION'!$C$5)</f>
        <v>0</v>
      </c>
      <c r="AER3" s="205">
        <f>(AER34+AER47+AER60+AER73+AER86+AER99+AER112+AER125+AER138+AER151+AER164+AER177+AER190)/('DATA SECTION'!$C$3+'DATA SECTION'!$C$4+'DATA SECTION'!$C$5)</f>
        <v>0</v>
      </c>
      <c r="AES3" s="205">
        <f>(AES34+AES47+AES60+AES73+AES86+AES99+AES112+AES125+AES138+AES151+AES164+AES177+AES190)/('DATA SECTION'!$C$3+'DATA SECTION'!$C$4+'DATA SECTION'!$C$5)</f>
        <v>0</v>
      </c>
      <c r="AET3" s="205">
        <f>(AET34+AET47+AET60+AET73+AET86+AET99+AET112+AET125+AET138+AET151+AET164+AET177+AET190)/('DATA SECTION'!$C$3+'DATA SECTION'!$C$4+'DATA SECTION'!$C$5)</f>
        <v>0</v>
      </c>
      <c r="AEU3" s="205">
        <f>(AEU34+AEU47+AEU60+AEU73+AEU86+AEU99+AEU112+AEU125+AEU138+AEU151+AEU164+AEU177+AEU190)/('DATA SECTION'!$C$3+'DATA SECTION'!$C$4+'DATA SECTION'!$C$5)</f>
        <v>0</v>
      </c>
      <c r="AEV3" s="205">
        <f>(AEV34+AEV47+AEV60+AEV73+AEV86+AEV99+AEV112+AEV125+AEV138+AEV151+AEV164+AEV177+AEV190)/('DATA SECTION'!$C$3+'DATA SECTION'!$C$4+'DATA SECTION'!$C$5)</f>
        <v>0</v>
      </c>
      <c r="AEW3" s="205">
        <f>(AEW34+AEW47+AEW60+AEW73+AEW86+AEW99+AEW112+AEW125+AEW138+AEW151+AEW164+AEW177+AEW190)/('DATA SECTION'!$C$3+'DATA SECTION'!$C$4+'DATA SECTION'!$C$5)</f>
        <v>0</v>
      </c>
      <c r="AEX3" s="205">
        <f>(AEX34+AEX47+AEX60+AEX73+AEX86+AEX99+AEX112+AEX125+AEX138+AEX151+AEX164+AEX177+AEX190)/('DATA SECTION'!$C$3+'DATA SECTION'!$C$4+'DATA SECTION'!$C$5)</f>
        <v>0</v>
      </c>
      <c r="AEY3" s="205">
        <f>(AEY34+AEY47+AEY60+AEY73+AEY86+AEY99+AEY112+AEY125+AEY138+AEY151+AEY164+AEY177+AEY190)/('DATA SECTION'!$C$3+'DATA SECTION'!$C$4+'DATA SECTION'!$C$5)</f>
        <v>0</v>
      </c>
      <c r="AEZ3" s="205">
        <f>(AEZ34+AEZ47+AEZ60+AEZ73+AEZ86+AEZ99+AEZ112+AEZ125+AEZ138+AEZ151+AEZ164+AEZ177+AEZ190)/('DATA SECTION'!$C$3+'DATA SECTION'!$C$4+'DATA SECTION'!$C$5)</f>
        <v>0</v>
      </c>
      <c r="AFA3" s="205">
        <f>(AFA34+AFA47+AFA60+AFA73+AFA86+AFA99+AFA112+AFA125+AFA138+AFA151+AFA164+AFA177+AFA190)/('DATA SECTION'!$C$3+'DATA SECTION'!$C$4+'DATA SECTION'!$C$5)</f>
        <v>0</v>
      </c>
      <c r="AFB3" s="205">
        <f>(AFB34+AFB47+AFB60+AFB73+AFB86+AFB99+AFB112+AFB125+AFB138+AFB151+AFB164+AFB177+AFB190)/('DATA SECTION'!$C$3+'DATA SECTION'!$C$4+'DATA SECTION'!$C$5)</f>
        <v>0</v>
      </c>
      <c r="AFC3" s="205">
        <f>(AFC34+AFC47+AFC60+AFC73+AFC86+AFC99+AFC112+AFC125+AFC138+AFC151+AFC164+AFC177+AFC190)/('DATA SECTION'!$C$3+'DATA SECTION'!$C$4+'DATA SECTION'!$C$5)</f>
        <v>0</v>
      </c>
      <c r="AFD3" s="205">
        <f>(AFD34+AFD47+AFD60+AFD73+AFD86+AFD99+AFD112+AFD125+AFD138+AFD151+AFD164+AFD177+AFD190)/('DATA SECTION'!$C$3+'DATA SECTION'!$C$4+'DATA SECTION'!$C$5)</f>
        <v>0</v>
      </c>
      <c r="AFE3" s="205">
        <f>(AFE34+AFE47+AFE60+AFE73+AFE86+AFE99+AFE112+AFE125+AFE138+AFE151+AFE164+AFE177+AFE190)/('DATA SECTION'!$C$3+'DATA SECTION'!$C$4+'DATA SECTION'!$C$5)</f>
        <v>0</v>
      </c>
      <c r="AFF3" s="205">
        <f>(AFF34+AFF47+AFF60+AFF73+AFF86+AFF99+AFF112+AFF125+AFF138+AFF151+AFF164+AFF177+AFF190)/('DATA SECTION'!$C$3+'DATA SECTION'!$C$4+'DATA SECTION'!$C$5)</f>
        <v>0</v>
      </c>
      <c r="AFG3" s="205">
        <f>(AFG34+AFG47+AFG60+AFG73+AFG86+AFG99+AFG112+AFG125+AFG138+AFG151+AFG164+AFG177+AFG190)/('DATA SECTION'!$C$3+'DATA SECTION'!$C$4+'DATA SECTION'!$C$5)</f>
        <v>0</v>
      </c>
      <c r="AFH3" s="205">
        <f>(AFH34+AFH47+AFH60+AFH73+AFH86+AFH99+AFH112+AFH125+AFH138+AFH151+AFH164+AFH177+AFH190)/('DATA SECTION'!$C$3+'DATA SECTION'!$C$4+'DATA SECTION'!$C$5)</f>
        <v>0</v>
      </c>
      <c r="AFI3" s="205">
        <f>(AFI34+AFI47+AFI60+AFI73+AFI86+AFI99+AFI112+AFI125+AFI138+AFI151+AFI164+AFI177+AFI190)/('DATA SECTION'!$C$3+'DATA SECTION'!$C$4+'DATA SECTION'!$C$5)</f>
        <v>0</v>
      </c>
      <c r="AFJ3" s="205">
        <f>(AFJ34+AFJ47+AFJ60+AFJ73+AFJ86+AFJ99+AFJ112+AFJ125+AFJ138+AFJ151+AFJ164+AFJ177+AFJ190)/('DATA SECTION'!$C$3+'DATA SECTION'!$C$4+'DATA SECTION'!$C$5)</f>
        <v>0</v>
      </c>
      <c r="AFK3" s="205">
        <f>(AFK34+AFK47+AFK60+AFK73+AFK86+AFK99+AFK112+AFK125+AFK138+AFK151+AFK164+AFK177+AFK190)/('DATA SECTION'!$C$3+'DATA SECTION'!$C$4+'DATA SECTION'!$C$5)</f>
        <v>0</v>
      </c>
      <c r="AFL3" s="205">
        <f>(AFL34+AFL47+AFL60+AFL73+AFL86+AFL99+AFL112+AFL125+AFL138+AFL151+AFL164+AFL177+AFL190)/('DATA SECTION'!$C$3+'DATA SECTION'!$C$4+'DATA SECTION'!$C$5)</f>
        <v>0</v>
      </c>
      <c r="AFM3" s="205">
        <f>(AFM34+AFM47+AFM60+AFM73+AFM86+AFM99+AFM112+AFM125+AFM138+AFM151+AFM164+AFM177+AFM190)/('DATA SECTION'!$C$3+'DATA SECTION'!$C$4+'DATA SECTION'!$C$5)</f>
        <v>0</v>
      </c>
      <c r="AFN3" s="205">
        <f>(AFN34+AFN47+AFN60+AFN73+AFN86+AFN99+AFN112+AFN125+AFN138+AFN151+AFN164+AFN177+AFN190)/('DATA SECTION'!$C$3+'DATA SECTION'!$C$4+'DATA SECTION'!$C$5)</f>
        <v>0</v>
      </c>
      <c r="AFO3" s="205">
        <f>(AFO34+AFO47+AFO60+AFO73+AFO86+AFO99+AFO112+AFO125+AFO138+AFO151+AFO164+AFO177+AFO190)/('DATA SECTION'!$C$3+'DATA SECTION'!$C$4+'DATA SECTION'!$C$5)</f>
        <v>0</v>
      </c>
      <c r="AFP3" s="205">
        <f>(AFP34+AFP47+AFP60+AFP73+AFP86+AFP99+AFP112+AFP125+AFP138+AFP151+AFP164+AFP177+AFP190)/('DATA SECTION'!$C$3+'DATA SECTION'!$C$4+'DATA SECTION'!$C$5)</f>
        <v>0</v>
      </c>
      <c r="AFQ3" s="205">
        <f>(AFQ34+AFQ47+AFQ60+AFQ73+AFQ86+AFQ99+AFQ112+AFQ125+AFQ138+AFQ151+AFQ164+AFQ177+AFQ190)/('DATA SECTION'!$C$3+'DATA SECTION'!$C$4+'DATA SECTION'!$C$5)</f>
        <v>0</v>
      </c>
      <c r="AFR3" s="205">
        <f>(AFR34+AFR47+AFR60+AFR73+AFR86+AFR99+AFR112+AFR125+AFR138+AFR151+AFR164+AFR177+AFR190)/('DATA SECTION'!$C$3+'DATA SECTION'!$C$4+'DATA SECTION'!$C$5)</f>
        <v>0</v>
      </c>
      <c r="AFS3" s="205">
        <f>(AFS34+AFS47+AFS60+AFS73+AFS86+AFS99+AFS112+AFS125+AFS138+AFS151+AFS164+AFS177+AFS190)/('DATA SECTION'!$C$3+'DATA SECTION'!$C$4+'DATA SECTION'!$C$5)</f>
        <v>0</v>
      </c>
      <c r="AFT3" s="205">
        <f>(AFT34+AFT47+AFT60+AFT73+AFT86+AFT99+AFT112+AFT125+AFT138+AFT151+AFT164+AFT177+AFT190)/('DATA SECTION'!$C$3+'DATA SECTION'!$C$4+'DATA SECTION'!$C$5)</f>
        <v>0</v>
      </c>
      <c r="AFU3" s="205">
        <f>(AFU34+AFU47+AFU60+AFU73+AFU86+AFU99+AFU112+AFU125+AFU138+AFU151+AFU164+AFU177+AFU190)/('DATA SECTION'!$C$3+'DATA SECTION'!$C$4+'DATA SECTION'!$C$5)</f>
        <v>0</v>
      </c>
      <c r="AFV3" s="205">
        <f>(AFV34+AFV47+AFV60+AFV73+AFV86+AFV99+AFV112+AFV125+AFV138+AFV151+AFV164+AFV177+AFV190)/('DATA SECTION'!$C$3+'DATA SECTION'!$C$4+'DATA SECTION'!$C$5)</f>
        <v>0</v>
      </c>
      <c r="AFW3" s="205">
        <f>(AFW34+AFW47+AFW60+AFW73+AFW86+AFW99+AFW112+AFW125+AFW138+AFW151+AFW164+AFW177+AFW190)/('DATA SECTION'!$C$3+'DATA SECTION'!$C$4+'DATA SECTION'!$C$5)</f>
        <v>0</v>
      </c>
      <c r="AFX3" s="205">
        <f>(AFX34+AFX47+AFX60+AFX73+AFX86+AFX99+AFX112+AFX125+AFX138+AFX151+AFX164+AFX177+AFX190)/('DATA SECTION'!$C$3+'DATA SECTION'!$C$4+'DATA SECTION'!$C$5)</f>
        <v>0</v>
      </c>
      <c r="AFY3" s="205">
        <f>(AFY34+AFY47+AFY60+AFY73+AFY86+AFY99+AFY112+AFY125+AFY138+AFY151+AFY164+AFY177+AFY190)/('DATA SECTION'!$C$3+'DATA SECTION'!$C$4+'DATA SECTION'!$C$5)</f>
        <v>0</v>
      </c>
      <c r="AFZ3" s="205">
        <f>(AFZ34+AFZ47+AFZ60+AFZ73+AFZ86+AFZ99+AFZ112+AFZ125+AFZ138+AFZ151+AFZ164+AFZ177+AFZ190)/('DATA SECTION'!$C$3+'DATA SECTION'!$C$4+'DATA SECTION'!$C$5)</f>
        <v>0</v>
      </c>
      <c r="AGA3" s="205">
        <f>(AGA34+AGA47+AGA60+AGA73+AGA86+AGA99+AGA112+AGA125+AGA138+AGA151+AGA164+AGA177+AGA190)/('DATA SECTION'!$C$3+'DATA SECTION'!$C$4+'DATA SECTION'!$C$5)</f>
        <v>0</v>
      </c>
      <c r="AGB3" s="205">
        <f>(AGB34+AGB47+AGB60+AGB73+AGB86+AGB99+AGB112+AGB125+AGB138+AGB151+AGB164+AGB177+AGB190)/('DATA SECTION'!$C$3+'DATA SECTION'!$C$4+'DATA SECTION'!$C$5)</f>
        <v>0</v>
      </c>
      <c r="AGC3" s="205">
        <f>(AGC34+AGC47+AGC60+AGC73+AGC86+AGC99+AGC112+AGC125+AGC138+AGC151+AGC164+AGC177+AGC190)/('DATA SECTION'!$C$3+'DATA SECTION'!$C$4+'DATA SECTION'!$C$5)</f>
        <v>0</v>
      </c>
      <c r="AGD3" s="205">
        <f>(AGD34+AGD47+AGD60+AGD73+AGD86+AGD99+AGD112+AGD125+AGD138+AGD151+AGD164+AGD177+AGD190)/('DATA SECTION'!$C$3+'DATA SECTION'!$C$4+'DATA SECTION'!$C$5)</f>
        <v>0</v>
      </c>
      <c r="AGE3" s="205">
        <f>(AGE34+AGE47+AGE60+AGE73+AGE86+AGE99+AGE112+AGE125+AGE138+AGE151+AGE164+AGE177+AGE190)/('DATA SECTION'!$C$3+'DATA SECTION'!$C$4+'DATA SECTION'!$C$5)</f>
        <v>0</v>
      </c>
      <c r="AGF3" s="205">
        <f>(AGF34+AGF47+AGF60+AGF73+AGF86+AGF99+AGF112+AGF125+AGF138+AGF151+AGF164+AGF177+AGF190)/('DATA SECTION'!$C$3+'DATA SECTION'!$C$4+'DATA SECTION'!$C$5)</f>
        <v>0</v>
      </c>
      <c r="AGG3" s="205">
        <f>(AGG34+AGG47+AGG60+AGG73+AGG86+AGG99+AGG112+AGG125+AGG138+AGG151+AGG164+AGG177+AGG190)/('DATA SECTION'!$C$3+'DATA SECTION'!$C$4+'DATA SECTION'!$C$5)</f>
        <v>0</v>
      </c>
      <c r="AGH3" s="205">
        <f>(AGH34+AGH47+AGH60+AGH73+AGH86+AGH99+AGH112+AGH125+AGH138+AGH151+AGH164+AGH177+AGH190)/('DATA SECTION'!$C$3+'DATA SECTION'!$C$4+'DATA SECTION'!$C$5)</f>
        <v>0</v>
      </c>
      <c r="AGI3" s="205">
        <f>(AGI34+AGI47+AGI60+AGI73+AGI86+AGI99+AGI112+AGI125+AGI138+AGI151+AGI164+AGI177+AGI190)/('DATA SECTION'!$C$3+'DATA SECTION'!$C$4+'DATA SECTION'!$C$5)</f>
        <v>0</v>
      </c>
      <c r="AGJ3" s="205">
        <f>(AGJ34+AGJ47+AGJ60+AGJ73+AGJ86+AGJ99+AGJ112+AGJ125+AGJ138+AGJ151+AGJ164+AGJ177+AGJ190)/('DATA SECTION'!$C$3+'DATA SECTION'!$C$4+'DATA SECTION'!$C$5)</f>
        <v>0</v>
      </c>
      <c r="AGK3" s="205">
        <f>(AGK34+AGK47+AGK60+AGK73+AGK86+AGK99+AGK112+AGK125+AGK138+AGK151+AGK164+AGK177+AGK190)/('DATA SECTION'!$C$3+'DATA SECTION'!$C$4+'DATA SECTION'!$C$5)</f>
        <v>0</v>
      </c>
      <c r="AGL3" s="205">
        <f>(AGL34+AGL47+AGL60+AGL73+AGL86+AGL99+AGL112+AGL125+AGL138+AGL151+AGL164+AGL177+AGL190)/('DATA SECTION'!$C$3+'DATA SECTION'!$C$4+'DATA SECTION'!$C$5)</f>
        <v>0</v>
      </c>
      <c r="AGM3" s="205">
        <f>(AGM34+AGM47+AGM60+AGM73+AGM86+AGM99+AGM112+AGM125+AGM138+AGM151+AGM164+AGM177+AGM190)/('DATA SECTION'!$C$3+'DATA SECTION'!$C$4+'DATA SECTION'!$C$5)</f>
        <v>0</v>
      </c>
      <c r="AGN3" s="205">
        <f>(AGN34+AGN47+AGN60+AGN73+AGN86+AGN99+AGN112+AGN125+AGN138+AGN151+AGN164+AGN177+AGN190)/('DATA SECTION'!$C$3+'DATA SECTION'!$C$4+'DATA SECTION'!$C$5)</f>
        <v>0</v>
      </c>
      <c r="AGO3" s="205">
        <f>(AGO34+AGO47+AGO60+AGO73+AGO86+AGO99+AGO112+AGO125+AGO138+AGO151+AGO164+AGO177+AGO190)/('DATA SECTION'!$C$3+'DATA SECTION'!$C$4+'DATA SECTION'!$C$5)</f>
        <v>0</v>
      </c>
      <c r="AGP3" s="205">
        <f>(AGP34+AGP47+AGP60+AGP73+AGP86+AGP99+AGP112+AGP125+AGP138+AGP151+AGP164+AGP177+AGP190)/('DATA SECTION'!$C$3+'DATA SECTION'!$C$4+'DATA SECTION'!$C$5)</f>
        <v>0</v>
      </c>
      <c r="AGQ3" s="205">
        <f>(AGQ34+AGQ47+AGQ60+AGQ73+AGQ86+AGQ99+AGQ112+AGQ125+AGQ138+AGQ151+AGQ164+AGQ177+AGQ190)/('DATA SECTION'!$C$3+'DATA SECTION'!$C$4+'DATA SECTION'!$C$5)</f>
        <v>0</v>
      </c>
      <c r="AGR3" s="205">
        <f>(AGR34+AGR47+AGR60+AGR73+AGR86+AGR99+AGR112+AGR125+AGR138+AGR151+AGR164+AGR177+AGR190)/('DATA SECTION'!$C$3+'DATA SECTION'!$C$4+'DATA SECTION'!$C$5)</f>
        <v>0</v>
      </c>
      <c r="AGS3" s="205">
        <f>(AGS34+AGS47+AGS60+AGS73+AGS86+AGS99+AGS112+AGS125+AGS138+AGS151+AGS164+AGS177+AGS190)/('DATA SECTION'!$C$3+'DATA SECTION'!$C$4+'DATA SECTION'!$C$5)</f>
        <v>0</v>
      </c>
      <c r="AGT3" s="205">
        <f>(AGT34+AGT47+AGT60+AGT73+AGT86+AGT99+AGT112+AGT125+AGT138+AGT151+AGT164+AGT177+AGT190)/('DATA SECTION'!$C$3+'DATA SECTION'!$C$4+'DATA SECTION'!$C$5)</f>
        <v>0</v>
      </c>
      <c r="AGU3" s="205">
        <f>(AGU34+AGU47+AGU60+AGU73+AGU86+AGU99+AGU112+AGU125+AGU138+AGU151+AGU164+AGU177+AGU190)/('DATA SECTION'!$C$3+'DATA SECTION'!$C$4+'DATA SECTION'!$C$5)</f>
        <v>0</v>
      </c>
      <c r="AGV3" s="205">
        <f>(AGV34+AGV47+AGV60+AGV73+AGV86+AGV99+AGV112+AGV125+AGV138+AGV151+AGV164+AGV177+AGV190)/('DATA SECTION'!$C$3+'DATA SECTION'!$C$4+'DATA SECTION'!$C$5)</f>
        <v>0</v>
      </c>
      <c r="AGW3" s="205">
        <f>(AGW34+AGW47+AGW60+AGW73+AGW86+AGW99+AGW112+AGW125+AGW138+AGW151+AGW164+AGW177+AGW190)/('DATA SECTION'!$C$3+'DATA SECTION'!$C$4+'DATA SECTION'!$C$5)</f>
        <v>0</v>
      </c>
      <c r="AGX3" s="205">
        <f>(AGX34+AGX47+AGX60+AGX73+AGX86+AGX99+AGX112+AGX125+AGX138+AGX151+AGX164+AGX177+AGX190)/('DATA SECTION'!$C$3+'DATA SECTION'!$C$4+'DATA SECTION'!$C$5)</f>
        <v>0</v>
      </c>
      <c r="AGY3" s="205">
        <f>(AGY34+AGY47+AGY60+AGY73+AGY86+AGY99+AGY112+AGY125+AGY138+AGY151+AGY164+AGY177+AGY190)/('DATA SECTION'!$C$3+'DATA SECTION'!$C$4+'DATA SECTION'!$C$5)</f>
        <v>0</v>
      </c>
      <c r="AGZ3" s="205">
        <f>(AGZ34+AGZ47+AGZ60+AGZ73+AGZ86+AGZ99+AGZ112+AGZ125+AGZ138+AGZ151+AGZ164+AGZ177+AGZ190)/('DATA SECTION'!$C$3+'DATA SECTION'!$C$4+'DATA SECTION'!$C$5)</f>
        <v>0</v>
      </c>
      <c r="AHA3" s="205">
        <f>(AHA34+AHA47+AHA60+AHA73+AHA86+AHA99+AHA112+AHA125+AHA138+AHA151+AHA164+AHA177+AHA190)/('DATA SECTION'!$C$3+'DATA SECTION'!$C$4+'DATA SECTION'!$C$5)</f>
        <v>0</v>
      </c>
      <c r="AHB3" s="205">
        <f>(AHB34+AHB47+AHB60+AHB73+AHB86+AHB99+AHB112+AHB125+AHB138+AHB151+AHB164+AHB177+AHB190)/('DATA SECTION'!$C$3+'DATA SECTION'!$C$4+'DATA SECTION'!$C$5)</f>
        <v>0</v>
      </c>
      <c r="AHC3" s="205">
        <f>(AHC34+AHC47+AHC60+AHC73+AHC86+AHC99+AHC112+AHC125+AHC138+AHC151+AHC164+AHC177+AHC190)/('DATA SECTION'!$C$3+'DATA SECTION'!$C$4+'DATA SECTION'!$C$5)</f>
        <v>0</v>
      </c>
      <c r="AHD3" s="205">
        <f>(AHD34+AHD47+AHD60+AHD73+AHD86+AHD99+AHD112+AHD125+AHD138+AHD151+AHD164+AHD177+AHD190)/('DATA SECTION'!$C$3+'DATA SECTION'!$C$4+'DATA SECTION'!$C$5)</f>
        <v>0</v>
      </c>
      <c r="AHE3" s="205">
        <f>(AHE34+AHE47+AHE60+AHE73+AHE86+AHE99+AHE112+AHE125+AHE138+AHE151+AHE164+AHE177+AHE190)/('DATA SECTION'!$C$3+'DATA SECTION'!$C$4+'DATA SECTION'!$C$5)</f>
        <v>0</v>
      </c>
      <c r="AHF3" s="205">
        <f>(AHF34+AHF47+AHF60+AHF73+AHF86+AHF99+AHF112+AHF125+AHF138+AHF151+AHF164+AHF177+AHF190)/('DATA SECTION'!$C$3+'DATA SECTION'!$C$4+'DATA SECTION'!$C$5)</f>
        <v>0</v>
      </c>
      <c r="AHG3" s="205">
        <f>(AHG34+AHG47+AHG60+AHG73+AHG86+AHG99+AHG112+AHG125+AHG138+AHG151+AHG164+AHG177+AHG190)/('DATA SECTION'!$C$3+'DATA SECTION'!$C$4+'DATA SECTION'!$C$5)</f>
        <v>0</v>
      </c>
      <c r="AHH3" s="205">
        <f>(AHH34+AHH47+AHH60+AHH73+AHH86+AHH99+AHH112+AHH125+AHH138+AHH151+AHH164+AHH177+AHH190)/('DATA SECTION'!$C$3+'DATA SECTION'!$C$4+'DATA SECTION'!$C$5)</f>
        <v>0</v>
      </c>
      <c r="AHI3" s="205">
        <f>(AHI34+AHI47+AHI60+AHI73+AHI86+AHI99+AHI112+AHI125+AHI138+AHI151+AHI164+AHI177+AHI190)/('DATA SECTION'!$C$3+'DATA SECTION'!$C$4+'DATA SECTION'!$C$5)</f>
        <v>0</v>
      </c>
      <c r="AHJ3" s="205">
        <f>(AHJ34+AHJ47+AHJ60+AHJ73+AHJ86+AHJ99+AHJ112+AHJ125+AHJ138+AHJ151+AHJ164+AHJ177+AHJ190)/('DATA SECTION'!$C$3+'DATA SECTION'!$C$4+'DATA SECTION'!$C$5)</f>
        <v>0</v>
      </c>
      <c r="AHK3" s="205">
        <f>(AHK34+AHK47+AHK60+AHK73+AHK86+AHK99+AHK112+AHK125+AHK138+AHK151+AHK164+AHK177+AHK190)/('DATA SECTION'!$C$3+'DATA SECTION'!$C$4+'DATA SECTION'!$C$5)</f>
        <v>0</v>
      </c>
      <c r="AHL3" s="205">
        <f>(AHL34+AHL47+AHL60+AHL73+AHL86+AHL99+AHL112+AHL125+AHL138+AHL151+AHL164+AHL177+AHL190)/('DATA SECTION'!$C$3+'DATA SECTION'!$C$4+'DATA SECTION'!$C$5)</f>
        <v>0</v>
      </c>
      <c r="AHM3" s="205">
        <f>(AHM34+AHM47+AHM60+AHM73+AHM86+AHM99+AHM112+AHM125+AHM138+AHM151+AHM164+AHM177+AHM190)/('DATA SECTION'!$C$3+'DATA SECTION'!$C$4+'DATA SECTION'!$C$5)</f>
        <v>0</v>
      </c>
      <c r="AHN3" s="205">
        <f>(AHN34+AHN47+AHN60+AHN73+AHN86+AHN99+AHN112+AHN125+AHN138+AHN151+AHN164+AHN177+AHN190)/('DATA SECTION'!$C$3+'DATA SECTION'!$C$4+'DATA SECTION'!$C$5)</f>
        <v>0</v>
      </c>
      <c r="AHO3" s="205">
        <f>(AHO34+AHO47+AHO60+AHO73+AHO86+AHO99+AHO112+AHO125+AHO138+AHO151+AHO164+AHO177+AHO190)/('DATA SECTION'!$C$3+'DATA SECTION'!$C$4+'DATA SECTION'!$C$5)</f>
        <v>0</v>
      </c>
      <c r="AHP3" s="205">
        <f>(AHP34+AHP47+AHP60+AHP73+AHP86+AHP99+AHP112+AHP125+AHP138+AHP151+AHP164+AHP177+AHP190)/('DATA SECTION'!$C$3+'DATA SECTION'!$C$4+'DATA SECTION'!$C$5)</f>
        <v>0</v>
      </c>
      <c r="AHQ3" s="205">
        <f>(AHQ34+AHQ47+AHQ60+AHQ73+AHQ86+AHQ99+AHQ112+AHQ125+AHQ138+AHQ151+AHQ164+AHQ177+AHQ190)/('DATA SECTION'!$C$3+'DATA SECTION'!$C$4+'DATA SECTION'!$C$5)</f>
        <v>0</v>
      </c>
      <c r="AHR3" s="205">
        <f>(AHR34+AHR47+AHR60+AHR73+AHR86+AHR99+AHR112+AHR125+AHR138+AHR151+AHR164+AHR177+AHR190)/('DATA SECTION'!$C$3+'DATA SECTION'!$C$4+'DATA SECTION'!$C$5)</f>
        <v>0</v>
      </c>
      <c r="AHS3" s="205">
        <f>(AHS34+AHS47+AHS60+AHS73+AHS86+AHS99+AHS112+AHS125+AHS138+AHS151+AHS164+AHS177+AHS190)/('DATA SECTION'!$C$3+'DATA SECTION'!$C$4+'DATA SECTION'!$C$5)</f>
        <v>0</v>
      </c>
      <c r="AHT3" s="205">
        <f>(AHT34+AHT47+AHT60+AHT73+AHT86+AHT99+AHT112+AHT125+AHT138+AHT151+AHT164+AHT177+AHT190)/('DATA SECTION'!$C$3+'DATA SECTION'!$C$4+'DATA SECTION'!$C$5)</f>
        <v>0</v>
      </c>
      <c r="AHU3" s="205">
        <f>(AHU34+AHU47+AHU60+AHU73+AHU86+AHU99+AHU112+AHU125+AHU138+AHU151+AHU164+AHU177+AHU190)/('DATA SECTION'!$C$3+'DATA SECTION'!$C$4+'DATA SECTION'!$C$5)</f>
        <v>0</v>
      </c>
      <c r="AHV3" s="205">
        <f>(AHV34+AHV47+AHV60+AHV73+AHV86+AHV99+AHV112+AHV125+AHV138+AHV151+AHV164+AHV177+AHV190)/('DATA SECTION'!$C$3+'DATA SECTION'!$C$4+'DATA SECTION'!$C$5)</f>
        <v>0</v>
      </c>
      <c r="AHW3" s="205">
        <f>(AHW34+AHW47+AHW60+AHW73+AHW86+AHW99+AHW112+AHW125+AHW138+AHW151+AHW164+AHW177+AHW190)/('DATA SECTION'!$C$3+'DATA SECTION'!$C$4+'DATA SECTION'!$C$5)</f>
        <v>0</v>
      </c>
      <c r="AHX3" s="205">
        <f>(AHX34+AHX47+AHX60+AHX73+AHX86+AHX99+AHX112+AHX125+AHX138+AHX151+AHX164+AHX177+AHX190)/('DATA SECTION'!$C$3+'DATA SECTION'!$C$4+'DATA SECTION'!$C$5)</f>
        <v>0</v>
      </c>
      <c r="AHY3" s="205">
        <f>(AHY34+AHY47+AHY60+AHY73+AHY86+AHY99+AHY112+AHY125+AHY138+AHY151+AHY164+AHY177+AHY190)/('DATA SECTION'!$C$3+'DATA SECTION'!$C$4+'DATA SECTION'!$C$5)</f>
        <v>0</v>
      </c>
      <c r="AHZ3" s="205">
        <f>(AHZ34+AHZ47+AHZ60+AHZ73+AHZ86+AHZ99+AHZ112+AHZ125+AHZ138+AHZ151+AHZ164+AHZ177+AHZ190)/('DATA SECTION'!$C$3+'DATA SECTION'!$C$4+'DATA SECTION'!$C$5)</f>
        <v>0</v>
      </c>
      <c r="AIA3" s="205">
        <f>(AIA34+AIA47+AIA60+AIA73+AIA86+AIA99+AIA112+AIA125+AIA138+AIA151+AIA164+AIA177+AIA190)/('DATA SECTION'!$C$3+'DATA SECTION'!$C$4+'DATA SECTION'!$C$5)</f>
        <v>0</v>
      </c>
      <c r="AIB3" s="205">
        <f>(AIB34+AIB47+AIB60+AIB73+AIB86+AIB99+AIB112+AIB125+AIB138+AIB151+AIB164+AIB177+AIB190)/('DATA SECTION'!$C$3+'DATA SECTION'!$C$4+'DATA SECTION'!$C$5)</f>
        <v>0</v>
      </c>
      <c r="AIC3" s="205">
        <f>(AIC34+AIC47+AIC60+AIC73+AIC86+AIC99+AIC112+AIC125+AIC138+AIC151+AIC164+AIC177+AIC190)/('DATA SECTION'!$C$3+'DATA SECTION'!$C$4+'DATA SECTION'!$C$5)</f>
        <v>0</v>
      </c>
      <c r="AID3" s="205">
        <f>(AID34+AID47+AID60+AID73+AID86+AID99+AID112+AID125+AID138+AID151+AID164+AID177+AID190)/('DATA SECTION'!$C$3+'DATA SECTION'!$C$4+'DATA SECTION'!$C$5)</f>
        <v>0</v>
      </c>
      <c r="AIE3" s="205">
        <f>(AIE34+AIE47+AIE60+AIE73+AIE86+AIE99+AIE112+AIE125+AIE138+AIE151+AIE164+AIE177+AIE190)/('DATA SECTION'!$C$3+'DATA SECTION'!$C$4+'DATA SECTION'!$C$5)</f>
        <v>0</v>
      </c>
      <c r="AIF3" s="205">
        <f>(AIF34+AIF47+AIF60+AIF73+AIF86+AIF99+AIF112+AIF125+AIF138+AIF151+AIF164+AIF177+AIF190)/('DATA SECTION'!$C$3+'DATA SECTION'!$C$4+'DATA SECTION'!$C$5)</f>
        <v>0</v>
      </c>
      <c r="AIG3" s="205">
        <f>(AIG34+AIG47+AIG60+AIG73+AIG86+AIG99+AIG112+AIG125+AIG138+AIG151+AIG164+AIG177+AIG190)/('DATA SECTION'!$C$3+'DATA SECTION'!$C$4+'DATA SECTION'!$C$5)</f>
        <v>0</v>
      </c>
      <c r="AIH3" s="205">
        <f>(AIH34+AIH47+AIH60+AIH73+AIH86+AIH99+AIH112+AIH125+AIH138+AIH151+AIH164+AIH177+AIH190)/('DATA SECTION'!$C$3+'DATA SECTION'!$C$4+'DATA SECTION'!$C$5)</f>
        <v>0</v>
      </c>
      <c r="AII3" s="205">
        <f>(AII34+AII47+AII60+AII73+AII86+AII99+AII112+AII125+AII138+AII151+AII164+AII177+AII190)/('DATA SECTION'!$C$3+'DATA SECTION'!$C$4+'DATA SECTION'!$C$5)</f>
        <v>0</v>
      </c>
      <c r="AIJ3" s="205">
        <f>(AIJ34+AIJ47+AIJ60+AIJ73+AIJ86+AIJ99+AIJ112+AIJ125+AIJ138+AIJ151+AIJ164+AIJ177+AIJ190)/('DATA SECTION'!$C$3+'DATA SECTION'!$C$4+'DATA SECTION'!$C$5)</f>
        <v>0</v>
      </c>
      <c r="AIK3" s="205">
        <f>(AIK34+AIK47+AIK60+AIK73+AIK86+AIK99+AIK112+AIK125+AIK138+AIK151+AIK164+AIK177+AIK190)/('DATA SECTION'!$C$3+'DATA SECTION'!$C$4+'DATA SECTION'!$C$5)</f>
        <v>0</v>
      </c>
      <c r="AIL3" s="205">
        <f>(AIL34+AIL47+AIL60+AIL73+AIL86+AIL99+AIL112+AIL125+AIL138+AIL151+AIL164+AIL177+AIL190)/('DATA SECTION'!$C$3+'DATA SECTION'!$C$4+'DATA SECTION'!$C$5)</f>
        <v>0</v>
      </c>
      <c r="AIM3" s="205">
        <f>(AIM34+AIM47+AIM60+AIM73+AIM86+AIM99+AIM112+AIM125+AIM138+AIM151+AIM164+AIM177+AIM190)/('DATA SECTION'!$C$3+'DATA SECTION'!$C$4+'DATA SECTION'!$C$5)</f>
        <v>0</v>
      </c>
      <c r="AIN3" s="205">
        <f>(AIN34+AIN47+AIN60+AIN73+AIN86+AIN99+AIN112+AIN125+AIN138+AIN151+AIN164+AIN177+AIN190)/('DATA SECTION'!$C$3+'DATA SECTION'!$C$4+'DATA SECTION'!$C$5)</f>
        <v>0</v>
      </c>
      <c r="AIO3" s="205">
        <f>(AIO34+AIO47+AIO60+AIO73+AIO86+AIO99+AIO112+AIO125+AIO138+AIO151+AIO164+AIO177+AIO190)/('DATA SECTION'!$C$3+'DATA SECTION'!$C$4+'DATA SECTION'!$C$5)</f>
        <v>0</v>
      </c>
      <c r="AIP3" s="205">
        <f>(AIP34+AIP47+AIP60+AIP73+AIP86+AIP99+AIP112+AIP125+AIP138+AIP151+AIP164+AIP177+AIP190)/('DATA SECTION'!$C$3+'DATA SECTION'!$C$4+'DATA SECTION'!$C$5)</f>
        <v>0</v>
      </c>
      <c r="AIQ3" s="205">
        <f>(AIQ34+AIQ47+AIQ60+AIQ73+AIQ86+AIQ99+AIQ112+AIQ125+AIQ138+AIQ151+AIQ164+AIQ177+AIQ190)/('DATA SECTION'!$C$3+'DATA SECTION'!$C$4+'DATA SECTION'!$C$5)</f>
        <v>0</v>
      </c>
      <c r="AIR3" s="205">
        <f>(AIR34+AIR47+AIR60+AIR73+AIR86+AIR99+AIR112+AIR125+AIR138+AIR151+AIR164+AIR177+AIR190)/('DATA SECTION'!$C$3+'DATA SECTION'!$C$4+'DATA SECTION'!$C$5)</f>
        <v>0</v>
      </c>
      <c r="AIS3" s="205">
        <f>(AIS34+AIS47+AIS60+AIS73+AIS86+AIS99+AIS112+AIS125+AIS138+AIS151+AIS164+AIS177+AIS190)/('DATA SECTION'!$C$3+'DATA SECTION'!$C$4+'DATA SECTION'!$C$5)</f>
        <v>0</v>
      </c>
      <c r="AIT3" s="205">
        <f>(AIT34+AIT47+AIT60+AIT73+AIT86+AIT99+AIT112+AIT125+AIT138+AIT151+AIT164+AIT177+AIT190)/('DATA SECTION'!$C$3+'DATA SECTION'!$C$4+'DATA SECTION'!$C$5)</f>
        <v>0</v>
      </c>
      <c r="AIU3" s="205">
        <f>(AIU34+AIU47+AIU60+AIU73+AIU86+AIU99+AIU112+AIU125+AIU138+AIU151+AIU164+AIU177+AIU190)/('DATA SECTION'!$C$3+'DATA SECTION'!$C$4+'DATA SECTION'!$C$5)</f>
        <v>0</v>
      </c>
      <c r="AIV3" s="205">
        <f>(AIV34+AIV47+AIV60+AIV73+AIV86+AIV99+AIV112+AIV125+AIV138+AIV151+AIV164+AIV177+AIV190)/('DATA SECTION'!$C$3+'DATA SECTION'!$C$4+'DATA SECTION'!$C$5)</f>
        <v>0</v>
      </c>
      <c r="AIW3" s="205">
        <f>(AIW34+AIW47+AIW60+AIW73+AIW86+AIW99+AIW112+AIW125+AIW138+AIW151+AIW164+AIW177+AIW190)/('DATA SECTION'!$C$3+'DATA SECTION'!$C$4+'DATA SECTION'!$C$5)</f>
        <v>0</v>
      </c>
      <c r="AIX3" s="205">
        <f>(AIX34+AIX47+AIX60+AIX73+AIX86+AIX99+AIX112+AIX125+AIX138+AIX151+AIX164+AIX177+AIX190)/('DATA SECTION'!$C$3+'DATA SECTION'!$C$4+'DATA SECTION'!$C$5)</f>
        <v>0</v>
      </c>
      <c r="AIY3" s="205">
        <f>(AIY34+AIY47+AIY60+AIY73+AIY86+AIY99+AIY112+AIY125+AIY138+AIY151+AIY164+AIY177+AIY190)/('DATA SECTION'!$C$3+'DATA SECTION'!$C$4+'DATA SECTION'!$C$5)</f>
        <v>0</v>
      </c>
      <c r="AIZ3" s="205">
        <f>(AIZ34+AIZ47+AIZ60+AIZ73+AIZ86+AIZ99+AIZ112+AIZ125+AIZ138+AIZ151+AIZ164+AIZ177+AIZ190)/('DATA SECTION'!$C$3+'DATA SECTION'!$C$4+'DATA SECTION'!$C$5)</f>
        <v>0</v>
      </c>
      <c r="AJA3" s="205">
        <f>(AJA34+AJA47+AJA60+AJA73+AJA86+AJA99+AJA112+AJA125+AJA138+AJA151+AJA164+AJA177+AJA190)/('DATA SECTION'!$C$3+'DATA SECTION'!$C$4+'DATA SECTION'!$C$5)</f>
        <v>0</v>
      </c>
    </row>
    <row r="4" spans="1:1024" s="204" customFormat="1" ht="22.15" customHeight="1" x14ac:dyDescent="0.25">
      <c r="A4" s="286" t="s">
        <v>17</v>
      </c>
      <c r="B4" s="286"/>
      <c r="C4" s="206">
        <f>C36+C49+C62+C75+C88+C101+C114+C127+C140+C153+C166+C179+C192</f>
        <v>0.14050000000000001</v>
      </c>
      <c r="D4" s="206">
        <f>D36+D49+D62+D75+D88+D101+D114+D127+D140+D153+D166+D179+D192</f>
        <v>0.15349541071428571</v>
      </c>
      <c r="E4" s="206">
        <f>E36+E49+E62+E75+E88+E101+E114+E127+E140+E153+E166+E179+E192</f>
        <v>0.16790765106568878</v>
      </c>
      <c r="F4" s="206">
        <f>F36+F49+F62+F75+F88+F101+F114+F127+F140+F153+F166+F179+F192</f>
        <v>0.18331904442666083</v>
      </c>
      <c r="G4" s="206">
        <f t="shared" ref="G4:BO4" si="16">G36+G49+G62+G75+G88+G101+G114+G127+G140+G153+G166+G179+G192</f>
        <v>0.19935467139751761</v>
      </c>
      <c r="H4" s="206">
        <f t="shared" si="16"/>
        <v>0.2166426892048324</v>
      </c>
      <c r="I4" s="206">
        <f t="shared" si="16"/>
        <v>0.2353432020092141</v>
      </c>
      <c r="J4" s="206">
        <f t="shared" si="16"/>
        <v>0.25505677544932165</v>
      </c>
      <c r="K4" s="206">
        <f t="shared" si="16"/>
        <v>0.27583239066968751</v>
      </c>
      <c r="L4" s="206">
        <f t="shared" si="16"/>
        <v>0.29697738913303484</v>
      </c>
      <c r="M4" s="206">
        <f t="shared" si="16"/>
        <v>0.3194037691593315</v>
      </c>
      <c r="N4" s="206">
        <f t="shared" si="16"/>
        <v>0.34269017321519196</v>
      </c>
      <c r="O4" s="206">
        <f t="shared" si="16"/>
        <v>0.36728624217254702</v>
      </c>
      <c r="P4" s="206">
        <f t="shared" si="16"/>
        <v>0.39272283715155293</v>
      </c>
      <c r="Q4" s="206">
        <f t="shared" si="16"/>
        <v>0.4186413483967294</v>
      </c>
      <c r="R4" s="206">
        <f t="shared" si="16"/>
        <v>0.44516430350160602</v>
      </c>
      <c r="S4" s="206">
        <f t="shared" si="16"/>
        <v>0.47180154377391648</v>
      </c>
      <c r="T4" s="206">
        <f t="shared" si="16"/>
        <v>0.49977012867788351</v>
      </c>
      <c r="U4" s="206">
        <f t="shared" si="16"/>
        <v>0.52873554206564766</v>
      </c>
      <c r="V4" s="206">
        <f t="shared" si="16"/>
        <v>0.55806974775310336</v>
      </c>
      <c r="W4" s="206">
        <f t="shared" si="16"/>
        <v>0.58829561286534438</v>
      </c>
      <c r="X4" s="206">
        <f t="shared" si="16"/>
        <v>0.61736583170566495</v>
      </c>
      <c r="Y4" s="206">
        <f t="shared" si="16"/>
        <v>0.64838994880135448</v>
      </c>
      <c r="Z4" s="206">
        <f t="shared" si="16"/>
        <v>0.67945839994117818</v>
      </c>
      <c r="AA4" s="206">
        <f t="shared" si="16"/>
        <v>0.71278668366268905</v>
      </c>
      <c r="AB4" s="206">
        <f t="shared" si="16"/>
        <v>0.74696390684333991</v>
      </c>
      <c r="AC4" s="206">
        <f t="shared" si="16"/>
        <v>0.78124953431619559</v>
      </c>
      <c r="AD4" s="206">
        <f t="shared" si="16"/>
        <v>0.81624935648608865</v>
      </c>
      <c r="AE4" s="206">
        <f t="shared" si="16"/>
        <v>0.851190450173121</v>
      </c>
      <c r="AF4" s="206">
        <f t="shared" si="16"/>
        <v>0.88669158617649757</v>
      </c>
      <c r="AG4" s="206">
        <f t="shared" si="16"/>
        <v>0.9226928896086164</v>
      </c>
      <c r="AH4" s="206">
        <f t="shared" si="16"/>
        <v>0.9583702115541558</v>
      </c>
      <c r="AI4" s="206">
        <f t="shared" si="16"/>
        <v>0.99436612748230468</v>
      </c>
      <c r="AJ4" s="206">
        <f t="shared" si="16"/>
        <v>1.0306058047907931</v>
      </c>
      <c r="AK4" s="206">
        <f t="shared" si="16"/>
        <v>1.0662242972344411</v>
      </c>
      <c r="AL4" s="206">
        <f t="shared" si="16"/>
        <v>1.098837681270268</v>
      </c>
      <c r="AM4" s="206">
        <f t="shared" si="16"/>
        <v>1.1333551862719433</v>
      </c>
      <c r="AN4" s="206">
        <f t="shared" si="16"/>
        <v>1.1643356897299235</v>
      </c>
      <c r="AO4" s="206">
        <f t="shared" si="16"/>
        <v>1.1980573168234954</v>
      </c>
      <c r="AP4" s="206">
        <f t="shared" si="16"/>
        <v>1.230594031322491</v>
      </c>
      <c r="AQ4" s="206">
        <f t="shared" si="16"/>
        <v>1.25877805295653</v>
      </c>
      <c r="AR4" s="206">
        <f t="shared" si="16"/>
        <v>1.2898201531700975</v>
      </c>
      <c r="AS4" s="206">
        <f t="shared" si="16"/>
        <v>1.3151769703837655</v>
      </c>
      <c r="AT4" s="206">
        <f t="shared" si="16"/>
        <v>1.3434748261788181</v>
      </c>
      <c r="AU4" s="206">
        <f t="shared" si="16"/>
        <v>1.3707845882486138</v>
      </c>
      <c r="AV4" s="206">
        <f t="shared" si="16"/>
        <v>1.3962440358625756</v>
      </c>
      <c r="AW4" s="206">
        <f t="shared" si="16"/>
        <v>1.4204905112874515</v>
      </c>
      <c r="AX4" s="206">
        <f t="shared" si="16"/>
        <v>1.4434197840759082</v>
      </c>
      <c r="AY4" s="206">
        <f t="shared" si="16"/>
        <v>1.4641996455827908</v>
      </c>
      <c r="AZ4" s="206">
        <f t="shared" si="16"/>
        <v>1.4834503847325724</v>
      </c>
      <c r="BA4" s="206">
        <f t="shared" si="16"/>
        <v>0</v>
      </c>
      <c r="BB4" s="206">
        <f t="shared" si="16"/>
        <v>1.6043512217573703</v>
      </c>
      <c r="BC4" s="206">
        <f t="shared" si="16"/>
        <v>1.6302713389599404</v>
      </c>
      <c r="BD4" s="206">
        <f t="shared" si="16"/>
        <v>1.6551345859058173</v>
      </c>
      <c r="BE4" s="206">
        <f t="shared" si="16"/>
        <v>1.6913374890743962</v>
      </c>
      <c r="BF4" s="206">
        <f t="shared" si="16"/>
        <v>1.7272803606931815</v>
      </c>
      <c r="BG4" s="206">
        <f t="shared" si="16"/>
        <v>1.7564323863638509</v>
      </c>
      <c r="BH4" s="206">
        <f t="shared" si="16"/>
        <v>1.7921135660102878</v>
      </c>
      <c r="BI4" s="206">
        <f t="shared" si="16"/>
        <v>1.827746559779885</v>
      </c>
      <c r="BJ4" s="206">
        <f t="shared" si="16"/>
        <v>1.8633272241120626</v>
      </c>
      <c r="BK4" s="206">
        <f t="shared" si="16"/>
        <v>1.8975412123907285</v>
      </c>
      <c r="BL4" s="206">
        <f t="shared" si="16"/>
        <v>1.9243892886380782</v>
      </c>
      <c r="BM4" s="206">
        <f t="shared" si="16"/>
        <v>1.957873708983435</v>
      </c>
      <c r="BN4" s="206">
        <f t="shared" si="16"/>
        <v>1.9913515514606202</v>
      </c>
      <c r="BO4" s="206">
        <f t="shared" si="16"/>
        <v>2.031779518525362</v>
      </c>
      <c r="BP4" s="206">
        <f t="shared" ref="BP4:EA4" si="17">BP36+BP49+BP62+BP75+BP88+BP101+BP114+BP127+BP140+BP153+BP166+BP179+BP192</f>
        <v>2.0718678746659762</v>
      </c>
      <c r="BQ4" s="206">
        <f t="shared" si="17"/>
        <v>2.1117046230956475</v>
      </c>
      <c r="BR4" s="206">
        <f t="shared" si="17"/>
        <v>2.1507655445946803</v>
      </c>
      <c r="BS4" s="206">
        <f t="shared" si="17"/>
        <v>2.1902341762899828</v>
      </c>
      <c r="BT4" s="206">
        <f t="shared" si="17"/>
        <v>2.2292474320179325</v>
      </c>
      <c r="BU4" s="206">
        <f t="shared" si="17"/>
        <v>2.2676428578514196</v>
      </c>
      <c r="BV4" s="206">
        <f t="shared" si="17"/>
        <v>2.3059128699698617</v>
      </c>
      <c r="BW4" s="206">
        <f t="shared" si="17"/>
        <v>2.3419805582557589</v>
      </c>
      <c r="BX4" s="206">
        <f t="shared" si="17"/>
        <v>2.3784645996723714</v>
      </c>
      <c r="BY4" s="206">
        <f t="shared" si="17"/>
        <v>2.423806048151143</v>
      </c>
      <c r="BZ4" s="206">
        <f t="shared" si="17"/>
        <v>2.4708773546686666</v>
      </c>
      <c r="CA4" s="206">
        <f t="shared" si="17"/>
        <v>2.5182478974684623</v>
      </c>
      <c r="CB4" s="206">
        <f t="shared" si="17"/>
        <v>2.5651575654076852</v>
      </c>
      <c r="CC4" s="206">
        <f t="shared" si="17"/>
        <v>2.6117524104937697</v>
      </c>
      <c r="CD4" s="206">
        <f t="shared" si="17"/>
        <v>2.6576802728684203</v>
      </c>
      <c r="CE4" s="206">
        <f t="shared" si="17"/>
        <v>2.7035415191802663</v>
      </c>
      <c r="CF4" s="206">
        <f t="shared" si="17"/>
        <v>2.7492581379902488</v>
      </c>
      <c r="CG4" s="206">
        <f t="shared" si="17"/>
        <v>2.7939881379182476</v>
      </c>
      <c r="CH4" s="206">
        <f t="shared" si="17"/>
        <v>2.8383565725990869</v>
      </c>
      <c r="CI4" s="206">
        <f t="shared" si="17"/>
        <v>2.8941410862573043</v>
      </c>
      <c r="CJ4" s="206">
        <f t="shared" si="17"/>
        <v>2.9487951083367516</v>
      </c>
      <c r="CK4" s="206">
        <f t="shared" si="17"/>
        <v>3.0003376384402554</v>
      </c>
      <c r="CL4" s="206">
        <f t="shared" si="17"/>
        <v>3.0536697698998641</v>
      </c>
      <c r="CM4" s="206">
        <f t="shared" si="17"/>
        <v>3.1033421666101706</v>
      </c>
      <c r="CN4" s="206">
        <f t="shared" si="17"/>
        <v>3.1556246661603033</v>
      </c>
      <c r="CO4" s="206">
        <f t="shared" si="17"/>
        <v>3.2065828744059712</v>
      </c>
      <c r="CP4" s="206">
        <f t="shared" si="17"/>
        <v>3.2526254629116647</v>
      </c>
      <c r="CQ4" s="206">
        <f t="shared" si="17"/>
        <v>3.3013651091161833</v>
      </c>
      <c r="CR4" s="206">
        <f t="shared" si="17"/>
        <v>3.3442500827718731</v>
      </c>
      <c r="CS4" s="206">
        <f t="shared" si="17"/>
        <v>3.3898982879071156</v>
      </c>
      <c r="CT4" s="206">
        <f t="shared" si="17"/>
        <v>3.4343721299120151</v>
      </c>
      <c r="CU4" s="206">
        <f t="shared" si="17"/>
        <v>3.4768008852315972</v>
      </c>
      <c r="CV4" s="206">
        <f t="shared" si="17"/>
        <v>3.5178133571091577</v>
      </c>
      <c r="CW4" s="206">
        <f t="shared" si="17"/>
        <v>3.557296744287715</v>
      </c>
      <c r="CX4" s="206">
        <f t="shared" si="17"/>
        <v>3.5939996100299352</v>
      </c>
      <c r="CY4" s="206">
        <f t="shared" si="17"/>
        <v>3.6289409685050837</v>
      </c>
      <c r="CZ4" s="206">
        <f t="shared" si="17"/>
        <v>0</v>
      </c>
      <c r="DA4" s="206">
        <f t="shared" si="17"/>
        <v>3.7455653038582466</v>
      </c>
      <c r="DB4" s="206">
        <f t="shared" si="17"/>
        <v>3.7861884005417576</v>
      </c>
      <c r="DC4" s="206">
        <f t="shared" si="17"/>
        <v>3.8254927313035694</v>
      </c>
      <c r="DD4" s="206">
        <f t="shared" si="17"/>
        <v>3.8758665147479214</v>
      </c>
      <c r="DE4" s="206">
        <f t="shared" si="17"/>
        <v>3.9257017657211524</v>
      </c>
      <c r="DF4" s="206">
        <f t="shared" si="17"/>
        <v>3.9680656582673</v>
      </c>
      <c r="DG4" s="206">
        <f t="shared" si="17"/>
        <v>4.0333878079716614</v>
      </c>
      <c r="DH4" s="206">
        <f t="shared" si="17"/>
        <v>4.0821089358847003</v>
      </c>
      <c r="DI4" s="206">
        <f t="shared" si="17"/>
        <v>4.1304688014072211</v>
      </c>
      <c r="DJ4" s="206">
        <f t="shared" si="17"/>
        <v>4.1771449613341227</v>
      </c>
      <c r="DK4" s="206">
        <f t="shared" si="17"/>
        <v>4.2161301223832526</v>
      </c>
      <c r="DL4" s="206">
        <f t="shared" si="17"/>
        <v>4.2614185277444356</v>
      </c>
      <c r="DM4" s="206">
        <f t="shared" si="17"/>
        <v>4.3059741643324205</v>
      </c>
      <c r="DN4" s="206">
        <f t="shared" si="17"/>
        <v>4.357130275695174</v>
      </c>
      <c r="DO4" s="206">
        <f t="shared" si="17"/>
        <v>4.4261269696578767</v>
      </c>
      <c r="DP4" s="206">
        <f t="shared" si="17"/>
        <v>4.4764635114242317</v>
      </c>
      <c r="DQ4" s="206">
        <f t="shared" si="17"/>
        <v>4.525654848435134</v>
      </c>
      <c r="DR4" s="206">
        <f t="shared" si="17"/>
        <v>4.5748769346022815</v>
      </c>
      <c r="DS4" s="206">
        <f t="shared" si="17"/>
        <v>4.6232591789972366</v>
      </c>
      <c r="DT4" s="206">
        <f t="shared" si="17"/>
        <v>4.6899523616601879</v>
      </c>
      <c r="DU4" s="206">
        <f t="shared" si="17"/>
        <v>4.7369282607904006</v>
      </c>
      <c r="DV4" s="206">
        <f t="shared" si="17"/>
        <v>4.7812982987468082</v>
      </c>
      <c r="DW4" s="206">
        <f t="shared" si="17"/>
        <v>4.8256740506359543</v>
      </c>
      <c r="DX4" s="206">
        <f t="shared" si="17"/>
        <v>4.8784895700764794</v>
      </c>
      <c r="DY4" s="206">
        <f t="shared" si="17"/>
        <v>4.9326104143149809</v>
      </c>
      <c r="DZ4" s="206">
        <f t="shared" si="17"/>
        <v>4.9865991794729991</v>
      </c>
      <c r="EA4" s="206">
        <f t="shared" si="17"/>
        <v>5.0606607115142719</v>
      </c>
      <c r="EB4" s="206">
        <f t="shared" ref="EB4:GM4" si="18">EB36+EB49+EB62+EB75+EB88+EB101+EB114+EB127+EB140+EB153+EB166+EB179+EB192</f>
        <v>4.8038706271112961</v>
      </c>
      <c r="EC4" s="206">
        <f t="shared" si="18"/>
        <v>4.854564876796025</v>
      </c>
      <c r="ED4" s="206">
        <f t="shared" si="18"/>
        <v>4.5936828126833653</v>
      </c>
      <c r="EE4" s="206">
        <f t="shared" si="18"/>
        <v>4.6428038965132252</v>
      </c>
      <c r="EF4" s="206">
        <f t="shared" si="18"/>
        <v>4.6905874018925298</v>
      </c>
      <c r="EG4" s="206">
        <f t="shared" si="18"/>
        <v>4.737653974811999</v>
      </c>
      <c r="EH4" s="206">
        <f t="shared" si="18"/>
        <v>4.79552186786003</v>
      </c>
      <c r="EI4" s="206">
        <f t="shared" si="18"/>
        <v>4.5524600551761436</v>
      </c>
      <c r="EJ4" s="206">
        <f t="shared" si="18"/>
        <v>4.6054543746650882</v>
      </c>
      <c r="EK4" s="206">
        <f t="shared" si="18"/>
        <v>4.3418514408863826</v>
      </c>
      <c r="EL4" s="206">
        <f t="shared" si="18"/>
        <v>4.3921904729221515</v>
      </c>
      <c r="EM4" s="206">
        <f t="shared" si="18"/>
        <v>4.4448870135015675</v>
      </c>
      <c r="EN4" s="206">
        <f t="shared" si="18"/>
        <v>4.5082844782413636</v>
      </c>
      <c r="EO4" s="206">
        <f t="shared" si="18"/>
        <v>4.5544876540276471</v>
      </c>
      <c r="EP4" s="206">
        <f t="shared" si="18"/>
        <v>4.2807622348365033</v>
      </c>
      <c r="EQ4" s="206">
        <f t="shared" si="18"/>
        <v>4.32337545269632</v>
      </c>
      <c r="ER4" s="206">
        <f t="shared" si="18"/>
        <v>4.051772691816776</v>
      </c>
      <c r="ES4" s="206">
        <f t="shared" si="18"/>
        <v>4.0958478445965261</v>
      </c>
      <c r="ET4" s="206">
        <f t="shared" si="18"/>
        <v>4.1442874009756325</v>
      </c>
      <c r="EU4" s="206">
        <f t="shared" si="18"/>
        <v>4.184761843440886</v>
      </c>
      <c r="EV4" s="206">
        <f t="shared" si="18"/>
        <v>4.2235705302566018</v>
      </c>
      <c r="EW4" s="206">
        <f t="shared" si="18"/>
        <v>3.9330460618116678</v>
      </c>
      <c r="EX4" s="206">
        <f t="shared" si="18"/>
        <v>3.9675740784386444</v>
      </c>
      <c r="EY4" s="206">
        <f>EY36+EY49+EY62+EY75+EY88+EY101+EY114+EY127+EY140+EY153+EY166+EY179+EY192</f>
        <v>-6.845541933200597E-4</v>
      </c>
      <c r="EZ4" s="206">
        <f t="shared" si="18"/>
        <v>3.7455653038582466</v>
      </c>
      <c r="FA4" s="206">
        <f t="shared" si="18"/>
        <v>3.7861884005417576</v>
      </c>
      <c r="FB4" s="206">
        <f t="shared" si="18"/>
        <v>3.8254927313035694</v>
      </c>
      <c r="FC4" s="206">
        <f t="shared" si="18"/>
        <v>3.8758665147479214</v>
      </c>
      <c r="FD4" s="206">
        <f t="shared" si="18"/>
        <v>3.9257017657211524</v>
      </c>
      <c r="FE4" s="206">
        <f t="shared" si="18"/>
        <v>3.9680656582673</v>
      </c>
      <c r="FF4" s="206">
        <f t="shared" si="18"/>
        <v>4.0333878079716614</v>
      </c>
      <c r="FG4" s="206">
        <f t="shared" si="18"/>
        <v>4.0821089358847003</v>
      </c>
      <c r="FH4" s="206">
        <f t="shared" si="18"/>
        <v>4.1304688014072211</v>
      </c>
      <c r="FI4" s="206">
        <f t="shared" si="18"/>
        <v>4.1771449613341227</v>
      </c>
      <c r="FJ4" s="206">
        <f t="shared" si="18"/>
        <v>4.2161301223832526</v>
      </c>
      <c r="FK4" s="206">
        <f t="shared" si="18"/>
        <v>4.2614185277444356</v>
      </c>
      <c r="FL4" s="206">
        <f t="shared" si="18"/>
        <v>4.3059741643324205</v>
      </c>
      <c r="FM4" s="206">
        <f t="shared" si="18"/>
        <v>4.357130275695174</v>
      </c>
      <c r="FN4" s="206">
        <f t="shared" si="18"/>
        <v>4.4261269696578767</v>
      </c>
      <c r="FO4" s="206">
        <f t="shared" si="18"/>
        <v>4.4764635114242317</v>
      </c>
      <c r="FP4" s="206">
        <f t="shared" si="18"/>
        <v>4.525654848435134</v>
      </c>
      <c r="FQ4" s="206">
        <f t="shared" si="18"/>
        <v>4.5748769346022815</v>
      </c>
      <c r="FR4" s="206">
        <f t="shared" si="18"/>
        <v>4.6232591789972366</v>
      </c>
      <c r="FS4" s="206">
        <f t="shared" si="18"/>
        <v>4.6899523616601879</v>
      </c>
      <c r="FT4" s="206">
        <f t="shared" si="18"/>
        <v>4.7369282607904006</v>
      </c>
      <c r="FU4" s="206">
        <f t="shared" si="18"/>
        <v>4.7812982987468082</v>
      </c>
      <c r="FV4" s="206">
        <f t="shared" si="18"/>
        <v>4.8256740506359543</v>
      </c>
      <c r="FW4" s="206">
        <f t="shared" si="18"/>
        <v>4.8784895700764794</v>
      </c>
      <c r="FX4" s="206">
        <f t="shared" si="18"/>
        <v>4.9326104143149809</v>
      </c>
      <c r="FY4" s="206">
        <f t="shared" si="18"/>
        <v>4.9865991794729991</v>
      </c>
      <c r="FZ4" s="206">
        <f t="shared" si="18"/>
        <v>5.0606607115142719</v>
      </c>
      <c r="GA4" s="206">
        <f t="shared" si="18"/>
        <v>4.8038706271112961</v>
      </c>
      <c r="GB4" s="206">
        <f t="shared" si="18"/>
        <v>4.854564876796025</v>
      </c>
      <c r="GC4" s="206">
        <f t="shared" si="18"/>
        <v>4.5936828126833653</v>
      </c>
      <c r="GD4" s="206">
        <f t="shared" si="18"/>
        <v>4.6428038965132252</v>
      </c>
      <c r="GE4" s="206">
        <f t="shared" si="18"/>
        <v>4.6905874018925298</v>
      </c>
      <c r="GF4" s="206">
        <f t="shared" si="18"/>
        <v>4.737653974811999</v>
      </c>
      <c r="GG4" s="206">
        <f t="shared" si="18"/>
        <v>4.79552186786003</v>
      </c>
      <c r="GH4" s="206">
        <f t="shared" si="18"/>
        <v>4.5524600551761436</v>
      </c>
      <c r="GI4" s="206">
        <f t="shared" si="18"/>
        <v>4.6054543746650882</v>
      </c>
      <c r="GJ4" s="206">
        <f t="shared" si="18"/>
        <v>4.3418514408863826</v>
      </c>
      <c r="GK4" s="206">
        <f t="shared" si="18"/>
        <v>4.3921904729221515</v>
      </c>
      <c r="GL4" s="206">
        <f t="shared" si="18"/>
        <v>4.4448870135015675</v>
      </c>
      <c r="GM4" s="206">
        <f t="shared" si="18"/>
        <v>4.5082844782413636</v>
      </c>
      <c r="GN4" s="206">
        <f t="shared" ref="GN4:IY4" si="19">GN36+GN49+GN62+GN75+GN88+GN101+GN114+GN127+GN140+GN153+GN166+GN179+GN192</f>
        <v>4.5544876540276471</v>
      </c>
      <c r="GO4" s="206">
        <f t="shared" si="19"/>
        <v>4.2807622348365033</v>
      </c>
      <c r="GP4" s="206">
        <f t="shared" si="19"/>
        <v>4.32337545269632</v>
      </c>
      <c r="GQ4" s="206">
        <f t="shared" si="19"/>
        <v>4.051772691816776</v>
      </c>
      <c r="GR4" s="206">
        <f t="shared" si="19"/>
        <v>4.0958478445965261</v>
      </c>
      <c r="GS4" s="206">
        <f t="shared" si="19"/>
        <v>4.1442874009756325</v>
      </c>
      <c r="GT4" s="206">
        <f t="shared" si="19"/>
        <v>4.184761843440886</v>
      </c>
      <c r="GU4" s="206">
        <f t="shared" si="19"/>
        <v>4.2235705302566018</v>
      </c>
      <c r="GV4" s="206">
        <f t="shared" si="19"/>
        <v>3.9330460618116678</v>
      </c>
      <c r="GW4" s="206">
        <f t="shared" si="19"/>
        <v>3.9675740784386444</v>
      </c>
      <c r="GX4" s="206">
        <f t="shared" si="19"/>
        <v>-6.845541933200597E-4</v>
      </c>
      <c r="GY4" s="206">
        <f t="shared" si="19"/>
        <v>3.7455653038582466</v>
      </c>
      <c r="GZ4" s="206">
        <f t="shared" si="19"/>
        <v>3.7861884005417576</v>
      </c>
      <c r="HA4" s="206">
        <f t="shared" si="19"/>
        <v>3.8254927313035694</v>
      </c>
      <c r="HB4" s="206">
        <f t="shared" si="19"/>
        <v>3.8758665147479214</v>
      </c>
      <c r="HC4" s="206">
        <f t="shared" si="19"/>
        <v>3.9257017657211524</v>
      </c>
      <c r="HD4" s="206">
        <f t="shared" si="19"/>
        <v>3.9680656582673</v>
      </c>
      <c r="HE4" s="206">
        <f t="shared" si="19"/>
        <v>4.0333878079716614</v>
      </c>
      <c r="HF4" s="206">
        <f t="shared" si="19"/>
        <v>4.0821089358847003</v>
      </c>
      <c r="HG4" s="206">
        <f t="shared" si="19"/>
        <v>4.1304688014072211</v>
      </c>
      <c r="HH4" s="206">
        <f t="shared" si="19"/>
        <v>4.1771449613341227</v>
      </c>
      <c r="HI4" s="206">
        <f t="shared" si="19"/>
        <v>4.2161301223832526</v>
      </c>
      <c r="HJ4" s="206">
        <f t="shared" si="19"/>
        <v>4.2614185277444356</v>
      </c>
      <c r="HK4" s="206">
        <f t="shared" si="19"/>
        <v>4.3059741643324205</v>
      </c>
      <c r="HL4" s="206">
        <f t="shared" si="19"/>
        <v>4.357130275695174</v>
      </c>
      <c r="HM4" s="206">
        <f t="shared" si="19"/>
        <v>4.4261269696578767</v>
      </c>
      <c r="HN4" s="206">
        <f t="shared" si="19"/>
        <v>4.4764635114242317</v>
      </c>
      <c r="HO4" s="206">
        <f t="shared" si="19"/>
        <v>4.525654848435134</v>
      </c>
      <c r="HP4" s="206">
        <f t="shared" si="19"/>
        <v>4.5748769346022815</v>
      </c>
      <c r="HQ4" s="206">
        <f t="shared" si="19"/>
        <v>4.6232591789972366</v>
      </c>
      <c r="HR4" s="206">
        <f t="shared" si="19"/>
        <v>4.6899523616601879</v>
      </c>
      <c r="HS4" s="206">
        <f t="shared" si="19"/>
        <v>4.7369282607904006</v>
      </c>
      <c r="HT4" s="206">
        <f t="shared" si="19"/>
        <v>4.7812982987468082</v>
      </c>
      <c r="HU4" s="206">
        <f t="shared" si="19"/>
        <v>4.8256740506359543</v>
      </c>
      <c r="HV4" s="206">
        <f t="shared" si="19"/>
        <v>4.8784895700764794</v>
      </c>
      <c r="HW4" s="206">
        <f t="shared" si="19"/>
        <v>4.9326104143149809</v>
      </c>
      <c r="HX4" s="206">
        <f t="shared" si="19"/>
        <v>4.9865991794729991</v>
      </c>
      <c r="HY4" s="206">
        <f t="shared" si="19"/>
        <v>5.0606607115142719</v>
      </c>
      <c r="HZ4" s="206">
        <f t="shared" si="19"/>
        <v>4.8038706271112961</v>
      </c>
      <c r="IA4" s="206">
        <f t="shared" si="19"/>
        <v>4.854564876796025</v>
      </c>
      <c r="IB4" s="206">
        <f t="shared" si="19"/>
        <v>4.5936828126833653</v>
      </c>
      <c r="IC4" s="206">
        <f t="shared" si="19"/>
        <v>4.6428038965132252</v>
      </c>
      <c r="ID4" s="206">
        <f t="shared" si="19"/>
        <v>4.6905874018925298</v>
      </c>
      <c r="IE4" s="206">
        <f t="shared" si="19"/>
        <v>4.737653974811999</v>
      </c>
      <c r="IF4" s="206">
        <f t="shared" si="19"/>
        <v>4.79552186786003</v>
      </c>
      <c r="IG4" s="206">
        <f t="shared" si="19"/>
        <v>4.5524600551761436</v>
      </c>
      <c r="IH4" s="206">
        <f t="shared" si="19"/>
        <v>4.6054543746650882</v>
      </c>
      <c r="II4" s="206">
        <f t="shared" si="19"/>
        <v>4.3418514408863826</v>
      </c>
      <c r="IJ4" s="206">
        <f t="shared" si="19"/>
        <v>4.3921904729221515</v>
      </c>
      <c r="IK4" s="206">
        <f t="shared" si="19"/>
        <v>4.4448870135015675</v>
      </c>
      <c r="IL4" s="206">
        <f t="shared" si="19"/>
        <v>4.5082844782413636</v>
      </c>
      <c r="IM4" s="206">
        <f t="shared" si="19"/>
        <v>4.5544876540276471</v>
      </c>
      <c r="IN4" s="206">
        <f t="shared" si="19"/>
        <v>4.2807622348365033</v>
      </c>
      <c r="IO4" s="206">
        <f t="shared" si="19"/>
        <v>4.32337545269632</v>
      </c>
      <c r="IP4" s="206">
        <f t="shared" si="19"/>
        <v>4.051772691816776</v>
      </c>
      <c r="IQ4" s="206">
        <f t="shared" si="19"/>
        <v>4.0958478445965261</v>
      </c>
      <c r="IR4" s="206">
        <f t="shared" si="19"/>
        <v>4.1442874009756325</v>
      </c>
      <c r="IS4" s="206">
        <f t="shared" si="19"/>
        <v>4.184761843440886</v>
      </c>
      <c r="IT4" s="206">
        <f t="shared" si="19"/>
        <v>4.2235705302566018</v>
      </c>
      <c r="IU4" s="206">
        <f t="shared" si="19"/>
        <v>3.9330460618116678</v>
      </c>
      <c r="IV4" s="206">
        <f t="shared" si="19"/>
        <v>3.9675740784386444</v>
      </c>
      <c r="IW4" s="206">
        <f t="shared" si="19"/>
        <v>-6.845541933200597E-4</v>
      </c>
      <c r="IX4" s="206">
        <f t="shared" si="19"/>
        <v>3.7455653038582466</v>
      </c>
      <c r="IY4" s="206">
        <f t="shared" si="19"/>
        <v>3.7861884005417576</v>
      </c>
      <c r="IZ4" s="206">
        <f t="shared" ref="IZ4:LK4" si="20">IZ36+IZ49+IZ62+IZ75+IZ88+IZ101+IZ114+IZ127+IZ140+IZ153+IZ166+IZ179+IZ192</f>
        <v>3.8254927313035694</v>
      </c>
      <c r="JA4" s="206">
        <f t="shared" si="20"/>
        <v>3.8758665147479214</v>
      </c>
      <c r="JB4" s="206">
        <f t="shared" si="20"/>
        <v>3.9257017657211524</v>
      </c>
      <c r="JC4" s="206">
        <f t="shared" si="20"/>
        <v>3.9680656582673</v>
      </c>
      <c r="JD4" s="206">
        <f t="shared" si="20"/>
        <v>4.0333878079716614</v>
      </c>
      <c r="JE4" s="206">
        <f t="shared" si="20"/>
        <v>4.0821089358847003</v>
      </c>
      <c r="JF4" s="206">
        <f t="shared" si="20"/>
        <v>4.1304688014072211</v>
      </c>
      <c r="JG4" s="206">
        <f t="shared" si="20"/>
        <v>4.1771449613341227</v>
      </c>
      <c r="JH4" s="206">
        <f t="shared" si="20"/>
        <v>4.2161301223832526</v>
      </c>
      <c r="JI4" s="206">
        <f t="shared" si="20"/>
        <v>4.2614185277444356</v>
      </c>
      <c r="JJ4" s="206">
        <f t="shared" si="20"/>
        <v>4.3059741643324205</v>
      </c>
      <c r="JK4" s="206">
        <f t="shared" si="20"/>
        <v>4.357130275695174</v>
      </c>
      <c r="JL4" s="206">
        <f t="shared" si="20"/>
        <v>4.4261269696578767</v>
      </c>
      <c r="JM4" s="206">
        <f t="shared" si="20"/>
        <v>4.4764635114242317</v>
      </c>
      <c r="JN4" s="206">
        <f t="shared" si="20"/>
        <v>4.525654848435134</v>
      </c>
      <c r="JO4" s="206">
        <f t="shared" si="20"/>
        <v>4.5748769346022815</v>
      </c>
      <c r="JP4" s="206">
        <f t="shared" si="20"/>
        <v>4.6232591789972366</v>
      </c>
      <c r="JQ4" s="206">
        <f t="shared" si="20"/>
        <v>4.6899523616601879</v>
      </c>
      <c r="JR4" s="206">
        <f t="shared" si="20"/>
        <v>4.7369282607904006</v>
      </c>
      <c r="JS4" s="206">
        <f t="shared" si="20"/>
        <v>4.7812982987468082</v>
      </c>
      <c r="JT4" s="206">
        <f t="shared" si="20"/>
        <v>4.8256740506359543</v>
      </c>
      <c r="JU4" s="206">
        <f t="shared" si="20"/>
        <v>4.8784895700764794</v>
      </c>
      <c r="JV4" s="206">
        <f t="shared" si="20"/>
        <v>4.9326104143149809</v>
      </c>
      <c r="JW4" s="206">
        <f t="shared" si="20"/>
        <v>4.9865991794729991</v>
      </c>
      <c r="JX4" s="206">
        <f t="shared" si="20"/>
        <v>5.0606607115142719</v>
      </c>
      <c r="JY4" s="206">
        <f t="shared" si="20"/>
        <v>4.8038706271112961</v>
      </c>
      <c r="JZ4" s="206">
        <f t="shared" si="20"/>
        <v>4.854564876796025</v>
      </c>
      <c r="KA4" s="206">
        <f t="shared" si="20"/>
        <v>4.5936828126833653</v>
      </c>
      <c r="KB4" s="206">
        <f t="shared" si="20"/>
        <v>4.6428038965132252</v>
      </c>
      <c r="KC4" s="206">
        <f t="shared" si="20"/>
        <v>4.6905874018925298</v>
      </c>
      <c r="KD4" s="206">
        <f t="shared" si="20"/>
        <v>4.737653974811999</v>
      </c>
      <c r="KE4" s="206">
        <f t="shared" si="20"/>
        <v>4.79552186786003</v>
      </c>
      <c r="KF4" s="206">
        <f t="shared" si="20"/>
        <v>4.5524600551761436</v>
      </c>
      <c r="KG4" s="206">
        <f t="shared" si="20"/>
        <v>4.6054543746650882</v>
      </c>
      <c r="KH4" s="206">
        <f t="shared" si="20"/>
        <v>4.3418514408863826</v>
      </c>
      <c r="KI4" s="206">
        <f t="shared" si="20"/>
        <v>4.3921904729221515</v>
      </c>
      <c r="KJ4" s="206">
        <f t="shared" si="20"/>
        <v>4.4448870135015675</v>
      </c>
      <c r="KK4" s="206">
        <f t="shared" si="20"/>
        <v>4.5082844782413636</v>
      </c>
      <c r="KL4" s="206">
        <f t="shared" si="20"/>
        <v>4.5544876540276471</v>
      </c>
      <c r="KM4" s="206">
        <f t="shared" si="20"/>
        <v>4.2807622348365033</v>
      </c>
      <c r="KN4" s="206">
        <f t="shared" si="20"/>
        <v>4.32337545269632</v>
      </c>
      <c r="KO4" s="206">
        <f t="shared" si="20"/>
        <v>4.051772691816776</v>
      </c>
      <c r="KP4" s="206">
        <f t="shared" si="20"/>
        <v>4.0958478445965261</v>
      </c>
      <c r="KQ4" s="206">
        <f t="shared" si="20"/>
        <v>4.1442874009756325</v>
      </c>
      <c r="KR4" s="206">
        <f t="shared" si="20"/>
        <v>4.184761843440886</v>
      </c>
      <c r="KS4" s="206">
        <f t="shared" si="20"/>
        <v>4.2235705302566018</v>
      </c>
      <c r="KT4" s="206">
        <f t="shared" si="20"/>
        <v>3.9330460618116678</v>
      </c>
      <c r="KU4" s="206">
        <f t="shared" si="20"/>
        <v>3.9675740784386444</v>
      </c>
      <c r="KV4" s="206">
        <f t="shared" si="20"/>
        <v>-6.845541933200597E-4</v>
      </c>
      <c r="KW4" s="206">
        <f t="shared" si="20"/>
        <v>3.7455653038582466</v>
      </c>
      <c r="KX4" s="206">
        <f t="shared" si="20"/>
        <v>3.7861884005417576</v>
      </c>
      <c r="KY4" s="206">
        <f t="shared" si="20"/>
        <v>3.8254927313035694</v>
      </c>
      <c r="KZ4" s="206">
        <f t="shared" si="20"/>
        <v>3.8758665147479214</v>
      </c>
      <c r="LA4" s="206">
        <f t="shared" si="20"/>
        <v>3.9257017657211524</v>
      </c>
      <c r="LB4" s="206">
        <f t="shared" si="20"/>
        <v>3.9680656582673</v>
      </c>
      <c r="LC4" s="206">
        <f t="shared" si="20"/>
        <v>4.0333878079716614</v>
      </c>
      <c r="LD4" s="206">
        <f t="shared" si="20"/>
        <v>4.0821089358847003</v>
      </c>
      <c r="LE4" s="206">
        <f t="shared" si="20"/>
        <v>4.1304688014072211</v>
      </c>
      <c r="LF4" s="206">
        <f t="shared" si="20"/>
        <v>4.1771449613341227</v>
      </c>
      <c r="LG4" s="206">
        <f t="shared" si="20"/>
        <v>4.2161301223832526</v>
      </c>
      <c r="LH4" s="206">
        <f t="shared" si="20"/>
        <v>4.2614185277444356</v>
      </c>
      <c r="LI4" s="206">
        <f t="shared" si="20"/>
        <v>4.3059741643324205</v>
      </c>
      <c r="LJ4" s="206">
        <f t="shared" si="20"/>
        <v>4.357130275695174</v>
      </c>
      <c r="LK4" s="206">
        <f t="shared" si="20"/>
        <v>4.4261269696578767</v>
      </c>
      <c r="LL4" s="206">
        <f t="shared" ref="LL4:NW4" si="21">LL36+LL49+LL62+LL75+LL88+LL101+LL114+LL127+LL140+LL153+LL166+LL179+LL192</f>
        <v>4.4764635114242317</v>
      </c>
      <c r="LM4" s="206">
        <f t="shared" si="21"/>
        <v>4.525654848435134</v>
      </c>
      <c r="LN4" s="206">
        <f t="shared" si="21"/>
        <v>4.5748769346022815</v>
      </c>
      <c r="LO4" s="206">
        <f t="shared" si="21"/>
        <v>4.6232591789972366</v>
      </c>
      <c r="LP4" s="206">
        <f t="shared" si="21"/>
        <v>4.6899523616601879</v>
      </c>
      <c r="LQ4" s="206">
        <f t="shared" si="21"/>
        <v>4.7369282607904006</v>
      </c>
      <c r="LR4" s="206">
        <f t="shared" si="21"/>
        <v>4.7812982987468082</v>
      </c>
      <c r="LS4" s="206">
        <f t="shared" si="21"/>
        <v>4.8256740506359543</v>
      </c>
      <c r="LT4" s="206">
        <f t="shared" si="21"/>
        <v>4.8784895700764794</v>
      </c>
      <c r="LU4" s="206">
        <f t="shared" si="21"/>
        <v>4.9326104143149809</v>
      </c>
      <c r="LV4" s="206">
        <f t="shared" si="21"/>
        <v>4.9865991794729991</v>
      </c>
      <c r="LW4" s="206">
        <f t="shared" si="21"/>
        <v>5.0606607115142719</v>
      </c>
      <c r="LX4" s="206">
        <f t="shared" si="21"/>
        <v>4.8038706271112961</v>
      </c>
      <c r="LY4" s="206">
        <f t="shared" si="21"/>
        <v>4.854564876796025</v>
      </c>
      <c r="LZ4" s="206">
        <f t="shared" si="21"/>
        <v>4.5936828126833653</v>
      </c>
      <c r="MA4" s="206">
        <f t="shared" si="21"/>
        <v>4.6428038965132252</v>
      </c>
      <c r="MB4" s="206">
        <f t="shared" si="21"/>
        <v>4.6905874018925298</v>
      </c>
      <c r="MC4" s="206">
        <f t="shared" si="21"/>
        <v>4.737653974811999</v>
      </c>
      <c r="MD4" s="206">
        <f t="shared" si="21"/>
        <v>4.79552186786003</v>
      </c>
      <c r="ME4" s="206">
        <f t="shared" si="21"/>
        <v>4.5524600551761436</v>
      </c>
      <c r="MF4" s="206">
        <f t="shared" si="21"/>
        <v>4.6054543746650882</v>
      </c>
      <c r="MG4" s="206">
        <f t="shared" si="21"/>
        <v>4.3418514408863826</v>
      </c>
      <c r="MH4" s="206">
        <f t="shared" si="21"/>
        <v>4.3921904729221515</v>
      </c>
      <c r="MI4" s="206">
        <f t="shared" si="21"/>
        <v>4.4448870135015675</v>
      </c>
      <c r="MJ4" s="206">
        <f t="shared" si="21"/>
        <v>4.5082844782413636</v>
      </c>
      <c r="MK4" s="206">
        <f t="shared" si="21"/>
        <v>4.5544876540276471</v>
      </c>
      <c r="ML4" s="206">
        <f t="shared" si="21"/>
        <v>4.2807622348365033</v>
      </c>
      <c r="MM4" s="206">
        <f t="shared" si="21"/>
        <v>4.32337545269632</v>
      </c>
      <c r="MN4" s="206">
        <f t="shared" si="21"/>
        <v>4.051772691816776</v>
      </c>
      <c r="MO4" s="206">
        <f t="shared" si="21"/>
        <v>4.0958478445965261</v>
      </c>
      <c r="MP4" s="206">
        <f t="shared" si="21"/>
        <v>4.1442874009756325</v>
      </c>
      <c r="MQ4" s="206">
        <f t="shared" si="21"/>
        <v>4.184761843440886</v>
      </c>
      <c r="MR4" s="206">
        <f t="shared" si="21"/>
        <v>4.2235705302566018</v>
      </c>
      <c r="MS4" s="206">
        <f t="shared" si="21"/>
        <v>3.9330460618116678</v>
      </c>
      <c r="MT4" s="206">
        <f t="shared" si="21"/>
        <v>3.9675740784386444</v>
      </c>
      <c r="MU4" s="206">
        <f t="shared" si="21"/>
        <v>-6.845541933200597E-4</v>
      </c>
      <c r="MV4" s="206">
        <f t="shared" si="21"/>
        <v>3.7455653038582466</v>
      </c>
      <c r="MW4" s="206">
        <f t="shared" si="21"/>
        <v>3.7861884005417576</v>
      </c>
      <c r="MX4" s="206">
        <f t="shared" si="21"/>
        <v>3.8254927313035694</v>
      </c>
      <c r="MY4" s="206">
        <f t="shared" si="21"/>
        <v>3.8758665147479214</v>
      </c>
      <c r="MZ4" s="206">
        <f t="shared" si="21"/>
        <v>3.9257017657211524</v>
      </c>
      <c r="NA4" s="206">
        <f t="shared" si="21"/>
        <v>3.9680656582673</v>
      </c>
      <c r="NB4" s="206">
        <f t="shared" si="21"/>
        <v>4.0333878079716614</v>
      </c>
      <c r="NC4" s="206">
        <f t="shared" si="21"/>
        <v>4.0821089358847003</v>
      </c>
      <c r="ND4" s="206">
        <f t="shared" si="21"/>
        <v>4.1304688014072211</v>
      </c>
      <c r="NE4" s="206">
        <f t="shared" si="21"/>
        <v>4.1771449613341227</v>
      </c>
      <c r="NF4" s="206">
        <f t="shared" si="21"/>
        <v>4.2161301223832526</v>
      </c>
      <c r="NG4" s="206">
        <f t="shared" si="21"/>
        <v>4.2614185277444356</v>
      </c>
      <c r="NH4" s="206">
        <f t="shared" si="21"/>
        <v>4.3059741643324205</v>
      </c>
      <c r="NI4" s="206">
        <f t="shared" si="21"/>
        <v>4.357130275695174</v>
      </c>
      <c r="NJ4" s="206">
        <f t="shared" si="21"/>
        <v>4.4261269696578767</v>
      </c>
      <c r="NK4" s="206">
        <f t="shared" si="21"/>
        <v>4.4764635114242317</v>
      </c>
      <c r="NL4" s="206">
        <f t="shared" si="21"/>
        <v>4.525654848435134</v>
      </c>
      <c r="NM4" s="206">
        <f t="shared" si="21"/>
        <v>4.5748769346022815</v>
      </c>
      <c r="NN4" s="206">
        <f t="shared" si="21"/>
        <v>4.6232591789972366</v>
      </c>
      <c r="NO4" s="206">
        <f t="shared" si="21"/>
        <v>4.6899523616601879</v>
      </c>
      <c r="NP4" s="206">
        <f t="shared" si="21"/>
        <v>4.7369282607904006</v>
      </c>
      <c r="NQ4" s="206">
        <f t="shared" si="21"/>
        <v>4.7812982987468082</v>
      </c>
      <c r="NR4" s="206">
        <f t="shared" si="21"/>
        <v>4.8256740506359543</v>
      </c>
      <c r="NS4" s="206">
        <f t="shared" si="21"/>
        <v>4.8784895700764794</v>
      </c>
      <c r="NT4" s="206">
        <f t="shared" si="21"/>
        <v>4.9326104143149809</v>
      </c>
      <c r="NU4" s="206">
        <f t="shared" si="21"/>
        <v>4.9865991794729991</v>
      </c>
      <c r="NV4" s="206">
        <f t="shared" si="21"/>
        <v>5.0606607115142719</v>
      </c>
      <c r="NW4" s="206">
        <f t="shared" si="21"/>
        <v>4.8038706271112961</v>
      </c>
      <c r="NX4" s="206">
        <f t="shared" ref="NX4:QI4" si="22">NX36+NX49+NX62+NX75+NX88+NX101+NX114+NX127+NX140+NX153+NX166+NX179+NX192</f>
        <v>4.854564876796025</v>
      </c>
      <c r="NY4" s="206">
        <f t="shared" si="22"/>
        <v>4.5936828126833653</v>
      </c>
      <c r="NZ4" s="206">
        <f t="shared" si="22"/>
        <v>4.6428038965132252</v>
      </c>
      <c r="OA4" s="206">
        <f t="shared" si="22"/>
        <v>4.6905874018925298</v>
      </c>
      <c r="OB4" s="206">
        <f t="shared" si="22"/>
        <v>4.737653974811999</v>
      </c>
      <c r="OC4" s="206">
        <f t="shared" si="22"/>
        <v>4.79552186786003</v>
      </c>
      <c r="OD4" s="206">
        <f t="shared" si="22"/>
        <v>4.5524600551761436</v>
      </c>
      <c r="OE4" s="206">
        <f t="shared" si="22"/>
        <v>4.6054543746650882</v>
      </c>
      <c r="OF4" s="206">
        <f t="shared" si="22"/>
        <v>4.3418514408863826</v>
      </c>
      <c r="OG4" s="206">
        <f t="shared" si="22"/>
        <v>4.3921904729221515</v>
      </c>
      <c r="OH4" s="206">
        <f t="shared" si="22"/>
        <v>4.4448870135015675</v>
      </c>
      <c r="OI4" s="206">
        <f t="shared" si="22"/>
        <v>4.5082844782413636</v>
      </c>
      <c r="OJ4" s="206">
        <f t="shared" si="22"/>
        <v>4.5544876540276471</v>
      </c>
      <c r="OK4" s="206">
        <f t="shared" si="22"/>
        <v>4.2807622348365033</v>
      </c>
      <c r="OL4" s="206">
        <f t="shared" si="22"/>
        <v>4.32337545269632</v>
      </c>
      <c r="OM4" s="206">
        <f t="shared" si="22"/>
        <v>4.051772691816776</v>
      </c>
      <c r="ON4" s="206">
        <f t="shared" si="22"/>
        <v>4.0958478445965261</v>
      </c>
      <c r="OO4" s="206">
        <f t="shared" si="22"/>
        <v>4.1442874009756325</v>
      </c>
      <c r="OP4" s="206">
        <f t="shared" si="22"/>
        <v>4.184761843440886</v>
      </c>
      <c r="OQ4" s="206">
        <f t="shared" si="22"/>
        <v>4.2235705302566018</v>
      </c>
      <c r="OR4" s="206">
        <f t="shared" si="22"/>
        <v>3.9330460618116678</v>
      </c>
      <c r="OS4" s="206">
        <f t="shared" si="22"/>
        <v>3.9675740784386444</v>
      </c>
      <c r="OT4" s="206">
        <f t="shared" si="22"/>
        <v>-6.845541933200597E-4</v>
      </c>
      <c r="OU4" s="206">
        <f t="shared" si="22"/>
        <v>3.7455653038582466</v>
      </c>
      <c r="OV4" s="206">
        <f t="shared" si="22"/>
        <v>3.7861884005417576</v>
      </c>
      <c r="OW4" s="206">
        <f t="shared" si="22"/>
        <v>3.8254927313035694</v>
      </c>
      <c r="OX4" s="206">
        <f t="shared" si="22"/>
        <v>3.8758665147479214</v>
      </c>
      <c r="OY4" s="206">
        <f t="shared" si="22"/>
        <v>3.9257017657211524</v>
      </c>
      <c r="OZ4" s="206">
        <f t="shared" si="22"/>
        <v>3.9680656582673</v>
      </c>
      <c r="PA4" s="206">
        <f t="shared" si="22"/>
        <v>4.0333878079716614</v>
      </c>
      <c r="PB4" s="206">
        <f t="shared" si="22"/>
        <v>4.0821089358847003</v>
      </c>
      <c r="PC4" s="206">
        <f t="shared" si="22"/>
        <v>4.1304688014072211</v>
      </c>
      <c r="PD4" s="206">
        <f t="shared" si="22"/>
        <v>4.1771449613341227</v>
      </c>
      <c r="PE4" s="206">
        <f t="shared" si="22"/>
        <v>4.2161301223832526</v>
      </c>
      <c r="PF4" s="206">
        <f t="shared" si="22"/>
        <v>4.2614185277444356</v>
      </c>
      <c r="PG4" s="206">
        <f t="shared" si="22"/>
        <v>4.3059741643324205</v>
      </c>
      <c r="PH4" s="206">
        <f t="shared" si="22"/>
        <v>4.357130275695174</v>
      </c>
      <c r="PI4" s="206">
        <f t="shared" si="22"/>
        <v>4.4261269696578767</v>
      </c>
      <c r="PJ4" s="206">
        <f t="shared" si="22"/>
        <v>4.4764635114242317</v>
      </c>
      <c r="PK4" s="206">
        <f t="shared" si="22"/>
        <v>4.525654848435134</v>
      </c>
      <c r="PL4" s="206">
        <f t="shared" si="22"/>
        <v>4.5748769346022815</v>
      </c>
      <c r="PM4" s="206">
        <f t="shared" si="22"/>
        <v>4.6232591789972366</v>
      </c>
      <c r="PN4" s="206">
        <f t="shared" si="22"/>
        <v>4.6899523616601879</v>
      </c>
      <c r="PO4" s="206">
        <f t="shared" si="22"/>
        <v>4.7369282607904006</v>
      </c>
      <c r="PP4" s="206">
        <f t="shared" si="22"/>
        <v>4.7812982987468082</v>
      </c>
      <c r="PQ4" s="206">
        <f t="shared" si="22"/>
        <v>4.8256740506359543</v>
      </c>
      <c r="PR4" s="206">
        <f t="shared" si="22"/>
        <v>4.8784895700764794</v>
      </c>
      <c r="PS4" s="206">
        <f t="shared" si="22"/>
        <v>4.9326104143149809</v>
      </c>
      <c r="PT4" s="206">
        <f t="shared" si="22"/>
        <v>4.9865991794729991</v>
      </c>
      <c r="PU4" s="206">
        <f t="shared" si="22"/>
        <v>5.0606607115142719</v>
      </c>
      <c r="PV4" s="206">
        <f t="shared" si="22"/>
        <v>4.8038706271112961</v>
      </c>
      <c r="PW4" s="206">
        <f t="shared" si="22"/>
        <v>4.854564876796025</v>
      </c>
      <c r="PX4" s="206">
        <f t="shared" si="22"/>
        <v>4.5936828126833653</v>
      </c>
      <c r="PY4" s="206">
        <f t="shared" si="22"/>
        <v>4.6428038965132252</v>
      </c>
      <c r="PZ4" s="206">
        <f t="shared" si="22"/>
        <v>4.6905874018925298</v>
      </c>
      <c r="QA4" s="206">
        <f t="shared" si="22"/>
        <v>4.737653974811999</v>
      </c>
      <c r="QB4" s="206">
        <f t="shared" si="22"/>
        <v>4.79552186786003</v>
      </c>
      <c r="QC4" s="206">
        <f t="shared" si="22"/>
        <v>4.5524600551761436</v>
      </c>
      <c r="QD4" s="206">
        <f t="shared" si="22"/>
        <v>4.6054543746650882</v>
      </c>
      <c r="QE4" s="206">
        <f t="shared" si="22"/>
        <v>4.3418514408863826</v>
      </c>
      <c r="QF4" s="206">
        <f t="shared" si="22"/>
        <v>4.3921904729221515</v>
      </c>
      <c r="QG4" s="206">
        <f t="shared" si="22"/>
        <v>4.4448870135015675</v>
      </c>
      <c r="QH4" s="206">
        <f t="shared" si="22"/>
        <v>4.5082844782413636</v>
      </c>
      <c r="QI4" s="206">
        <f t="shared" si="22"/>
        <v>4.5544876540276471</v>
      </c>
      <c r="QJ4" s="206">
        <f t="shared" ref="QJ4:SU4" si="23">QJ36+QJ49+QJ62+QJ75+QJ88+QJ101+QJ114+QJ127+QJ140+QJ153+QJ166+QJ179+QJ192</f>
        <v>4.2807622348365033</v>
      </c>
      <c r="QK4" s="206">
        <f t="shared" si="23"/>
        <v>4.32337545269632</v>
      </c>
      <c r="QL4" s="206">
        <f t="shared" si="23"/>
        <v>4.051772691816776</v>
      </c>
      <c r="QM4" s="206">
        <f t="shared" si="23"/>
        <v>4.0958478445965261</v>
      </c>
      <c r="QN4" s="206">
        <f t="shared" si="23"/>
        <v>4.1442874009756325</v>
      </c>
      <c r="QO4" s="206">
        <f t="shared" si="23"/>
        <v>4.184761843440886</v>
      </c>
      <c r="QP4" s="206">
        <f t="shared" si="23"/>
        <v>4.2235705302566018</v>
      </c>
      <c r="QQ4" s="206">
        <f t="shared" si="23"/>
        <v>3.9330460618116678</v>
      </c>
      <c r="QR4" s="206">
        <f t="shared" si="23"/>
        <v>3.9675740784386444</v>
      </c>
      <c r="QS4" s="206">
        <f t="shared" si="23"/>
        <v>-6.845541933200597E-4</v>
      </c>
      <c r="QT4" s="206">
        <f t="shared" si="23"/>
        <v>3.7455653038582466</v>
      </c>
      <c r="QU4" s="206">
        <f t="shared" si="23"/>
        <v>3.7861884005417576</v>
      </c>
      <c r="QV4" s="206">
        <f t="shared" si="23"/>
        <v>3.8254927313035694</v>
      </c>
      <c r="QW4" s="206">
        <f t="shared" si="23"/>
        <v>3.8758665147479214</v>
      </c>
      <c r="QX4" s="206">
        <f t="shared" si="23"/>
        <v>3.9257017657211524</v>
      </c>
      <c r="QY4" s="206">
        <f t="shared" si="23"/>
        <v>3.9680656582673</v>
      </c>
      <c r="QZ4" s="206">
        <f t="shared" si="23"/>
        <v>4.0333878079716614</v>
      </c>
      <c r="RA4" s="206">
        <f t="shared" si="23"/>
        <v>4.0821089358847003</v>
      </c>
      <c r="RB4" s="206">
        <f t="shared" si="23"/>
        <v>4.1304688014072211</v>
      </c>
      <c r="RC4" s="206">
        <f t="shared" si="23"/>
        <v>4.1771449613341227</v>
      </c>
      <c r="RD4" s="206">
        <f t="shared" si="23"/>
        <v>4.2161301223832526</v>
      </c>
      <c r="RE4" s="206">
        <f t="shared" si="23"/>
        <v>4.2614185277444356</v>
      </c>
      <c r="RF4" s="206">
        <f t="shared" si="23"/>
        <v>4.3059741643324205</v>
      </c>
      <c r="RG4" s="206">
        <f t="shared" si="23"/>
        <v>4.357130275695174</v>
      </c>
      <c r="RH4" s="206">
        <f t="shared" si="23"/>
        <v>4.4261269696578767</v>
      </c>
      <c r="RI4" s="206">
        <f t="shared" si="23"/>
        <v>4.4764635114242317</v>
      </c>
      <c r="RJ4" s="206">
        <f t="shared" si="23"/>
        <v>4.525654848435134</v>
      </c>
      <c r="RK4" s="206">
        <f t="shared" si="23"/>
        <v>4.5748769346022815</v>
      </c>
      <c r="RL4" s="206">
        <f t="shared" si="23"/>
        <v>4.6232591789972366</v>
      </c>
      <c r="RM4" s="206">
        <f t="shared" si="23"/>
        <v>4.6899523616601879</v>
      </c>
      <c r="RN4" s="206">
        <f t="shared" si="23"/>
        <v>4.7369282607904006</v>
      </c>
      <c r="RO4" s="206">
        <f t="shared" si="23"/>
        <v>4.7812982987468082</v>
      </c>
      <c r="RP4" s="206">
        <f t="shared" si="23"/>
        <v>4.8256740506359543</v>
      </c>
      <c r="RQ4" s="206">
        <f t="shared" si="23"/>
        <v>4.8784895700764794</v>
      </c>
      <c r="RR4" s="206">
        <f t="shared" si="23"/>
        <v>4.9326104143149809</v>
      </c>
      <c r="RS4" s="206">
        <f t="shared" si="23"/>
        <v>4.9865991794729991</v>
      </c>
      <c r="RT4" s="206">
        <f t="shared" si="23"/>
        <v>5.0606607115142719</v>
      </c>
      <c r="RU4" s="206">
        <f t="shared" si="23"/>
        <v>4.8038706271112961</v>
      </c>
      <c r="RV4" s="206">
        <f t="shared" si="23"/>
        <v>4.854564876796025</v>
      </c>
      <c r="RW4" s="206">
        <f t="shared" si="23"/>
        <v>4.5936828126833653</v>
      </c>
      <c r="RX4" s="206">
        <f t="shared" si="23"/>
        <v>4.6428038965132252</v>
      </c>
      <c r="RY4" s="206">
        <f t="shared" si="23"/>
        <v>4.6905874018925298</v>
      </c>
      <c r="RZ4" s="206">
        <f t="shared" si="23"/>
        <v>4.737653974811999</v>
      </c>
      <c r="SA4" s="206">
        <f t="shared" si="23"/>
        <v>4.79552186786003</v>
      </c>
      <c r="SB4" s="206">
        <f t="shared" si="23"/>
        <v>4.5524600551761436</v>
      </c>
      <c r="SC4" s="206">
        <f t="shared" si="23"/>
        <v>4.6054543746650882</v>
      </c>
      <c r="SD4" s="206">
        <f t="shared" si="23"/>
        <v>4.3418514408863826</v>
      </c>
      <c r="SE4" s="206">
        <f t="shared" si="23"/>
        <v>4.3921904729221515</v>
      </c>
      <c r="SF4" s="206">
        <f t="shared" si="23"/>
        <v>4.4448870135015675</v>
      </c>
      <c r="SG4" s="206">
        <f t="shared" si="23"/>
        <v>4.5082844782413636</v>
      </c>
      <c r="SH4" s="206">
        <f t="shared" si="23"/>
        <v>4.5544876540276471</v>
      </c>
      <c r="SI4" s="206">
        <f t="shared" si="23"/>
        <v>4.2807622348365033</v>
      </c>
      <c r="SJ4" s="206">
        <f t="shared" si="23"/>
        <v>4.32337545269632</v>
      </c>
      <c r="SK4" s="206">
        <f t="shared" si="23"/>
        <v>4.051772691816776</v>
      </c>
      <c r="SL4" s="206">
        <f t="shared" si="23"/>
        <v>4.0958478445965261</v>
      </c>
      <c r="SM4" s="206">
        <f t="shared" si="23"/>
        <v>4.1442874009756325</v>
      </c>
      <c r="SN4" s="206">
        <f t="shared" si="23"/>
        <v>4.184761843440886</v>
      </c>
      <c r="SO4" s="206">
        <f t="shared" si="23"/>
        <v>4.2235705302566018</v>
      </c>
      <c r="SP4" s="206">
        <f t="shared" si="23"/>
        <v>3.9330460618116678</v>
      </c>
      <c r="SQ4" s="206">
        <f t="shared" si="23"/>
        <v>3.9675740784386444</v>
      </c>
      <c r="SR4" s="206">
        <f t="shared" si="23"/>
        <v>-6.845541933200597E-4</v>
      </c>
      <c r="SS4" s="206">
        <f t="shared" si="23"/>
        <v>3.7455653038582466</v>
      </c>
      <c r="ST4" s="206">
        <f t="shared" si="23"/>
        <v>3.7861884005417576</v>
      </c>
      <c r="SU4" s="206">
        <f t="shared" si="23"/>
        <v>3.8254927313035694</v>
      </c>
      <c r="SV4" s="206">
        <f t="shared" ref="SV4:VG4" si="24">SV36+SV49+SV62+SV75+SV88+SV101+SV114+SV127+SV140+SV153+SV166+SV179+SV192</f>
        <v>3.8758665147479214</v>
      </c>
      <c r="SW4" s="206">
        <f t="shared" si="24"/>
        <v>3.9257017657211524</v>
      </c>
      <c r="SX4" s="206">
        <f t="shared" si="24"/>
        <v>3.9680656582673</v>
      </c>
      <c r="SY4" s="206">
        <f t="shared" si="24"/>
        <v>4.0333878079716614</v>
      </c>
      <c r="SZ4" s="206">
        <f t="shared" si="24"/>
        <v>4.0821089358847003</v>
      </c>
      <c r="TA4" s="206">
        <f t="shared" si="24"/>
        <v>4.1304688014072211</v>
      </c>
      <c r="TB4" s="206">
        <f t="shared" si="24"/>
        <v>4.1771449613341227</v>
      </c>
      <c r="TC4" s="206">
        <f t="shared" si="24"/>
        <v>4.2161301223832526</v>
      </c>
      <c r="TD4" s="206">
        <f t="shared" si="24"/>
        <v>4.2614185277444356</v>
      </c>
      <c r="TE4" s="206">
        <f t="shared" si="24"/>
        <v>4.3059741643324205</v>
      </c>
      <c r="TF4" s="206">
        <f t="shared" si="24"/>
        <v>4.357130275695174</v>
      </c>
      <c r="TG4" s="206">
        <f t="shared" si="24"/>
        <v>4.4261269696578767</v>
      </c>
      <c r="TH4" s="206">
        <f t="shared" si="24"/>
        <v>4.4764635114242317</v>
      </c>
      <c r="TI4" s="206">
        <f t="shared" si="24"/>
        <v>4.525654848435134</v>
      </c>
      <c r="TJ4" s="206">
        <f t="shared" si="24"/>
        <v>4.5748769346022815</v>
      </c>
      <c r="TK4" s="206">
        <f t="shared" si="24"/>
        <v>4.6232591789972366</v>
      </c>
      <c r="TL4" s="206">
        <f t="shared" si="24"/>
        <v>4.6899523616601879</v>
      </c>
      <c r="TM4" s="206">
        <f t="shared" si="24"/>
        <v>4.7369282607904006</v>
      </c>
      <c r="TN4" s="206">
        <f t="shared" si="24"/>
        <v>4.7812982987468082</v>
      </c>
      <c r="TO4" s="206">
        <f t="shared" si="24"/>
        <v>4.8256740506359543</v>
      </c>
      <c r="TP4" s="206">
        <f t="shared" si="24"/>
        <v>4.8784895700764794</v>
      </c>
      <c r="TQ4" s="206">
        <f t="shared" si="24"/>
        <v>4.9326104143149809</v>
      </c>
      <c r="TR4" s="206">
        <f t="shared" si="24"/>
        <v>4.9865991794729991</v>
      </c>
      <c r="TS4" s="206">
        <f t="shared" si="24"/>
        <v>5.0606607115142719</v>
      </c>
      <c r="TT4" s="206">
        <f t="shared" si="24"/>
        <v>4.8038706271112961</v>
      </c>
      <c r="TU4" s="206">
        <f t="shared" si="24"/>
        <v>4.854564876796025</v>
      </c>
      <c r="TV4" s="206">
        <f t="shared" si="24"/>
        <v>4.5936828126833653</v>
      </c>
      <c r="TW4" s="206">
        <f t="shared" si="24"/>
        <v>4.6428038965132252</v>
      </c>
      <c r="TX4" s="206">
        <f t="shared" si="24"/>
        <v>4.6905874018925298</v>
      </c>
      <c r="TY4" s="206">
        <f t="shared" si="24"/>
        <v>4.737653974811999</v>
      </c>
      <c r="TZ4" s="206">
        <f t="shared" si="24"/>
        <v>4.79552186786003</v>
      </c>
      <c r="UA4" s="206">
        <f t="shared" si="24"/>
        <v>4.5524600551761436</v>
      </c>
      <c r="UB4" s="206">
        <f t="shared" si="24"/>
        <v>4.6054543746650882</v>
      </c>
      <c r="UC4" s="206">
        <f t="shared" si="24"/>
        <v>4.3418514408863826</v>
      </c>
      <c r="UD4" s="206">
        <f t="shared" si="24"/>
        <v>4.3921904729221515</v>
      </c>
      <c r="UE4" s="206">
        <f t="shared" si="24"/>
        <v>4.4448870135015675</v>
      </c>
      <c r="UF4" s="206">
        <f t="shared" si="24"/>
        <v>4.5082844782413636</v>
      </c>
      <c r="UG4" s="206">
        <f t="shared" si="24"/>
        <v>4.5544876540276471</v>
      </c>
      <c r="UH4" s="206">
        <f t="shared" si="24"/>
        <v>4.2807622348365033</v>
      </c>
      <c r="UI4" s="206">
        <f t="shared" si="24"/>
        <v>4.32337545269632</v>
      </c>
      <c r="UJ4" s="206">
        <f t="shared" si="24"/>
        <v>4.051772691816776</v>
      </c>
      <c r="UK4" s="206">
        <f t="shared" si="24"/>
        <v>4.0958478445965261</v>
      </c>
      <c r="UL4" s="206">
        <f t="shared" si="24"/>
        <v>4.1442874009756325</v>
      </c>
      <c r="UM4" s="206">
        <f t="shared" si="24"/>
        <v>4.184761843440886</v>
      </c>
      <c r="UN4" s="206">
        <f t="shared" si="24"/>
        <v>4.2235705302566018</v>
      </c>
      <c r="UO4" s="206">
        <f t="shared" si="24"/>
        <v>3.9330460618116678</v>
      </c>
      <c r="UP4" s="206">
        <f t="shared" si="24"/>
        <v>3.9675740784386444</v>
      </c>
      <c r="UQ4" s="206">
        <f t="shared" si="24"/>
        <v>-6.845541933200597E-4</v>
      </c>
      <c r="UR4" s="206">
        <f t="shared" si="24"/>
        <v>3.7455653038582466</v>
      </c>
      <c r="US4" s="206">
        <f t="shared" si="24"/>
        <v>3.7861884005417576</v>
      </c>
      <c r="UT4" s="206">
        <f t="shared" si="24"/>
        <v>3.8254927313035694</v>
      </c>
      <c r="UU4" s="206">
        <f t="shared" si="24"/>
        <v>3.8758665147479214</v>
      </c>
      <c r="UV4" s="206">
        <f t="shared" si="24"/>
        <v>3.9257017657211524</v>
      </c>
      <c r="UW4" s="206">
        <f t="shared" si="24"/>
        <v>3.9680656582673</v>
      </c>
      <c r="UX4" s="206">
        <f t="shared" si="24"/>
        <v>4.0333878079716614</v>
      </c>
      <c r="UY4" s="206">
        <f t="shared" si="24"/>
        <v>4.0821089358847003</v>
      </c>
      <c r="UZ4" s="206">
        <f t="shared" si="24"/>
        <v>4.1304688014072211</v>
      </c>
      <c r="VA4" s="206">
        <f t="shared" si="24"/>
        <v>4.1771449613341227</v>
      </c>
      <c r="VB4" s="206">
        <f t="shared" si="24"/>
        <v>4.2161301223832526</v>
      </c>
      <c r="VC4" s="206">
        <f t="shared" si="24"/>
        <v>4.2614185277444356</v>
      </c>
      <c r="VD4" s="206">
        <f t="shared" si="24"/>
        <v>4.3059741643324205</v>
      </c>
      <c r="VE4" s="206">
        <f t="shared" si="24"/>
        <v>4.357130275695174</v>
      </c>
      <c r="VF4" s="206">
        <f t="shared" si="24"/>
        <v>4.4261269696578767</v>
      </c>
      <c r="VG4" s="206">
        <f t="shared" si="24"/>
        <v>4.4764635114242317</v>
      </c>
      <c r="VH4" s="206">
        <f t="shared" ref="VH4:XS4" si="25">VH36+VH49+VH62+VH75+VH88+VH101+VH114+VH127+VH140+VH153+VH166+VH179+VH192</f>
        <v>4.525654848435134</v>
      </c>
      <c r="VI4" s="206">
        <f t="shared" si="25"/>
        <v>4.5748769346022815</v>
      </c>
      <c r="VJ4" s="206">
        <f t="shared" si="25"/>
        <v>4.6232591789972366</v>
      </c>
      <c r="VK4" s="206">
        <f t="shared" si="25"/>
        <v>4.6899523616601879</v>
      </c>
      <c r="VL4" s="206">
        <f t="shared" si="25"/>
        <v>4.7369282607904006</v>
      </c>
      <c r="VM4" s="206">
        <f t="shared" si="25"/>
        <v>4.7812982987468082</v>
      </c>
      <c r="VN4" s="206">
        <f t="shared" si="25"/>
        <v>4.8256740506359543</v>
      </c>
      <c r="VO4" s="206">
        <f t="shared" si="25"/>
        <v>4.8784895700764794</v>
      </c>
      <c r="VP4" s="206">
        <f t="shared" si="25"/>
        <v>4.9326104143149809</v>
      </c>
      <c r="VQ4" s="206">
        <f t="shared" si="25"/>
        <v>4.9865991794729991</v>
      </c>
      <c r="VR4" s="206">
        <f t="shared" si="25"/>
        <v>5.0606607115142719</v>
      </c>
      <c r="VS4" s="206">
        <f t="shared" si="25"/>
        <v>4.8038706271112961</v>
      </c>
      <c r="VT4" s="206">
        <f t="shared" si="25"/>
        <v>4.854564876796025</v>
      </c>
      <c r="VU4" s="206">
        <f t="shared" si="25"/>
        <v>4.5936828126833653</v>
      </c>
      <c r="VV4" s="206">
        <f t="shared" si="25"/>
        <v>4.6428038965132252</v>
      </c>
      <c r="VW4" s="206">
        <f t="shared" si="25"/>
        <v>4.6905874018925298</v>
      </c>
      <c r="VX4" s="206">
        <f t="shared" si="25"/>
        <v>4.737653974811999</v>
      </c>
      <c r="VY4" s="206">
        <f t="shared" si="25"/>
        <v>4.79552186786003</v>
      </c>
      <c r="VZ4" s="206">
        <f t="shared" si="25"/>
        <v>4.5524600551761436</v>
      </c>
      <c r="WA4" s="206">
        <f t="shared" si="25"/>
        <v>4.6054543746650882</v>
      </c>
      <c r="WB4" s="206">
        <f t="shared" si="25"/>
        <v>4.3418514408863826</v>
      </c>
      <c r="WC4" s="206">
        <f t="shared" si="25"/>
        <v>4.3921904729221515</v>
      </c>
      <c r="WD4" s="206">
        <f t="shared" si="25"/>
        <v>4.4448870135015675</v>
      </c>
      <c r="WE4" s="206">
        <f t="shared" si="25"/>
        <v>4.5082844782413636</v>
      </c>
      <c r="WF4" s="206">
        <f t="shared" si="25"/>
        <v>4.5544876540276471</v>
      </c>
      <c r="WG4" s="206">
        <f t="shared" si="25"/>
        <v>4.2807622348365033</v>
      </c>
      <c r="WH4" s="206">
        <f t="shared" si="25"/>
        <v>4.32337545269632</v>
      </c>
      <c r="WI4" s="206">
        <f t="shared" si="25"/>
        <v>4.051772691816776</v>
      </c>
      <c r="WJ4" s="206">
        <f t="shared" si="25"/>
        <v>4.0958478445965261</v>
      </c>
      <c r="WK4" s="206">
        <f t="shared" si="25"/>
        <v>4.1442874009756325</v>
      </c>
      <c r="WL4" s="206">
        <f t="shared" si="25"/>
        <v>4.184761843440886</v>
      </c>
      <c r="WM4" s="206">
        <f t="shared" si="25"/>
        <v>4.2235705302566018</v>
      </c>
      <c r="WN4" s="206">
        <f t="shared" si="25"/>
        <v>3.9330460618116678</v>
      </c>
      <c r="WO4" s="206">
        <f t="shared" si="25"/>
        <v>3.9675740784386444</v>
      </c>
      <c r="WP4" s="206">
        <f t="shared" si="25"/>
        <v>-6.845541933200597E-4</v>
      </c>
      <c r="WQ4" s="206">
        <f t="shared" si="25"/>
        <v>3.7455653038582466</v>
      </c>
      <c r="WR4" s="206">
        <f t="shared" si="25"/>
        <v>3.7861884005417576</v>
      </c>
      <c r="WS4" s="206">
        <f t="shared" si="25"/>
        <v>3.8254927313035694</v>
      </c>
      <c r="WT4" s="206">
        <f t="shared" si="25"/>
        <v>3.8758665147479214</v>
      </c>
      <c r="WU4" s="206">
        <f t="shared" si="25"/>
        <v>3.9257017657211524</v>
      </c>
      <c r="WV4" s="206">
        <f t="shared" si="25"/>
        <v>3.9680656582673</v>
      </c>
      <c r="WW4" s="206">
        <f t="shared" si="25"/>
        <v>4.0333878079716614</v>
      </c>
      <c r="WX4" s="206">
        <f t="shared" si="25"/>
        <v>4.0821089358847003</v>
      </c>
      <c r="WY4" s="206">
        <f t="shared" si="25"/>
        <v>4.1304688014072211</v>
      </c>
      <c r="WZ4" s="206">
        <f t="shared" si="25"/>
        <v>4.1771449613341227</v>
      </c>
      <c r="XA4" s="206">
        <f t="shared" si="25"/>
        <v>4.2161301223832526</v>
      </c>
      <c r="XB4" s="206">
        <f t="shared" si="25"/>
        <v>4.2614185277444356</v>
      </c>
      <c r="XC4" s="206">
        <f t="shared" si="25"/>
        <v>4.3059741643324205</v>
      </c>
      <c r="XD4" s="206">
        <f t="shared" si="25"/>
        <v>4.357130275695174</v>
      </c>
      <c r="XE4" s="206">
        <f t="shared" si="25"/>
        <v>4.4261269696578767</v>
      </c>
      <c r="XF4" s="206">
        <f t="shared" si="25"/>
        <v>4.4764635114242317</v>
      </c>
      <c r="XG4" s="206">
        <f t="shared" si="25"/>
        <v>4.525654848435134</v>
      </c>
      <c r="XH4" s="206">
        <f t="shared" si="25"/>
        <v>4.5748769346022815</v>
      </c>
      <c r="XI4" s="206">
        <f t="shared" si="25"/>
        <v>4.6232591789972366</v>
      </c>
      <c r="XJ4" s="206">
        <f t="shared" si="25"/>
        <v>4.6899523616601879</v>
      </c>
      <c r="XK4" s="206">
        <f t="shared" si="25"/>
        <v>4.7369282607904006</v>
      </c>
      <c r="XL4" s="206">
        <f t="shared" si="25"/>
        <v>4.7812982987468082</v>
      </c>
      <c r="XM4" s="206">
        <f t="shared" si="25"/>
        <v>4.8256740506359543</v>
      </c>
      <c r="XN4" s="206">
        <f t="shared" si="25"/>
        <v>4.8784895700764794</v>
      </c>
      <c r="XO4" s="206">
        <f t="shared" si="25"/>
        <v>4.9326104143149809</v>
      </c>
      <c r="XP4" s="206">
        <f t="shared" si="25"/>
        <v>4.9865991794729991</v>
      </c>
      <c r="XQ4" s="206">
        <f t="shared" si="25"/>
        <v>5.0606607115142719</v>
      </c>
      <c r="XR4" s="206">
        <f t="shared" si="25"/>
        <v>4.8038706271112961</v>
      </c>
      <c r="XS4" s="206">
        <f t="shared" si="25"/>
        <v>4.854564876796025</v>
      </c>
      <c r="XT4" s="206">
        <f t="shared" ref="XT4:YF4" si="26">XT36+XT49+XT62+XT75+XT88+XT101+XT114+XT127+XT140+XT153+XT166+XT179+XT192</f>
        <v>4.5936828126833653</v>
      </c>
      <c r="XU4" s="206">
        <f t="shared" si="26"/>
        <v>4.6428038965132252</v>
      </c>
      <c r="XV4" s="206">
        <f t="shared" si="26"/>
        <v>4.6905874018925298</v>
      </c>
      <c r="XW4" s="206">
        <f t="shared" si="26"/>
        <v>4.737653974811999</v>
      </c>
      <c r="XX4" s="206">
        <f t="shared" si="26"/>
        <v>4.79552186786003</v>
      </c>
      <c r="XY4" s="206">
        <f t="shared" si="26"/>
        <v>4.5524600551761436</v>
      </c>
      <c r="XZ4" s="206">
        <f t="shared" si="26"/>
        <v>4.6054543746650882</v>
      </c>
      <c r="YA4" s="206">
        <f t="shared" si="26"/>
        <v>4.3418514408863826</v>
      </c>
      <c r="YB4" s="206">
        <f t="shared" si="26"/>
        <v>4.3921904729221515</v>
      </c>
      <c r="YC4" s="206">
        <f t="shared" si="26"/>
        <v>4.4448870135015675</v>
      </c>
      <c r="YD4" s="206">
        <f t="shared" si="26"/>
        <v>4.5082844782413636</v>
      </c>
      <c r="YE4" s="206">
        <f t="shared" si="26"/>
        <v>4.5544876540276471</v>
      </c>
      <c r="YF4" s="206">
        <f t="shared" si="26"/>
        <v>4.2807622348365033</v>
      </c>
      <c r="YG4" s="206">
        <f>YG36+YG49+YG62+YG75+YG88+YG101+YG114+YG127+YG140+YG153+YG166+YG179+YG192</f>
        <v>4.32337545269632</v>
      </c>
      <c r="YH4" s="206">
        <f t="shared" ref="YH4:AAS4" si="27">YH36+YH49+YH62+YH75+YH88+YH101+YH114+YH127+YH140+YH153+YH166+YH179+YH192</f>
        <v>4.051772691816776</v>
      </c>
      <c r="YI4" s="206">
        <f t="shared" si="27"/>
        <v>4.0958478445965261</v>
      </c>
      <c r="YJ4" s="206">
        <f t="shared" si="27"/>
        <v>4.1442874009756325</v>
      </c>
      <c r="YK4" s="206">
        <f t="shared" si="27"/>
        <v>4.184761843440886</v>
      </c>
      <c r="YL4" s="206">
        <f t="shared" si="27"/>
        <v>4.2235705302566018</v>
      </c>
      <c r="YM4" s="206">
        <f t="shared" si="27"/>
        <v>3.9330460618116678</v>
      </c>
      <c r="YN4" s="206">
        <f t="shared" si="27"/>
        <v>3.9675740784386444</v>
      </c>
      <c r="YO4" s="206">
        <f t="shared" si="27"/>
        <v>-6.845541933200597E-4</v>
      </c>
      <c r="YP4" s="206">
        <f t="shared" si="27"/>
        <v>3.6050653038582468</v>
      </c>
      <c r="YQ4" s="206">
        <f t="shared" si="27"/>
        <v>3.632692989827472</v>
      </c>
      <c r="YR4" s="206">
        <f t="shared" si="27"/>
        <v>3.6575850802378804</v>
      </c>
      <c r="YS4" s="206">
        <f t="shared" si="27"/>
        <v>3.6925474703212604</v>
      </c>
      <c r="YT4" s="206">
        <f t="shared" si="27"/>
        <v>3.7263470943236348</v>
      </c>
      <c r="YU4" s="206">
        <f t="shared" si="27"/>
        <v>3.7514229690624674</v>
      </c>
      <c r="YV4" s="206">
        <f t="shared" si="27"/>
        <v>3.7980446059624473</v>
      </c>
      <c r="YW4" s="206">
        <f t="shared" si="27"/>
        <v>3.8270521604353789</v>
      </c>
      <c r="YX4" s="206">
        <f t="shared" si="27"/>
        <v>3.8546364107375339</v>
      </c>
      <c r="YY4" s="206">
        <f t="shared" si="27"/>
        <v>3.880167572201088</v>
      </c>
      <c r="YZ4" s="206">
        <f t="shared" si="27"/>
        <v>3.8967263532239214</v>
      </c>
      <c r="ZA4" s="206">
        <f t="shared" si="27"/>
        <v>3.9187283545292435</v>
      </c>
      <c r="ZB4" s="206">
        <f t="shared" si="27"/>
        <v>3.9386879221598736</v>
      </c>
      <c r="ZC4" s="206">
        <f t="shared" si="27"/>
        <v>3.964407438543621</v>
      </c>
      <c r="ZD4" s="206">
        <f t="shared" si="27"/>
        <v>4.0074856212611474</v>
      </c>
      <c r="ZE4" s="206">
        <f t="shared" si="27"/>
        <v>4.0312992079226255</v>
      </c>
      <c r="ZF4" s="206">
        <f t="shared" si="27"/>
        <v>4.0538533046612173</v>
      </c>
      <c r="ZG4" s="206">
        <f t="shared" si="27"/>
        <v>4.0751068059243982</v>
      </c>
      <c r="ZH4" s="206">
        <f t="shared" si="27"/>
        <v>4.0945236369315889</v>
      </c>
      <c r="ZI4" s="206">
        <f t="shared" si="27"/>
        <v>4.1318826139070843</v>
      </c>
      <c r="ZJ4" s="206">
        <f t="shared" si="27"/>
        <v>4.1486326479250559</v>
      </c>
      <c r="ZK4" s="206">
        <f t="shared" si="27"/>
        <v>4.1639324670411435</v>
      </c>
      <c r="ZL4" s="206">
        <f t="shared" si="27"/>
        <v>4.1772841018345996</v>
      </c>
      <c r="ZM4" s="206">
        <f t="shared" si="27"/>
        <v>4.1990311701353011</v>
      </c>
      <c r="ZN4" s="206">
        <f t="shared" si="27"/>
        <v>4.2198237306522923</v>
      </c>
      <c r="ZO4" s="206">
        <f t="shared" si="27"/>
        <v>4.2396352726296591</v>
      </c>
      <c r="ZP4" s="206">
        <f t="shared" si="27"/>
        <v>4.2794111771980763</v>
      </c>
      <c r="ZQ4" s="206">
        <f t="shared" si="27"/>
        <v>3.9876212706252074</v>
      </c>
      <c r="ZR4" s="206">
        <f t="shared" si="27"/>
        <v>4.0033744266229041</v>
      </c>
      <c r="ZS4" s="206">
        <f t="shared" si="27"/>
        <v>3.7069912265068674</v>
      </c>
      <c r="ZT4" s="206">
        <f t="shared" si="27"/>
        <v>3.7201110069046086</v>
      </c>
      <c r="ZU4" s="206">
        <f t="shared" si="27"/>
        <v>3.7322171903383738</v>
      </c>
      <c r="ZV4" s="206">
        <f t="shared" si="27"/>
        <v>3.743287847329694</v>
      </c>
      <c r="ZW4" s="206">
        <f t="shared" si="27"/>
        <v>3.7649160630692373</v>
      </c>
      <c r="ZX4" s="206">
        <f t="shared" si="27"/>
        <v>3.4862357579417025</v>
      </c>
      <c r="ZY4" s="206">
        <f t="shared" si="27"/>
        <v>3.50661669339482</v>
      </c>
      <c r="ZZ4" s="206">
        <f t="shared" si="27"/>
        <v>3.2084962546144391</v>
      </c>
      <c r="AAA4" s="206">
        <f t="shared" si="27"/>
        <v>3.2278547831922277</v>
      </c>
      <c r="AAB4" s="206">
        <f t="shared" si="27"/>
        <v>3.2468296966780725</v>
      </c>
      <c r="AAC4" s="206">
        <f t="shared" si="27"/>
        <v>3.2776904469188728</v>
      </c>
      <c r="AAD4" s="206">
        <f t="shared" si="27"/>
        <v>3.2957096010711169</v>
      </c>
      <c r="AAE4" s="206">
        <f t="shared" si="27"/>
        <v>2.9909420816664056</v>
      </c>
      <c r="AAF4" s="206">
        <f t="shared" si="27"/>
        <v>3.0081984823125549</v>
      </c>
      <c r="AAG4" s="206">
        <f t="shared" si="27"/>
        <v>2.7082978656379577</v>
      </c>
      <c r="AAH4" s="206">
        <f t="shared" si="27"/>
        <v>2.7250632563479122</v>
      </c>
      <c r="AAI4" s="206">
        <f t="shared" si="27"/>
        <v>2.7480433651130571</v>
      </c>
      <c r="AAJ4" s="206">
        <f t="shared" si="27"/>
        <v>2.7642713321534345</v>
      </c>
      <c r="AAK4" s="206">
        <f t="shared" si="27"/>
        <v>2.780150746180694</v>
      </c>
      <c r="AAL4" s="206">
        <f t="shared" si="27"/>
        <v>2.4688464162288772</v>
      </c>
      <c r="AAM4" s="206">
        <f t="shared" si="27"/>
        <v>2.484123693706072</v>
      </c>
      <c r="AAN4" s="206">
        <f t="shared" si="27"/>
        <v>-6.845541933200597E-4</v>
      </c>
      <c r="AAO4" s="206">
        <f t="shared" si="27"/>
        <v>2.1412140821008765</v>
      </c>
      <c r="AAP4" s="206">
        <f t="shared" si="27"/>
        <v>2.1559170615818175</v>
      </c>
      <c r="AAQ4" s="206">
        <f t="shared" si="27"/>
        <v>2.1703581453977518</v>
      </c>
      <c r="AAR4" s="206">
        <f t="shared" si="27"/>
        <v>2.184529025673525</v>
      </c>
      <c r="AAS4" s="206">
        <f t="shared" si="27"/>
        <v>2.1984214050279709</v>
      </c>
      <c r="AAT4" s="206">
        <f t="shared" ref="AAT4:ACJ4" si="28">AAT36+AAT49+AAT62+AAT75+AAT88+AAT101+AAT114+AAT127+AAT140+AAT153+AAT166+AAT179+AAT192</f>
        <v>2.211633271903449</v>
      </c>
      <c r="AAU4" s="206">
        <f t="shared" si="28"/>
        <v>2.2412742419613738</v>
      </c>
      <c r="AAV4" s="206">
        <f t="shared" si="28"/>
        <v>2.2543623761048157</v>
      </c>
      <c r="AAW4" s="206">
        <f t="shared" si="28"/>
        <v>2.2671415772951589</v>
      </c>
      <c r="AAX4" s="206">
        <f t="shared" si="28"/>
        <v>2.2796037489433942</v>
      </c>
      <c r="AAY4" s="206">
        <f t="shared" si="28"/>
        <v>2.2917408337451746</v>
      </c>
      <c r="AAZ4" s="206">
        <f t="shared" si="28"/>
        <v>2.3035448187610004</v>
      </c>
      <c r="ABA4" s="206">
        <f t="shared" si="28"/>
        <v>2.3146226128718004</v>
      </c>
      <c r="ABB4" s="206">
        <f t="shared" si="28"/>
        <v>2.325350757169812</v>
      </c>
      <c r="ABC4" s="206">
        <f t="shared" si="28"/>
        <v>2.3542590949919009</v>
      </c>
      <c r="ABD4" s="206">
        <f t="shared" si="28"/>
        <v>2.3647588883285846</v>
      </c>
      <c r="ABE4" s="206">
        <f t="shared" si="28"/>
        <v>2.3748893038404542</v>
      </c>
      <c r="ABF4" s="206">
        <f t="shared" si="28"/>
        <v>2.3846427583122991</v>
      </c>
      <c r="ABG4" s="206">
        <f t="shared" si="28"/>
        <v>2.3940117469793045</v>
      </c>
      <c r="ABH4" s="206">
        <f t="shared" si="28"/>
        <v>2.4223095038087679</v>
      </c>
      <c r="ABI4" s="206">
        <f t="shared" si="28"/>
        <v>2.4310153908205385</v>
      </c>
      <c r="ABJ4" s="206">
        <f t="shared" si="28"/>
        <v>2.4393177404910493</v>
      </c>
      <c r="ABK4" s="206">
        <f t="shared" si="28"/>
        <v>2.4472094509635824</v>
      </c>
      <c r="ABL4" s="206">
        <f t="shared" si="28"/>
        <v>2.454683521925336</v>
      </c>
      <c r="ABM4" s="206">
        <f t="shared" si="28"/>
        <v>2.4617330596463143</v>
      </c>
      <c r="ABN4" s="206">
        <f t="shared" si="28"/>
        <v>2.4683512820045368</v>
      </c>
      <c r="ABO4" s="206">
        <f t="shared" si="28"/>
        <v>2.4955031461065866</v>
      </c>
      <c r="ABP4" s="206">
        <f t="shared" si="28"/>
        <v>2.1921182166175264</v>
      </c>
      <c r="ABQ4" s="206">
        <f t="shared" si="28"/>
        <v>2.1968846039276047</v>
      </c>
      <c r="ABR4" s="206">
        <f t="shared" si="28"/>
        <v>1.8901412935030988</v>
      </c>
      <c r="ABS4" s="206">
        <f t="shared" si="28"/>
        <v>1.893545758522976</v>
      </c>
      <c r="ABT4" s="206">
        <f t="shared" si="28"/>
        <v>1.8965992639742819</v>
      </c>
      <c r="ABU4" s="206">
        <f t="shared" si="28"/>
        <v>1.8992974022129114</v>
      </c>
      <c r="ABV4" s="206">
        <f t="shared" si="28"/>
        <v>1.9013807816027264</v>
      </c>
      <c r="ABW4" s="206">
        <f t="shared" si="28"/>
        <v>1.6036649468393922</v>
      </c>
      <c r="ABX4" s="206">
        <f t="shared" si="28"/>
        <v>1.6051167362248326</v>
      </c>
      <c r="ABY4" s="206">
        <f t="shared" si="28"/>
        <v>1.2881816709865186</v>
      </c>
      <c r="ABZ4" s="206">
        <f t="shared" si="28"/>
        <v>1.2888483063119804</v>
      </c>
      <c r="ACA4" s="206">
        <f t="shared" si="28"/>
        <v>1.2892623473412648</v>
      </c>
      <c r="ACB4" s="206">
        <f t="shared" si="28"/>
        <v>1.3017016038353926</v>
      </c>
      <c r="ACC4" s="206">
        <f t="shared" si="28"/>
        <v>1.301862191115982</v>
      </c>
      <c r="ACD4" s="206">
        <f t="shared" si="28"/>
        <v>0.97939712572032023</v>
      </c>
      <c r="ACE4" s="206">
        <f t="shared" si="28"/>
        <v>0.97912536992444743</v>
      </c>
      <c r="ACF4" s="206">
        <f t="shared" si="28"/>
        <v>0.66187440390966013</v>
      </c>
      <c r="ACG4" s="206">
        <f t="shared" si="28"/>
        <v>0.66147571468451072</v>
      </c>
      <c r="ACH4" s="206">
        <f t="shared" si="28"/>
        <v>0.66748651574403517</v>
      </c>
      <c r="ACI4" s="206">
        <f t="shared" si="28"/>
        <v>0.66694848633172832</v>
      </c>
      <c r="ACJ4" s="206">
        <f t="shared" si="28"/>
        <v>0.66627378596888731</v>
      </c>
      <c r="ACK4" s="206">
        <f>ACK36+ACK49+ACK62+ACK75+ACK88+ACK101+ACK114+ACK127+ACK140+ACK153+ACK166+ACK179+ACK192</f>
        <v>0.33904645178173293</v>
      </c>
      <c r="ACL4" s="206">
        <f t="shared" ref="ACL4:AEW4" si="29">ACL36+ACL49+ACL62+ACL75+ACL88+ACL101+ACL114+ACL127+ACL140+ACL153+ACL166+ACL179+ACL192</f>
        <v>0.33863310993356072</v>
      </c>
      <c r="ACM4" s="206">
        <f t="shared" si="29"/>
        <v>-6.845541933200597E-4</v>
      </c>
      <c r="ACN4" s="206">
        <f t="shared" si="29"/>
        <v>0</v>
      </c>
      <c r="ACO4" s="206">
        <f t="shared" si="29"/>
        <v>0</v>
      </c>
      <c r="ACP4" s="206">
        <f t="shared" si="29"/>
        <v>0</v>
      </c>
      <c r="ACQ4" s="206">
        <f t="shared" si="29"/>
        <v>0</v>
      </c>
      <c r="ACR4" s="206">
        <f t="shared" si="29"/>
        <v>0</v>
      </c>
      <c r="ACS4" s="206">
        <f t="shared" si="29"/>
        <v>0</v>
      </c>
      <c r="ACT4" s="206">
        <f t="shared" si="29"/>
        <v>0</v>
      </c>
      <c r="ACU4" s="206">
        <f t="shared" si="29"/>
        <v>0</v>
      </c>
      <c r="ACV4" s="206">
        <f t="shared" si="29"/>
        <v>0</v>
      </c>
      <c r="ACW4" s="206">
        <f t="shared" si="29"/>
        <v>0</v>
      </c>
      <c r="ACX4" s="206">
        <f t="shared" si="29"/>
        <v>0</v>
      </c>
      <c r="ACY4" s="206">
        <f t="shared" si="29"/>
        <v>0</v>
      </c>
      <c r="ACZ4" s="206">
        <f t="shared" si="29"/>
        <v>0</v>
      </c>
      <c r="ADA4" s="206">
        <f t="shared" si="29"/>
        <v>0</v>
      </c>
      <c r="ADB4" s="206">
        <f t="shared" si="29"/>
        <v>0</v>
      </c>
      <c r="ADC4" s="206">
        <f t="shared" si="29"/>
        <v>0</v>
      </c>
      <c r="ADD4" s="206">
        <f t="shared" si="29"/>
        <v>0</v>
      </c>
      <c r="ADE4" s="206">
        <f t="shared" si="29"/>
        <v>0</v>
      </c>
      <c r="ADF4" s="206">
        <f t="shared" si="29"/>
        <v>0</v>
      </c>
      <c r="ADG4" s="206">
        <f t="shared" si="29"/>
        <v>0</v>
      </c>
      <c r="ADH4" s="206">
        <f t="shared" si="29"/>
        <v>0</v>
      </c>
      <c r="ADI4" s="206">
        <f t="shared" si="29"/>
        <v>0</v>
      </c>
      <c r="ADJ4" s="206">
        <f t="shared" si="29"/>
        <v>0</v>
      </c>
      <c r="ADK4" s="206">
        <f t="shared" si="29"/>
        <v>0</v>
      </c>
      <c r="ADL4" s="206">
        <f t="shared" si="29"/>
        <v>0</v>
      </c>
      <c r="ADM4" s="206">
        <f t="shared" si="29"/>
        <v>0</v>
      </c>
      <c r="ADN4" s="206">
        <f t="shared" si="29"/>
        <v>0</v>
      </c>
      <c r="ADO4" s="206">
        <f t="shared" si="29"/>
        <v>0</v>
      </c>
      <c r="ADP4" s="206">
        <f t="shared" si="29"/>
        <v>0</v>
      </c>
      <c r="ADQ4" s="206">
        <f t="shared" si="29"/>
        <v>0</v>
      </c>
      <c r="ADR4" s="206">
        <f t="shared" si="29"/>
        <v>0</v>
      </c>
      <c r="ADS4" s="206">
        <f t="shared" si="29"/>
        <v>0</v>
      </c>
      <c r="ADT4" s="206">
        <f t="shared" si="29"/>
        <v>0</v>
      </c>
      <c r="ADU4" s="206">
        <f t="shared" si="29"/>
        <v>0</v>
      </c>
      <c r="ADV4" s="206">
        <f t="shared" si="29"/>
        <v>0</v>
      </c>
      <c r="ADW4" s="206">
        <f t="shared" si="29"/>
        <v>0</v>
      </c>
      <c r="ADX4" s="206">
        <f t="shared" si="29"/>
        <v>0</v>
      </c>
      <c r="ADY4" s="206">
        <f t="shared" si="29"/>
        <v>0</v>
      </c>
      <c r="ADZ4" s="206">
        <f t="shared" si="29"/>
        <v>0</v>
      </c>
      <c r="AEA4" s="206">
        <f t="shared" si="29"/>
        <v>0</v>
      </c>
      <c r="AEB4" s="206">
        <f t="shared" si="29"/>
        <v>0</v>
      </c>
      <c r="AEC4" s="206">
        <f t="shared" si="29"/>
        <v>0</v>
      </c>
      <c r="AED4" s="206">
        <f t="shared" si="29"/>
        <v>0</v>
      </c>
      <c r="AEE4" s="206">
        <f t="shared" si="29"/>
        <v>0</v>
      </c>
      <c r="AEF4" s="206">
        <f t="shared" si="29"/>
        <v>0</v>
      </c>
      <c r="AEG4" s="206">
        <f t="shared" si="29"/>
        <v>0</v>
      </c>
      <c r="AEH4" s="206">
        <f t="shared" si="29"/>
        <v>0</v>
      </c>
      <c r="AEI4" s="206">
        <f t="shared" si="29"/>
        <v>0</v>
      </c>
      <c r="AEJ4" s="206">
        <f t="shared" si="29"/>
        <v>0</v>
      </c>
      <c r="AEK4" s="206">
        <f t="shared" si="29"/>
        <v>0</v>
      </c>
      <c r="AEL4" s="206">
        <f t="shared" si="29"/>
        <v>0</v>
      </c>
      <c r="AEM4" s="206">
        <f t="shared" si="29"/>
        <v>0</v>
      </c>
      <c r="AEN4" s="206">
        <f t="shared" si="29"/>
        <v>0</v>
      </c>
      <c r="AEO4" s="206">
        <f t="shared" si="29"/>
        <v>0</v>
      </c>
      <c r="AEP4" s="206">
        <f t="shared" si="29"/>
        <v>0</v>
      </c>
      <c r="AEQ4" s="206">
        <f t="shared" si="29"/>
        <v>0</v>
      </c>
      <c r="AER4" s="206">
        <f t="shared" si="29"/>
        <v>0</v>
      </c>
      <c r="AES4" s="206">
        <f t="shared" si="29"/>
        <v>0</v>
      </c>
      <c r="AET4" s="206">
        <f t="shared" si="29"/>
        <v>0</v>
      </c>
      <c r="AEU4" s="206">
        <f t="shared" si="29"/>
        <v>0</v>
      </c>
      <c r="AEV4" s="206">
        <f t="shared" si="29"/>
        <v>0</v>
      </c>
      <c r="AEW4" s="206">
        <f t="shared" si="29"/>
        <v>0</v>
      </c>
      <c r="AEX4" s="206">
        <f t="shared" ref="AEX4:AHI4" si="30">AEX36+AEX49+AEX62+AEX75+AEX88+AEX101+AEX114+AEX127+AEX140+AEX153+AEX166+AEX179+AEX192</f>
        <v>0</v>
      </c>
      <c r="AEY4" s="206">
        <f t="shared" si="30"/>
        <v>0</v>
      </c>
      <c r="AEZ4" s="206">
        <f t="shared" si="30"/>
        <v>0</v>
      </c>
      <c r="AFA4" s="206">
        <f t="shared" si="30"/>
        <v>0</v>
      </c>
      <c r="AFB4" s="206">
        <f t="shared" si="30"/>
        <v>0</v>
      </c>
      <c r="AFC4" s="206">
        <f t="shared" si="30"/>
        <v>0</v>
      </c>
      <c r="AFD4" s="206">
        <f t="shared" si="30"/>
        <v>0</v>
      </c>
      <c r="AFE4" s="206">
        <f t="shared" si="30"/>
        <v>0</v>
      </c>
      <c r="AFF4" s="206">
        <f t="shared" si="30"/>
        <v>0</v>
      </c>
      <c r="AFG4" s="206">
        <f t="shared" si="30"/>
        <v>0</v>
      </c>
      <c r="AFH4" s="206">
        <f t="shared" si="30"/>
        <v>0</v>
      </c>
      <c r="AFI4" s="206">
        <f t="shared" si="30"/>
        <v>0</v>
      </c>
      <c r="AFJ4" s="206">
        <f t="shared" si="30"/>
        <v>0</v>
      </c>
      <c r="AFK4" s="206">
        <f t="shared" si="30"/>
        <v>0</v>
      </c>
      <c r="AFL4" s="206">
        <f t="shared" si="30"/>
        <v>0</v>
      </c>
      <c r="AFM4" s="206">
        <f t="shared" si="30"/>
        <v>0</v>
      </c>
      <c r="AFN4" s="206">
        <f t="shared" si="30"/>
        <v>0</v>
      </c>
      <c r="AFO4" s="206">
        <f t="shared" si="30"/>
        <v>0</v>
      </c>
      <c r="AFP4" s="206">
        <f t="shared" si="30"/>
        <v>0</v>
      </c>
      <c r="AFQ4" s="206">
        <f t="shared" si="30"/>
        <v>0</v>
      </c>
      <c r="AFR4" s="206">
        <f t="shared" si="30"/>
        <v>0</v>
      </c>
      <c r="AFS4" s="206">
        <f t="shared" si="30"/>
        <v>0</v>
      </c>
      <c r="AFT4" s="206">
        <f t="shared" si="30"/>
        <v>0</v>
      </c>
      <c r="AFU4" s="206">
        <f t="shared" si="30"/>
        <v>0</v>
      </c>
      <c r="AFV4" s="206">
        <f t="shared" si="30"/>
        <v>0</v>
      </c>
      <c r="AFW4" s="206">
        <f t="shared" si="30"/>
        <v>0</v>
      </c>
      <c r="AFX4" s="206">
        <f t="shared" si="30"/>
        <v>0</v>
      </c>
      <c r="AFY4" s="206">
        <f t="shared" si="30"/>
        <v>0</v>
      </c>
      <c r="AFZ4" s="206">
        <f t="shared" si="30"/>
        <v>0</v>
      </c>
      <c r="AGA4" s="206">
        <f t="shared" si="30"/>
        <v>0</v>
      </c>
      <c r="AGB4" s="206">
        <f t="shared" si="30"/>
        <v>0</v>
      </c>
      <c r="AGC4" s="206">
        <f t="shared" si="30"/>
        <v>0</v>
      </c>
      <c r="AGD4" s="206">
        <f t="shared" si="30"/>
        <v>0</v>
      </c>
      <c r="AGE4" s="206">
        <f t="shared" si="30"/>
        <v>0</v>
      </c>
      <c r="AGF4" s="206">
        <f t="shared" si="30"/>
        <v>0</v>
      </c>
      <c r="AGG4" s="206">
        <f t="shared" si="30"/>
        <v>0</v>
      </c>
      <c r="AGH4" s="206">
        <f t="shared" si="30"/>
        <v>0</v>
      </c>
      <c r="AGI4" s="206">
        <f t="shared" si="30"/>
        <v>0</v>
      </c>
      <c r="AGJ4" s="206">
        <f t="shared" si="30"/>
        <v>0</v>
      </c>
      <c r="AGK4" s="206">
        <f t="shared" si="30"/>
        <v>0</v>
      </c>
      <c r="AGL4" s="206">
        <f t="shared" si="30"/>
        <v>0</v>
      </c>
      <c r="AGM4" s="206">
        <f t="shared" si="30"/>
        <v>0</v>
      </c>
      <c r="AGN4" s="206">
        <f t="shared" si="30"/>
        <v>0</v>
      </c>
      <c r="AGO4" s="206">
        <f t="shared" si="30"/>
        <v>0</v>
      </c>
      <c r="AGP4" s="206">
        <f t="shared" si="30"/>
        <v>0</v>
      </c>
      <c r="AGQ4" s="206">
        <f t="shared" si="30"/>
        <v>0</v>
      </c>
      <c r="AGR4" s="206">
        <f t="shared" si="30"/>
        <v>0</v>
      </c>
      <c r="AGS4" s="206">
        <f t="shared" si="30"/>
        <v>0</v>
      </c>
      <c r="AGT4" s="206">
        <f t="shared" si="30"/>
        <v>0</v>
      </c>
      <c r="AGU4" s="206">
        <f t="shared" si="30"/>
        <v>0</v>
      </c>
      <c r="AGV4" s="206">
        <f t="shared" si="30"/>
        <v>0</v>
      </c>
      <c r="AGW4" s="206">
        <f t="shared" si="30"/>
        <v>0</v>
      </c>
      <c r="AGX4" s="206">
        <f t="shared" si="30"/>
        <v>0</v>
      </c>
      <c r="AGY4" s="206">
        <f t="shared" si="30"/>
        <v>0</v>
      </c>
      <c r="AGZ4" s="206">
        <f t="shared" si="30"/>
        <v>0</v>
      </c>
      <c r="AHA4" s="206">
        <f t="shared" si="30"/>
        <v>0</v>
      </c>
      <c r="AHB4" s="206">
        <f t="shared" si="30"/>
        <v>0</v>
      </c>
      <c r="AHC4" s="206">
        <f t="shared" si="30"/>
        <v>0</v>
      </c>
      <c r="AHD4" s="206">
        <f t="shared" si="30"/>
        <v>0</v>
      </c>
      <c r="AHE4" s="206">
        <f t="shared" si="30"/>
        <v>0</v>
      </c>
      <c r="AHF4" s="206">
        <f t="shared" si="30"/>
        <v>0</v>
      </c>
      <c r="AHG4" s="206">
        <f t="shared" si="30"/>
        <v>0</v>
      </c>
      <c r="AHH4" s="206">
        <f t="shared" si="30"/>
        <v>0</v>
      </c>
      <c r="AHI4" s="206">
        <f t="shared" si="30"/>
        <v>0</v>
      </c>
      <c r="AHJ4" s="206">
        <f t="shared" ref="AHJ4:AJA4" si="31">AHJ36+AHJ49+AHJ62+AHJ75+AHJ88+AHJ101+AHJ114+AHJ127+AHJ140+AHJ153+AHJ166+AHJ179+AHJ192</f>
        <v>0</v>
      </c>
      <c r="AHK4" s="206">
        <f t="shared" si="31"/>
        <v>0</v>
      </c>
      <c r="AHL4" s="206">
        <f t="shared" si="31"/>
        <v>0</v>
      </c>
      <c r="AHM4" s="206">
        <f t="shared" si="31"/>
        <v>0</v>
      </c>
      <c r="AHN4" s="206">
        <f t="shared" si="31"/>
        <v>0</v>
      </c>
      <c r="AHO4" s="206">
        <f t="shared" si="31"/>
        <v>0</v>
      </c>
      <c r="AHP4" s="206">
        <f t="shared" si="31"/>
        <v>0</v>
      </c>
      <c r="AHQ4" s="206">
        <f t="shared" si="31"/>
        <v>0</v>
      </c>
      <c r="AHR4" s="206">
        <f t="shared" si="31"/>
        <v>0</v>
      </c>
      <c r="AHS4" s="206">
        <f t="shared" si="31"/>
        <v>0</v>
      </c>
      <c r="AHT4" s="206">
        <f t="shared" si="31"/>
        <v>0</v>
      </c>
      <c r="AHU4" s="206">
        <f t="shared" si="31"/>
        <v>0</v>
      </c>
      <c r="AHV4" s="206">
        <f t="shared" si="31"/>
        <v>0</v>
      </c>
      <c r="AHW4" s="206">
        <f t="shared" si="31"/>
        <v>0</v>
      </c>
      <c r="AHX4" s="206">
        <f t="shared" si="31"/>
        <v>0</v>
      </c>
      <c r="AHY4" s="206">
        <f t="shared" si="31"/>
        <v>0</v>
      </c>
      <c r="AHZ4" s="206">
        <f t="shared" si="31"/>
        <v>0</v>
      </c>
      <c r="AIA4" s="206">
        <f t="shared" si="31"/>
        <v>0</v>
      </c>
      <c r="AIB4" s="206">
        <f t="shared" si="31"/>
        <v>0</v>
      </c>
      <c r="AIC4" s="206">
        <f t="shared" si="31"/>
        <v>0</v>
      </c>
      <c r="AID4" s="206">
        <f t="shared" si="31"/>
        <v>0</v>
      </c>
      <c r="AIE4" s="206">
        <f t="shared" si="31"/>
        <v>0</v>
      </c>
      <c r="AIF4" s="206">
        <f t="shared" si="31"/>
        <v>0</v>
      </c>
      <c r="AIG4" s="206">
        <f t="shared" si="31"/>
        <v>0</v>
      </c>
      <c r="AIH4" s="206">
        <f t="shared" si="31"/>
        <v>0</v>
      </c>
      <c r="AII4" s="206">
        <f t="shared" si="31"/>
        <v>0</v>
      </c>
      <c r="AIJ4" s="206">
        <f t="shared" si="31"/>
        <v>0</v>
      </c>
      <c r="AIK4" s="206">
        <f t="shared" si="31"/>
        <v>0</v>
      </c>
      <c r="AIL4" s="206">
        <f t="shared" si="31"/>
        <v>0</v>
      </c>
      <c r="AIM4" s="206">
        <f t="shared" si="31"/>
        <v>0</v>
      </c>
      <c r="AIN4" s="206">
        <f t="shared" si="31"/>
        <v>0</v>
      </c>
      <c r="AIO4" s="206">
        <f t="shared" si="31"/>
        <v>0</v>
      </c>
      <c r="AIP4" s="206">
        <f t="shared" si="31"/>
        <v>0</v>
      </c>
      <c r="AIQ4" s="206">
        <f t="shared" si="31"/>
        <v>0</v>
      </c>
      <c r="AIR4" s="206">
        <f t="shared" si="31"/>
        <v>0</v>
      </c>
      <c r="AIS4" s="206">
        <f t="shared" si="31"/>
        <v>0</v>
      </c>
      <c r="AIT4" s="206">
        <f t="shared" si="31"/>
        <v>0</v>
      </c>
      <c r="AIU4" s="206">
        <f t="shared" si="31"/>
        <v>0</v>
      </c>
      <c r="AIV4" s="206">
        <f t="shared" si="31"/>
        <v>0</v>
      </c>
      <c r="AIW4" s="206">
        <f t="shared" si="31"/>
        <v>0</v>
      </c>
      <c r="AIX4" s="206">
        <f t="shared" si="31"/>
        <v>0</v>
      </c>
      <c r="AIY4" s="206">
        <f t="shared" si="31"/>
        <v>0</v>
      </c>
      <c r="AIZ4" s="206">
        <f t="shared" si="31"/>
        <v>0</v>
      </c>
      <c r="AJA4" s="206">
        <f t="shared" si="31"/>
        <v>0</v>
      </c>
    </row>
    <row r="5" spans="1:1024" s="204" customFormat="1" ht="22.15" customHeight="1" x14ac:dyDescent="0.25">
      <c r="A5" s="286" t="s">
        <v>139</v>
      </c>
      <c r="B5" s="286"/>
      <c r="C5" s="230">
        <f>C4/C2</f>
        <v>5.6200000000000007E-2</v>
      </c>
      <c r="D5" s="230">
        <f t="shared" ref="D5:BO5" si="32">D4/D2</f>
        <v>5.5899999999999998E-2</v>
      </c>
      <c r="E5" s="230">
        <f t="shared" si="32"/>
        <v>5.57E-2</v>
      </c>
      <c r="F5" s="230">
        <f t="shared" si="32"/>
        <v>5.5500000000000001E-2</v>
      </c>
      <c r="G5" s="230">
        <f t="shared" si="32"/>
        <v>5.5099999999999996E-2</v>
      </c>
      <c r="H5" s="230">
        <f t="shared" si="32"/>
        <v>5.4699999999999999E-2</v>
      </c>
      <c r="I5" s="230">
        <f t="shared" si="32"/>
        <v>5.4400000000000004E-2</v>
      </c>
      <c r="J5" s="230">
        <f t="shared" si="32"/>
        <v>5.4000000000000006E-2</v>
      </c>
      <c r="K5" s="230">
        <f t="shared" si="32"/>
        <v>5.3600000000000002E-2</v>
      </c>
      <c r="L5" s="230">
        <f t="shared" si="32"/>
        <v>5.3000000000000005E-2</v>
      </c>
      <c r="M5" s="230">
        <f t="shared" si="32"/>
        <v>5.2400000000000002E-2</v>
      </c>
      <c r="N5" s="230">
        <f t="shared" si="32"/>
        <v>5.1799999999999992E-2</v>
      </c>
      <c r="O5" s="230">
        <f t="shared" si="32"/>
        <v>5.1200000000000002E-2</v>
      </c>
      <c r="P5" s="230">
        <f t="shared" si="32"/>
        <v>5.0599999999999999E-2</v>
      </c>
      <c r="Q5" s="230">
        <f t="shared" si="32"/>
        <v>4.99E-2</v>
      </c>
      <c r="R5" s="230">
        <f t="shared" si="32"/>
        <v>4.9200000000000001E-2</v>
      </c>
      <c r="S5" s="230">
        <f t="shared" si="32"/>
        <v>4.8399999999999999E-2</v>
      </c>
      <c r="T5" s="230">
        <f t="shared" si="32"/>
        <v>4.7699999999999992E-2</v>
      </c>
      <c r="U5" s="230">
        <f t="shared" si="32"/>
        <v>4.7E-2</v>
      </c>
      <c r="V5" s="230">
        <f t="shared" si="32"/>
        <v>4.6300000000000001E-2</v>
      </c>
      <c r="W5" s="230">
        <f t="shared" si="32"/>
        <v>4.5599999999999995E-2</v>
      </c>
      <c r="X5" s="230">
        <f t="shared" si="32"/>
        <v>4.4800000000000006E-2</v>
      </c>
      <c r="Y5" s="230">
        <f t="shared" si="32"/>
        <v>4.41E-2</v>
      </c>
      <c r="Z5" s="230">
        <f t="shared" si="32"/>
        <v>4.3400000000000001E-2</v>
      </c>
      <c r="AA5" s="230">
        <f t="shared" si="32"/>
        <v>4.2800000000000005E-2</v>
      </c>
      <c r="AB5" s="230">
        <f t="shared" si="32"/>
        <v>4.2199999999999994E-2</v>
      </c>
      <c r="AC5" s="230">
        <f t="shared" si="32"/>
        <v>4.1599999999999998E-2</v>
      </c>
      <c r="AD5" s="230">
        <f t="shared" si="32"/>
        <v>4.0999999999999995E-2</v>
      </c>
      <c r="AE5" s="230">
        <f t="shared" si="32"/>
        <v>4.0399999999999998E-2</v>
      </c>
      <c r="AF5" s="230">
        <f t="shared" si="32"/>
        <v>3.9800000000000002E-2</v>
      </c>
      <c r="AG5" s="230">
        <f t="shared" si="32"/>
        <v>3.9199999999999999E-2</v>
      </c>
      <c r="AH5" s="230">
        <f t="shared" si="32"/>
        <v>3.8599999999999995E-2</v>
      </c>
      <c r="AI5" s="230">
        <f t="shared" si="32"/>
        <v>3.7999999999999999E-2</v>
      </c>
      <c r="AJ5" s="230">
        <f t="shared" si="32"/>
        <v>3.7400000000000003E-2</v>
      </c>
      <c r="AK5" s="230">
        <f t="shared" si="32"/>
        <v>3.6799999999999999E-2</v>
      </c>
      <c r="AL5" s="230">
        <f t="shared" si="32"/>
        <v>3.61E-2</v>
      </c>
      <c r="AM5" s="230">
        <f t="shared" si="32"/>
        <v>3.5499999999999997E-2</v>
      </c>
      <c r="AN5" s="230">
        <f t="shared" si="32"/>
        <v>3.4799999999999998E-2</v>
      </c>
      <c r="AO5" s="230">
        <f t="shared" si="32"/>
        <v>3.4200000000000001E-2</v>
      </c>
      <c r="AP5" s="230">
        <f t="shared" si="32"/>
        <v>3.3599999999999998E-2</v>
      </c>
      <c r="AQ5" s="230">
        <f t="shared" si="32"/>
        <v>3.2899999999999999E-2</v>
      </c>
      <c r="AR5" s="230">
        <f t="shared" si="32"/>
        <v>3.2300000000000002E-2</v>
      </c>
      <c r="AS5" s="230">
        <f t="shared" si="32"/>
        <v>3.1600000000000003E-2</v>
      </c>
      <c r="AT5" s="230">
        <f t="shared" si="32"/>
        <v>3.0999999999999996E-2</v>
      </c>
      <c r="AU5" s="230">
        <f t="shared" si="32"/>
        <v>3.04E-2</v>
      </c>
      <c r="AV5" s="230">
        <f t="shared" si="32"/>
        <v>2.98E-2</v>
      </c>
      <c r="AW5" s="230">
        <f t="shared" si="32"/>
        <v>2.92E-2</v>
      </c>
      <c r="AX5" s="230">
        <f t="shared" si="32"/>
        <v>2.8600000000000004E-2</v>
      </c>
      <c r="AY5" s="230">
        <f t="shared" si="32"/>
        <v>2.7999999999999997E-2</v>
      </c>
      <c r="AZ5" s="230">
        <f t="shared" si="32"/>
        <v>2.7400000000000001E-2</v>
      </c>
      <c r="BA5" s="230">
        <f t="shared" si="32"/>
        <v>0</v>
      </c>
      <c r="BB5" s="230">
        <f t="shared" si="32"/>
        <v>2.7484858554428084E-2</v>
      </c>
      <c r="BC5" s="230">
        <f t="shared" si="32"/>
        <v>2.6976752887809E-2</v>
      </c>
      <c r="BD5" s="230">
        <f t="shared" si="32"/>
        <v>2.6480637659765573E-2</v>
      </c>
      <c r="BE5" s="230">
        <f t="shared" si="32"/>
        <v>2.6179827179228964E-2</v>
      </c>
      <c r="BF5" s="230">
        <f t="shared" si="32"/>
        <v>2.5874736138727789E-2</v>
      </c>
      <c r="BG5" s="230">
        <f t="shared" si="32"/>
        <v>2.5481174244947544E-2</v>
      </c>
      <c r="BH5" s="230">
        <f t="shared" si="32"/>
        <v>2.5191242452013214E-2</v>
      </c>
      <c r="BI5" s="230">
        <f t="shared" si="32"/>
        <v>2.4901286691289173E-2</v>
      </c>
      <c r="BJ5" s="230">
        <f t="shared" si="32"/>
        <v>2.4614154148495458E-2</v>
      </c>
      <c r="BK5" s="230">
        <f t="shared" si="32"/>
        <v>2.4319017925184185E-2</v>
      </c>
      <c r="BL5" s="230">
        <f t="shared" si="32"/>
        <v>2.3935077942488271E-2</v>
      </c>
      <c r="BM5" s="230">
        <f t="shared" si="32"/>
        <v>2.3644805972063282E-2</v>
      </c>
      <c r="BN5" s="230">
        <f t="shared" si="32"/>
        <v>2.3357969975268782E-2</v>
      </c>
      <c r="BO5" s="230">
        <f t="shared" si="32"/>
        <v>2.3163340883644776E-2</v>
      </c>
      <c r="BP5" s="230">
        <f t="shared" ref="BP5:EA5" si="33">BP4/BP2</f>
        <v>2.2961436221245402E-2</v>
      </c>
      <c r="BQ5" s="230">
        <f t="shared" si="33"/>
        <v>2.2756958234333612E-2</v>
      </c>
      <c r="BR5" s="230">
        <f t="shared" si="33"/>
        <v>2.2542492364204872E-2</v>
      </c>
      <c r="BS5" s="230">
        <f t="shared" si="33"/>
        <v>2.2334247710935812E-2</v>
      </c>
      <c r="BT5" s="230">
        <f t="shared" si="33"/>
        <v>2.2126455503860876E-2</v>
      </c>
      <c r="BU5" s="230">
        <f t="shared" si="33"/>
        <v>2.191502093360229E-2</v>
      </c>
      <c r="BV5" s="230">
        <f t="shared" si="33"/>
        <v>2.1702712723807711E-2</v>
      </c>
      <c r="BW5" s="230">
        <f t="shared" si="33"/>
        <v>2.1473635228166581E-2</v>
      </c>
      <c r="BX5" s="230">
        <f t="shared" si="33"/>
        <v>2.1255663132089597E-2</v>
      </c>
      <c r="BY5" s="230">
        <f t="shared" si="33"/>
        <v>2.1119477111345101E-2</v>
      </c>
      <c r="BZ5" s="230">
        <f t="shared" si="33"/>
        <v>2.0994154330432366E-2</v>
      </c>
      <c r="CA5" s="230">
        <f t="shared" si="33"/>
        <v>2.08667726084012E-2</v>
      </c>
      <c r="CB5" s="230">
        <f t="shared" si="33"/>
        <v>2.0734275610314032E-2</v>
      </c>
      <c r="CC5" s="230">
        <f t="shared" si="33"/>
        <v>2.0600064167289885E-2</v>
      </c>
      <c r="CD5" s="230">
        <f t="shared" si="33"/>
        <v>2.0460415498201788E-2</v>
      </c>
      <c r="CE5" s="230">
        <f t="shared" si="33"/>
        <v>2.0317875420901861E-2</v>
      </c>
      <c r="CF5" s="230">
        <f t="shared" si="33"/>
        <v>2.0172263573134779E-2</v>
      </c>
      <c r="CG5" s="230">
        <f t="shared" si="33"/>
        <v>2.0020786548141344E-2</v>
      </c>
      <c r="CH5" s="230">
        <f t="shared" si="33"/>
        <v>1.9865903511074111E-2</v>
      </c>
      <c r="CI5" s="230">
        <f t="shared" si="33"/>
        <v>1.9788617358011344E-2</v>
      </c>
      <c r="CJ5" s="230">
        <f t="shared" si="33"/>
        <v>1.9704466324485762E-2</v>
      </c>
      <c r="CK5" s="230">
        <f t="shared" si="33"/>
        <v>1.9595176350008639E-2</v>
      </c>
      <c r="CL5" s="230">
        <f t="shared" si="33"/>
        <v>1.9497161223816759E-2</v>
      </c>
      <c r="CM5" s="230">
        <f t="shared" si="33"/>
        <v>1.9372838303866973E-2</v>
      </c>
      <c r="CN5" s="230">
        <f t="shared" si="33"/>
        <v>1.9262962664653899E-2</v>
      </c>
      <c r="CO5" s="230">
        <f t="shared" si="33"/>
        <v>1.9145491659626243E-2</v>
      </c>
      <c r="CP5" s="230">
        <f t="shared" si="33"/>
        <v>1.9000768293881559E-2</v>
      </c>
      <c r="CQ5" s="230">
        <f t="shared" si="33"/>
        <v>1.8871895923826897E-2</v>
      </c>
      <c r="CR5" s="230">
        <f t="shared" si="33"/>
        <v>1.8712330411111418E-2</v>
      </c>
      <c r="CS5" s="230">
        <f t="shared" si="33"/>
        <v>1.8569659098443655E-2</v>
      </c>
      <c r="CT5" s="230">
        <f t="shared" si="33"/>
        <v>1.8421461049099985E-2</v>
      </c>
      <c r="CU5" s="230">
        <f t="shared" si="33"/>
        <v>1.8266216470567403E-2</v>
      </c>
      <c r="CV5" s="230">
        <f t="shared" si="33"/>
        <v>1.8105587031024512E-2</v>
      </c>
      <c r="CW5" s="230">
        <f t="shared" si="33"/>
        <v>1.7939617473876519E-2</v>
      </c>
      <c r="CX5" s="230">
        <f t="shared" si="33"/>
        <v>1.7767558269117488E-2</v>
      </c>
      <c r="CY5" s="230">
        <f t="shared" si="33"/>
        <v>1.7590347014173783E-2</v>
      </c>
      <c r="CZ5" s="230">
        <f t="shared" si="33"/>
        <v>0</v>
      </c>
      <c r="DA5" s="230">
        <f t="shared" si="33"/>
        <v>1.7633129848966617E-2</v>
      </c>
      <c r="DB5" s="230">
        <f t="shared" si="33"/>
        <v>1.747538836967065E-2</v>
      </c>
      <c r="DC5" s="230">
        <f t="shared" si="33"/>
        <v>1.731588604800853E-2</v>
      </c>
      <c r="DD5" s="230">
        <f t="shared" si="33"/>
        <v>1.7208349343850095E-2</v>
      </c>
      <c r="DE5" s="230">
        <f t="shared" si="33"/>
        <v>1.7097891960820646E-2</v>
      </c>
      <c r="DF5" s="230">
        <f t="shared" si="33"/>
        <v>1.6959150901443541E-2</v>
      </c>
      <c r="DG5" s="230">
        <f t="shared" si="33"/>
        <v>1.691860053386857E-2</v>
      </c>
      <c r="DH5" s="230">
        <f t="shared" si="33"/>
        <v>1.6805675660950117E-2</v>
      </c>
      <c r="DI5" s="230">
        <f t="shared" si="33"/>
        <v>1.6691824524803438E-2</v>
      </c>
      <c r="DJ5" s="230">
        <f t="shared" si="33"/>
        <v>1.6573170234335698E-2</v>
      </c>
      <c r="DK5" s="230">
        <f t="shared" si="33"/>
        <v>1.6425107257014973E-2</v>
      </c>
      <c r="DL5" s="230">
        <f t="shared" si="33"/>
        <v>1.6303979424376391E-2</v>
      </c>
      <c r="DM5" s="230">
        <f t="shared" si="33"/>
        <v>1.6182792010256106E-2</v>
      </c>
      <c r="DN5" s="230">
        <f t="shared" si="33"/>
        <v>1.6089026607628589E-2</v>
      </c>
      <c r="DO5" s="230">
        <f t="shared" si="33"/>
        <v>1.6059545617812851E-2</v>
      </c>
      <c r="DP5" s="230">
        <f t="shared" si="33"/>
        <v>1.5960403640959752E-2</v>
      </c>
      <c r="DQ5" s="230">
        <f t="shared" si="33"/>
        <v>1.585720499699737E-2</v>
      </c>
      <c r="DR5" s="230">
        <f t="shared" si="33"/>
        <v>1.5755006623300944E-2</v>
      </c>
      <c r="DS5" s="230">
        <f t="shared" si="33"/>
        <v>1.5651616068297396E-2</v>
      </c>
      <c r="DT5" s="230">
        <f t="shared" si="33"/>
        <v>1.5611833358779165E-2</v>
      </c>
      <c r="DU5" s="230">
        <f t="shared" si="33"/>
        <v>1.5504806294441837E-2</v>
      </c>
      <c r="DV5" s="230">
        <f t="shared" si="33"/>
        <v>1.5390796429335668E-2</v>
      </c>
      <c r="DW5" s="230">
        <f t="shared" si="33"/>
        <v>1.5279241332773974E-2</v>
      </c>
      <c r="DX5" s="230">
        <f t="shared" si="33"/>
        <v>1.5195783841155481E-2</v>
      </c>
      <c r="DY5" s="230">
        <f t="shared" si="33"/>
        <v>1.5116099171572151E-2</v>
      </c>
      <c r="DZ5" s="230">
        <f t="shared" si="33"/>
        <v>1.5035619661123755E-2</v>
      </c>
      <c r="EA5" s="230">
        <f t="shared" si="33"/>
        <v>1.5016500125693059E-2</v>
      </c>
      <c r="EB5" s="230">
        <f t="shared" ref="EB5:GM5" si="34">EB4/EB2</f>
        <v>1.5213705307527928E-2</v>
      </c>
      <c r="EC5" s="230">
        <f t="shared" si="34"/>
        <v>1.5126685551238408E-2</v>
      </c>
      <c r="ED5" s="230">
        <f t="shared" si="34"/>
        <v>1.5370474632143208E-2</v>
      </c>
      <c r="EE5" s="230">
        <f t="shared" si="34"/>
        <v>1.5279445655803279E-2</v>
      </c>
      <c r="EF5" s="230">
        <f t="shared" si="34"/>
        <v>1.5185124073605115E-2</v>
      </c>
      <c r="EG5" s="230">
        <f t="shared" si="34"/>
        <v>1.5088855191938663E-2</v>
      </c>
      <c r="EH5" s="230">
        <f t="shared" si="34"/>
        <v>1.5028008274321875E-2</v>
      </c>
      <c r="EI5" s="230">
        <f t="shared" si="34"/>
        <v>1.5409146232271782E-2</v>
      </c>
      <c r="EJ5" s="230">
        <f t="shared" si="34"/>
        <v>1.5332372131366376E-2</v>
      </c>
      <c r="EK5" s="230">
        <f t="shared" si="34"/>
        <v>1.5737199865589441E-2</v>
      </c>
      <c r="EL5" s="230">
        <f t="shared" si="34"/>
        <v>1.5650427386363391E-2</v>
      </c>
      <c r="EM5" s="230">
        <f t="shared" si="34"/>
        <v>1.5571684685340438E-2</v>
      </c>
      <c r="EN5" s="230">
        <f t="shared" si="34"/>
        <v>1.5530436158886385E-2</v>
      </c>
      <c r="EO5" s="230">
        <f t="shared" si="34"/>
        <v>1.5430009207076581E-2</v>
      </c>
      <c r="EP5" s="230">
        <f t="shared" si="34"/>
        <v>1.5907208191962285E-2</v>
      </c>
      <c r="EQ5" s="230">
        <f t="shared" si="34"/>
        <v>1.5791434776986212E-2</v>
      </c>
      <c r="ER5" s="230">
        <f t="shared" si="34"/>
        <v>1.641656423084676E-2</v>
      </c>
      <c r="ES5" s="230">
        <f t="shared" si="34"/>
        <v>1.62996910952075E-2</v>
      </c>
      <c r="ET5" s="230">
        <f t="shared" si="34"/>
        <v>1.6202523890221393E-2</v>
      </c>
      <c r="EU5" s="230">
        <f t="shared" si="34"/>
        <v>1.6074905653217123E-2</v>
      </c>
      <c r="EV5" s="230">
        <f t="shared" si="34"/>
        <v>1.5942804968445183E-2</v>
      </c>
      <c r="EW5" s="230">
        <f t="shared" si="34"/>
        <v>1.6652508252657672E-2</v>
      </c>
      <c r="EX5" s="230">
        <f t="shared" si="34"/>
        <v>1.6496617286451333E-2</v>
      </c>
      <c r="EY5" s="230">
        <f t="shared" si="34"/>
        <v>-3.2556287790943409E-6</v>
      </c>
      <c r="EZ5" s="230">
        <f t="shared" si="34"/>
        <v>1.7633129848966617E-2</v>
      </c>
      <c r="FA5" s="230">
        <f t="shared" si="34"/>
        <v>1.747538836967065E-2</v>
      </c>
      <c r="FB5" s="230">
        <f t="shared" si="34"/>
        <v>1.731588604800853E-2</v>
      </c>
      <c r="FC5" s="230">
        <f t="shared" si="34"/>
        <v>1.7208349343850095E-2</v>
      </c>
      <c r="FD5" s="230">
        <f t="shared" si="34"/>
        <v>1.7097891960820646E-2</v>
      </c>
      <c r="FE5" s="230">
        <f t="shared" si="34"/>
        <v>1.6959150901443541E-2</v>
      </c>
      <c r="FF5" s="230">
        <f t="shared" si="34"/>
        <v>1.691860053386857E-2</v>
      </c>
      <c r="FG5" s="230">
        <f t="shared" si="34"/>
        <v>1.6805675660950117E-2</v>
      </c>
      <c r="FH5" s="230">
        <f t="shared" si="34"/>
        <v>1.6691824524803438E-2</v>
      </c>
      <c r="FI5" s="230">
        <f t="shared" si="34"/>
        <v>1.6573170234335698E-2</v>
      </c>
      <c r="FJ5" s="230">
        <f t="shared" si="34"/>
        <v>1.6425107257014973E-2</v>
      </c>
      <c r="FK5" s="230">
        <f t="shared" si="34"/>
        <v>1.6303979424376391E-2</v>
      </c>
      <c r="FL5" s="230">
        <f t="shared" si="34"/>
        <v>1.6182792010256106E-2</v>
      </c>
      <c r="FM5" s="230">
        <f t="shared" si="34"/>
        <v>1.6089026607628589E-2</v>
      </c>
      <c r="FN5" s="230">
        <f t="shared" si="34"/>
        <v>1.6059545617812851E-2</v>
      </c>
      <c r="FO5" s="230">
        <f t="shared" si="34"/>
        <v>1.5960403640959752E-2</v>
      </c>
      <c r="FP5" s="230">
        <f t="shared" si="34"/>
        <v>1.585720499699737E-2</v>
      </c>
      <c r="FQ5" s="230">
        <f t="shared" si="34"/>
        <v>1.5755006623300944E-2</v>
      </c>
      <c r="FR5" s="230">
        <f t="shared" si="34"/>
        <v>1.5651616068297396E-2</v>
      </c>
      <c r="FS5" s="230">
        <f t="shared" si="34"/>
        <v>1.5611833358779165E-2</v>
      </c>
      <c r="FT5" s="230">
        <f t="shared" si="34"/>
        <v>1.5504806294441837E-2</v>
      </c>
      <c r="FU5" s="230">
        <f t="shared" si="34"/>
        <v>1.5390796429335668E-2</v>
      </c>
      <c r="FV5" s="230">
        <f t="shared" si="34"/>
        <v>1.5279241332773974E-2</v>
      </c>
      <c r="FW5" s="230">
        <f t="shared" si="34"/>
        <v>1.5195783841155481E-2</v>
      </c>
      <c r="FX5" s="230">
        <f t="shared" si="34"/>
        <v>1.5116099171572151E-2</v>
      </c>
      <c r="FY5" s="230">
        <f t="shared" si="34"/>
        <v>1.5035619661123755E-2</v>
      </c>
      <c r="FZ5" s="230">
        <f t="shared" si="34"/>
        <v>1.5016500125693059E-2</v>
      </c>
      <c r="GA5" s="230">
        <f t="shared" si="34"/>
        <v>1.5213705307527928E-2</v>
      </c>
      <c r="GB5" s="230">
        <f t="shared" si="34"/>
        <v>1.5126685551238408E-2</v>
      </c>
      <c r="GC5" s="230">
        <f t="shared" si="34"/>
        <v>1.5370474632143208E-2</v>
      </c>
      <c r="GD5" s="230">
        <f t="shared" si="34"/>
        <v>1.5279445655803279E-2</v>
      </c>
      <c r="GE5" s="230">
        <f t="shared" si="34"/>
        <v>1.5185124073605115E-2</v>
      </c>
      <c r="GF5" s="230">
        <f t="shared" si="34"/>
        <v>1.5088855191938663E-2</v>
      </c>
      <c r="GG5" s="230">
        <f t="shared" si="34"/>
        <v>1.5028008274321875E-2</v>
      </c>
      <c r="GH5" s="230">
        <f t="shared" si="34"/>
        <v>1.5409146232271782E-2</v>
      </c>
      <c r="GI5" s="230">
        <f t="shared" si="34"/>
        <v>1.5332372131366376E-2</v>
      </c>
      <c r="GJ5" s="230">
        <f t="shared" si="34"/>
        <v>1.5737199865589441E-2</v>
      </c>
      <c r="GK5" s="230">
        <f t="shared" si="34"/>
        <v>1.5650427386363391E-2</v>
      </c>
      <c r="GL5" s="230">
        <f t="shared" si="34"/>
        <v>1.5571684685340438E-2</v>
      </c>
      <c r="GM5" s="230">
        <f t="shared" si="34"/>
        <v>1.5530436158886385E-2</v>
      </c>
      <c r="GN5" s="230">
        <f t="shared" ref="GN5:IY5" si="35">GN4/GN2</f>
        <v>1.5430009207076581E-2</v>
      </c>
      <c r="GO5" s="230">
        <f t="shared" si="35"/>
        <v>1.5907208191962285E-2</v>
      </c>
      <c r="GP5" s="230">
        <f t="shared" si="35"/>
        <v>1.5791434776986212E-2</v>
      </c>
      <c r="GQ5" s="230">
        <f t="shared" si="35"/>
        <v>1.641656423084676E-2</v>
      </c>
      <c r="GR5" s="230">
        <f t="shared" si="35"/>
        <v>1.62996910952075E-2</v>
      </c>
      <c r="GS5" s="230">
        <f t="shared" si="35"/>
        <v>1.6202523890221393E-2</v>
      </c>
      <c r="GT5" s="230">
        <f t="shared" si="35"/>
        <v>1.6074905653217123E-2</v>
      </c>
      <c r="GU5" s="230">
        <f t="shared" si="35"/>
        <v>1.5942804968445183E-2</v>
      </c>
      <c r="GV5" s="230">
        <f t="shared" si="35"/>
        <v>1.6652508252657672E-2</v>
      </c>
      <c r="GW5" s="230">
        <f t="shared" si="35"/>
        <v>1.6496617286451333E-2</v>
      </c>
      <c r="GX5" s="230">
        <f t="shared" si="35"/>
        <v>-3.2556287790943409E-6</v>
      </c>
      <c r="GY5" s="230">
        <f t="shared" si="35"/>
        <v>1.7633129848966617E-2</v>
      </c>
      <c r="GZ5" s="230">
        <f t="shared" si="35"/>
        <v>1.747538836967065E-2</v>
      </c>
      <c r="HA5" s="230">
        <f t="shared" si="35"/>
        <v>1.731588604800853E-2</v>
      </c>
      <c r="HB5" s="230">
        <f t="shared" si="35"/>
        <v>1.7208349343850095E-2</v>
      </c>
      <c r="HC5" s="230">
        <f t="shared" si="35"/>
        <v>1.7097891960820646E-2</v>
      </c>
      <c r="HD5" s="230">
        <f t="shared" si="35"/>
        <v>1.6959150901443541E-2</v>
      </c>
      <c r="HE5" s="230">
        <f t="shared" si="35"/>
        <v>1.691860053386857E-2</v>
      </c>
      <c r="HF5" s="230">
        <f t="shared" si="35"/>
        <v>1.6805675660950117E-2</v>
      </c>
      <c r="HG5" s="230">
        <f t="shared" si="35"/>
        <v>1.6691824524803438E-2</v>
      </c>
      <c r="HH5" s="230">
        <f t="shared" si="35"/>
        <v>1.6573170234335698E-2</v>
      </c>
      <c r="HI5" s="230">
        <f t="shared" si="35"/>
        <v>1.6425107257014973E-2</v>
      </c>
      <c r="HJ5" s="230">
        <f t="shared" si="35"/>
        <v>1.6303979424376391E-2</v>
      </c>
      <c r="HK5" s="230">
        <f t="shared" si="35"/>
        <v>1.6182792010256106E-2</v>
      </c>
      <c r="HL5" s="230">
        <f t="shared" si="35"/>
        <v>1.6089026607628589E-2</v>
      </c>
      <c r="HM5" s="230">
        <f t="shared" si="35"/>
        <v>1.6059545617812851E-2</v>
      </c>
      <c r="HN5" s="230">
        <f t="shared" si="35"/>
        <v>1.5960403640959752E-2</v>
      </c>
      <c r="HO5" s="230">
        <f t="shared" si="35"/>
        <v>1.585720499699737E-2</v>
      </c>
      <c r="HP5" s="230">
        <f t="shared" si="35"/>
        <v>1.5755006623300944E-2</v>
      </c>
      <c r="HQ5" s="230">
        <f t="shared" si="35"/>
        <v>1.5651616068297396E-2</v>
      </c>
      <c r="HR5" s="230">
        <f t="shared" si="35"/>
        <v>1.5611833358779165E-2</v>
      </c>
      <c r="HS5" s="230">
        <f t="shared" si="35"/>
        <v>1.5504806294441837E-2</v>
      </c>
      <c r="HT5" s="230">
        <f t="shared" si="35"/>
        <v>1.5390796429335668E-2</v>
      </c>
      <c r="HU5" s="230">
        <f t="shared" si="35"/>
        <v>1.5279241332773974E-2</v>
      </c>
      <c r="HV5" s="230">
        <f t="shared" si="35"/>
        <v>1.5195783841155481E-2</v>
      </c>
      <c r="HW5" s="230">
        <f t="shared" si="35"/>
        <v>1.5116099171572151E-2</v>
      </c>
      <c r="HX5" s="230">
        <f t="shared" si="35"/>
        <v>1.5035619661123755E-2</v>
      </c>
      <c r="HY5" s="230">
        <f t="shared" si="35"/>
        <v>1.5016500125693059E-2</v>
      </c>
      <c r="HZ5" s="230">
        <f t="shared" si="35"/>
        <v>1.5213705307527928E-2</v>
      </c>
      <c r="IA5" s="230">
        <f t="shared" si="35"/>
        <v>1.5126685551238408E-2</v>
      </c>
      <c r="IB5" s="230">
        <f t="shared" si="35"/>
        <v>1.5370474632143208E-2</v>
      </c>
      <c r="IC5" s="230">
        <f t="shared" si="35"/>
        <v>1.5279445655803279E-2</v>
      </c>
      <c r="ID5" s="230">
        <f t="shared" si="35"/>
        <v>1.5185124073605115E-2</v>
      </c>
      <c r="IE5" s="230">
        <f t="shared" si="35"/>
        <v>1.5088855191938663E-2</v>
      </c>
      <c r="IF5" s="230">
        <f t="shared" si="35"/>
        <v>1.5028008274321875E-2</v>
      </c>
      <c r="IG5" s="230">
        <f t="shared" si="35"/>
        <v>1.5409146232271782E-2</v>
      </c>
      <c r="IH5" s="230">
        <f t="shared" si="35"/>
        <v>1.5332372131366376E-2</v>
      </c>
      <c r="II5" s="230">
        <f t="shared" si="35"/>
        <v>1.5737199865589441E-2</v>
      </c>
      <c r="IJ5" s="230">
        <f t="shared" si="35"/>
        <v>1.5650427386363391E-2</v>
      </c>
      <c r="IK5" s="230">
        <f t="shared" si="35"/>
        <v>1.5571684685340438E-2</v>
      </c>
      <c r="IL5" s="230">
        <f t="shared" si="35"/>
        <v>1.5530436158886385E-2</v>
      </c>
      <c r="IM5" s="230">
        <f t="shared" si="35"/>
        <v>1.5430009207076581E-2</v>
      </c>
      <c r="IN5" s="230">
        <f t="shared" si="35"/>
        <v>1.5907208191962285E-2</v>
      </c>
      <c r="IO5" s="230">
        <f t="shared" si="35"/>
        <v>1.5791434776986212E-2</v>
      </c>
      <c r="IP5" s="230">
        <f t="shared" si="35"/>
        <v>1.641656423084676E-2</v>
      </c>
      <c r="IQ5" s="230">
        <f t="shared" si="35"/>
        <v>1.62996910952075E-2</v>
      </c>
      <c r="IR5" s="230">
        <f t="shared" si="35"/>
        <v>1.6202523890221393E-2</v>
      </c>
      <c r="IS5" s="230">
        <f t="shared" si="35"/>
        <v>1.6074905653217123E-2</v>
      </c>
      <c r="IT5" s="230">
        <f t="shared" si="35"/>
        <v>1.5942804968445183E-2</v>
      </c>
      <c r="IU5" s="230">
        <f t="shared" si="35"/>
        <v>1.6652508252657672E-2</v>
      </c>
      <c r="IV5" s="230">
        <f t="shared" si="35"/>
        <v>1.6496617286451333E-2</v>
      </c>
      <c r="IW5" s="230">
        <f t="shared" si="35"/>
        <v>-3.2556287790943409E-6</v>
      </c>
      <c r="IX5" s="230">
        <f t="shared" si="35"/>
        <v>1.7633129848966617E-2</v>
      </c>
      <c r="IY5" s="230">
        <f t="shared" si="35"/>
        <v>1.747538836967065E-2</v>
      </c>
      <c r="IZ5" s="230">
        <f t="shared" ref="IZ5:LK5" si="36">IZ4/IZ2</f>
        <v>1.731588604800853E-2</v>
      </c>
      <c r="JA5" s="230">
        <f t="shared" si="36"/>
        <v>1.7208349343850095E-2</v>
      </c>
      <c r="JB5" s="230">
        <f t="shared" si="36"/>
        <v>1.7097891960820646E-2</v>
      </c>
      <c r="JC5" s="230">
        <f t="shared" si="36"/>
        <v>1.6959150901443541E-2</v>
      </c>
      <c r="JD5" s="230">
        <f t="shared" si="36"/>
        <v>1.691860053386857E-2</v>
      </c>
      <c r="JE5" s="230">
        <f t="shared" si="36"/>
        <v>1.6805675660950117E-2</v>
      </c>
      <c r="JF5" s="230">
        <f t="shared" si="36"/>
        <v>1.6691824524803438E-2</v>
      </c>
      <c r="JG5" s="230">
        <f t="shared" si="36"/>
        <v>1.6573170234335698E-2</v>
      </c>
      <c r="JH5" s="230">
        <f t="shared" si="36"/>
        <v>1.6425107257014973E-2</v>
      </c>
      <c r="JI5" s="230">
        <f t="shared" si="36"/>
        <v>1.6303979424376391E-2</v>
      </c>
      <c r="JJ5" s="230">
        <f t="shared" si="36"/>
        <v>1.6182792010256106E-2</v>
      </c>
      <c r="JK5" s="230">
        <f t="shared" si="36"/>
        <v>1.6089026607628589E-2</v>
      </c>
      <c r="JL5" s="230">
        <f t="shared" si="36"/>
        <v>1.6059545617812851E-2</v>
      </c>
      <c r="JM5" s="230">
        <f t="shared" si="36"/>
        <v>1.5960403640959752E-2</v>
      </c>
      <c r="JN5" s="230">
        <f t="shared" si="36"/>
        <v>1.585720499699737E-2</v>
      </c>
      <c r="JO5" s="230">
        <f t="shared" si="36"/>
        <v>1.5755006623300944E-2</v>
      </c>
      <c r="JP5" s="230">
        <f t="shared" si="36"/>
        <v>1.5651616068297396E-2</v>
      </c>
      <c r="JQ5" s="230">
        <f t="shared" si="36"/>
        <v>1.5611833358779165E-2</v>
      </c>
      <c r="JR5" s="230">
        <f t="shared" si="36"/>
        <v>1.5504806294441837E-2</v>
      </c>
      <c r="JS5" s="230">
        <f t="shared" si="36"/>
        <v>1.5390796429335668E-2</v>
      </c>
      <c r="JT5" s="230">
        <f t="shared" si="36"/>
        <v>1.5279241332773974E-2</v>
      </c>
      <c r="JU5" s="230">
        <f t="shared" si="36"/>
        <v>1.5195783841155481E-2</v>
      </c>
      <c r="JV5" s="230">
        <f t="shared" si="36"/>
        <v>1.5116099171572151E-2</v>
      </c>
      <c r="JW5" s="230">
        <f t="shared" si="36"/>
        <v>1.5035619661123755E-2</v>
      </c>
      <c r="JX5" s="230">
        <f t="shared" si="36"/>
        <v>1.5016500125693059E-2</v>
      </c>
      <c r="JY5" s="230">
        <f t="shared" si="36"/>
        <v>1.5213705307527928E-2</v>
      </c>
      <c r="JZ5" s="230">
        <f t="shared" si="36"/>
        <v>1.5126685551238408E-2</v>
      </c>
      <c r="KA5" s="230">
        <f t="shared" si="36"/>
        <v>1.5370474632143208E-2</v>
      </c>
      <c r="KB5" s="230">
        <f t="shared" si="36"/>
        <v>1.5279445655803279E-2</v>
      </c>
      <c r="KC5" s="230">
        <f t="shared" si="36"/>
        <v>1.5185124073605115E-2</v>
      </c>
      <c r="KD5" s="230">
        <f t="shared" si="36"/>
        <v>1.5088855191938663E-2</v>
      </c>
      <c r="KE5" s="230">
        <f t="shared" si="36"/>
        <v>1.5028008274321875E-2</v>
      </c>
      <c r="KF5" s="230">
        <f t="shared" si="36"/>
        <v>1.5409146232271782E-2</v>
      </c>
      <c r="KG5" s="230">
        <f t="shared" si="36"/>
        <v>1.5332372131366376E-2</v>
      </c>
      <c r="KH5" s="230">
        <f t="shared" si="36"/>
        <v>1.5737199865589441E-2</v>
      </c>
      <c r="KI5" s="230">
        <f t="shared" si="36"/>
        <v>1.5650427386363391E-2</v>
      </c>
      <c r="KJ5" s="230">
        <f t="shared" si="36"/>
        <v>1.5571684685340438E-2</v>
      </c>
      <c r="KK5" s="230">
        <f t="shared" si="36"/>
        <v>1.5530436158886385E-2</v>
      </c>
      <c r="KL5" s="230">
        <f t="shared" si="36"/>
        <v>1.5430009207076581E-2</v>
      </c>
      <c r="KM5" s="230">
        <f t="shared" si="36"/>
        <v>1.5907208191962285E-2</v>
      </c>
      <c r="KN5" s="230">
        <f t="shared" si="36"/>
        <v>1.5791434776986212E-2</v>
      </c>
      <c r="KO5" s="230">
        <f t="shared" si="36"/>
        <v>1.641656423084676E-2</v>
      </c>
      <c r="KP5" s="230">
        <f t="shared" si="36"/>
        <v>1.62996910952075E-2</v>
      </c>
      <c r="KQ5" s="230">
        <f t="shared" si="36"/>
        <v>1.6202523890221393E-2</v>
      </c>
      <c r="KR5" s="230">
        <f t="shared" si="36"/>
        <v>1.6074905653217123E-2</v>
      </c>
      <c r="KS5" s="230">
        <f t="shared" si="36"/>
        <v>1.5942804968445183E-2</v>
      </c>
      <c r="KT5" s="230">
        <f t="shared" si="36"/>
        <v>1.6652508252657672E-2</v>
      </c>
      <c r="KU5" s="230">
        <f t="shared" si="36"/>
        <v>1.6496617286451333E-2</v>
      </c>
      <c r="KV5" s="230">
        <f t="shared" si="36"/>
        <v>-3.2556287790943409E-6</v>
      </c>
      <c r="KW5" s="230">
        <f t="shared" si="36"/>
        <v>1.7633129848966617E-2</v>
      </c>
      <c r="KX5" s="230">
        <f t="shared" si="36"/>
        <v>1.747538836967065E-2</v>
      </c>
      <c r="KY5" s="230">
        <f t="shared" si="36"/>
        <v>1.731588604800853E-2</v>
      </c>
      <c r="KZ5" s="230">
        <f t="shared" si="36"/>
        <v>1.7208349343850095E-2</v>
      </c>
      <c r="LA5" s="230">
        <f t="shared" si="36"/>
        <v>1.7097891960820646E-2</v>
      </c>
      <c r="LB5" s="230">
        <f t="shared" si="36"/>
        <v>1.6959150901443541E-2</v>
      </c>
      <c r="LC5" s="230">
        <f t="shared" si="36"/>
        <v>1.691860053386857E-2</v>
      </c>
      <c r="LD5" s="230">
        <f t="shared" si="36"/>
        <v>1.6805675660950117E-2</v>
      </c>
      <c r="LE5" s="230">
        <f t="shared" si="36"/>
        <v>1.6691824524803438E-2</v>
      </c>
      <c r="LF5" s="230">
        <f t="shared" si="36"/>
        <v>1.6573170234335698E-2</v>
      </c>
      <c r="LG5" s="230">
        <f t="shared" si="36"/>
        <v>1.6425107257014973E-2</v>
      </c>
      <c r="LH5" s="230">
        <f t="shared" si="36"/>
        <v>1.6303979424376391E-2</v>
      </c>
      <c r="LI5" s="230">
        <f t="shared" si="36"/>
        <v>1.6182792010256106E-2</v>
      </c>
      <c r="LJ5" s="230">
        <f t="shared" si="36"/>
        <v>1.6089026607628589E-2</v>
      </c>
      <c r="LK5" s="230">
        <f t="shared" si="36"/>
        <v>1.6059545617812851E-2</v>
      </c>
      <c r="LL5" s="230">
        <f t="shared" ref="LL5:NW5" si="37">LL4/LL2</f>
        <v>1.5960403640959752E-2</v>
      </c>
      <c r="LM5" s="230">
        <f t="shared" si="37"/>
        <v>1.585720499699737E-2</v>
      </c>
      <c r="LN5" s="230">
        <f t="shared" si="37"/>
        <v>1.5755006623300944E-2</v>
      </c>
      <c r="LO5" s="230">
        <f t="shared" si="37"/>
        <v>1.5651616068297396E-2</v>
      </c>
      <c r="LP5" s="230">
        <f t="shared" si="37"/>
        <v>1.5611833358779165E-2</v>
      </c>
      <c r="LQ5" s="230">
        <f t="shared" si="37"/>
        <v>1.5504806294441837E-2</v>
      </c>
      <c r="LR5" s="230">
        <f t="shared" si="37"/>
        <v>1.5390796429335668E-2</v>
      </c>
      <c r="LS5" s="230">
        <f t="shared" si="37"/>
        <v>1.5279241332773974E-2</v>
      </c>
      <c r="LT5" s="230">
        <f t="shared" si="37"/>
        <v>1.5195783841155481E-2</v>
      </c>
      <c r="LU5" s="230">
        <f t="shared" si="37"/>
        <v>1.5116099171572151E-2</v>
      </c>
      <c r="LV5" s="230">
        <f t="shared" si="37"/>
        <v>1.5035619661123755E-2</v>
      </c>
      <c r="LW5" s="230">
        <f t="shared" si="37"/>
        <v>1.5016500125693059E-2</v>
      </c>
      <c r="LX5" s="230">
        <f t="shared" si="37"/>
        <v>1.5213705307527928E-2</v>
      </c>
      <c r="LY5" s="230">
        <f t="shared" si="37"/>
        <v>1.5126685551238408E-2</v>
      </c>
      <c r="LZ5" s="230">
        <f t="shared" si="37"/>
        <v>1.5370474632143208E-2</v>
      </c>
      <c r="MA5" s="230">
        <f t="shared" si="37"/>
        <v>1.5279445655803279E-2</v>
      </c>
      <c r="MB5" s="230">
        <f t="shared" si="37"/>
        <v>1.5185124073605115E-2</v>
      </c>
      <c r="MC5" s="230">
        <f t="shared" si="37"/>
        <v>1.5088855191938663E-2</v>
      </c>
      <c r="MD5" s="230">
        <f t="shared" si="37"/>
        <v>1.5028008274321875E-2</v>
      </c>
      <c r="ME5" s="230">
        <f t="shared" si="37"/>
        <v>1.5409146232271782E-2</v>
      </c>
      <c r="MF5" s="230">
        <f t="shared" si="37"/>
        <v>1.5332372131366376E-2</v>
      </c>
      <c r="MG5" s="230">
        <f t="shared" si="37"/>
        <v>1.5737199865589441E-2</v>
      </c>
      <c r="MH5" s="230">
        <f t="shared" si="37"/>
        <v>1.5650427386363391E-2</v>
      </c>
      <c r="MI5" s="230">
        <f t="shared" si="37"/>
        <v>1.5571684685340438E-2</v>
      </c>
      <c r="MJ5" s="230">
        <f t="shared" si="37"/>
        <v>1.5530436158886385E-2</v>
      </c>
      <c r="MK5" s="230">
        <f t="shared" si="37"/>
        <v>1.5430009207076581E-2</v>
      </c>
      <c r="ML5" s="230">
        <f t="shared" si="37"/>
        <v>1.5907208191962285E-2</v>
      </c>
      <c r="MM5" s="230">
        <f t="shared" si="37"/>
        <v>1.5791434776986212E-2</v>
      </c>
      <c r="MN5" s="230">
        <f t="shared" si="37"/>
        <v>1.641656423084676E-2</v>
      </c>
      <c r="MO5" s="230">
        <f t="shared" si="37"/>
        <v>1.62996910952075E-2</v>
      </c>
      <c r="MP5" s="230">
        <f t="shared" si="37"/>
        <v>1.6202523890221393E-2</v>
      </c>
      <c r="MQ5" s="230">
        <f t="shared" si="37"/>
        <v>1.6074905653217123E-2</v>
      </c>
      <c r="MR5" s="230">
        <f t="shared" si="37"/>
        <v>1.5942804968445183E-2</v>
      </c>
      <c r="MS5" s="230">
        <f t="shared" si="37"/>
        <v>1.6652508252657672E-2</v>
      </c>
      <c r="MT5" s="230">
        <f t="shared" si="37"/>
        <v>1.6496617286451333E-2</v>
      </c>
      <c r="MU5" s="230">
        <f t="shared" si="37"/>
        <v>-3.2556287790943409E-6</v>
      </c>
      <c r="MV5" s="230">
        <f t="shared" si="37"/>
        <v>1.7633129848966617E-2</v>
      </c>
      <c r="MW5" s="230">
        <f t="shared" si="37"/>
        <v>1.747538836967065E-2</v>
      </c>
      <c r="MX5" s="230">
        <f t="shared" si="37"/>
        <v>1.731588604800853E-2</v>
      </c>
      <c r="MY5" s="230">
        <f t="shared" si="37"/>
        <v>1.7208349343850095E-2</v>
      </c>
      <c r="MZ5" s="230">
        <f t="shared" si="37"/>
        <v>1.7097891960820646E-2</v>
      </c>
      <c r="NA5" s="230">
        <f t="shared" si="37"/>
        <v>1.6959150901443541E-2</v>
      </c>
      <c r="NB5" s="230">
        <f t="shared" si="37"/>
        <v>1.691860053386857E-2</v>
      </c>
      <c r="NC5" s="230">
        <f t="shared" si="37"/>
        <v>1.6805675660950117E-2</v>
      </c>
      <c r="ND5" s="230">
        <f t="shared" si="37"/>
        <v>1.6691824524803438E-2</v>
      </c>
      <c r="NE5" s="230">
        <f t="shared" si="37"/>
        <v>1.6573170234335698E-2</v>
      </c>
      <c r="NF5" s="230">
        <f t="shared" si="37"/>
        <v>1.6425107257014973E-2</v>
      </c>
      <c r="NG5" s="230">
        <f t="shared" si="37"/>
        <v>1.6303979424376391E-2</v>
      </c>
      <c r="NH5" s="230">
        <f t="shared" si="37"/>
        <v>1.6182792010256106E-2</v>
      </c>
      <c r="NI5" s="230">
        <f t="shared" si="37"/>
        <v>1.6089026607628589E-2</v>
      </c>
      <c r="NJ5" s="230">
        <f t="shared" si="37"/>
        <v>1.6059545617812851E-2</v>
      </c>
      <c r="NK5" s="230">
        <f t="shared" si="37"/>
        <v>1.5960403640959752E-2</v>
      </c>
      <c r="NL5" s="230">
        <f t="shared" si="37"/>
        <v>1.585720499699737E-2</v>
      </c>
      <c r="NM5" s="230">
        <f t="shared" si="37"/>
        <v>1.5755006623300944E-2</v>
      </c>
      <c r="NN5" s="230">
        <f t="shared" si="37"/>
        <v>1.5651616068297396E-2</v>
      </c>
      <c r="NO5" s="230">
        <f t="shared" si="37"/>
        <v>1.5611833358779165E-2</v>
      </c>
      <c r="NP5" s="230">
        <f t="shared" si="37"/>
        <v>1.5504806294441837E-2</v>
      </c>
      <c r="NQ5" s="230">
        <f t="shared" si="37"/>
        <v>1.5390796429335668E-2</v>
      </c>
      <c r="NR5" s="230">
        <f t="shared" si="37"/>
        <v>1.5279241332773974E-2</v>
      </c>
      <c r="NS5" s="230">
        <f t="shared" si="37"/>
        <v>1.5195783841155481E-2</v>
      </c>
      <c r="NT5" s="230">
        <f t="shared" si="37"/>
        <v>1.5116099171572151E-2</v>
      </c>
      <c r="NU5" s="230">
        <f t="shared" si="37"/>
        <v>1.5035619661123755E-2</v>
      </c>
      <c r="NV5" s="230">
        <f t="shared" si="37"/>
        <v>1.5016500125693059E-2</v>
      </c>
      <c r="NW5" s="230">
        <f t="shared" si="37"/>
        <v>1.5213705307527928E-2</v>
      </c>
      <c r="NX5" s="230">
        <f t="shared" ref="NX5:QI5" si="38">NX4/NX2</f>
        <v>1.5126685551238408E-2</v>
      </c>
      <c r="NY5" s="230">
        <f t="shared" si="38"/>
        <v>1.5370474632143208E-2</v>
      </c>
      <c r="NZ5" s="230">
        <f t="shared" si="38"/>
        <v>1.5279445655803279E-2</v>
      </c>
      <c r="OA5" s="230">
        <f t="shared" si="38"/>
        <v>1.5185124073605115E-2</v>
      </c>
      <c r="OB5" s="230">
        <f t="shared" si="38"/>
        <v>1.5088855191938663E-2</v>
      </c>
      <c r="OC5" s="230">
        <f t="shared" si="38"/>
        <v>1.5028008274321875E-2</v>
      </c>
      <c r="OD5" s="230">
        <f t="shared" si="38"/>
        <v>1.5409146232271782E-2</v>
      </c>
      <c r="OE5" s="230">
        <f t="shared" si="38"/>
        <v>1.5332372131366376E-2</v>
      </c>
      <c r="OF5" s="230">
        <f t="shared" si="38"/>
        <v>1.5737199865589441E-2</v>
      </c>
      <c r="OG5" s="230">
        <f t="shared" si="38"/>
        <v>1.5650427386363391E-2</v>
      </c>
      <c r="OH5" s="230">
        <f t="shared" si="38"/>
        <v>1.5571684685340438E-2</v>
      </c>
      <c r="OI5" s="230">
        <f t="shared" si="38"/>
        <v>1.5530436158886385E-2</v>
      </c>
      <c r="OJ5" s="230">
        <f t="shared" si="38"/>
        <v>1.5430009207076581E-2</v>
      </c>
      <c r="OK5" s="230">
        <f t="shared" si="38"/>
        <v>1.5907208191962285E-2</v>
      </c>
      <c r="OL5" s="230">
        <f t="shared" si="38"/>
        <v>1.5791434776986212E-2</v>
      </c>
      <c r="OM5" s="230">
        <f t="shared" si="38"/>
        <v>1.641656423084676E-2</v>
      </c>
      <c r="ON5" s="230">
        <f t="shared" si="38"/>
        <v>1.62996910952075E-2</v>
      </c>
      <c r="OO5" s="230">
        <f t="shared" si="38"/>
        <v>1.6202523890221393E-2</v>
      </c>
      <c r="OP5" s="230">
        <f t="shared" si="38"/>
        <v>1.6074905653217123E-2</v>
      </c>
      <c r="OQ5" s="230">
        <f t="shared" si="38"/>
        <v>1.5942804968445183E-2</v>
      </c>
      <c r="OR5" s="230">
        <f t="shared" si="38"/>
        <v>1.6652508252657672E-2</v>
      </c>
      <c r="OS5" s="230">
        <f t="shared" si="38"/>
        <v>1.6496617286451333E-2</v>
      </c>
      <c r="OT5" s="230">
        <f t="shared" si="38"/>
        <v>-3.2556287790943409E-6</v>
      </c>
      <c r="OU5" s="230">
        <f t="shared" si="38"/>
        <v>1.7633129848966617E-2</v>
      </c>
      <c r="OV5" s="230">
        <f t="shared" si="38"/>
        <v>1.747538836967065E-2</v>
      </c>
      <c r="OW5" s="230">
        <f t="shared" si="38"/>
        <v>1.731588604800853E-2</v>
      </c>
      <c r="OX5" s="230">
        <f t="shared" si="38"/>
        <v>1.7208349343850095E-2</v>
      </c>
      <c r="OY5" s="230">
        <f t="shared" si="38"/>
        <v>1.7097891960820646E-2</v>
      </c>
      <c r="OZ5" s="230">
        <f t="shared" si="38"/>
        <v>1.6959150901443541E-2</v>
      </c>
      <c r="PA5" s="230">
        <f t="shared" si="38"/>
        <v>1.691860053386857E-2</v>
      </c>
      <c r="PB5" s="230">
        <f t="shared" si="38"/>
        <v>1.6805675660950117E-2</v>
      </c>
      <c r="PC5" s="230">
        <f t="shared" si="38"/>
        <v>1.6691824524803438E-2</v>
      </c>
      <c r="PD5" s="230">
        <f t="shared" si="38"/>
        <v>1.6573170234335698E-2</v>
      </c>
      <c r="PE5" s="230">
        <f t="shared" si="38"/>
        <v>1.6425107257014973E-2</v>
      </c>
      <c r="PF5" s="230">
        <f t="shared" si="38"/>
        <v>1.6303979424376391E-2</v>
      </c>
      <c r="PG5" s="230">
        <f t="shared" si="38"/>
        <v>1.6182792010256106E-2</v>
      </c>
      <c r="PH5" s="230">
        <f t="shared" si="38"/>
        <v>1.6089026607628589E-2</v>
      </c>
      <c r="PI5" s="230">
        <f t="shared" si="38"/>
        <v>1.6059545617812851E-2</v>
      </c>
      <c r="PJ5" s="230">
        <f t="shared" si="38"/>
        <v>1.5960403640959752E-2</v>
      </c>
      <c r="PK5" s="230">
        <f t="shared" si="38"/>
        <v>1.585720499699737E-2</v>
      </c>
      <c r="PL5" s="230">
        <f t="shared" si="38"/>
        <v>1.5755006623300944E-2</v>
      </c>
      <c r="PM5" s="230">
        <f t="shared" si="38"/>
        <v>1.5651616068297396E-2</v>
      </c>
      <c r="PN5" s="230">
        <f t="shared" si="38"/>
        <v>1.5611833358779165E-2</v>
      </c>
      <c r="PO5" s="230">
        <f t="shared" si="38"/>
        <v>1.5504806294441837E-2</v>
      </c>
      <c r="PP5" s="230">
        <f t="shared" si="38"/>
        <v>1.5390796429335668E-2</v>
      </c>
      <c r="PQ5" s="230">
        <f t="shared" si="38"/>
        <v>1.5279241332773974E-2</v>
      </c>
      <c r="PR5" s="230">
        <f t="shared" si="38"/>
        <v>1.5195783841155481E-2</v>
      </c>
      <c r="PS5" s="230">
        <f t="shared" si="38"/>
        <v>1.5116099171572151E-2</v>
      </c>
      <c r="PT5" s="230">
        <f t="shared" si="38"/>
        <v>1.5035619661123755E-2</v>
      </c>
      <c r="PU5" s="230">
        <f t="shared" si="38"/>
        <v>1.5016500125693059E-2</v>
      </c>
      <c r="PV5" s="230">
        <f t="shared" si="38"/>
        <v>1.5213705307527928E-2</v>
      </c>
      <c r="PW5" s="230">
        <f t="shared" si="38"/>
        <v>1.5126685551238408E-2</v>
      </c>
      <c r="PX5" s="230">
        <f t="shared" si="38"/>
        <v>1.5370474632143208E-2</v>
      </c>
      <c r="PY5" s="230">
        <f t="shared" si="38"/>
        <v>1.5279445655803279E-2</v>
      </c>
      <c r="PZ5" s="230">
        <f t="shared" si="38"/>
        <v>1.5185124073605115E-2</v>
      </c>
      <c r="QA5" s="230">
        <f t="shared" si="38"/>
        <v>1.5088855191938663E-2</v>
      </c>
      <c r="QB5" s="230">
        <f t="shared" si="38"/>
        <v>1.5028008274321875E-2</v>
      </c>
      <c r="QC5" s="230">
        <f t="shared" si="38"/>
        <v>1.5409146232271782E-2</v>
      </c>
      <c r="QD5" s="230">
        <f t="shared" si="38"/>
        <v>1.5332372131366376E-2</v>
      </c>
      <c r="QE5" s="230">
        <f t="shared" si="38"/>
        <v>1.5737199865589441E-2</v>
      </c>
      <c r="QF5" s="230">
        <f t="shared" si="38"/>
        <v>1.5650427386363391E-2</v>
      </c>
      <c r="QG5" s="230">
        <f t="shared" si="38"/>
        <v>1.5571684685340438E-2</v>
      </c>
      <c r="QH5" s="230">
        <f t="shared" si="38"/>
        <v>1.5530436158886385E-2</v>
      </c>
      <c r="QI5" s="230">
        <f t="shared" si="38"/>
        <v>1.5430009207076581E-2</v>
      </c>
      <c r="QJ5" s="230">
        <f t="shared" ref="QJ5:SU5" si="39">QJ4/QJ2</f>
        <v>1.5907208191962285E-2</v>
      </c>
      <c r="QK5" s="230">
        <f t="shared" si="39"/>
        <v>1.5791434776986212E-2</v>
      </c>
      <c r="QL5" s="230">
        <f t="shared" si="39"/>
        <v>1.641656423084676E-2</v>
      </c>
      <c r="QM5" s="230">
        <f t="shared" si="39"/>
        <v>1.62996910952075E-2</v>
      </c>
      <c r="QN5" s="230">
        <f t="shared" si="39"/>
        <v>1.6202523890221393E-2</v>
      </c>
      <c r="QO5" s="230">
        <f t="shared" si="39"/>
        <v>1.6074905653217123E-2</v>
      </c>
      <c r="QP5" s="230">
        <f t="shared" si="39"/>
        <v>1.5942804968445183E-2</v>
      </c>
      <c r="QQ5" s="230">
        <f t="shared" si="39"/>
        <v>1.6652508252657672E-2</v>
      </c>
      <c r="QR5" s="230">
        <f t="shared" si="39"/>
        <v>1.6496617286451333E-2</v>
      </c>
      <c r="QS5" s="230">
        <f t="shared" si="39"/>
        <v>-3.2556287790943409E-6</v>
      </c>
      <c r="QT5" s="230">
        <f t="shared" si="39"/>
        <v>1.7633129848966617E-2</v>
      </c>
      <c r="QU5" s="230">
        <f t="shared" si="39"/>
        <v>1.747538836967065E-2</v>
      </c>
      <c r="QV5" s="230">
        <f t="shared" si="39"/>
        <v>1.731588604800853E-2</v>
      </c>
      <c r="QW5" s="230">
        <f t="shared" si="39"/>
        <v>1.7208349343850095E-2</v>
      </c>
      <c r="QX5" s="230">
        <f t="shared" si="39"/>
        <v>1.7097891960820646E-2</v>
      </c>
      <c r="QY5" s="230">
        <f t="shared" si="39"/>
        <v>1.6959150901443541E-2</v>
      </c>
      <c r="QZ5" s="230">
        <f t="shared" si="39"/>
        <v>1.691860053386857E-2</v>
      </c>
      <c r="RA5" s="230">
        <f t="shared" si="39"/>
        <v>1.6805675660950117E-2</v>
      </c>
      <c r="RB5" s="230">
        <f t="shared" si="39"/>
        <v>1.6691824524803438E-2</v>
      </c>
      <c r="RC5" s="230">
        <f t="shared" si="39"/>
        <v>1.6573170234335698E-2</v>
      </c>
      <c r="RD5" s="230">
        <f t="shared" si="39"/>
        <v>1.6425107257014973E-2</v>
      </c>
      <c r="RE5" s="230">
        <f t="shared" si="39"/>
        <v>1.6303979424376391E-2</v>
      </c>
      <c r="RF5" s="230">
        <f t="shared" si="39"/>
        <v>1.6182792010256106E-2</v>
      </c>
      <c r="RG5" s="230">
        <f t="shared" si="39"/>
        <v>1.6089026607628589E-2</v>
      </c>
      <c r="RH5" s="230">
        <f t="shared" si="39"/>
        <v>1.6059545617812851E-2</v>
      </c>
      <c r="RI5" s="230">
        <f t="shared" si="39"/>
        <v>1.5960403640959752E-2</v>
      </c>
      <c r="RJ5" s="230">
        <f t="shared" si="39"/>
        <v>1.585720499699737E-2</v>
      </c>
      <c r="RK5" s="230">
        <f t="shared" si="39"/>
        <v>1.5755006623300944E-2</v>
      </c>
      <c r="RL5" s="230">
        <f t="shared" si="39"/>
        <v>1.5651616068297396E-2</v>
      </c>
      <c r="RM5" s="230">
        <f t="shared" si="39"/>
        <v>1.5611833358779165E-2</v>
      </c>
      <c r="RN5" s="230">
        <f t="shared" si="39"/>
        <v>1.5504806294441837E-2</v>
      </c>
      <c r="RO5" s="230">
        <f t="shared" si="39"/>
        <v>1.5390796429335668E-2</v>
      </c>
      <c r="RP5" s="230">
        <f t="shared" si="39"/>
        <v>1.5279241332773974E-2</v>
      </c>
      <c r="RQ5" s="230">
        <f t="shared" si="39"/>
        <v>1.5195783841155481E-2</v>
      </c>
      <c r="RR5" s="230">
        <f t="shared" si="39"/>
        <v>1.5116099171572151E-2</v>
      </c>
      <c r="RS5" s="230">
        <f t="shared" si="39"/>
        <v>1.5035619661123755E-2</v>
      </c>
      <c r="RT5" s="230">
        <f t="shared" si="39"/>
        <v>1.5016500125693059E-2</v>
      </c>
      <c r="RU5" s="230">
        <f t="shared" si="39"/>
        <v>1.5213705307527928E-2</v>
      </c>
      <c r="RV5" s="230">
        <f t="shared" si="39"/>
        <v>1.5126685551238408E-2</v>
      </c>
      <c r="RW5" s="230">
        <f t="shared" si="39"/>
        <v>1.5370474632143208E-2</v>
      </c>
      <c r="RX5" s="230">
        <f t="shared" si="39"/>
        <v>1.5279445655803279E-2</v>
      </c>
      <c r="RY5" s="230">
        <f t="shared" si="39"/>
        <v>1.5185124073605115E-2</v>
      </c>
      <c r="RZ5" s="230">
        <f t="shared" si="39"/>
        <v>1.5088855191938663E-2</v>
      </c>
      <c r="SA5" s="230">
        <f t="shared" si="39"/>
        <v>1.5028008274321875E-2</v>
      </c>
      <c r="SB5" s="230">
        <f t="shared" si="39"/>
        <v>1.5409146232271782E-2</v>
      </c>
      <c r="SC5" s="230">
        <f t="shared" si="39"/>
        <v>1.5332372131366376E-2</v>
      </c>
      <c r="SD5" s="230">
        <f t="shared" si="39"/>
        <v>1.5737199865589441E-2</v>
      </c>
      <c r="SE5" s="230">
        <f t="shared" si="39"/>
        <v>1.5650427386363391E-2</v>
      </c>
      <c r="SF5" s="230">
        <f t="shared" si="39"/>
        <v>1.5571684685340438E-2</v>
      </c>
      <c r="SG5" s="230">
        <f t="shared" si="39"/>
        <v>1.5530436158886385E-2</v>
      </c>
      <c r="SH5" s="230">
        <f t="shared" si="39"/>
        <v>1.5430009207076581E-2</v>
      </c>
      <c r="SI5" s="230">
        <f t="shared" si="39"/>
        <v>1.5907208191962285E-2</v>
      </c>
      <c r="SJ5" s="230">
        <f t="shared" si="39"/>
        <v>1.5791434776986212E-2</v>
      </c>
      <c r="SK5" s="230">
        <f t="shared" si="39"/>
        <v>1.641656423084676E-2</v>
      </c>
      <c r="SL5" s="230">
        <f t="shared" si="39"/>
        <v>1.62996910952075E-2</v>
      </c>
      <c r="SM5" s="230">
        <f t="shared" si="39"/>
        <v>1.6202523890221393E-2</v>
      </c>
      <c r="SN5" s="230">
        <f t="shared" si="39"/>
        <v>1.6074905653217123E-2</v>
      </c>
      <c r="SO5" s="230">
        <f t="shared" si="39"/>
        <v>1.5942804968445183E-2</v>
      </c>
      <c r="SP5" s="230">
        <f t="shared" si="39"/>
        <v>1.6652508252657672E-2</v>
      </c>
      <c r="SQ5" s="230">
        <f t="shared" si="39"/>
        <v>1.6496617286451333E-2</v>
      </c>
      <c r="SR5" s="230">
        <f t="shared" si="39"/>
        <v>-3.2556287790943409E-6</v>
      </c>
      <c r="SS5" s="230">
        <f t="shared" si="39"/>
        <v>1.7633129848966617E-2</v>
      </c>
      <c r="ST5" s="230">
        <f t="shared" si="39"/>
        <v>1.747538836967065E-2</v>
      </c>
      <c r="SU5" s="230">
        <f t="shared" si="39"/>
        <v>1.731588604800853E-2</v>
      </c>
      <c r="SV5" s="230">
        <f t="shared" ref="SV5:VG5" si="40">SV4/SV2</f>
        <v>1.7208349343850095E-2</v>
      </c>
      <c r="SW5" s="230">
        <f t="shared" si="40"/>
        <v>1.7097891960820646E-2</v>
      </c>
      <c r="SX5" s="230">
        <f t="shared" si="40"/>
        <v>1.6959150901443541E-2</v>
      </c>
      <c r="SY5" s="230">
        <f t="shared" si="40"/>
        <v>1.691860053386857E-2</v>
      </c>
      <c r="SZ5" s="230">
        <f t="shared" si="40"/>
        <v>1.6805675660950117E-2</v>
      </c>
      <c r="TA5" s="230">
        <f t="shared" si="40"/>
        <v>1.6691824524803438E-2</v>
      </c>
      <c r="TB5" s="230">
        <f t="shared" si="40"/>
        <v>1.6573170234335698E-2</v>
      </c>
      <c r="TC5" s="230">
        <f t="shared" si="40"/>
        <v>1.6425107257014973E-2</v>
      </c>
      <c r="TD5" s="230">
        <f t="shared" si="40"/>
        <v>1.6303979424376391E-2</v>
      </c>
      <c r="TE5" s="230">
        <f t="shared" si="40"/>
        <v>1.6182792010256106E-2</v>
      </c>
      <c r="TF5" s="230">
        <f t="shared" si="40"/>
        <v>1.6089026607628589E-2</v>
      </c>
      <c r="TG5" s="230">
        <f t="shared" si="40"/>
        <v>1.6059545617812851E-2</v>
      </c>
      <c r="TH5" s="230">
        <f t="shared" si="40"/>
        <v>1.5960403640959752E-2</v>
      </c>
      <c r="TI5" s="230">
        <f t="shared" si="40"/>
        <v>1.585720499699737E-2</v>
      </c>
      <c r="TJ5" s="230">
        <f t="shared" si="40"/>
        <v>1.5755006623300944E-2</v>
      </c>
      <c r="TK5" s="230">
        <f t="shared" si="40"/>
        <v>1.5651616068297396E-2</v>
      </c>
      <c r="TL5" s="230">
        <f t="shared" si="40"/>
        <v>1.5611833358779165E-2</v>
      </c>
      <c r="TM5" s="230">
        <f t="shared" si="40"/>
        <v>1.5504806294441837E-2</v>
      </c>
      <c r="TN5" s="230">
        <f t="shared" si="40"/>
        <v>1.5390796429335668E-2</v>
      </c>
      <c r="TO5" s="230">
        <f t="shared" si="40"/>
        <v>1.5279241332773974E-2</v>
      </c>
      <c r="TP5" s="230">
        <f t="shared" si="40"/>
        <v>1.5195783841155481E-2</v>
      </c>
      <c r="TQ5" s="230">
        <f t="shared" si="40"/>
        <v>1.5116099171572151E-2</v>
      </c>
      <c r="TR5" s="230">
        <f t="shared" si="40"/>
        <v>1.5035619661123755E-2</v>
      </c>
      <c r="TS5" s="230">
        <f t="shared" si="40"/>
        <v>1.5016500125693059E-2</v>
      </c>
      <c r="TT5" s="230">
        <f t="shared" si="40"/>
        <v>1.5213705307527928E-2</v>
      </c>
      <c r="TU5" s="230">
        <f t="shared" si="40"/>
        <v>1.5126685551238408E-2</v>
      </c>
      <c r="TV5" s="230">
        <f t="shared" si="40"/>
        <v>1.5370474632143208E-2</v>
      </c>
      <c r="TW5" s="230">
        <f t="shared" si="40"/>
        <v>1.5279445655803279E-2</v>
      </c>
      <c r="TX5" s="230">
        <f t="shared" si="40"/>
        <v>1.5185124073605115E-2</v>
      </c>
      <c r="TY5" s="230">
        <f t="shared" si="40"/>
        <v>1.5088855191938663E-2</v>
      </c>
      <c r="TZ5" s="230">
        <f t="shared" si="40"/>
        <v>1.5028008274321875E-2</v>
      </c>
      <c r="UA5" s="230">
        <f t="shared" si="40"/>
        <v>1.5409146232271782E-2</v>
      </c>
      <c r="UB5" s="230">
        <f t="shared" si="40"/>
        <v>1.5332372131366376E-2</v>
      </c>
      <c r="UC5" s="230">
        <f t="shared" si="40"/>
        <v>1.5737199865589441E-2</v>
      </c>
      <c r="UD5" s="230">
        <f t="shared" si="40"/>
        <v>1.5650427386363391E-2</v>
      </c>
      <c r="UE5" s="230">
        <f t="shared" si="40"/>
        <v>1.5571684685340438E-2</v>
      </c>
      <c r="UF5" s="230">
        <f t="shared" si="40"/>
        <v>1.5530436158886385E-2</v>
      </c>
      <c r="UG5" s="230">
        <f t="shared" si="40"/>
        <v>1.5430009207076581E-2</v>
      </c>
      <c r="UH5" s="230">
        <f t="shared" si="40"/>
        <v>1.5907208191962285E-2</v>
      </c>
      <c r="UI5" s="230">
        <f t="shared" si="40"/>
        <v>1.5791434776986212E-2</v>
      </c>
      <c r="UJ5" s="230">
        <f t="shared" si="40"/>
        <v>1.641656423084676E-2</v>
      </c>
      <c r="UK5" s="230">
        <f t="shared" si="40"/>
        <v>1.62996910952075E-2</v>
      </c>
      <c r="UL5" s="230">
        <f t="shared" si="40"/>
        <v>1.6202523890221393E-2</v>
      </c>
      <c r="UM5" s="230">
        <f t="shared" si="40"/>
        <v>1.6074905653217123E-2</v>
      </c>
      <c r="UN5" s="230">
        <f t="shared" si="40"/>
        <v>1.5942804968445183E-2</v>
      </c>
      <c r="UO5" s="230">
        <f t="shared" si="40"/>
        <v>1.6652508252657672E-2</v>
      </c>
      <c r="UP5" s="230">
        <f t="shared" si="40"/>
        <v>1.6496617286451333E-2</v>
      </c>
      <c r="UQ5" s="230">
        <f t="shared" si="40"/>
        <v>-3.2556287790943409E-6</v>
      </c>
      <c r="UR5" s="230">
        <f t="shared" si="40"/>
        <v>1.7633129848966617E-2</v>
      </c>
      <c r="US5" s="230">
        <f t="shared" si="40"/>
        <v>1.747538836967065E-2</v>
      </c>
      <c r="UT5" s="230">
        <f t="shared" si="40"/>
        <v>1.731588604800853E-2</v>
      </c>
      <c r="UU5" s="230">
        <f t="shared" si="40"/>
        <v>1.7208349343850095E-2</v>
      </c>
      <c r="UV5" s="230">
        <f t="shared" si="40"/>
        <v>1.7097891960820646E-2</v>
      </c>
      <c r="UW5" s="230">
        <f t="shared" si="40"/>
        <v>1.6959150901443541E-2</v>
      </c>
      <c r="UX5" s="230">
        <f t="shared" si="40"/>
        <v>1.691860053386857E-2</v>
      </c>
      <c r="UY5" s="230">
        <f t="shared" si="40"/>
        <v>1.6805675660950117E-2</v>
      </c>
      <c r="UZ5" s="230">
        <f t="shared" si="40"/>
        <v>1.6691824524803438E-2</v>
      </c>
      <c r="VA5" s="230">
        <f t="shared" si="40"/>
        <v>1.6573170234335698E-2</v>
      </c>
      <c r="VB5" s="230">
        <f t="shared" si="40"/>
        <v>1.6425107257014973E-2</v>
      </c>
      <c r="VC5" s="230">
        <f t="shared" si="40"/>
        <v>1.6303979424376391E-2</v>
      </c>
      <c r="VD5" s="230">
        <f t="shared" si="40"/>
        <v>1.6182792010256106E-2</v>
      </c>
      <c r="VE5" s="230">
        <f t="shared" si="40"/>
        <v>1.6089026607628589E-2</v>
      </c>
      <c r="VF5" s="230">
        <f t="shared" si="40"/>
        <v>1.6059545617812851E-2</v>
      </c>
      <c r="VG5" s="230">
        <f t="shared" si="40"/>
        <v>1.5960403640959752E-2</v>
      </c>
      <c r="VH5" s="230">
        <f t="shared" ref="VH5:XS5" si="41">VH4/VH2</f>
        <v>1.585720499699737E-2</v>
      </c>
      <c r="VI5" s="230">
        <f t="shared" si="41"/>
        <v>1.5755006623300944E-2</v>
      </c>
      <c r="VJ5" s="230">
        <f t="shared" si="41"/>
        <v>1.5651616068297396E-2</v>
      </c>
      <c r="VK5" s="230">
        <f t="shared" si="41"/>
        <v>1.5611833358779165E-2</v>
      </c>
      <c r="VL5" s="230">
        <f t="shared" si="41"/>
        <v>1.5504806294441837E-2</v>
      </c>
      <c r="VM5" s="230">
        <f t="shared" si="41"/>
        <v>1.5390796429335668E-2</v>
      </c>
      <c r="VN5" s="230">
        <f t="shared" si="41"/>
        <v>1.5279241332773974E-2</v>
      </c>
      <c r="VO5" s="230">
        <f t="shared" si="41"/>
        <v>1.5195783841155481E-2</v>
      </c>
      <c r="VP5" s="230">
        <f t="shared" si="41"/>
        <v>1.5116099171572151E-2</v>
      </c>
      <c r="VQ5" s="230">
        <f t="shared" si="41"/>
        <v>1.5035619661123755E-2</v>
      </c>
      <c r="VR5" s="230">
        <f t="shared" si="41"/>
        <v>1.5016500125693059E-2</v>
      </c>
      <c r="VS5" s="230">
        <f t="shared" si="41"/>
        <v>1.5213705307527928E-2</v>
      </c>
      <c r="VT5" s="230">
        <f t="shared" si="41"/>
        <v>1.5126685551238408E-2</v>
      </c>
      <c r="VU5" s="230">
        <f t="shared" si="41"/>
        <v>1.5370474632143208E-2</v>
      </c>
      <c r="VV5" s="230">
        <f t="shared" si="41"/>
        <v>1.5279445655803279E-2</v>
      </c>
      <c r="VW5" s="230">
        <f t="shared" si="41"/>
        <v>1.5185124073605115E-2</v>
      </c>
      <c r="VX5" s="230">
        <f t="shared" si="41"/>
        <v>1.5088855191938663E-2</v>
      </c>
      <c r="VY5" s="230">
        <f t="shared" si="41"/>
        <v>1.5028008274321875E-2</v>
      </c>
      <c r="VZ5" s="230">
        <f t="shared" si="41"/>
        <v>1.5409146232271782E-2</v>
      </c>
      <c r="WA5" s="230">
        <f t="shared" si="41"/>
        <v>1.5332372131366376E-2</v>
      </c>
      <c r="WB5" s="230">
        <f t="shared" si="41"/>
        <v>1.5737199865589441E-2</v>
      </c>
      <c r="WC5" s="230">
        <f t="shared" si="41"/>
        <v>1.5650427386363391E-2</v>
      </c>
      <c r="WD5" s="230">
        <f t="shared" si="41"/>
        <v>1.5571684685340438E-2</v>
      </c>
      <c r="WE5" s="230">
        <f t="shared" si="41"/>
        <v>1.5530436158886385E-2</v>
      </c>
      <c r="WF5" s="230">
        <f t="shared" si="41"/>
        <v>1.5430009207076581E-2</v>
      </c>
      <c r="WG5" s="230">
        <f t="shared" si="41"/>
        <v>1.5907208191962285E-2</v>
      </c>
      <c r="WH5" s="230">
        <f t="shared" si="41"/>
        <v>1.5791434776986212E-2</v>
      </c>
      <c r="WI5" s="230">
        <f t="shared" si="41"/>
        <v>1.641656423084676E-2</v>
      </c>
      <c r="WJ5" s="230">
        <f t="shared" si="41"/>
        <v>1.62996910952075E-2</v>
      </c>
      <c r="WK5" s="230">
        <f t="shared" si="41"/>
        <v>1.6202523890221393E-2</v>
      </c>
      <c r="WL5" s="230">
        <f t="shared" si="41"/>
        <v>1.6074905653217123E-2</v>
      </c>
      <c r="WM5" s="230">
        <f t="shared" si="41"/>
        <v>1.5942804968445183E-2</v>
      </c>
      <c r="WN5" s="230">
        <f t="shared" si="41"/>
        <v>1.6652508252657672E-2</v>
      </c>
      <c r="WO5" s="230">
        <f t="shared" si="41"/>
        <v>1.6496617286451333E-2</v>
      </c>
      <c r="WP5" s="230">
        <f t="shared" si="41"/>
        <v>-3.2556287790943409E-6</v>
      </c>
      <c r="WQ5" s="230">
        <f t="shared" si="41"/>
        <v>1.7633129848966617E-2</v>
      </c>
      <c r="WR5" s="230">
        <f t="shared" si="41"/>
        <v>1.747538836967065E-2</v>
      </c>
      <c r="WS5" s="230">
        <f t="shared" si="41"/>
        <v>1.731588604800853E-2</v>
      </c>
      <c r="WT5" s="230">
        <f t="shared" si="41"/>
        <v>1.7208349343850095E-2</v>
      </c>
      <c r="WU5" s="230">
        <f t="shared" si="41"/>
        <v>1.7097891960820646E-2</v>
      </c>
      <c r="WV5" s="230">
        <f t="shared" si="41"/>
        <v>1.6959150901443541E-2</v>
      </c>
      <c r="WW5" s="230">
        <f t="shared" si="41"/>
        <v>1.691860053386857E-2</v>
      </c>
      <c r="WX5" s="230">
        <f t="shared" si="41"/>
        <v>1.6805675660950117E-2</v>
      </c>
      <c r="WY5" s="230">
        <f t="shared" si="41"/>
        <v>1.6691824524803438E-2</v>
      </c>
      <c r="WZ5" s="230">
        <f t="shared" si="41"/>
        <v>1.6573170234335698E-2</v>
      </c>
      <c r="XA5" s="230">
        <f t="shared" si="41"/>
        <v>1.6425107257014973E-2</v>
      </c>
      <c r="XB5" s="230">
        <f t="shared" si="41"/>
        <v>1.6303979424376391E-2</v>
      </c>
      <c r="XC5" s="230">
        <f t="shared" si="41"/>
        <v>1.6182792010256106E-2</v>
      </c>
      <c r="XD5" s="230">
        <f t="shared" si="41"/>
        <v>1.6089026607628589E-2</v>
      </c>
      <c r="XE5" s="230">
        <f t="shared" si="41"/>
        <v>1.6059545617812851E-2</v>
      </c>
      <c r="XF5" s="230">
        <f t="shared" si="41"/>
        <v>1.5960403640959752E-2</v>
      </c>
      <c r="XG5" s="230">
        <f t="shared" si="41"/>
        <v>1.585720499699737E-2</v>
      </c>
      <c r="XH5" s="230">
        <f t="shared" si="41"/>
        <v>1.5755006623300944E-2</v>
      </c>
      <c r="XI5" s="230">
        <f t="shared" si="41"/>
        <v>1.5651616068297396E-2</v>
      </c>
      <c r="XJ5" s="230">
        <f t="shared" si="41"/>
        <v>1.5611833358779165E-2</v>
      </c>
      <c r="XK5" s="230">
        <f t="shared" si="41"/>
        <v>1.5504806294441837E-2</v>
      </c>
      <c r="XL5" s="230">
        <f t="shared" si="41"/>
        <v>1.5390796429335668E-2</v>
      </c>
      <c r="XM5" s="230">
        <f t="shared" si="41"/>
        <v>1.5279241332773974E-2</v>
      </c>
      <c r="XN5" s="230">
        <f t="shared" si="41"/>
        <v>1.5195783841155481E-2</v>
      </c>
      <c r="XO5" s="230">
        <f t="shared" si="41"/>
        <v>1.5116099171572151E-2</v>
      </c>
      <c r="XP5" s="230">
        <f t="shared" si="41"/>
        <v>1.5035619661123755E-2</v>
      </c>
      <c r="XQ5" s="230">
        <f t="shared" si="41"/>
        <v>1.5016500125693059E-2</v>
      </c>
      <c r="XR5" s="230">
        <f t="shared" si="41"/>
        <v>1.5213705307527928E-2</v>
      </c>
      <c r="XS5" s="230">
        <f t="shared" si="41"/>
        <v>1.5126685551238408E-2</v>
      </c>
      <c r="XT5" s="230">
        <f t="shared" ref="XT5:AAE5" si="42">XT4/XT2</f>
        <v>1.5370474632143208E-2</v>
      </c>
      <c r="XU5" s="230">
        <f t="shared" si="42"/>
        <v>1.5279445655803279E-2</v>
      </c>
      <c r="XV5" s="230">
        <f t="shared" si="42"/>
        <v>1.5185124073605115E-2</v>
      </c>
      <c r="XW5" s="230">
        <f t="shared" si="42"/>
        <v>1.5088855191938663E-2</v>
      </c>
      <c r="XX5" s="230">
        <f t="shared" si="42"/>
        <v>1.5028008274321875E-2</v>
      </c>
      <c r="XY5" s="230">
        <f t="shared" si="42"/>
        <v>1.5409146232271782E-2</v>
      </c>
      <c r="XZ5" s="230">
        <f t="shared" si="42"/>
        <v>1.5332372131366376E-2</v>
      </c>
      <c r="YA5" s="230">
        <f t="shared" si="42"/>
        <v>1.5737199865589441E-2</v>
      </c>
      <c r="YB5" s="230">
        <f t="shared" si="42"/>
        <v>1.5650427386363391E-2</v>
      </c>
      <c r="YC5" s="230">
        <f t="shared" si="42"/>
        <v>1.5571684685340438E-2</v>
      </c>
      <c r="YD5" s="230">
        <f t="shared" si="42"/>
        <v>1.5530436158886385E-2</v>
      </c>
      <c r="YE5" s="230">
        <f t="shared" si="42"/>
        <v>1.5430009207076581E-2</v>
      </c>
      <c r="YF5" s="230">
        <f t="shared" si="42"/>
        <v>1.5907208191962285E-2</v>
      </c>
      <c r="YG5" s="230">
        <f t="shared" si="42"/>
        <v>1.5791434776986212E-2</v>
      </c>
      <c r="YH5" s="230">
        <f t="shared" si="42"/>
        <v>1.641656423084676E-2</v>
      </c>
      <c r="YI5" s="230">
        <f t="shared" si="42"/>
        <v>1.62996910952075E-2</v>
      </c>
      <c r="YJ5" s="230">
        <f t="shared" si="42"/>
        <v>1.6202523890221393E-2</v>
      </c>
      <c r="YK5" s="230">
        <f t="shared" si="42"/>
        <v>1.6074905653217123E-2</v>
      </c>
      <c r="YL5" s="230">
        <f t="shared" si="42"/>
        <v>1.5942804968445183E-2</v>
      </c>
      <c r="YM5" s="230">
        <f t="shared" si="42"/>
        <v>1.6652508252657672E-2</v>
      </c>
      <c r="YN5" s="230">
        <f t="shared" si="42"/>
        <v>1.6496617286451333E-2</v>
      </c>
      <c r="YO5" s="230">
        <f t="shared" si="42"/>
        <v>-3.2556287790943409E-6</v>
      </c>
      <c r="YP5" s="230">
        <f t="shared" si="42"/>
        <v>1.7173817510561462E-2</v>
      </c>
      <c r="YQ5" s="230">
        <f t="shared" si="42"/>
        <v>1.6982149782380457E-2</v>
      </c>
      <c r="YR5" s="230">
        <f t="shared" si="42"/>
        <v>1.6784890492632813E-2</v>
      </c>
      <c r="YS5" s="230">
        <f t="shared" si="42"/>
        <v>1.6638440723153364E-2</v>
      </c>
      <c r="YT5" s="230">
        <f t="shared" si="42"/>
        <v>1.6489468626641177E-2</v>
      </c>
      <c r="YU5" s="230">
        <f t="shared" si="42"/>
        <v>1.6309308718966707E-2</v>
      </c>
      <c r="YV5" s="230">
        <f t="shared" si="42"/>
        <v>1.6225866700554429E-2</v>
      </c>
      <c r="YW5" s="230">
        <f t="shared" si="42"/>
        <v>1.6068078328224822E-2</v>
      </c>
      <c r="YX5" s="230">
        <f t="shared" si="42"/>
        <v>1.5907971849480597E-2</v>
      </c>
      <c r="YY5" s="230">
        <f t="shared" si="42"/>
        <v>1.5744924890992371E-2</v>
      </c>
      <c r="YZ5" s="230">
        <f t="shared" si="42"/>
        <v>1.5550043003247678E-2</v>
      </c>
      <c r="ZA5" s="230">
        <f t="shared" si="42"/>
        <v>1.5382204318411689E-2</v>
      </c>
      <c r="ZB5" s="230">
        <f t="shared" si="42"/>
        <v>1.5212578166770343E-2</v>
      </c>
      <c r="ZC5" s="230">
        <f t="shared" si="42"/>
        <v>1.5070785875868539E-2</v>
      </c>
      <c r="ZD5" s="230">
        <f t="shared" si="42"/>
        <v>1.4997085457352063E-2</v>
      </c>
      <c r="ZE5" s="230">
        <f t="shared" si="42"/>
        <v>1.4852349222749549E-2</v>
      </c>
      <c r="ZF5" s="230">
        <f t="shared" si="42"/>
        <v>1.4706386600025599E-2</v>
      </c>
      <c r="ZG5" s="230">
        <f t="shared" si="42"/>
        <v>1.4559219643717335E-2</v>
      </c>
      <c r="ZH5" s="230">
        <f t="shared" si="42"/>
        <v>1.4410449814779441E-2</v>
      </c>
      <c r="ZI5" s="230">
        <f t="shared" si="42"/>
        <v>1.4329064803737197E-2</v>
      </c>
      <c r="ZJ5" s="230">
        <f t="shared" si="42"/>
        <v>1.4177915131703384E-2</v>
      </c>
      <c r="ZK5" s="230">
        <f t="shared" si="42"/>
        <v>1.4025684598676376E-2</v>
      </c>
      <c r="ZL5" s="230">
        <f t="shared" si="42"/>
        <v>1.3872060078182376E-2</v>
      </c>
      <c r="ZM5" s="230">
        <f t="shared" si="42"/>
        <v>1.3749887305310675E-2</v>
      </c>
      <c r="ZN5" s="230">
        <f t="shared" si="42"/>
        <v>1.3627230520084778E-2</v>
      </c>
      <c r="ZO5" s="230">
        <f t="shared" si="42"/>
        <v>1.3504095119281852E-2</v>
      </c>
      <c r="ZP5" s="230">
        <f t="shared" si="42"/>
        <v>1.3447683894735947E-2</v>
      </c>
      <c r="ZQ5" s="230">
        <f t="shared" si="42"/>
        <v>1.3478483262536615E-2</v>
      </c>
      <c r="ZR5" s="230">
        <f t="shared" si="42"/>
        <v>1.3350894974242394E-2</v>
      </c>
      <c r="ZS5" s="230">
        <f t="shared" si="42"/>
        <v>1.3402700293643273E-2</v>
      </c>
      <c r="ZT5" s="230">
        <f t="shared" si="42"/>
        <v>1.3270879448861898E-2</v>
      </c>
      <c r="ZU5" s="230">
        <f t="shared" si="42"/>
        <v>1.3138587006576007E-2</v>
      </c>
      <c r="ZV5" s="230">
        <f t="shared" si="42"/>
        <v>1.3005830653467713E-2</v>
      </c>
      <c r="ZW5" s="230">
        <f t="shared" si="42"/>
        <v>1.2913479450241102E-2</v>
      </c>
      <c r="ZX5" s="230">
        <f t="shared" si="42"/>
        <v>1.3083261699598041E-2</v>
      </c>
      <c r="ZY5" s="230">
        <f t="shared" si="42"/>
        <v>1.2990556524317324E-2</v>
      </c>
      <c r="ZZ5" s="230">
        <f t="shared" si="42"/>
        <v>1.3151092965896357E-2</v>
      </c>
      <c r="AAA5" s="230">
        <f t="shared" si="42"/>
        <v>1.3058427661994602E-2</v>
      </c>
      <c r="AAB5" s="230">
        <f t="shared" si="42"/>
        <v>1.296575161002615E-2</v>
      </c>
      <c r="AAC5" s="230">
        <f t="shared" si="42"/>
        <v>1.2921476302077522E-2</v>
      </c>
      <c r="AAD5" s="230">
        <f t="shared" si="42"/>
        <v>1.2828263357402616E-2</v>
      </c>
      <c r="AAE5" s="230">
        <f t="shared" si="42"/>
        <v>1.3050862483323586E-2</v>
      </c>
      <c r="AAF5" s="230">
        <f t="shared" ref="AAF5:ACQ5" si="43">AAF4/AAF2</f>
        <v>1.2957422644065075E-2</v>
      </c>
      <c r="AAG5" s="230">
        <f t="shared" si="43"/>
        <v>1.3310411843319485E-2</v>
      </c>
      <c r="AAH5" s="230">
        <f t="shared" si="43"/>
        <v>1.3216133379781402E-2</v>
      </c>
      <c r="AAI5" s="230">
        <f t="shared" si="43"/>
        <v>1.3153156354860656E-2</v>
      </c>
      <c r="AAJ5" s="230">
        <f t="shared" si="43"/>
        <v>1.3058608345740528E-2</v>
      </c>
      <c r="AAK5" s="230">
        <f t="shared" si="43"/>
        <v>1.2964040712699604E-2</v>
      </c>
      <c r="AAL5" s="230">
        <f t="shared" si="43"/>
        <v>1.3425629030835334E-2</v>
      </c>
      <c r="AAM5" s="230">
        <f t="shared" si="43"/>
        <v>1.3329145173779344E-2</v>
      </c>
      <c r="AAN5" s="230">
        <f t="shared" si="43"/>
        <v>-4.4369821773790617E-6</v>
      </c>
      <c r="AAO5" s="230">
        <f t="shared" si="43"/>
        <v>1.3899999999999999E-2</v>
      </c>
      <c r="AAP5" s="230">
        <f t="shared" si="43"/>
        <v>1.38E-2</v>
      </c>
      <c r="AAQ5" s="230">
        <f t="shared" si="43"/>
        <v>1.37E-2</v>
      </c>
      <c r="AAR5" s="230">
        <f t="shared" si="43"/>
        <v>1.3600000000000003E-2</v>
      </c>
      <c r="AAS5" s="230">
        <f t="shared" si="43"/>
        <v>1.3500000000000002E-2</v>
      </c>
      <c r="AAT5" s="230">
        <f t="shared" si="43"/>
        <v>1.34E-2</v>
      </c>
      <c r="AAU5" s="230">
        <f t="shared" si="43"/>
        <v>1.34E-2</v>
      </c>
      <c r="AAV5" s="230">
        <f t="shared" si="43"/>
        <v>1.3300000000000003E-2</v>
      </c>
      <c r="AAW5" s="230">
        <f t="shared" si="43"/>
        <v>1.3199999999999998E-2</v>
      </c>
      <c r="AAX5" s="230">
        <f t="shared" si="43"/>
        <v>1.3099999999999999E-2</v>
      </c>
      <c r="AAY5" s="230">
        <f t="shared" si="43"/>
        <v>1.3000000000000001E-2</v>
      </c>
      <c r="AAZ5" s="230">
        <f t="shared" si="43"/>
        <v>1.29E-2</v>
      </c>
      <c r="ABA5" s="230">
        <f t="shared" si="43"/>
        <v>1.2800000000000002E-2</v>
      </c>
      <c r="ABB5" s="230">
        <f t="shared" si="43"/>
        <v>1.2699999999999998E-2</v>
      </c>
      <c r="ABC5" s="230">
        <f t="shared" si="43"/>
        <v>1.2699999999999999E-2</v>
      </c>
      <c r="ABD5" s="230">
        <f t="shared" si="43"/>
        <v>1.2600000000000002E-2</v>
      </c>
      <c r="ABE5" s="230">
        <f t="shared" si="43"/>
        <v>1.2500000000000001E-2</v>
      </c>
      <c r="ABF5" s="230">
        <f t="shared" si="43"/>
        <v>1.24E-2</v>
      </c>
      <c r="ABG5" s="230">
        <f t="shared" si="43"/>
        <v>1.23E-2</v>
      </c>
      <c r="ABH5" s="230">
        <f t="shared" si="43"/>
        <v>1.23E-2</v>
      </c>
      <c r="ABI5" s="230">
        <f t="shared" si="43"/>
        <v>1.2200000000000001E-2</v>
      </c>
      <c r="ABJ5" s="230">
        <f t="shared" si="43"/>
        <v>1.2100000000000001E-2</v>
      </c>
      <c r="ABK5" s="230">
        <f t="shared" si="43"/>
        <v>1.2E-2</v>
      </c>
      <c r="ABL5" s="230">
        <f t="shared" si="43"/>
        <v>1.1900000000000001E-2</v>
      </c>
      <c r="ABM5" s="230">
        <f t="shared" si="43"/>
        <v>1.1799999999999998E-2</v>
      </c>
      <c r="ABN5" s="230">
        <f t="shared" si="43"/>
        <v>1.1699999999999999E-2</v>
      </c>
      <c r="ABO5" s="230">
        <f t="shared" si="43"/>
        <v>1.1699999999999997E-2</v>
      </c>
      <c r="ABP5" s="230">
        <f t="shared" si="43"/>
        <v>1.1599999999999999E-2</v>
      </c>
      <c r="ABQ5" s="230">
        <f t="shared" si="43"/>
        <v>1.1499999999999998E-2</v>
      </c>
      <c r="ABR5" s="230">
        <f t="shared" si="43"/>
        <v>1.1399999999999999E-2</v>
      </c>
      <c r="ABS5" s="230">
        <f t="shared" si="43"/>
        <v>1.1299999999999999E-2</v>
      </c>
      <c r="ABT5" s="230">
        <f t="shared" si="43"/>
        <v>1.1200000000000002E-2</v>
      </c>
      <c r="ABU5" s="230">
        <f t="shared" si="43"/>
        <v>1.11E-2</v>
      </c>
      <c r="ABV5" s="230">
        <f t="shared" si="43"/>
        <v>1.1000000000000001E-2</v>
      </c>
      <c r="ABW5" s="230">
        <f t="shared" si="43"/>
        <v>1.1000000000000001E-2</v>
      </c>
      <c r="ABX5" s="230">
        <f t="shared" si="43"/>
        <v>1.09E-2</v>
      </c>
      <c r="ABY5" s="230">
        <f t="shared" si="43"/>
        <v>1.0800000000000001E-2</v>
      </c>
      <c r="ABZ5" s="230">
        <f t="shared" si="43"/>
        <v>1.0700000000000003E-2</v>
      </c>
      <c r="ACA5" s="230">
        <f t="shared" si="43"/>
        <v>1.06E-2</v>
      </c>
      <c r="ACB5" s="230">
        <f t="shared" si="43"/>
        <v>1.06E-2</v>
      </c>
      <c r="ACC5" s="230">
        <f t="shared" si="43"/>
        <v>1.0500000000000001E-2</v>
      </c>
      <c r="ACD5" s="230">
        <f t="shared" si="43"/>
        <v>1.04E-2</v>
      </c>
      <c r="ACE5" s="230">
        <f t="shared" si="43"/>
        <v>1.03E-2</v>
      </c>
      <c r="ACF5" s="230">
        <f t="shared" si="43"/>
        <v>1.03E-2</v>
      </c>
      <c r="ACG5" s="230">
        <f t="shared" si="43"/>
        <v>1.0200000000000001E-2</v>
      </c>
      <c r="ACH5" s="230">
        <f t="shared" si="43"/>
        <v>1.0200000000000001E-2</v>
      </c>
      <c r="ACI5" s="230">
        <f t="shared" si="43"/>
        <v>1.01E-2</v>
      </c>
      <c r="ACJ5" s="230">
        <f t="shared" si="43"/>
        <v>0.01</v>
      </c>
      <c r="ACK5" s="230">
        <f t="shared" si="43"/>
        <v>0.01</v>
      </c>
      <c r="ACL5" s="230">
        <f t="shared" si="43"/>
        <v>9.8999999999999991E-3</v>
      </c>
      <c r="ACM5" s="230">
        <f t="shared" si="43"/>
        <v>9.8999999999999991E-3</v>
      </c>
      <c r="ACN5" s="230" t="e">
        <f t="shared" si="43"/>
        <v>#DIV/0!</v>
      </c>
      <c r="ACO5" s="230" t="e">
        <f t="shared" si="43"/>
        <v>#DIV/0!</v>
      </c>
      <c r="ACP5" s="230" t="e">
        <f t="shared" si="43"/>
        <v>#DIV/0!</v>
      </c>
      <c r="ACQ5" s="230" t="e">
        <f t="shared" si="43"/>
        <v>#DIV/0!</v>
      </c>
      <c r="ACR5" s="230" t="e">
        <f t="shared" ref="ACR5:AFC5" si="44">ACR4/ACR2</f>
        <v>#DIV/0!</v>
      </c>
      <c r="ACS5" s="230" t="e">
        <f t="shared" si="44"/>
        <v>#DIV/0!</v>
      </c>
      <c r="ACT5" s="230" t="e">
        <f t="shared" si="44"/>
        <v>#DIV/0!</v>
      </c>
      <c r="ACU5" s="230" t="e">
        <f t="shared" si="44"/>
        <v>#DIV/0!</v>
      </c>
      <c r="ACV5" s="230" t="e">
        <f t="shared" si="44"/>
        <v>#DIV/0!</v>
      </c>
      <c r="ACW5" s="230" t="e">
        <f t="shared" si="44"/>
        <v>#DIV/0!</v>
      </c>
      <c r="ACX5" s="230" t="e">
        <f t="shared" si="44"/>
        <v>#DIV/0!</v>
      </c>
      <c r="ACY5" s="230" t="e">
        <f t="shared" si="44"/>
        <v>#DIV/0!</v>
      </c>
      <c r="ACZ5" s="230" t="e">
        <f t="shared" si="44"/>
        <v>#DIV/0!</v>
      </c>
      <c r="ADA5" s="230" t="e">
        <f t="shared" si="44"/>
        <v>#DIV/0!</v>
      </c>
      <c r="ADB5" s="230" t="e">
        <f t="shared" si="44"/>
        <v>#DIV/0!</v>
      </c>
      <c r="ADC5" s="230" t="e">
        <f t="shared" si="44"/>
        <v>#DIV/0!</v>
      </c>
      <c r="ADD5" s="230" t="e">
        <f t="shared" si="44"/>
        <v>#DIV/0!</v>
      </c>
      <c r="ADE5" s="230" t="e">
        <f t="shared" si="44"/>
        <v>#DIV/0!</v>
      </c>
      <c r="ADF5" s="230" t="e">
        <f t="shared" si="44"/>
        <v>#DIV/0!</v>
      </c>
      <c r="ADG5" s="230" t="e">
        <f t="shared" si="44"/>
        <v>#DIV/0!</v>
      </c>
      <c r="ADH5" s="230" t="e">
        <f t="shared" si="44"/>
        <v>#DIV/0!</v>
      </c>
      <c r="ADI5" s="230" t="e">
        <f t="shared" si="44"/>
        <v>#DIV/0!</v>
      </c>
      <c r="ADJ5" s="230" t="e">
        <f t="shared" si="44"/>
        <v>#DIV/0!</v>
      </c>
      <c r="ADK5" s="230" t="e">
        <f t="shared" si="44"/>
        <v>#DIV/0!</v>
      </c>
      <c r="ADL5" s="230" t="e">
        <f t="shared" si="44"/>
        <v>#DIV/0!</v>
      </c>
      <c r="ADM5" s="230" t="e">
        <f t="shared" si="44"/>
        <v>#DIV/0!</v>
      </c>
      <c r="ADN5" s="230" t="e">
        <f t="shared" si="44"/>
        <v>#DIV/0!</v>
      </c>
      <c r="ADO5" s="230" t="e">
        <f t="shared" si="44"/>
        <v>#DIV/0!</v>
      </c>
      <c r="ADP5" s="230" t="e">
        <f t="shared" si="44"/>
        <v>#DIV/0!</v>
      </c>
      <c r="ADQ5" s="230" t="e">
        <f t="shared" si="44"/>
        <v>#DIV/0!</v>
      </c>
      <c r="ADR5" s="230" t="e">
        <f t="shared" si="44"/>
        <v>#DIV/0!</v>
      </c>
      <c r="ADS5" s="230" t="e">
        <f t="shared" si="44"/>
        <v>#DIV/0!</v>
      </c>
      <c r="ADT5" s="230" t="e">
        <f t="shared" si="44"/>
        <v>#DIV/0!</v>
      </c>
      <c r="ADU5" s="230" t="e">
        <f t="shared" si="44"/>
        <v>#DIV/0!</v>
      </c>
      <c r="ADV5" s="230" t="e">
        <f t="shared" si="44"/>
        <v>#DIV/0!</v>
      </c>
      <c r="ADW5" s="230" t="e">
        <f t="shared" si="44"/>
        <v>#DIV/0!</v>
      </c>
      <c r="ADX5" s="230" t="e">
        <f t="shared" si="44"/>
        <v>#DIV/0!</v>
      </c>
      <c r="ADY5" s="230" t="e">
        <f t="shared" si="44"/>
        <v>#DIV/0!</v>
      </c>
      <c r="ADZ5" s="230" t="e">
        <f t="shared" si="44"/>
        <v>#DIV/0!</v>
      </c>
      <c r="AEA5" s="230" t="e">
        <f t="shared" si="44"/>
        <v>#DIV/0!</v>
      </c>
      <c r="AEB5" s="230" t="e">
        <f t="shared" si="44"/>
        <v>#DIV/0!</v>
      </c>
      <c r="AEC5" s="230" t="e">
        <f t="shared" si="44"/>
        <v>#DIV/0!</v>
      </c>
      <c r="AED5" s="230" t="e">
        <f t="shared" si="44"/>
        <v>#DIV/0!</v>
      </c>
      <c r="AEE5" s="230" t="e">
        <f t="shared" si="44"/>
        <v>#DIV/0!</v>
      </c>
      <c r="AEF5" s="230" t="e">
        <f t="shared" si="44"/>
        <v>#DIV/0!</v>
      </c>
      <c r="AEG5" s="230" t="e">
        <f t="shared" si="44"/>
        <v>#DIV/0!</v>
      </c>
      <c r="AEH5" s="230" t="e">
        <f t="shared" si="44"/>
        <v>#DIV/0!</v>
      </c>
      <c r="AEI5" s="230" t="e">
        <f t="shared" si="44"/>
        <v>#DIV/0!</v>
      </c>
      <c r="AEJ5" s="230" t="e">
        <f t="shared" si="44"/>
        <v>#DIV/0!</v>
      </c>
      <c r="AEK5" s="230" t="e">
        <f t="shared" si="44"/>
        <v>#DIV/0!</v>
      </c>
      <c r="AEL5" s="230" t="e">
        <f t="shared" si="44"/>
        <v>#DIV/0!</v>
      </c>
      <c r="AEM5" s="230" t="e">
        <f t="shared" si="44"/>
        <v>#DIV/0!</v>
      </c>
      <c r="AEN5" s="230" t="e">
        <f t="shared" si="44"/>
        <v>#DIV/0!</v>
      </c>
      <c r="AEO5" s="230" t="e">
        <f t="shared" si="44"/>
        <v>#DIV/0!</v>
      </c>
      <c r="AEP5" s="230" t="e">
        <f t="shared" si="44"/>
        <v>#DIV/0!</v>
      </c>
      <c r="AEQ5" s="230" t="e">
        <f t="shared" si="44"/>
        <v>#DIV/0!</v>
      </c>
      <c r="AER5" s="230" t="e">
        <f t="shared" si="44"/>
        <v>#DIV/0!</v>
      </c>
      <c r="AES5" s="230" t="e">
        <f t="shared" si="44"/>
        <v>#DIV/0!</v>
      </c>
      <c r="AET5" s="230" t="e">
        <f t="shared" si="44"/>
        <v>#DIV/0!</v>
      </c>
      <c r="AEU5" s="230" t="e">
        <f t="shared" si="44"/>
        <v>#DIV/0!</v>
      </c>
      <c r="AEV5" s="230" t="e">
        <f t="shared" si="44"/>
        <v>#DIV/0!</v>
      </c>
      <c r="AEW5" s="230" t="e">
        <f t="shared" si="44"/>
        <v>#DIV/0!</v>
      </c>
      <c r="AEX5" s="230" t="e">
        <f t="shared" si="44"/>
        <v>#DIV/0!</v>
      </c>
      <c r="AEY5" s="230" t="e">
        <f t="shared" si="44"/>
        <v>#DIV/0!</v>
      </c>
      <c r="AEZ5" s="230" t="e">
        <f t="shared" si="44"/>
        <v>#DIV/0!</v>
      </c>
      <c r="AFA5" s="230" t="e">
        <f t="shared" si="44"/>
        <v>#DIV/0!</v>
      </c>
      <c r="AFB5" s="230" t="e">
        <f t="shared" si="44"/>
        <v>#DIV/0!</v>
      </c>
      <c r="AFC5" s="230" t="e">
        <f t="shared" si="44"/>
        <v>#DIV/0!</v>
      </c>
      <c r="AFD5" s="230" t="e">
        <f t="shared" ref="AFD5:AHO5" si="45">AFD4/AFD2</f>
        <v>#DIV/0!</v>
      </c>
      <c r="AFE5" s="230" t="e">
        <f t="shared" si="45"/>
        <v>#DIV/0!</v>
      </c>
      <c r="AFF5" s="230" t="e">
        <f t="shared" si="45"/>
        <v>#DIV/0!</v>
      </c>
      <c r="AFG5" s="230" t="e">
        <f t="shared" si="45"/>
        <v>#DIV/0!</v>
      </c>
      <c r="AFH5" s="230" t="e">
        <f t="shared" si="45"/>
        <v>#DIV/0!</v>
      </c>
      <c r="AFI5" s="230" t="e">
        <f t="shared" si="45"/>
        <v>#DIV/0!</v>
      </c>
      <c r="AFJ5" s="230" t="e">
        <f t="shared" si="45"/>
        <v>#DIV/0!</v>
      </c>
      <c r="AFK5" s="230" t="e">
        <f t="shared" si="45"/>
        <v>#DIV/0!</v>
      </c>
      <c r="AFL5" s="230" t="e">
        <f t="shared" si="45"/>
        <v>#DIV/0!</v>
      </c>
      <c r="AFM5" s="230" t="e">
        <f t="shared" si="45"/>
        <v>#DIV/0!</v>
      </c>
      <c r="AFN5" s="230" t="e">
        <f t="shared" si="45"/>
        <v>#DIV/0!</v>
      </c>
      <c r="AFO5" s="230" t="e">
        <f t="shared" si="45"/>
        <v>#DIV/0!</v>
      </c>
      <c r="AFP5" s="230" t="e">
        <f t="shared" si="45"/>
        <v>#DIV/0!</v>
      </c>
      <c r="AFQ5" s="230" t="e">
        <f t="shared" si="45"/>
        <v>#DIV/0!</v>
      </c>
      <c r="AFR5" s="230" t="e">
        <f t="shared" si="45"/>
        <v>#DIV/0!</v>
      </c>
      <c r="AFS5" s="230" t="e">
        <f t="shared" si="45"/>
        <v>#DIV/0!</v>
      </c>
      <c r="AFT5" s="230" t="e">
        <f t="shared" si="45"/>
        <v>#DIV/0!</v>
      </c>
      <c r="AFU5" s="230" t="e">
        <f t="shared" si="45"/>
        <v>#DIV/0!</v>
      </c>
      <c r="AFV5" s="230" t="e">
        <f t="shared" si="45"/>
        <v>#DIV/0!</v>
      </c>
      <c r="AFW5" s="230" t="e">
        <f t="shared" si="45"/>
        <v>#DIV/0!</v>
      </c>
      <c r="AFX5" s="230" t="e">
        <f t="shared" si="45"/>
        <v>#DIV/0!</v>
      </c>
      <c r="AFY5" s="230" t="e">
        <f t="shared" si="45"/>
        <v>#DIV/0!</v>
      </c>
      <c r="AFZ5" s="230" t="e">
        <f t="shared" si="45"/>
        <v>#DIV/0!</v>
      </c>
      <c r="AGA5" s="230" t="e">
        <f t="shared" si="45"/>
        <v>#DIV/0!</v>
      </c>
      <c r="AGB5" s="230" t="e">
        <f t="shared" si="45"/>
        <v>#DIV/0!</v>
      </c>
      <c r="AGC5" s="230" t="e">
        <f t="shared" si="45"/>
        <v>#DIV/0!</v>
      </c>
      <c r="AGD5" s="230" t="e">
        <f t="shared" si="45"/>
        <v>#DIV/0!</v>
      </c>
      <c r="AGE5" s="230" t="e">
        <f t="shared" si="45"/>
        <v>#DIV/0!</v>
      </c>
      <c r="AGF5" s="230" t="e">
        <f t="shared" si="45"/>
        <v>#DIV/0!</v>
      </c>
      <c r="AGG5" s="230" t="e">
        <f t="shared" si="45"/>
        <v>#DIV/0!</v>
      </c>
      <c r="AGH5" s="230" t="e">
        <f t="shared" si="45"/>
        <v>#DIV/0!</v>
      </c>
      <c r="AGI5" s="230" t="e">
        <f t="shared" si="45"/>
        <v>#DIV/0!</v>
      </c>
      <c r="AGJ5" s="230" t="e">
        <f t="shared" si="45"/>
        <v>#DIV/0!</v>
      </c>
      <c r="AGK5" s="230" t="e">
        <f t="shared" si="45"/>
        <v>#DIV/0!</v>
      </c>
      <c r="AGL5" s="230" t="e">
        <f t="shared" si="45"/>
        <v>#DIV/0!</v>
      </c>
      <c r="AGM5" s="230" t="e">
        <f t="shared" si="45"/>
        <v>#DIV/0!</v>
      </c>
      <c r="AGN5" s="230" t="e">
        <f t="shared" si="45"/>
        <v>#DIV/0!</v>
      </c>
      <c r="AGO5" s="230" t="e">
        <f t="shared" si="45"/>
        <v>#DIV/0!</v>
      </c>
      <c r="AGP5" s="230" t="e">
        <f t="shared" si="45"/>
        <v>#DIV/0!</v>
      </c>
      <c r="AGQ5" s="230" t="e">
        <f t="shared" si="45"/>
        <v>#DIV/0!</v>
      </c>
      <c r="AGR5" s="230" t="e">
        <f t="shared" si="45"/>
        <v>#DIV/0!</v>
      </c>
      <c r="AGS5" s="230" t="e">
        <f t="shared" si="45"/>
        <v>#DIV/0!</v>
      </c>
      <c r="AGT5" s="230" t="e">
        <f t="shared" si="45"/>
        <v>#DIV/0!</v>
      </c>
      <c r="AGU5" s="230" t="e">
        <f t="shared" si="45"/>
        <v>#DIV/0!</v>
      </c>
      <c r="AGV5" s="230" t="e">
        <f t="shared" si="45"/>
        <v>#DIV/0!</v>
      </c>
      <c r="AGW5" s="230" t="e">
        <f t="shared" si="45"/>
        <v>#DIV/0!</v>
      </c>
      <c r="AGX5" s="230" t="e">
        <f t="shared" si="45"/>
        <v>#DIV/0!</v>
      </c>
      <c r="AGY5" s="230" t="e">
        <f t="shared" si="45"/>
        <v>#DIV/0!</v>
      </c>
      <c r="AGZ5" s="230" t="e">
        <f t="shared" si="45"/>
        <v>#DIV/0!</v>
      </c>
      <c r="AHA5" s="230" t="e">
        <f t="shared" si="45"/>
        <v>#DIV/0!</v>
      </c>
      <c r="AHB5" s="230" t="e">
        <f t="shared" si="45"/>
        <v>#DIV/0!</v>
      </c>
      <c r="AHC5" s="230" t="e">
        <f t="shared" si="45"/>
        <v>#DIV/0!</v>
      </c>
      <c r="AHD5" s="230" t="e">
        <f t="shared" si="45"/>
        <v>#DIV/0!</v>
      </c>
      <c r="AHE5" s="230" t="e">
        <f t="shared" si="45"/>
        <v>#DIV/0!</v>
      </c>
      <c r="AHF5" s="230" t="e">
        <f t="shared" si="45"/>
        <v>#DIV/0!</v>
      </c>
      <c r="AHG5" s="230" t="e">
        <f t="shared" si="45"/>
        <v>#DIV/0!</v>
      </c>
      <c r="AHH5" s="230" t="e">
        <f t="shared" si="45"/>
        <v>#DIV/0!</v>
      </c>
      <c r="AHI5" s="230" t="e">
        <f t="shared" si="45"/>
        <v>#DIV/0!</v>
      </c>
      <c r="AHJ5" s="230" t="e">
        <f t="shared" si="45"/>
        <v>#DIV/0!</v>
      </c>
      <c r="AHK5" s="230" t="e">
        <f t="shared" si="45"/>
        <v>#DIV/0!</v>
      </c>
      <c r="AHL5" s="230" t="e">
        <f t="shared" si="45"/>
        <v>#DIV/0!</v>
      </c>
      <c r="AHM5" s="230" t="e">
        <f t="shared" si="45"/>
        <v>#DIV/0!</v>
      </c>
      <c r="AHN5" s="230" t="e">
        <f t="shared" si="45"/>
        <v>#DIV/0!</v>
      </c>
      <c r="AHO5" s="230" t="e">
        <f t="shared" si="45"/>
        <v>#DIV/0!</v>
      </c>
      <c r="AHP5" s="230" t="e">
        <f t="shared" ref="AHP5:AJA5" si="46">AHP4/AHP2</f>
        <v>#DIV/0!</v>
      </c>
      <c r="AHQ5" s="230" t="e">
        <f t="shared" si="46"/>
        <v>#DIV/0!</v>
      </c>
      <c r="AHR5" s="230" t="e">
        <f t="shared" si="46"/>
        <v>#DIV/0!</v>
      </c>
      <c r="AHS5" s="230" t="e">
        <f t="shared" si="46"/>
        <v>#DIV/0!</v>
      </c>
      <c r="AHT5" s="230" t="e">
        <f t="shared" si="46"/>
        <v>#DIV/0!</v>
      </c>
      <c r="AHU5" s="230" t="e">
        <f t="shared" si="46"/>
        <v>#DIV/0!</v>
      </c>
      <c r="AHV5" s="230" t="e">
        <f t="shared" si="46"/>
        <v>#DIV/0!</v>
      </c>
      <c r="AHW5" s="230" t="e">
        <f t="shared" si="46"/>
        <v>#DIV/0!</v>
      </c>
      <c r="AHX5" s="230" t="e">
        <f t="shared" si="46"/>
        <v>#DIV/0!</v>
      </c>
      <c r="AHY5" s="230" t="e">
        <f t="shared" si="46"/>
        <v>#DIV/0!</v>
      </c>
      <c r="AHZ5" s="230" t="e">
        <f t="shared" si="46"/>
        <v>#DIV/0!</v>
      </c>
      <c r="AIA5" s="230" t="e">
        <f t="shared" si="46"/>
        <v>#DIV/0!</v>
      </c>
      <c r="AIB5" s="230" t="e">
        <f t="shared" si="46"/>
        <v>#DIV/0!</v>
      </c>
      <c r="AIC5" s="230" t="e">
        <f t="shared" si="46"/>
        <v>#DIV/0!</v>
      </c>
      <c r="AID5" s="230" t="e">
        <f t="shared" si="46"/>
        <v>#DIV/0!</v>
      </c>
      <c r="AIE5" s="230" t="e">
        <f t="shared" si="46"/>
        <v>#DIV/0!</v>
      </c>
      <c r="AIF5" s="230" t="e">
        <f t="shared" si="46"/>
        <v>#DIV/0!</v>
      </c>
      <c r="AIG5" s="230" t="e">
        <f t="shared" si="46"/>
        <v>#DIV/0!</v>
      </c>
      <c r="AIH5" s="230" t="e">
        <f t="shared" si="46"/>
        <v>#DIV/0!</v>
      </c>
      <c r="AII5" s="230" t="e">
        <f t="shared" si="46"/>
        <v>#DIV/0!</v>
      </c>
      <c r="AIJ5" s="230" t="e">
        <f t="shared" si="46"/>
        <v>#DIV/0!</v>
      </c>
      <c r="AIK5" s="230" t="e">
        <f t="shared" si="46"/>
        <v>#DIV/0!</v>
      </c>
      <c r="AIL5" s="230" t="e">
        <f t="shared" si="46"/>
        <v>#DIV/0!</v>
      </c>
      <c r="AIM5" s="230" t="e">
        <f t="shared" si="46"/>
        <v>#DIV/0!</v>
      </c>
      <c r="AIN5" s="230" t="e">
        <f t="shared" si="46"/>
        <v>#DIV/0!</v>
      </c>
      <c r="AIO5" s="230" t="e">
        <f t="shared" si="46"/>
        <v>#DIV/0!</v>
      </c>
      <c r="AIP5" s="230" t="e">
        <f t="shared" si="46"/>
        <v>#DIV/0!</v>
      </c>
      <c r="AIQ5" s="230" t="e">
        <f t="shared" si="46"/>
        <v>#DIV/0!</v>
      </c>
      <c r="AIR5" s="230" t="e">
        <f t="shared" si="46"/>
        <v>#DIV/0!</v>
      </c>
      <c r="AIS5" s="230" t="e">
        <f t="shared" si="46"/>
        <v>#DIV/0!</v>
      </c>
      <c r="AIT5" s="230" t="e">
        <f t="shared" si="46"/>
        <v>#DIV/0!</v>
      </c>
      <c r="AIU5" s="230" t="e">
        <f t="shared" si="46"/>
        <v>#DIV/0!</v>
      </c>
      <c r="AIV5" s="230" t="e">
        <f t="shared" si="46"/>
        <v>#DIV/0!</v>
      </c>
      <c r="AIW5" s="230" t="e">
        <f t="shared" si="46"/>
        <v>#DIV/0!</v>
      </c>
      <c r="AIX5" s="230" t="e">
        <f t="shared" si="46"/>
        <v>#DIV/0!</v>
      </c>
      <c r="AIY5" s="230" t="e">
        <f t="shared" si="46"/>
        <v>#DIV/0!</v>
      </c>
      <c r="AIZ5" s="230" t="e">
        <f t="shared" si="46"/>
        <v>#DIV/0!</v>
      </c>
      <c r="AJA5" s="230" t="e">
        <f t="shared" si="46"/>
        <v>#DIV/0!</v>
      </c>
    </row>
    <row r="6" spans="1:1024" s="204" customFormat="1" ht="22.15" customHeight="1" x14ac:dyDescent="0.25">
      <c r="A6" s="287" t="s">
        <v>114</v>
      </c>
      <c r="B6" s="287"/>
      <c r="C6" s="206">
        <f>C30*C33+C43*C46+C56*C59+C69*C72+C82*C85+C95*C98+C108*C111+C121*C124+C134*C137+C147*C150+C160*C163+C173*C176+C186*C189</f>
        <v>0</v>
      </c>
      <c r="D6" s="206">
        <f>D30*D33+D43*D46+D56*D59+D69*D72+D82*D85+D95*D98+D108*D111+D121*D124+D134*D137+D147*D150+D160*D163+D173*D176+D186*D189</f>
        <v>0</v>
      </c>
      <c r="E6" s="206">
        <f>E30*E33+E43*E46+E56*E59+E69*E72+E82*E85+E95*E98+E108*E111+E121*E124+E134*E137+E147*E150+E160*E163+E173*E176+E186*E189</f>
        <v>0</v>
      </c>
      <c r="F6" s="206">
        <f>F30*F33+F43*F46+F56*F59+F69*F72+F82*F85+F95*F98+F108*F111+F121*F124+F134*F137+F147*F150+F160*F163+F173*F176+F186*F189</f>
        <v>0</v>
      </c>
      <c r="G6" s="206">
        <f t="shared" ref="G6:BO6" si="47">G30*G33+G43*G46+G56*G59+G69*G72+G82*G85+G95*G98+G108*G111+G121*G124+G134*G137+G147*G150+G160*G163+G173*G176+G186*G189</f>
        <v>0</v>
      </c>
      <c r="H6" s="206">
        <f t="shared" si="47"/>
        <v>0</v>
      </c>
      <c r="I6" s="206">
        <f t="shared" si="47"/>
        <v>0</v>
      </c>
      <c r="J6" s="206">
        <f t="shared" si="47"/>
        <v>0</v>
      </c>
      <c r="K6" s="206">
        <f t="shared" si="47"/>
        <v>0</v>
      </c>
      <c r="L6" s="206">
        <f t="shared" si="47"/>
        <v>0</v>
      </c>
      <c r="M6" s="206">
        <f t="shared" si="47"/>
        <v>0</v>
      </c>
      <c r="N6" s="206">
        <f t="shared" si="47"/>
        <v>0</v>
      </c>
      <c r="O6" s="206">
        <f t="shared" si="47"/>
        <v>0</v>
      </c>
      <c r="P6" s="206">
        <f t="shared" si="47"/>
        <v>0</v>
      </c>
      <c r="Q6" s="206">
        <f t="shared" si="47"/>
        <v>0</v>
      </c>
      <c r="R6" s="206">
        <f t="shared" si="47"/>
        <v>0</v>
      </c>
      <c r="S6" s="206">
        <f t="shared" si="47"/>
        <v>0</v>
      </c>
      <c r="T6" s="206">
        <f t="shared" si="47"/>
        <v>0</v>
      </c>
      <c r="U6" s="206">
        <f t="shared" si="47"/>
        <v>0</v>
      </c>
      <c r="V6" s="206">
        <f t="shared" si="47"/>
        <v>0</v>
      </c>
      <c r="W6" s="206">
        <f t="shared" si="47"/>
        <v>0</v>
      </c>
      <c r="X6" s="206">
        <f t="shared" si="47"/>
        <v>0</v>
      </c>
      <c r="Y6" s="206">
        <f t="shared" si="47"/>
        <v>0</v>
      </c>
      <c r="Z6" s="206">
        <f t="shared" si="47"/>
        <v>0</v>
      </c>
      <c r="AA6" s="206">
        <f t="shared" si="47"/>
        <v>0</v>
      </c>
      <c r="AB6" s="206">
        <f t="shared" si="47"/>
        <v>0</v>
      </c>
      <c r="AC6" s="206">
        <f t="shared" si="47"/>
        <v>0</v>
      </c>
      <c r="AD6" s="206">
        <f t="shared" si="47"/>
        <v>0</v>
      </c>
      <c r="AE6" s="206">
        <f t="shared" si="47"/>
        <v>0</v>
      </c>
      <c r="AF6" s="206">
        <f t="shared" si="47"/>
        <v>0</v>
      </c>
      <c r="AG6" s="206">
        <f t="shared" si="47"/>
        <v>0</v>
      </c>
      <c r="AH6" s="206">
        <f t="shared" si="47"/>
        <v>0</v>
      </c>
      <c r="AI6" s="206">
        <f t="shared" si="47"/>
        <v>0</v>
      </c>
      <c r="AJ6" s="206">
        <f t="shared" si="47"/>
        <v>0</v>
      </c>
      <c r="AK6" s="206">
        <f t="shared" si="47"/>
        <v>0</v>
      </c>
      <c r="AL6" s="206">
        <f t="shared" si="47"/>
        <v>0</v>
      </c>
      <c r="AM6" s="206">
        <f t="shared" si="47"/>
        <v>0</v>
      </c>
      <c r="AN6" s="206">
        <f t="shared" si="47"/>
        <v>0</v>
      </c>
      <c r="AO6" s="206">
        <f t="shared" si="47"/>
        <v>0</v>
      </c>
      <c r="AP6" s="206">
        <f t="shared" si="47"/>
        <v>0</v>
      </c>
      <c r="AQ6" s="206">
        <f t="shared" si="47"/>
        <v>0</v>
      </c>
      <c r="AR6" s="206">
        <f t="shared" si="47"/>
        <v>0</v>
      </c>
      <c r="AS6" s="206">
        <f t="shared" si="47"/>
        <v>0</v>
      </c>
      <c r="AT6" s="206">
        <f t="shared" si="47"/>
        <v>0</v>
      </c>
      <c r="AU6" s="206">
        <f t="shared" si="47"/>
        <v>0</v>
      </c>
      <c r="AV6" s="206">
        <f t="shared" si="47"/>
        <v>0</v>
      </c>
      <c r="AW6" s="206">
        <f t="shared" si="47"/>
        <v>0</v>
      </c>
      <c r="AX6" s="206">
        <f t="shared" si="47"/>
        <v>0</v>
      </c>
      <c r="AY6" s="206">
        <f t="shared" si="47"/>
        <v>0</v>
      </c>
      <c r="AZ6" s="206">
        <f t="shared" si="47"/>
        <v>0</v>
      </c>
      <c r="BA6" s="206">
        <f t="shared" si="47"/>
        <v>0</v>
      </c>
      <c r="BB6" s="206">
        <f t="shared" si="47"/>
        <v>0</v>
      </c>
      <c r="BC6" s="206">
        <f t="shared" si="47"/>
        <v>0</v>
      </c>
      <c r="BD6" s="206">
        <f t="shared" si="47"/>
        <v>0</v>
      </c>
      <c r="BE6" s="206">
        <f t="shared" si="47"/>
        <v>0</v>
      </c>
      <c r="BF6" s="206">
        <f t="shared" si="47"/>
        <v>0</v>
      </c>
      <c r="BG6" s="206">
        <f t="shared" si="47"/>
        <v>0</v>
      </c>
      <c r="BH6" s="206">
        <f t="shared" si="47"/>
        <v>0</v>
      </c>
      <c r="BI6" s="206">
        <f t="shared" si="47"/>
        <v>0</v>
      </c>
      <c r="BJ6" s="206">
        <f t="shared" si="47"/>
        <v>0</v>
      </c>
      <c r="BK6" s="206">
        <f t="shared" si="47"/>
        <v>0</v>
      </c>
      <c r="BL6" s="206">
        <f t="shared" si="47"/>
        <v>0</v>
      </c>
      <c r="BM6" s="206">
        <f t="shared" si="47"/>
        <v>0</v>
      </c>
      <c r="BN6" s="206">
        <f t="shared" si="47"/>
        <v>0</v>
      </c>
      <c r="BO6" s="206">
        <f t="shared" si="47"/>
        <v>0</v>
      </c>
      <c r="BP6" s="206">
        <f t="shared" ref="BP6:EA6" si="48">BP30*BP33+BP43*BP46+BP56*BP59+BP69*BP72+BP82*BP85+BP95*BP98+BP108*BP111+BP121*BP124+BP134*BP137+BP147*BP150+BP160*BP163+BP173*BP176+BP186*BP189</f>
        <v>0</v>
      </c>
      <c r="BQ6" s="206">
        <f t="shared" si="48"/>
        <v>0</v>
      </c>
      <c r="BR6" s="206">
        <f t="shared" si="48"/>
        <v>0</v>
      </c>
      <c r="BS6" s="206">
        <f t="shared" si="48"/>
        <v>0</v>
      </c>
      <c r="BT6" s="206">
        <f t="shared" si="48"/>
        <v>0</v>
      </c>
      <c r="BU6" s="206">
        <f t="shared" si="48"/>
        <v>0</v>
      </c>
      <c r="BV6" s="206">
        <f t="shared" si="48"/>
        <v>0</v>
      </c>
      <c r="BW6" s="206">
        <f t="shared" si="48"/>
        <v>0</v>
      </c>
      <c r="BX6" s="206">
        <f t="shared" si="48"/>
        <v>0</v>
      </c>
      <c r="BY6" s="206">
        <f t="shared" si="48"/>
        <v>0</v>
      </c>
      <c r="BZ6" s="206">
        <f t="shared" si="48"/>
        <v>0</v>
      </c>
      <c r="CA6" s="206">
        <f t="shared" si="48"/>
        <v>0</v>
      </c>
      <c r="CB6" s="206">
        <f t="shared" si="48"/>
        <v>0</v>
      </c>
      <c r="CC6" s="206">
        <f t="shared" si="48"/>
        <v>0</v>
      </c>
      <c r="CD6" s="206">
        <f t="shared" si="48"/>
        <v>0</v>
      </c>
      <c r="CE6" s="206">
        <f t="shared" si="48"/>
        <v>0</v>
      </c>
      <c r="CF6" s="206">
        <f t="shared" si="48"/>
        <v>0</v>
      </c>
      <c r="CG6" s="206">
        <f t="shared" si="48"/>
        <v>0</v>
      </c>
      <c r="CH6" s="206">
        <f t="shared" si="48"/>
        <v>0</v>
      </c>
      <c r="CI6" s="206">
        <f t="shared" si="48"/>
        <v>0</v>
      </c>
      <c r="CJ6" s="206">
        <f t="shared" si="48"/>
        <v>0</v>
      </c>
      <c r="CK6" s="206">
        <f t="shared" si="48"/>
        <v>0</v>
      </c>
      <c r="CL6" s="206">
        <f t="shared" si="48"/>
        <v>0</v>
      </c>
      <c r="CM6" s="206">
        <f t="shared" si="48"/>
        <v>0</v>
      </c>
      <c r="CN6" s="206">
        <f t="shared" si="48"/>
        <v>0</v>
      </c>
      <c r="CO6" s="206">
        <f t="shared" si="48"/>
        <v>0</v>
      </c>
      <c r="CP6" s="206">
        <f t="shared" si="48"/>
        <v>0</v>
      </c>
      <c r="CQ6" s="206">
        <f t="shared" si="48"/>
        <v>0</v>
      </c>
      <c r="CR6" s="206">
        <f t="shared" si="48"/>
        <v>0</v>
      </c>
      <c r="CS6" s="206">
        <f t="shared" si="48"/>
        <v>0</v>
      </c>
      <c r="CT6" s="206">
        <f t="shared" si="48"/>
        <v>0</v>
      </c>
      <c r="CU6" s="206">
        <f t="shared" si="48"/>
        <v>0</v>
      </c>
      <c r="CV6" s="206">
        <f t="shared" si="48"/>
        <v>0</v>
      </c>
      <c r="CW6" s="206">
        <f t="shared" si="48"/>
        <v>0</v>
      </c>
      <c r="CX6" s="206">
        <f t="shared" si="48"/>
        <v>0</v>
      </c>
      <c r="CY6" s="206">
        <f t="shared" si="48"/>
        <v>0</v>
      </c>
      <c r="CZ6" s="206">
        <f t="shared" si="48"/>
        <v>0</v>
      </c>
      <c r="DA6" s="206">
        <f t="shared" si="48"/>
        <v>0</v>
      </c>
      <c r="DB6" s="206">
        <f t="shared" si="48"/>
        <v>0</v>
      </c>
      <c r="DC6" s="206">
        <f t="shared" si="48"/>
        <v>0</v>
      </c>
      <c r="DD6" s="206">
        <f t="shared" si="48"/>
        <v>0</v>
      </c>
      <c r="DE6" s="206">
        <f t="shared" si="48"/>
        <v>0</v>
      </c>
      <c r="DF6" s="206">
        <f t="shared" si="48"/>
        <v>0</v>
      </c>
      <c r="DG6" s="206">
        <f t="shared" si="48"/>
        <v>0</v>
      </c>
      <c r="DH6" s="206">
        <f t="shared" si="48"/>
        <v>0</v>
      </c>
      <c r="DI6" s="206">
        <f t="shared" si="48"/>
        <v>0</v>
      </c>
      <c r="DJ6" s="206">
        <f t="shared" si="48"/>
        <v>0</v>
      </c>
      <c r="DK6" s="206">
        <f t="shared" si="48"/>
        <v>0</v>
      </c>
      <c r="DL6" s="206">
        <f t="shared" si="48"/>
        <v>0</v>
      </c>
      <c r="DM6" s="206">
        <f t="shared" si="48"/>
        <v>0</v>
      </c>
      <c r="DN6" s="206">
        <f t="shared" si="48"/>
        <v>0</v>
      </c>
      <c r="DO6" s="206">
        <f t="shared" si="48"/>
        <v>0</v>
      </c>
      <c r="DP6" s="206">
        <f t="shared" si="48"/>
        <v>0</v>
      </c>
      <c r="DQ6" s="206">
        <f t="shared" si="48"/>
        <v>0</v>
      </c>
      <c r="DR6" s="206">
        <f t="shared" si="48"/>
        <v>0</v>
      </c>
      <c r="DS6" s="206">
        <f t="shared" si="48"/>
        <v>0</v>
      </c>
      <c r="DT6" s="206">
        <f t="shared" si="48"/>
        <v>0</v>
      </c>
      <c r="DU6" s="206">
        <f t="shared" si="48"/>
        <v>0</v>
      </c>
      <c r="DV6" s="206">
        <f t="shared" si="48"/>
        <v>0</v>
      </c>
      <c r="DW6" s="206">
        <f t="shared" si="48"/>
        <v>0</v>
      </c>
      <c r="DX6" s="206">
        <f t="shared" si="48"/>
        <v>0</v>
      </c>
      <c r="DY6" s="206">
        <f t="shared" si="48"/>
        <v>0</v>
      </c>
      <c r="DZ6" s="206">
        <f t="shared" si="48"/>
        <v>0</v>
      </c>
      <c r="EA6" s="206">
        <f t="shared" si="48"/>
        <v>0</v>
      </c>
      <c r="EB6" s="206">
        <f t="shared" ref="EB6:GM6" si="49">EB30*EB33+EB43*EB46+EB56*EB59+EB69*EB72+EB82*EB85+EB95*EB98+EB108*EB111+EB121*EB124+EB134*EB137+EB147*EB150+EB160*EB163+EB173*EB176+EB186*EB189</f>
        <v>27.058377481256748</v>
      </c>
      <c r="EC6" s="206">
        <f t="shared" si="49"/>
        <v>0</v>
      </c>
      <c r="ED6" s="206">
        <f t="shared" si="49"/>
        <v>27.698273947736222</v>
      </c>
      <c r="EE6" s="206">
        <f t="shared" si="49"/>
        <v>0</v>
      </c>
      <c r="EF6" s="206">
        <f t="shared" si="49"/>
        <v>0</v>
      </c>
      <c r="EG6" s="206">
        <f t="shared" si="49"/>
        <v>0</v>
      </c>
      <c r="EH6" s="206">
        <f t="shared" si="49"/>
        <v>0</v>
      </c>
      <c r="EI6" s="206">
        <f t="shared" si="49"/>
        <v>29.227690946259976</v>
      </c>
      <c r="EJ6" s="206">
        <f t="shared" si="49"/>
        <v>0</v>
      </c>
      <c r="EK6" s="206">
        <f t="shared" si="49"/>
        <v>29.893754548095202</v>
      </c>
      <c r="EL6" s="206">
        <f t="shared" si="49"/>
        <v>0</v>
      </c>
      <c r="EM6" s="206">
        <f t="shared" si="49"/>
        <v>0</v>
      </c>
      <c r="EN6" s="206">
        <f t="shared" si="49"/>
        <v>0</v>
      </c>
      <c r="EO6" s="206">
        <f t="shared" si="49"/>
        <v>0</v>
      </c>
      <c r="EP6" s="206">
        <f t="shared" si="49"/>
        <v>31.474866493994252</v>
      </c>
      <c r="EQ6" s="206">
        <f t="shared" si="49"/>
        <v>0</v>
      </c>
      <c r="ER6" s="206">
        <f t="shared" si="49"/>
        <v>32.226504947349824</v>
      </c>
      <c r="ES6" s="206">
        <f t="shared" si="49"/>
        <v>0</v>
      </c>
      <c r="ET6" s="206">
        <f t="shared" si="49"/>
        <v>0</v>
      </c>
      <c r="EU6" s="206">
        <f t="shared" si="49"/>
        <v>0</v>
      </c>
      <c r="EV6" s="206">
        <f t="shared" si="49"/>
        <v>0</v>
      </c>
      <c r="EW6" s="206">
        <f t="shared" si="49"/>
        <v>34.040808411820578</v>
      </c>
      <c r="EX6" s="206">
        <f t="shared" si="49"/>
        <v>0</v>
      </c>
      <c r="EY6" s="206">
        <f t="shared" si="49"/>
        <v>34.573444107072696</v>
      </c>
      <c r="EZ6" s="206">
        <f t="shared" si="49"/>
        <v>0</v>
      </c>
      <c r="FA6" s="206">
        <f t="shared" si="49"/>
        <v>0</v>
      </c>
      <c r="FB6" s="206">
        <f t="shared" si="49"/>
        <v>0</v>
      </c>
      <c r="FC6" s="206">
        <f t="shared" si="49"/>
        <v>0</v>
      </c>
      <c r="FD6" s="206">
        <f t="shared" si="49"/>
        <v>0</v>
      </c>
      <c r="FE6" s="206">
        <f t="shared" si="49"/>
        <v>0</v>
      </c>
      <c r="FF6" s="206">
        <f t="shared" si="49"/>
        <v>0</v>
      </c>
      <c r="FG6" s="206">
        <f t="shared" si="49"/>
        <v>0</v>
      </c>
      <c r="FH6" s="206">
        <f t="shared" si="49"/>
        <v>0</v>
      </c>
      <c r="FI6" s="206">
        <f t="shared" si="49"/>
        <v>0</v>
      </c>
      <c r="FJ6" s="206">
        <f t="shared" si="49"/>
        <v>0</v>
      </c>
      <c r="FK6" s="206">
        <f t="shared" si="49"/>
        <v>0</v>
      </c>
      <c r="FL6" s="206">
        <f t="shared" si="49"/>
        <v>0</v>
      </c>
      <c r="FM6" s="206">
        <f t="shared" si="49"/>
        <v>0</v>
      </c>
      <c r="FN6" s="206">
        <f t="shared" si="49"/>
        <v>0</v>
      </c>
      <c r="FO6" s="206">
        <f t="shared" si="49"/>
        <v>0</v>
      </c>
      <c r="FP6" s="206">
        <f t="shared" si="49"/>
        <v>0</v>
      </c>
      <c r="FQ6" s="206">
        <f t="shared" si="49"/>
        <v>0</v>
      </c>
      <c r="FR6" s="206">
        <f t="shared" si="49"/>
        <v>0</v>
      </c>
      <c r="FS6" s="206">
        <f t="shared" si="49"/>
        <v>0</v>
      </c>
      <c r="FT6" s="206">
        <f t="shared" si="49"/>
        <v>0</v>
      </c>
      <c r="FU6" s="206">
        <f t="shared" si="49"/>
        <v>0</v>
      </c>
      <c r="FV6" s="206">
        <f t="shared" si="49"/>
        <v>0</v>
      </c>
      <c r="FW6" s="206">
        <f t="shared" si="49"/>
        <v>0</v>
      </c>
      <c r="FX6" s="206">
        <f t="shared" si="49"/>
        <v>0</v>
      </c>
      <c r="FY6" s="206">
        <f t="shared" si="49"/>
        <v>0</v>
      </c>
      <c r="FZ6" s="206">
        <f t="shared" si="49"/>
        <v>0</v>
      </c>
      <c r="GA6" s="206">
        <f t="shared" si="49"/>
        <v>27.058377481256748</v>
      </c>
      <c r="GB6" s="206">
        <f t="shared" si="49"/>
        <v>0</v>
      </c>
      <c r="GC6" s="206">
        <f t="shared" si="49"/>
        <v>27.698273947736222</v>
      </c>
      <c r="GD6" s="206">
        <f t="shared" si="49"/>
        <v>0</v>
      </c>
      <c r="GE6" s="206">
        <f t="shared" si="49"/>
        <v>0</v>
      </c>
      <c r="GF6" s="206">
        <f t="shared" si="49"/>
        <v>0</v>
      </c>
      <c r="GG6" s="206">
        <f t="shared" si="49"/>
        <v>0</v>
      </c>
      <c r="GH6" s="206">
        <f t="shared" si="49"/>
        <v>29.227690946259976</v>
      </c>
      <c r="GI6" s="206">
        <f t="shared" si="49"/>
        <v>0</v>
      </c>
      <c r="GJ6" s="206">
        <f t="shared" si="49"/>
        <v>29.893754548095202</v>
      </c>
      <c r="GK6" s="206">
        <f t="shared" si="49"/>
        <v>0</v>
      </c>
      <c r="GL6" s="206">
        <f t="shared" si="49"/>
        <v>0</v>
      </c>
      <c r="GM6" s="206">
        <f t="shared" si="49"/>
        <v>0</v>
      </c>
      <c r="GN6" s="206">
        <f t="shared" ref="GN6:IY6" si="50">GN30*GN33+GN43*GN46+GN56*GN59+GN69*GN72+GN82*GN85+GN95*GN98+GN108*GN111+GN121*GN124+GN134*GN137+GN147*GN150+GN160*GN163+GN173*GN176+GN186*GN189</f>
        <v>0</v>
      </c>
      <c r="GO6" s="206">
        <f t="shared" si="50"/>
        <v>31.474866493994252</v>
      </c>
      <c r="GP6" s="206">
        <f t="shared" si="50"/>
        <v>0</v>
      </c>
      <c r="GQ6" s="206">
        <f t="shared" si="50"/>
        <v>32.226504947349824</v>
      </c>
      <c r="GR6" s="206">
        <f t="shared" si="50"/>
        <v>0</v>
      </c>
      <c r="GS6" s="206">
        <f t="shared" si="50"/>
        <v>0</v>
      </c>
      <c r="GT6" s="206">
        <f t="shared" si="50"/>
        <v>0</v>
      </c>
      <c r="GU6" s="206">
        <f t="shared" si="50"/>
        <v>0</v>
      </c>
      <c r="GV6" s="206">
        <f t="shared" si="50"/>
        <v>34.040808411820578</v>
      </c>
      <c r="GW6" s="206">
        <f t="shared" si="50"/>
        <v>0</v>
      </c>
      <c r="GX6" s="206">
        <f t="shared" si="50"/>
        <v>34.573444107072696</v>
      </c>
      <c r="GY6" s="206">
        <f t="shared" si="50"/>
        <v>0</v>
      </c>
      <c r="GZ6" s="206">
        <f t="shared" si="50"/>
        <v>0</v>
      </c>
      <c r="HA6" s="206">
        <f t="shared" si="50"/>
        <v>0</v>
      </c>
      <c r="HB6" s="206">
        <f t="shared" si="50"/>
        <v>0</v>
      </c>
      <c r="HC6" s="206">
        <f t="shared" si="50"/>
        <v>0</v>
      </c>
      <c r="HD6" s="206">
        <f t="shared" si="50"/>
        <v>0</v>
      </c>
      <c r="HE6" s="206">
        <f t="shared" si="50"/>
        <v>0</v>
      </c>
      <c r="HF6" s="206">
        <f t="shared" si="50"/>
        <v>0</v>
      </c>
      <c r="HG6" s="206">
        <f t="shared" si="50"/>
        <v>0</v>
      </c>
      <c r="HH6" s="206">
        <f t="shared" si="50"/>
        <v>0</v>
      </c>
      <c r="HI6" s="206">
        <f t="shared" si="50"/>
        <v>0</v>
      </c>
      <c r="HJ6" s="206">
        <f t="shared" si="50"/>
        <v>0</v>
      </c>
      <c r="HK6" s="206">
        <f t="shared" si="50"/>
        <v>0</v>
      </c>
      <c r="HL6" s="206">
        <f t="shared" si="50"/>
        <v>0</v>
      </c>
      <c r="HM6" s="206">
        <f t="shared" si="50"/>
        <v>0</v>
      </c>
      <c r="HN6" s="206">
        <f t="shared" si="50"/>
        <v>0</v>
      </c>
      <c r="HO6" s="206">
        <f t="shared" si="50"/>
        <v>0</v>
      </c>
      <c r="HP6" s="206">
        <f t="shared" si="50"/>
        <v>0</v>
      </c>
      <c r="HQ6" s="206">
        <f t="shared" si="50"/>
        <v>0</v>
      </c>
      <c r="HR6" s="206">
        <f t="shared" si="50"/>
        <v>0</v>
      </c>
      <c r="HS6" s="206">
        <f t="shared" si="50"/>
        <v>0</v>
      </c>
      <c r="HT6" s="206">
        <f t="shared" si="50"/>
        <v>0</v>
      </c>
      <c r="HU6" s="206">
        <f t="shared" si="50"/>
        <v>0</v>
      </c>
      <c r="HV6" s="206">
        <f t="shared" si="50"/>
        <v>0</v>
      </c>
      <c r="HW6" s="206">
        <f t="shared" si="50"/>
        <v>0</v>
      </c>
      <c r="HX6" s="206">
        <f t="shared" si="50"/>
        <v>0</v>
      </c>
      <c r="HY6" s="206">
        <f t="shared" si="50"/>
        <v>0</v>
      </c>
      <c r="HZ6" s="206">
        <f t="shared" si="50"/>
        <v>27.058377481256748</v>
      </c>
      <c r="IA6" s="206">
        <f t="shared" si="50"/>
        <v>0</v>
      </c>
      <c r="IB6" s="206">
        <f t="shared" si="50"/>
        <v>27.698273947736222</v>
      </c>
      <c r="IC6" s="206">
        <f t="shared" si="50"/>
        <v>0</v>
      </c>
      <c r="ID6" s="206">
        <f t="shared" si="50"/>
        <v>0</v>
      </c>
      <c r="IE6" s="206">
        <f t="shared" si="50"/>
        <v>0</v>
      </c>
      <c r="IF6" s="206">
        <f t="shared" si="50"/>
        <v>0</v>
      </c>
      <c r="IG6" s="206">
        <f t="shared" si="50"/>
        <v>29.227690946259976</v>
      </c>
      <c r="IH6" s="206">
        <f t="shared" si="50"/>
        <v>0</v>
      </c>
      <c r="II6" s="206">
        <f t="shared" si="50"/>
        <v>29.893754548095202</v>
      </c>
      <c r="IJ6" s="206">
        <f t="shared" si="50"/>
        <v>0</v>
      </c>
      <c r="IK6" s="206">
        <f t="shared" si="50"/>
        <v>0</v>
      </c>
      <c r="IL6" s="206">
        <f t="shared" si="50"/>
        <v>0</v>
      </c>
      <c r="IM6" s="206">
        <f t="shared" si="50"/>
        <v>0</v>
      </c>
      <c r="IN6" s="206">
        <f t="shared" si="50"/>
        <v>31.474866493994252</v>
      </c>
      <c r="IO6" s="206">
        <f t="shared" si="50"/>
        <v>0</v>
      </c>
      <c r="IP6" s="206">
        <f t="shared" si="50"/>
        <v>32.226504947349824</v>
      </c>
      <c r="IQ6" s="206">
        <f t="shared" si="50"/>
        <v>0</v>
      </c>
      <c r="IR6" s="206">
        <f t="shared" si="50"/>
        <v>0</v>
      </c>
      <c r="IS6" s="206">
        <f t="shared" si="50"/>
        <v>0</v>
      </c>
      <c r="IT6" s="206">
        <f t="shared" si="50"/>
        <v>0</v>
      </c>
      <c r="IU6" s="206">
        <f t="shared" si="50"/>
        <v>34.040808411820578</v>
      </c>
      <c r="IV6" s="206">
        <f t="shared" si="50"/>
        <v>0</v>
      </c>
      <c r="IW6" s="206">
        <f t="shared" si="50"/>
        <v>34.573444107072696</v>
      </c>
      <c r="IX6" s="206">
        <f t="shared" si="50"/>
        <v>0</v>
      </c>
      <c r="IY6" s="206">
        <f t="shared" si="50"/>
        <v>0</v>
      </c>
      <c r="IZ6" s="206">
        <f t="shared" ref="IZ6:LK6" si="51">IZ30*IZ33+IZ43*IZ46+IZ56*IZ59+IZ69*IZ72+IZ82*IZ85+IZ95*IZ98+IZ108*IZ111+IZ121*IZ124+IZ134*IZ137+IZ147*IZ150+IZ160*IZ163+IZ173*IZ176+IZ186*IZ189</f>
        <v>0</v>
      </c>
      <c r="JA6" s="206">
        <f t="shared" si="51"/>
        <v>0</v>
      </c>
      <c r="JB6" s="206">
        <f t="shared" si="51"/>
        <v>0</v>
      </c>
      <c r="JC6" s="206">
        <f t="shared" si="51"/>
        <v>0</v>
      </c>
      <c r="JD6" s="206">
        <f t="shared" si="51"/>
        <v>0</v>
      </c>
      <c r="JE6" s="206">
        <f t="shared" si="51"/>
        <v>0</v>
      </c>
      <c r="JF6" s="206">
        <f t="shared" si="51"/>
        <v>0</v>
      </c>
      <c r="JG6" s="206">
        <f t="shared" si="51"/>
        <v>0</v>
      </c>
      <c r="JH6" s="206">
        <f t="shared" si="51"/>
        <v>0</v>
      </c>
      <c r="JI6" s="206">
        <f t="shared" si="51"/>
        <v>0</v>
      </c>
      <c r="JJ6" s="206">
        <f t="shared" si="51"/>
        <v>0</v>
      </c>
      <c r="JK6" s="206">
        <f t="shared" si="51"/>
        <v>0</v>
      </c>
      <c r="JL6" s="206">
        <f t="shared" si="51"/>
        <v>0</v>
      </c>
      <c r="JM6" s="206">
        <f t="shared" si="51"/>
        <v>0</v>
      </c>
      <c r="JN6" s="206">
        <f t="shared" si="51"/>
        <v>0</v>
      </c>
      <c r="JO6" s="206">
        <f t="shared" si="51"/>
        <v>0</v>
      </c>
      <c r="JP6" s="206">
        <f t="shared" si="51"/>
        <v>0</v>
      </c>
      <c r="JQ6" s="206">
        <f t="shared" si="51"/>
        <v>0</v>
      </c>
      <c r="JR6" s="206">
        <f t="shared" si="51"/>
        <v>0</v>
      </c>
      <c r="JS6" s="206">
        <f t="shared" si="51"/>
        <v>0</v>
      </c>
      <c r="JT6" s="206">
        <f t="shared" si="51"/>
        <v>0</v>
      </c>
      <c r="JU6" s="206">
        <f t="shared" si="51"/>
        <v>0</v>
      </c>
      <c r="JV6" s="206">
        <f t="shared" si="51"/>
        <v>0</v>
      </c>
      <c r="JW6" s="206">
        <f t="shared" si="51"/>
        <v>0</v>
      </c>
      <c r="JX6" s="206">
        <f t="shared" si="51"/>
        <v>0</v>
      </c>
      <c r="JY6" s="206">
        <f t="shared" si="51"/>
        <v>27.058377481256748</v>
      </c>
      <c r="JZ6" s="206">
        <f t="shared" si="51"/>
        <v>0</v>
      </c>
      <c r="KA6" s="206">
        <f t="shared" si="51"/>
        <v>27.698273947736222</v>
      </c>
      <c r="KB6" s="206">
        <f t="shared" si="51"/>
        <v>0</v>
      </c>
      <c r="KC6" s="206">
        <f t="shared" si="51"/>
        <v>0</v>
      </c>
      <c r="KD6" s="206">
        <f t="shared" si="51"/>
        <v>0</v>
      </c>
      <c r="KE6" s="206">
        <f t="shared" si="51"/>
        <v>0</v>
      </c>
      <c r="KF6" s="206">
        <f t="shared" si="51"/>
        <v>29.227690946259976</v>
      </c>
      <c r="KG6" s="206">
        <f t="shared" si="51"/>
        <v>0</v>
      </c>
      <c r="KH6" s="206">
        <f t="shared" si="51"/>
        <v>29.893754548095202</v>
      </c>
      <c r="KI6" s="206">
        <f t="shared" si="51"/>
        <v>0</v>
      </c>
      <c r="KJ6" s="206">
        <f t="shared" si="51"/>
        <v>0</v>
      </c>
      <c r="KK6" s="206">
        <f t="shared" si="51"/>
        <v>0</v>
      </c>
      <c r="KL6" s="206">
        <f t="shared" si="51"/>
        <v>0</v>
      </c>
      <c r="KM6" s="206">
        <f t="shared" si="51"/>
        <v>31.474866493994252</v>
      </c>
      <c r="KN6" s="206">
        <f t="shared" si="51"/>
        <v>0</v>
      </c>
      <c r="KO6" s="206">
        <f t="shared" si="51"/>
        <v>32.226504947349824</v>
      </c>
      <c r="KP6" s="206">
        <f t="shared" si="51"/>
        <v>0</v>
      </c>
      <c r="KQ6" s="206">
        <f t="shared" si="51"/>
        <v>0</v>
      </c>
      <c r="KR6" s="206">
        <f t="shared" si="51"/>
        <v>0</v>
      </c>
      <c r="KS6" s="206">
        <f t="shared" si="51"/>
        <v>0</v>
      </c>
      <c r="KT6" s="206">
        <f t="shared" si="51"/>
        <v>34.040808411820578</v>
      </c>
      <c r="KU6" s="206">
        <f t="shared" si="51"/>
        <v>0</v>
      </c>
      <c r="KV6" s="206">
        <f t="shared" si="51"/>
        <v>34.573444107072696</v>
      </c>
      <c r="KW6" s="206">
        <f t="shared" si="51"/>
        <v>0</v>
      </c>
      <c r="KX6" s="206">
        <f t="shared" si="51"/>
        <v>0</v>
      </c>
      <c r="KY6" s="206">
        <f t="shared" si="51"/>
        <v>0</v>
      </c>
      <c r="KZ6" s="206">
        <f t="shared" si="51"/>
        <v>0</v>
      </c>
      <c r="LA6" s="206">
        <f t="shared" si="51"/>
        <v>0</v>
      </c>
      <c r="LB6" s="206">
        <f t="shared" si="51"/>
        <v>0</v>
      </c>
      <c r="LC6" s="206">
        <f t="shared" si="51"/>
        <v>0</v>
      </c>
      <c r="LD6" s="206">
        <f t="shared" si="51"/>
        <v>0</v>
      </c>
      <c r="LE6" s="206">
        <f t="shared" si="51"/>
        <v>0</v>
      </c>
      <c r="LF6" s="206">
        <f t="shared" si="51"/>
        <v>0</v>
      </c>
      <c r="LG6" s="206">
        <f t="shared" si="51"/>
        <v>0</v>
      </c>
      <c r="LH6" s="206">
        <f t="shared" si="51"/>
        <v>0</v>
      </c>
      <c r="LI6" s="206">
        <f t="shared" si="51"/>
        <v>0</v>
      </c>
      <c r="LJ6" s="206">
        <f t="shared" si="51"/>
        <v>0</v>
      </c>
      <c r="LK6" s="206">
        <f t="shared" si="51"/>
        <v>0</v>
      </c>
      <c r="LL6" s="206">
        <f t="shared" ref="LL6:NW6" si="52">LL30*LL33+LL43*LL46+LL56*LL59+LL69*LL72+LL82*LL85+LL95*LL98+LL108*LL111+LL121*LL124+LL134*LL137+LL147*LL150+LL160*LL163+LL173*LL176+LL186*LL189</f>
        <v>0</v>
      </c>
      <c r="LM6" s="206">
        <f t="shared" si="52"/>
        <v>0</v>
      </c>
      <c r="LN6" s="206">
        <f t="shared" si="52"/>
        <v>0</v>
      </c>
      <c r="LO6" s="206">
        <f t="shared" si="52"/>
        <v>0</v>
      </c>
      <c r="LP6" s="206">
        <f t="shared" si="52"/>
        <v>0</v>
      </c>
      <c r="LQ6" s="206">
        <f t="shared" si="52"/>
        <v>0</v>
      </c>
      <c r="LR6" s="206">
        <f t="shared" si="52"/>
        <v>0</v>
      </c>
      <c r="LS6" s="206">
        <f t="shared" si="52"/>
        <v>0</v>
      </c>
      <c r="LT6" s="206">
        <f t="shared" si="52"/>
        <v>0</v>
      </c>
      <c r="LU6" s="206">
        <f t="shared" si="52"/>
        <v>0</v>
      </c>
      <c r="LV6" s="206">
        <f t="shared" si="52"/>
        <v>0</v>
      </c>
      <c r="LW6" s="206">
        <f t="shared" si="52"/>
        <v>0</v>
      </c>
      <c r="LX6" s="206">
        <f t="shared" si="52"/>
        <v>27.058377481256748</v>
      </c>
      <c r="LY6" s="206">
        <f t="shared" si="52"/>
        <v>0</v>
      </c>
      <c r="LZ6" s="206">
        <f t="shared" si="52"/>
        <v>27.698273947736222</v>
      </c>
      <c r="MA6" s="206">
        <f t="shared" si="52"/>
        <v>0</v>
      </c>
      <c r="MB6" s="206">
        <f t="shared" si="52"/>
        <v>0</v>
      </c>
      <c r="MC6" s="206">
        <f t="shared" si="52"/>
        <v>0</v>
      </c>
      <c r="MD6" s="206">
        <f t="shared" si="52"/>
        <v>0</v>
      </c>
      <c r="ME6" s="206">
        <f t="shared" si="52"/>
        <v>29.227690946259976</v>
      </c>
      <c r="MF6" s="206">
        <f t="shared" si="52"/>
        <v>0</v>
      </c>
      <c r="MG6" s="206">
        <f t="shared" si="52"/>
        <v>29.893754548095202</v>
      </c>
      <c r="MH6" s="206">
        <f t="shared" si="52"/>
        <v>0</v>
      </c>
      <c r="MI6" s="206">
        <f t="shared" si="52"/>
        <v>0</v>
      </c>
      <c r="MJ6" s="206">
        <f t="shared" si="52"/>
        <v>0</v>
      </c>
      <c r="MK6" s="206">
        <f t="shared" si="52"/>
        <v>0</v>
      </c>
      <c r="ML6" s="206">
        <f t="shared" si="52"/>
        <v>31.474866493994252</v>
      </c>
      <c r="MM6" s="206">
        <f t="shared" si="52"/>
        <v>0</v>
      </c>
      <c r="MN6" s="206">
        <f t="shared" si="52"/>
        <v>32.226504947349824</v>
      </c>
      <c r="MO6" s="206">
        <f t="shared" si="52"/>
        <v>0</v>
      </c>
      <c r="MP6" s="206">
        <f t="shared" si="52"/>
        <v>0</v>
      </c>
      <c r="MQ6" s="206">
        <f t="shared" si="52"/>
        <v>0</v>
      </c>
      <c r="MR6" s="206">
        <f t="shared" si="52"/>
        <v>0</v>
      </c>
      <c r="MS6" s="206">
        <f t="shared" si="52"/>
        <v>34.040808411820578</v>
      </c>
      <c r="MT6" s="206">
        <f t="shared" si="52"/>
        <v>0</v>
      </c>
      <c r="MU6" s="206">
        <f t="shared" si="52"/>
        <v>34.573444107072696</v>
      </c>
      <c r="MV6" s="206">
        <f t="shared" si="52"/>
        <v>0</v>
      </c>
      <c r="MW6" s="206">
        <f t="shared" si="52"/>
        <v>0</v>
      </c>
      <c r="MX6" s="206">
        <f t="shared" si="52"/>
        <v>0</v>
      </c>
      <c r="MY6" s="206">
        <f t="shared" si="52"/>
        <v>0</v>
      </c>
      <c r="MZ6" s="206">
        <f t="shared" si="52"/>
        <v>0</v>
      </c>
      <c r="NA6" s="206">
        <f t="shared" si="52"/>
        <v>0</v>
      </c>
      <c r="NB6" s="206">
        <f t="shared" si="52"/>
        <v>0</v>
      </c>
      <c r="NC6" s="206">
        <f t="shared" si="52"/>
        <v>0</v>
      </c>
      <c r="ND6" s="206">
        <f t="shared" si="52"/>
        <v>0</v>
      </c>
      <c r="NE6" s="206">
        <f t="shared" si="52"/>
        <v>0</v>
      </c>
      <c r="NF6" s="206">
        <f t="shared" si="52"/>
        <v>0</v>
      </c>
      <c r="NG6" s="206">
        <f t="shared" si="52"/>
        <v>0</v>
      </c>
      <c r="NH6" s="206">
        <f t="shared" si="52"/>
        <v>0</v>
      </c>
      <c r="NI6" s="206">
        <f t="shared" si="52"/>
        <v>0</v>
      </c>
      <c r="NJ6" s="206">
        <f t="shared" si="52"/>
        <v>0</v>
      </c>
      <c r="NK6" s="206">
        <f t="shared" si="52"/>
        <v>0</v>
      </c>
      <c r="NL6" s="206">
        <f t="shared" si="52"/>
        <v>0</v>
      </c>
      <c r="NM6" s="206">
        <f t="shared" si="52"/>
        <v>0</v>
      </c>
      <c r="NN6" s="206">
        <f t="shared" si="52"/>
        <v>0</v>
      </c>
      <c r="NO6" s="206">
        <f t="shared" si="52"/>
        <v>0</v>
      </c>
      <c r="NP6" s="206">
        <f t="shared" si="52"/>
        <v>0</v>
      </c>
      <c r="NQ6" s="206">
        <f t="shared" si="52"/>
        <v>0</v>
      </c>
      <c r="NR6" s="206">
        <f t="shared" si="52"/>
        <v>0</v>
      </c>
      <c r="NS6" s="206">
        <f t="shared" si="52"/>
        <v>0</v>
      </c>
      <c r="NT6" s="206">
        <f t="shared" si="52"/>
        <v>0</v>
      </c>
      <c r="NU6" s="206">
        <f t="shared" si="52"/>
        <v>0</v>
      </c>
      <c r="NV6" s="206">
        <f t="shared" si="52"/>
        <v>0</v>
      </c>
      <c r="NW6" s="206">
        <f t="shared" si="52"/>
        <v>27.058377481256748</v>
      </c>
      <c r="NX6" s="206">
        <f t="shared" ref="NX6:QI6" si="53">NX30*NX33+NX43*NX46+NX56*NX59+NX69*NX72+NX82*NX85+NX95*NX98+NX108*NX111+NX121*NX124+NX134*NX137+NX147*NX150+NX160*NX163+NX173*NX176+NX186*NX189</f>
        <v>0</v>
      </c>
      <c r="NY6" s="206">
        <f t="shared" si="53"/>
        <v>27.698273947736222</v>
      </c>
      <c r="NZ6" s="206">
        <f t="shared" si="53"/>
        <v>0</v>
      </c>
      <c r="OA6" s="206">
        <f t="shared" si="53"/>
        <v>0</v>
      </c>
      <c r="OB6" s="206">
        <f t="shared" si="53"/>
        <v>0</v>
      </c>
      <c r="OC6" s="206">
        <f t="shared" si="53"/>
        <v>0</v>
      </c>
      <c r="OD6" s="206">
        <f t="shared" si="53"/>
        <v>29.227690946259976</v>
      </c>
      <c r="OE6" s="206">
        <f t="shared" si="53"/>
        <v>0</v>
      </c>
      <c r="OF6" s="206">
        <f t="shared" si="53"/>
        <v>29.893754548095202</v>
      </c>
      <c r="OG6" s="206">
        <f t="shared" si="53"/>
        <v>0</v>
      </c>
      <c r="OH6" s="206">
        <f t="shared" si="53"/>
        <v>0</v>
      </c>
      <c r="OI6" s="206">
        <f t="shared" si="53"/>
        <v>0</v>
      </c>
      <c r="OJ6" s="206">
        <f t="shared" si="53"/>
        <v>0</v>
      </c>
      <c r="OK6" s="206">
        <f t="shared" si="53"/>
        <v>31.474866493994252</v>
      </c>
      <c r="OL6" s="206">
        <f t="shared" si="53"/>
        <v>0</v>
      </c>
      <c r="OM6" s="206">
        <f t="shared" si="53"/>
        <v>32.226504947349824</v>
      </c>
      <c r="ON6" s="206">
        <f t="shared" si="53"/>
        <v>0</v>
      </c>
      <c r="OO6" s="206">
        <f t="shared" si="53"/>
        <v>0</v>
      </c>
      <c r="OP6" s="206">
        <f t="shared" si="53"/>
        <v>0</v>
      </c>
      <c r="OQ6" s="206">
        <f t="shared" si="53"/>
        <v>0</v>
      </c>
      <c r="OR6" s="206">
        <f t="shared" si="53"/>
        <v>34.040808411820578</v>
      </c>
      <c r="OS6" s="206">
        <f t="shared" si="53"/>
        <v>0</v>
      </c>
      <c r="OT6" s="206">
        <f t="shared" si="53"/>
        <v>34.573444107072696</v>
      </c>
      <c r="OU6" s="206">
        <f t="shared" si="53"/>
        <v>0</v>
      </c>
      <c r="OV6" s="206">
        <f t="shared" si="53"/>
        <v>0</v>
      </c>
      <c r="OW6" s="206">
        <f t="shared" si="53"/>
        <v>0</v>
      </c>
      <c r="OX6" s="206">
        <f t="shared" si="53"/>
        <v>0</v>
      </c>
      <c r="OY6" s="206">
        <f t="shared" si="53"/>
        <v>0</v>
      </c>
      <c r="OZ6" s="206">
        <f t="shared" si="53"/>
        <v>0</v>
      </c>
      <c r="PA6" s="206">
        <f t="shared" si="53"/>
        <v>0</v>
      </c>
      <c r="PB6" s="206">
        <f t="shared" si="53"/>
        <v>0</v>
      </c>
      <c r="PC6" s="206">
        <f t="shared" si="53"/>
        <v>0</v>
      </c>
      <c r="PD6" s="206">
        <f t="shared" si="53"/>
        <v>0</v>
      </c>
      <c r="PE6" s="206">
        <f t="shared" si="53"/>
        <v>0</v>
      </c>
      <c r="PF6" s="206">
        <f t="shared" si="53"/>
        <v>0</v>
      </c>
      <c r="PG6" s="206">
        <f t="shared" si="53"/>
        <v>0</v>
      </c>
      <c r="PH6" s="206">
        <f t="shared" si="53"/>
        <v>0</v>
      </c>
      <c r="PI6" s="206">
        <f t="shared" si="53"/>
        <v>0</v>
      </c>
      <c r="PJ6" s="206">
        <f t="shared" si="53"/>
        <v>0</v>
      </c>
      <c r="PK6" s="206">
        <f t="shared" si="53"/>
        <v>0</v>
      </c>
      <c r="PL6" s="206">
        <f t="shared" si="53"/>
        <v>0</v>
      </c>
      <c r="PM6" s="206">
        <f t="shared" si="53"/>
        <v>0</v>
      </c>
      <c r="PN6" s="206">
        <f t="shared" si="53"/>
        <v>0</v>
      </c>
      <c r="PO6" s="206">
        <f t="shared" si="53"/>
        <v>0</v>
      </c>
      <c r="PP6" s="206">
        <f t="shared" si="53"/>
        <v>0</v>
      </c>
      <c r="PQ6" s="206">
        <f t="shared" si="53"/>
        <v>0</v>
      </c>
      <c r="PR6" s="206">
        <f t="shared" si="53"/>
        <v>0</v>
      </c>
      <c r="PS6" s="206">
        <f t="shared" si="53"/>
        <v>0</v>
      </c>
      <c r="PT6" s="206">
        <f t="shared" si="53"/>
        <v>0</v>
      </c>
      <c r="PU6" s="206">
        <f t="shared" si="53"/>
        <v>0</v>
      </c>
      <c r="PV6" s="206">
        <f t="shared" si="53"/>
        <v>27.058377481256748</v>
      </c>
      <c r="PW6" s="206">
        <f t="shared" si="53"/>
        <v>0</v>
      </c>
      <c r="PX6" s="206">
        <f t="shared" si="53"/>
        <v>27.698273947736222</v>
      </c>
      <c r="PY6" s="206">
        <f t="shared" si="53"/>
        <v>0</v>
      </c>
      <c r="PZ6" s="206">
        <f t="shared" si="53"/>
        <v>0</v>
      </c>
      <c r="QA6" s="206">
        <f t="shared" si="53"/>
        <v>0</v>
      </c>
      <c r="QB6" s="206">
        <f t="shared" si="53"/>
        <v>0</v>
      </c>
      <c r="QC6" s="206">
        <f t="shared" si="53"/>
        <v>29.227690946259976</v>
      </c>
      <c r="QD6" s="206">
        <f t="shared" si="53"/>
        <v>0</v>
      </c>
      <c r="QE6" s="206">
        <f t="shared" si="53"/>
        <v>29.893754548095202</v>
      </c>
      <c r="QF6" s="206">
        <f t="shared" si="53"/>
        <v>0</v>
      </c>
      <c r="QG6" s="206">
        <f t="shared" si="53"/>
        <v>0</v>
      </c>
      <c r="QH6" s="206">
        <f t="shared" si="53"/>
        <v>0</v>
      </c>
      <c r="QI6" s="206">
        <f t="shared" si="53"/>
        <v>0</v>
      </c>
      <c r="QJ6" s="206">
        <f t="shared" ref="QJ6:SU6" si="54">QJ30*QJ33+QJ43*QJ46+QJ56*QJ59+QJ69*QJ72+QJ82*QJ85+QJ95*QJ98+QJ108*QJ111+QJ121*QJ124+QJ134*QJ137+QJ147*QJ150+QJ160*QJ163+QJ173*QJ176+QJ186*QJ189</f>
        <v>31.474866493994252</v>
      </c>
      <c r="QK6" s="206">
        <f t="shared" si="54"/>
        <v>0</v>
      </c>
      <c r="QL6" s="206">
        <f t="shared" si="54"/>
        <v>32.226504947349824</v>
      </c>
      <c r="QM6" s="206">
        <f t="shared" si="54"/>
        <v>0</v>
      </c>
      <c r="QN6" s="206">
        <f t="shared" si="54"/>
        <v>0</v>
      </c>
      <c r="QO6" s="206">
        <f t="shared" si="54"/>
        <v>0</v>
      </c>
      <c r="QP6" s="206">
        <f t="shared" si="54"/>
        <v>0</v>
      </c>
      <c r="QQ6" s="206">
        <f t="shared" si="54"/>
        <v>34.040808411820578</v>
      </c>
      <c r="QR6" s="206">
        <f t="shared" si="54"/>
        <v>0</v>
      </c>
      <c r="QS6" s="206">
        <f t="shared" si="54"/>
        <v>34.573444107072696</v>
      </c>
      <c r="QT6" s="206">
        <f t="shared" si="54"/>
        <v>0</v>
      </c>
      <c r="QU6" s="206">
        <f t="shared" si="54"/>
        <v>0</v>
      </c>
      <c r="QV6" s="206">
        <f t="shared" si="54"/>
        <v>0</v>
      </c>
      <c r="QW6" s="206">
        <f t="shared" si="54"/>
        <v>0</v>
      </c>
      <c r="QX6" s="206">
        <f t="shared" si="54"/>
        <v>0</v>
      </c>
      <c r="QY6" s="206">
        <f t="shared" si="54"/>
        <v>0</v>
      </c>
      <c r="QZ6" s="206">
        <f t="shared" si="54"/>
        <v>0</v>
      </c>
      <c r="RA6" s="206">
        <f t="shared" si="54"/>
        <v>0</v>
      </c>
      <c r="RB6" s="206">
        <f t="shared" si="54"/>
        <v>0</v>
      </c>
      <c r="RC6" s="206">
        <f t="shared" si="54"/>
        <v>0</v>
      </c>
      <c r="RD6" s="206">
        <f t="shared" si="54"/>
        <v>0</v>
      </c>
      <c r="RE6" s="206">
        <f t="shared" si="54"/>
        <v>0</v>
      </c>
      <c r="RF6" s="206">
        <f t="shared" si="54"/>
        <v>0</v>
      </c>
      <c r="RG6" s="206">
        <f t="shared" si="54"/>
        <v>0</v>
      </c>
      <c r="RH6" s="206">
        <f t="shared" si="54"/>
        <v>0</v>
      </c>
      <c r="RI6" s="206">
        <f t="shared" si="54"/>
        <v>0</v>
      </c>
      <c r="RJ6" s="206">
        <f t="shared" si="54"/>
        <v>0</v>
      </c>
      <c r="RK6" s="206">
        <f t="shared" si="54"/>
        <v>0</v>
      </c>
      <c r="RL6" s="206">
        <f t="shared" si="54"/>
        <v>0</v>
      </c>
      <c r="RM6" s="206">
        <f t="shared" si="54"/>
        <v>0</v>
      </c>
      <c r="RN6" s="206">
        <f t="shared" si="54"/>
        <v>0</v>
      </c>
      <c r="RO6" s="206">
        <f t="shared" si="54"/>
        <v>0</v>
      </c>
      <c r="RP6" s="206">
        <f t="shared" si="54"/>
        <v>0</v>
      </c>
      <c r="RQ6" s="206">
        <f t="shared" si="54"/>
        <v>0</v>
      </c>
      <c r="RR6" s="206">
        <f t="shared" si="54"/>
        <v>0</v>
      </c>
      <c r="RS6" s="206">
        <f t="shared" si="54"/>
        <v>0</v>
      </c>
      <c r="RT6" s="206">
        <f t="shared" si="54"/>
        <v>0</v>
      </c>
      <c r="RU6" s="206">
        <f t="shared" si="54"/>
        <v>27.058377481256748</v>
      </c>
      <c r="RV6" s="206">
        <f t="shared" si="54"/>
        <v>0</v>
      </c>
      <c r="RW6" s="206">
        <f t="shared" si="54"/>
        <v>27.698273947736222</v>
      </c>
      <c r="RX6" s="206">
        <f t="shared" si="54"/>
        <v>0</v>
      </c>
      <c r="RY6" s="206">
        <f t="shared" si="54"/>
        <v>0</v>
      </c>
      <c r="RZ6" s="206">
        <f t="shared" si="54"/>
        <v>0</v>
      </c>
      <c r="SA6" s="206">
        <f t="shared" si="54"/>
        <v>0</v>
      </c>
      <c r="SB6" s="206">
        <f t="shared" si="54"/>
        <v>29.227690946259976</v>
      </c>
      <c r="SC6" s="206">
        <f t="shared" si="54"/>
        <v>0</v>
      </c>
      <c r="SD6" s="206">
        <f t="shared" si="54"/>
        <v>29.893754548095202</v>
      </c>
      <c r="SE6" s="206">
        <f t="shared" si="54"/>
        <v>0</v>
      </c>
      <c r="SF6" s="206">
        <f t="shared" si="54"/>
        <v>0</v>
      </c>
      <c r="SG6" s="206">
        <f t="shared" si="54"/>
        <v>0</v>
      </c>
      <c r="SH6" s="206">
        <f t="shared" si="54"/>
        <v>0</v>
      </c>
      <c r="SI6" s="206">
        <f t="shared" si="54"/>
        <v>31.474866493994252</v>
      </c>
      <c r="SJ6" s="206">
        <f t="shared" si="54"/>
        <v>0</v>
      </c>
      <c r="SK6" s="206">
        <f t="shared" si="54"/>
        <v>32.226504947349824</v>
      </c>
      <c r="SL6" s="206">
        <f t="shared" si="54"/>
        <v>0</v>
      </c>
      <c r="SM6" s="206">
        <f t="shared" si="54"/>
        <v>0</v>
      </c>
      <c r="SN6" s="206">
        <f t="shared" si="54"/>
        <v>0</v>
      </c>
      <c r="SO6" s="206">
        <f t="shared" si="54"/>
        <v>0</v>
      </c>
      <c r="SP6" s="206">
        <f t="shared" si="54"/>
        <v>34.040808411820578</v>
      </c>
      <c r="SQ6" s="206">
        <f t="shared" si="54"/>
        <v>0</v>
      </c>
      <c r="SR6" s="206">
        <f t="shared" si="54"/>
        <v>34.573444107072696</v>
      </c>
      <c r="SS6" s="206">
        <f t="shared" si="54"/>
        <v>0</v>
      </c>
      <c r="ST6" s="206">
        <f t="shared" si="54"/>
        <v>0</v>
      </c>
      <c r="SU6" s="206">
        <f t="shared" si="54"/>
        <v>0</v>
      </c>
      <c r="SV6" s="206">
        <f t="shared" ref="SV6:VG6" si="55">SV30*SV33+SV43*SV46+SV56*SV59+SV69*SV72+SV82*SV85+SV95*SV98+SV108*SV111+SV121*SV124+SV134*SV137+SV147*SV150+SV160*SV163+SV173*SV176+SV186*SV189</f>
        <v>0</v>
      </c>
      <c r="SW6" s="206">
        <f t="shared" si="55"/>
        <v>0</v>
      </c>
      <c r="SX6" s="206">
        <f t="shared" si="55"/>
        <v>0</v>
      </c>
      <c r="SY6" s="206">
        <f t="shared" si="55"/>
        <v>0</v>
      </c>
      <c r="SZ6" s="206">
        <f t="shared" si="55"/>
        <v>0</v>
      </c>
      <c r="TA6" s="206">
        <f t="shared" si="55"/>
        <v>0</v>
      </c>
      <c r="TB6" s="206">
        <f t="shared" si="55"/>
        <v>0</v>
      </c>
      <c r="TC6" s="206">
        <f t="shared" si="55"/>
        <v>0</v>
      </c>
      <c r="TD6" s="206">
        <f t="shared" si="55"/>
        <v>0</v>
      </c>
      <c r="TE6" s="206">
        <f t="shared" si="55"/>
        <v>0</v>
      </c>
      <c r="TF6" s="206">
        <f t="shared" si="55"/>
        <v>0</v>
      </c>
      <c r="TG6" s="206">
        <f t="shared" si="55"/>
        <v>0</v>
      </c>
      <c r="TH6" s="206">
        <f t="shared" si="55"/>
        <v>0</v>
      </c>
      <c r="TI6" s="206">
        <f t="shared" si="55"/>
        <v>0</v>
      </c>
      <c r="TJ6" s="206">
        <f t="shared" si="55"/>
        <v>0</v>
      </c>
      <c r="TK6" s="206">
        <f t="shared" si="55"/>
        <v>0</v>
      </c>
      <c r="TL6" s="206">
        <f t="shared" si="55"/>
        <v>0</v>
      </c>
      <c r="TM6" s="206">
        <f t="shared" si="55"/>
        <v>0</v>
      </c>
      <c r="TN6" s="206">
        <f t="shared" si="55"/>
        <v>0</v>
      </c>
      <c r="TO6" s="206">
        <f t="shared" si="55"/>
        <v>0</v>
      </c>
      <c r="TP6" s="206">
        <f t="shared" si="55"/>
        <v>0</v>
      </c>
      <c r="TQ6" s="206">
        <f t="shared" si="55"/>
        <v>0</v>
      </c>
      <c r="TR6" s="206">
        <f t="shared" si="55"/>
        <v>0</v>
      </c>
      <c r="TS6" s="206">
        <f t="shared" si="55"/>
        <v>0</v>
      </c>
      <c r="TT6" s="206">
        <f t="shared" si="55"/>
        <v>27.058377481256748</v>
      </c>
      <c r="TU6" s="206">
        <f t="shared" si="55"/>
        <v>0</v>
      </c>
      <c r="TV6" s="206">
        <f t="shared" si="55"/>
        <v>27.698273947736222</v>
      </c>
      <c r="TW6" s="206">
        <f t="shared" si="55"/>
        <v>0</v>
      </c>
      <c r="TX6" s="206">
        <f t="shared" si="55"/>
        <v>0</v>
      </c>
      <c r="TY6" s="206">
        <f t="shared" si="55"/>
        <v>0</v>
      </c>
      <c r="TZ6" s="206">
        <f t="shared" si="55"/>
        <v>0</v>
      </c>
      <c r="UA6" s="206">
        <f t="shared" si="55"/>
        <v>29.227690946259976</v>
      </c>
      <c r="UB6" s="206">
        <f t="shared" si="55"/>
        <v>0</v>
      </c>
      <c r="UC6" s="206">
        <f t="shared" si="55"/>
        <v>29.893754548095202</v>
      </c>
      <c r="UD6" s="206">
        <f t="shared" si="55"/>
        <v>0</v>
      </c>
      <c r="UE6" s="206">
        <f t="shared" si="55"/>
        <v>0</v>
      </c>
      <c r="UF6" s="206">
        <f t="shared" si="55"/>
        <v>0</v>
      </c>
      <c r="UG6" s="206">
        <f t="shared" si="55"/>
        <v>0</v>
      </c>
      <c r="UH6" s="206">
        <f t="shared" si="55"/>
        <v>31.474866493994252</v>
      </c>
      <c r="UI6" s="206">
        <f t="shared" si="55"/>
        <v>0</v>
      </c>
      <c r="UJ6" s="206">
        <f t="shared" si="55"/>
        <v>32.226504947349824</v>
      </c>
      <c r="UK6" s="206">
        <f t="shared" si="55"/>
        <v>0</v>
      </c>
      <c r="UL6" s="206">
        <f t="shared" si="55"/>
        <v>0</v>
      </c>
      <c r="UM6" s="206">
        <f t="shared" si="55"/>
        <v>0</v>
      </c>
      <c r="UN6" s="206">
        <f t="shared" si="55"/>
        <v>0</v>
      </c>
      <c r="UO6" s="206">
        <f t="shared" si="55"/>
        <v>34.040808411820578</v>
      </c>
      <c r="UP6" s="206">
        <f t="shared" si="55"/>
        <v>0</v>
      </c>
      <c r="UQ6" s="206">
        <f t="shared" si="55"/>
        <v>34.573444107072696</v>
      </c>
      <c r="UR6" s="206">
        <f t="shared" si="55"/>
        <v>0</v>
      </c>
      <c r="US6" s="206">
        <f t="shared" si="55"/>
        <v>0</v>
      </c>
      <c r="UT6" s="206">
        <f t="shared" si="55"/>
        <v>0</v>
      </c>
      <c r="UU6" s="206">
        <f t="shared" si="55"/>
        <v>0</v>
      </c>
      <c r="UV6" s="206">
        <f t="shared" si="55"/>
        <v>0</v>
      </c>
      <c r="UW6" s="206">
        <f t="shared" si="55"/>
        <v>0</v>
      </c>
      <c r="UX6" s="206">
        <f t="shared" si="55"/>
        <v>0</v>
      </c>
      <c r="UY6" s="206">
        <f t="shared" si="55"/>
        <v>0</v>
      </c>
      <c r="UZ6" s="206">
        <f t="shared" si="55"/>
        <v>0</v>
      </c>
      <c r="VA6" s="206">
        <f t="shared" si="55"/>
        <v>0</v>
      </c>
      <c r="VB6" s="206">
        <f t="shared" si="55"/>
        <v>0</v>
      </c>
      <c r="VC6" s="206">
        <f t="shared" si="55"/>
        <v>0</v>
      </c>
      <c r="VD6" s="206">
        <f t="shared" si="55"/>
        <v>0</v>
      </c>
      <c r="VE6" s="206">
        <f t="shared" si="55"/>
        <v>0</v>
      </c>
      <c r="VF6" s="206">
        <f t="shared" si="55"/>
        <v>0</v>
      </c>
      <c r="VG6" s="206">
        <f t="shared" si="55"/>
        <v>0</v>
      </c>
      <c r="VH6" s="206">
        <f t="shared" ref="VH6:XS6" si="56">VH30*VH33+VH43*VH46+VH56*VH59+VH69*VH72+VH82*VH85+VH95*VH98+VH108*VH111+VH121*VH124+VH134*VH137+VH147*VH150+VH160*VH163+VH173*VH176+VH186*VH189</f>
        <v>0</v>
      </c>
      <c r="VI6" s="206">
        <f t="shared" si="56"/>
        <v>0</v>
      </c>
      <c r="VJ6" s="206">
        <f t="shared" si="56"/>
        <v>0</v>
      </c>
      <c r="VK6" s="206">
        <f t="shared" si="56"/>
        <v>0</v>
      </c>
      <c r="VL6" s="206">
        <f t="shared" si="56"/>
        <v>0</v>
      </c>
      <c r="VM6" s="206">
        <f t="shared" si="56"/>
        <v>0</v>
      </c>
      <c r="VN6" s="206">
        <f t="shared" si="56"/>
        <v>0</v>
      </c>
      <c r="VO6" s="206">
        <f t="shared" si="56"/>
        <v>0</v>
      </c>
      <c r="VP6" s="206">
        <f t="shared" si="56"/>
        <v>0</v>
      </c>
      <c r="VQ6" s="206">
        <f t="shared" si="56"/>
        <v>0</v>
      </c>
      <c r="VR6" s="206">
        <f t="shared" si="56"/>
        <v>0</v>
      </c>
      <c r="VS6" s="206">
        <f t="shared" si="56"/>
        <v>27.058377481256748</v>
      </c>
      <c r="VT6" s="206">
        <f t="shared" si="56"/>
        <v>0</v>
      </c>
      <c r="VU6" s="206">
        <f t="shared" si="56"/>
        <v>27.698273947736222</v>
      </c>
      <c r="VV6" s="206">
        <f t="shared" si="56"/>
        <v>0</v>
      </c>
      <c r="VW6" s="206">
        <f t="shared" si="56"/>
        <v>0</v>
      </c>
      <c r="VX6" s="206">
        <f t="shared" si="56"/>
        <v>0</v>
      </c>
      <c r="VY6" s="206">
        <f t="shared" si="56"/>
        <v>0</v>
      </c>
      <c r="VZ6" s="206">
        <f t="shared" si="56"/>
        <v>29.227690946259976</v>
      </c>
      <c r="WA6" s="206">
        <f t="shared" si="56"/>
        <v>0</v>
      </c>
      <c r="WB6" s="206">
        <f t="shared" si="56"/>
        <v>29.893754548095202</v>
      </c>
      <c r="WC6" s="206">
        <f t="shared" si="56"/>
        <v>0</v>
      </c>
      <c r="WD6" s="206">
        <f t="shared" si="56"/>
        <v>0</v>
      </c>
      <c r="WE6" s="206">
        <f t="shared" si="56"/>
        <v>0</v>
      </c>
      <c r="WF6" s="206">
        <f t="shared" si="56"/>
        <v>0</v>
      </c>
      <c r="WG6" s="206">
        <f t="shared" si="56"/>
        <v>31.474866493994252</v>
      </c>
      <c r="WH6" s="206">
        <f t="shared" si="56"/>
        <v>0</v>
      </c>
      <c r="WI6" s="206">
        <f t="shared" si="56"/>
        <v>32.226504947349824</v>
      </c>
      <c r="WJ6" s="206">
        <f t="shared" si="56"/>
        <v>0</v>
      </c>
      <c r="WK6" s="206">
        <f t="shared" si="56"/>
        <v>0</v>
      </c>
      <c r="WL6" s="206">
        <f t="shared" si="56"/>
        <v>0</v>
      </c>
      <c r="WM6" s="206">
        <f t="shared" si="56"/>
        <v>0</v>
      </c>
      <c r="WN6" s="206">
        <f t="shared" si="56"/>
        <v>34.040808411820578</v>
      </c>
      <c r="WO6" s="206">
        <f t="shared" si="56"/>
        <v>0</v>
      </c>
      <c r="WP6" s="206">
        <f t="shared" si="56"/>
        <v>34.573444107072696</v>
      </c>
      <c r="WQ6" s="206">
        <f t="shared" si="56"/>
        <v>0</v>
      </c>
      <c r="WR6" s="206">
        <f t="shared" si="56"/>
        <v>0</v>
      </c>
      <c r="WS6" s="206">
        <f t="shared" si="56"/>
        <v>0</v>
      </c>
      <c r="WT6" s="206">
        <f t="shared" si="56"/>
        <v>0</v>
      </c>
      <c r="WU6" s="206">
        <f t="shared" si="56"/>
        <v>0</v>
      </c>
      <c r="WV6" s="206">
        <f t="shared" si="56"/>
        <v>0</v>
      </c>
      <c r="WW6" s="206">
        <f t="shared" si="56"/>
        <v>0</v>
      </c>
      <c r="WX6" s="206">
        <f t="shared" si="56"/>
        <v>0</v>
      </c>
      <c r="WY6" s="206">
        <f t="shared" si="56"/>
        <v>0</v>
      </c>
      <c r="WZ6" s="206">
        <f t="shared" si="56"/>
        <v>0</v>
      </c>
      <c r="XA6" s="206">
        <f t="shared" si="56"/>
        <v>0</v>
      </c>
      <c r="XB6" s="206">
        <f t="shared" si="56"/>
        <v>0</v>
      </c>
      <c r="XC6" s="206">
        <f t="shared" si="56"/>
        <v>0</v>
      </c>
      <c r="XD6" s="206">
        <f t="shared" si="56"/>
        <v>0</v>
      </c>
      <c r="XE6" s="206">
        <f t="shared" si="56"/>
        <v>0</v>
      </c>
      <c r="XF6" s="206">
        <f t="shared" si="56"/>
        <v>0</v>
      </c>
      <c r="XG6" s="206">
        <f t="shared" si="56"/>
        <v>0</v>
      </c>
      <c r="XH6" s="206">
        <f t="shared" si="56"/>
        <v>0</v>
      </c>
      <c r="XI6" s="206">
        <f t="shared" si="56"/>
        <v>0</v>
      </c>
      <c r="XJ6" s="206">
        <f t="shared" si="56"/>
        <v>0</v>
      </c>
      <c r="XK6" s="206">
        <f t="shared" si="56"/>
        <v>0</v>
      </c>
      <c r="XL6" s="206">
        <f t="shared" si="56"/>
        <v>0</v>
      </c>
      <c r="XM6" s="206">
        <f t="shared" si="56"/>
        <v>0</v>
      </c>
      <c r="XN6" s="206">
        <f t="shared" si="56"/>
        <v>0</v>
      </c>
      <c r="XO6" s="206">
        <f t="shared" si="56"/>
        <v>0</v>
      </c>
      <c r="XP6" s="206">
        <f t="shared" si="56"/>
        <v>0</v>
      </c>
      <c r="XQ6" s="206">
        <f t="shared" si="56"/>
        <v>0</v>
      </c>
      <c r="XR6" s="206">
        <f t="shared" si="56"/>
        <v>27.058377481256748</v>
      </c>
      <c r="XS6" s="206">
        <f t="shared" si="56"/>
        <v>0</v>
      </c>
      <c r="XT6" s="206">
        <f t="shared" ref="XT6:YF6" si="57">XT30*XT33+XT43*XT46+XT56*XT59+XT69*XT72+XT82*XT85+XT95*XT98+XT108*XT111+XT121*XT124+XT134*XT137+XT147*XT150+XT160*XT163+XT173*XT176+XT186*XT189</f>
        <v>27.698273947736222</v>
      </c>
      <c r="XU6" s="206">
        <f t="shared" si="57"/>
        <v>0</v>
      </c>
      <c r="XV6" s="206">
        <f t="shared" si="57"/>
        <v>0</v>
      </c>
      <c r="XW6" s="206">
        <f t="shared" si="57"/>
        <v>0</v>
      </c>
      <c r="XX6" s="206">
        <f t="shared" si="57"/>
        <v>0</v>
      </c>
      <c r="XY6" s="206">
        <f t="shared" si="57"/>
        <v>29.227690946259976</v>
      </c>
      <c r="XZ6" s="206">
        <f t="shared" si="57"/>
        <v>0</v>
      </c>
      <c r="YA6" s="206">
        <f t="shared" si="57"/>
        <v>29.893754548095202</v>
      </c>
      <c r="YB6" s="206">
        <f t="shared" si="57"/>
        <v>0</v>
      </c>
      <c r="YC6" s="206">
        <f t="shared" si="57"/>
        <v>0</v>
      </c>
      <c r="YD6" s="206">
        <f t="shared" si="57"/>
        <v>0</v>
      </c>
      <c r="YE6" s="206">
        <f t="shared" si="57"/>
        <v>0</v>
      </c>
      <c r="YF6" s="206">
        <f t="shared" si="57"/>
        <v>31.474866493994252</v>
      </c>
      <c r="YG6" s="206">
        <f>YG30*YG33+YG43*YG46+YG56*YG59+YG69*YG72+YG82*YG85+YG95*YG98+YG108*YG111+YG121*YG124+YG134*YG137+YG147*YG150+YG160*YG163+YG173*YG176+YG186*YG189</f>
        <v>0</v>
      </c>
      <c r="YH6" s="206">
        <f t="shared" ref="YH6:AAS6" si="58">YH30*YH33+YH43*YH46+YH56*YH59+YH69*YH72+YH82*YH85+YH95*YH98+YH108*YH111+YH121*YH124+YH134*YH137+YH147*YH150+YH160*YH163+YH173*YH176+YH186*YH189</f>
        <v>32.226504947349824</v>
      </c>
      <c r="YI6" s="206">
        <f t="shared" si="58"/>
        <v>0</v>
      </c>
      <c r="YJ6" s="206">
        <f t="shared" si="58"/>
        <v>0</v>
      </c>
      <c r="YK6" s="206">
        <f t="shared" si="58"/>
        <v>0</v>
      </c>
      <c r="YL6" s="206">
        <f t="shared" si="58"/>
        <v>0</v>
      </c>
      <c r="YM6" s="206">
        <f t="shared" si="58"/>
        <v>34.040808411820578</v>
      </c>
      <c r="YN6" s="206">
        <f t="shared" si="58"/>
        <v>0</v>
      </c>
      <c r="YO6" s="206">
        <f t="shared" si="58"/>
        <v>34.573444107072696</v>
      </c>
      <c r="YP6" s="206">
        <f t="shared" si="58"/>
        <v>0</v>
      </c>
      <c r="YQ6" s="206">
        <f t="shared" si="58"/>
        <v>0</v>
      </c>
      <c r="YR6" s="206">
        <f t="shared" si="58"/>
        <v>0</v>
      </c>
      <c r="YS6" s="206">
        <f t="shared" si="58"/>
        <v>0</v>
      </c>
      <c r="YT6" s="206">
        <f t="shared" si="58"/>
        <v>0</v>
      </c>
      <c r="YU6" s="206">
        <f t="shared" si="58"/>
        <v>0</v>
      </c>
      <c r="YV6" s="206">
        <f t="shared" si="58"/>
        <v>0</v>
      </c>
      <c r="YW6" s="206">
        <f t="shared" si="58"/>
        <v>0</v>
      </c>
      <c r="YX6" s="206">
        <f t="shared" si="58"/>
        <v>0</v>
      </c>
      <c r="YY6" s="206">
        <f t="shared" si="58"/>
        <v>0</v>
      </c>
      <c r="YZ6" s="206">
        <f t="shared" si="58"/>
        <v>0</v>
      </c>
      <c r="ZA6" s="206">
        <f t="shared" si="58"/>
        <v>0</v>
      </c>
      <c r="ZB6" s="206">
        <f t="shared" si="58"/>
        <v>0</v>
      </c>
      <c r="ZC6" s="206">
        <f t="shared" si="58"/>
        <v>0</v>
      </c>
      <c r="ZD6" s="206">
        <f t="shared" si="58"/>
        <v>0</v>
      </c>
      <c r="ZE6" s="206">
        <f t="shared" si="58"/>
        <v>0</v>
      </c>
      <c r="ZF6" s="206">
        <f t="shared" si="58"/>
        <v>0</v>
      </c>
      <c r="ZG6" s="206">
        <f t="shared" si="58"/>
        <v>0</v>
      </c>
      <c r="ZH6" s="206">
        <f t="shared" si="58"/>
        <v>0</v>
      </c>
      <c r="ZI6" s="206">
        <f t="shared" si="58"/>
        <v>0</v>
      </c>
      <c r="ZJ6" s="206">
        <f t="shared" si="58"/>
        <v>0</v>
      </c>
      <c r="ZK6" s="206">
        <f t="shared" si="58"/>
        <v>0</v>
      </c>
      <c r="ZL6" s="206">
        <f t="shared" si="58"/>
        <v>0</v>
      </c>
      <c r="ZM6" s="206">
        <f t="shared" si="58"/>
        <v>0</v>
      </c>
      <c r="ZN6" s="206">
        <f t="shared" si="58"/>
        <v>0</v>
      </c>
      <c r="ZO6" s="206">
        <f t="shared" si="58"/>
        <v>0</v>
      </c>
      <c r="ZP6" s="206">
        <f t="shared" si="58"/>
        <v>0</v>
      </c>
      <c r="ZQ6" s="206">
        <f t="shared" si="58"/>
        <v>27.058377481256748</v>
      </c>
      <c r="ZR6" s="206">
        <f t="shared" si="58"/>
        <v>0</v>
      </c>
      <c r="ZS6" s="206">
        <f t="shared" si="58"/>
        <v>27.698273947736222</v>
      </c>
      <c r="ZT6" s="206">
        <f t="shared" si="58"/>
        <v>0</v>
      </c>
      <c r="ZU6" s="206">
        <f t="shared" si="58"/>
        <v>0</v>
      </c>
      <c r="ZV6" s="206">
        <f t="shared" si="58"/>
        <v>0</v>
      </c>
      <c r="ZW6" s="206">
        <f t="shared" si="58"/>
        <v>0</v>
      </c>
      <c r="ZX6" s="206">
        <f t="shared" si="58"/>
        <v>29.227690946259976</v>
      </c>
      <c r="ZY6" s="206">
        <f t="shared" si="58"/>
        <v>0</v>
      </c>
      <c r="ZZ6" s="206">
        <f t="shared" si="58"/>
        <v>29.893754548095202</v>
      </c>
      <c r="AAA6" s="206">
        <f t="shared" si="58"/>
        <v>0</v>
      </c>
      <c r="AAB6" s="206">
        <f t="shared" si="58"/>
        <v>0</v>
      </c>
      <c r="AAC6" s="206">
        <f t="shared" si="58"/>
        <v>0</v>
      </c>
      <c r="AAD6" s="206">
        <f t="shared" si="58"/>
        <v>0</v>
      </c>
      <c r="AAE6" s="206">
        <f t="shared" si="58"/>
        <v>31.474866493994252</v>
      </c>
      <c r="AAF6" s="206">
        <f t="shared" si="58"/>
        <v>0</v>
      </c>
      <c r="AAG6" s="206">
        <f t="shared" si="58"/>
        <v>32.226504947349824</v>
      </c>
      <c r="AAH6" s="206">
        <f t="shared" si="58"/>
        <v>0</v>
      </c>
      <c r="AAI6" s="206">
        <f t="shared" si="58"/>
        <v>0</v>
      </c>
      <c r="AAJ6" s="206">
        <f t="shared" si="58"/>
        <v>0</v>
      </c>
      <c r="AAK6" s="206">
        <f t="shared" si="58"/>
        <v>0</v>
      </c>
      <c r="AAL6" s="206">
        <f t="shared" si="58"/>
        <v>34.040808411820578</v>
      </c>
      <c r="AAM6" s="206">
        <f t="shared" si="58"/>
        <v>0</v>
      </c>
      <c r="AAN6" s="206">
        <f t="shared" si="58"/>
        <v>34.573444107072696</v>
      </c>
      <c r="AAO6" s="206">
        <f t="shared" si="58"/>
        <v>0</v>
      </c>
      <c r="AAP6" s="206">
        <f t="shared" si="58"/>
        <v>0</v>
      </c>
      <c r="AAQ6" s="206">
        <f t="shared" si="58"/>
        <v>0</v>
      </c>
      <c r="AAR6" s="206">
        <f t="shared" si="58"/>
        <v>0</v>
      </c>
      <c r="AAS6" s="206">
        <f t="shared" si="58"/>
        <v>0</v>
      </c>
      <c r="AAT6" s="206">
        <f t="shared" ref="AAT6:ACJ6" si="59">AAT30*AAT33+AAT43*AAT46+AAT56*AAT59+AAT69*AAT72+AAT82*AAT85+AAT95*AAT98+AAT108*AAT111+AAT121*AAT124+AAT134*AAT137+AAT147*AAT150+AAT160*AAT163+AAT173*AAT176+AAT186*AAT189</f>
        <v>0</v>
      </c>
      <c r="AAU6" s="206">
        <f t="shared" si="59"/>
        <v>0</v>
      </c>
      <c r="AAV6" s="206">
        <f t="shared" si="59"/>
        <v>0</v>
      </c>
      <c r="AAW6" s="206">
        <f t="shared" si="59"/>
        <v>0</v>
      </c>
      <c r="AAX6" s="206">
        <f t="shared" si="59"/>
        <v>0</v>
      </c>
      <c r="AAY6" s="206">
        <f t="shared" si="59"/>
        <v>0</v>
      </c>
      <c r="AAZ6" s="206">
        <f t="shared" si="59"/>
        <v>0</v>
      </c>
      <c r="ABA6" s="206">
        <f t="shared" si="59"/>
        <v>0</v>
      </c>
      <c r="ABB6" s="206">
        <f t="shared" si="59"/>
        <v>0</v>
      </c>
      <c r="ABC6" s="206">
        <f t="shared" si="59"/>
        <v>0</v>
      </c>
      <c r="ABD6" s="206">
        <f t="shared" si="59"/>
        <v>0</v>
      </c>
      <c r="ABE6" s="206">
        <f t="shared" si="59"/>
        <v>0</v>
      </c>
      <c r="ABF6" s="206">
        <f t="shared" si="59"/>
        <v>0</v>
      </c>
      <c r="ABG6" s="206">
        <f t="shared" si="59"/>
        <v>0</v>
      </c>
      <c r="ABH6" s="206">
        <f t="shared" si="59"/>
        <v>0</v>
      </c>
      <c r="ABI6" s="206">
        <f t="shared" si="59"/>
        <v>0</v>
      </c>
      <c r="ABJ6" s="206">
        <f t="shared" si="59"/>
        <v>0</v>
      </c>
      <c r="ABK6" s="206">
        <f t="shared" si="59"/>
        <v>0</v>
      </c>
      <c r="ABL6" s="206">
        <f t="shared" si="59"/>
        <v>0</v>
      </c>
      <c r="ABM6" s="206">
        <f t="shared" si="59"/>
        <v>0</v>
      </c>
      <c r="ABN6" s="206">
        <f t="shared" si="59"/>
        <v>0</v>
      </c>
      <c r="ABO6" s="206">
        <f t="shared" si="59"/>
        <v>0</v>
      </c>
      <c r="ABP6" s="206">
        <f t="shared" si="59"/>
        <v>27.058377481256748</v>
      </c>
      <c r="ABQ6" s="206">
        <f t="shared" si="59"/>
        <v>0</v>
      </c>
      <c r="ABR6" s="206">
        <f t="shared" si="59"/>
        <v>27.698273947736222</v>
      </c>
      <c r="ABS6" s="206">
        <f t="shared" si="59"/>
        <v>0</v>
      </c>
      <c r="ABT6" s="206">
        <f t="shared" si="59"/>
        <v>0</v>
      </c>
      <c r="ABU6" s="206">
        <f t="shared" si="59"/>
        <v>0</v>
      </c>
      <c r="ABV6" s="206">
        <f t="shared" si="59"/>
        <v>0</v>
      </c>
      <c r="ABW6" s="206">
        <f t="shared" si="59"/>
        <v>29.227690946259976</v>
      </c>
      <c r="ABX6" s="206">
        <f t="shared" si="59"/>
        <v>0</v>
      </c>
      <c r="ABY6" s="206">
        <f t="shared" si="59"/>
        <v>29.893754548095202</v>
      </c>
      <c r="ABZ6" s="206">
        <f t="shared" si="59"/>
        <v>0</v>
      </c>
      <c r="ACA6" s="206">
        <f t="shared" si="59"/>
        <v>0</v>
      </c>
      <c r="ACB6" s="206">
        <f t="shared" si="59"/>
        <v>0</v>
      </c>
      <c r="ACC6" s="206">
        <f t="shared" si="59"/>
        <v>0</v>
      </c>
      <c r="ACD6" s="206">
        <f t="shared" si="59"/>
        <v>31.474866493994252</v>
      </c>
      <c r="ACE6" s="206">
        <f t="shared" si="59"/>
        <v>0</v>
      </c>
      <c r="ACF6" s="206">
        <f t="shared" si="59"/>
        <v>32.226504947349824</v>
      </c>
      <c r="ACG6" s="206">
        <f t="shared" si="59"/>
        <v>0</v>
      </c>
      <c r="ACH6" s="206">
        <f t="shared" si="59"/>
        <v>0</v>
      </c>
      <c r="ACI6" s="206">
        <f t="shared" si="59"/>
        <v>0</v>
      </c>
      <c r="ACJ6" s="206">
        <f t="shared" si="59"/>
        <v>0</v>
      </c>
      <c r="ACK6" s="206">
        <f>ACK30*ACK33+ACK43*ACK46+ACK56*ACK59+ACK69*ACK72+ACK82*ACK85+ACK95*ACK98+ACK108*ACK111+ACK121*ACK124+ACK134*ACK137+ACK147*ACK150+ACK160*ACK163+ACK173*ACK176+ACK186*ACK189</f>
        <v>34.040808411820578</v>
      </c>
      <c r="ACL6" s="206">
        <f t="shared" ref="ACL6:AEW6" si="60">ACL30*ACL33+ACL43*ACL46+ACL56*ACL59+ACL69*ACL72+ACL82*ACL85+ACL95*ACL98+ACL108*ACL111+ACL121*ACL124+ACL134*ACL137+ACL147*ACL150+ACL160*ACL163+ACL173*ACL176+ACL186*ACL189</f>
        <v>0</v>
      </c>
      <c r="ACM6" s="206">
        <f t="shared" si="60"/>
        <v>34.573444107072696</v>
      </c>
      <c r="ACN6" s="206">
        <f t="shared" si="60"/>
        <v>0</v>
      </c>
      <c r="ACO6" s="206">
        <f t="shared" si="60"/>
        <v>0</v>
      </c>
      <c r="ACP6" s="206">
        <f t="shared" si="60"/>
        <v>0</v>
      </c>
      <c r="ACQ6" s="206">
        <f t="shared" si="60"/>
        <v>0</v>
      </c>
      <c r="ACR6" s="206">
        <f t="shared" si="60"/>
        <v>0</v>
      </c>
      <c r="ACS6" s="206">
        <f t="shared" si="60"/>
        <v>0</v>
      </c>
      <c r="ACT6" s="206">
        <f t="shared" si="60"/>
        <v>0</v>
      </c>
      <c r="ACU6" s="206">
        <f t="shared" si="60"/>
        <v>0</v>
      </c>
      <c r="ACV6" s="206">
        <f t="shared" si="60"/>
        <v>0</v>
      </c>
      <c r="ACW6" s="206">
        <f t="shared" si="60"/>
        <v>0</v>
      </c>
      <c r="ACX6" s="206">
        <f t="shared" si="60"/>
        <v>0</v>
      </c>
      <c r="ACY6" s="206">
        <f t="shared" si="60"/>
        <v>0</v>
      </c>
      <c r="ACZ6" s="206">
        <f t="shared" si="60"/>
        <v>0</v>
      </c>
      <c r="ADA6" s="206">
        <f t="shared" si="60"/>
        <v>0</v>
      </c>
      <c r="ADB6" s="206">
        <f t="shared" si="60"/>
        <v>0</v>
      </c>
      <c r="ADC6" s="206">
        <f t="shared" si="60"/>
        <v>0</v>
      </c>
      <c r="ADD6" s="206">
        <f t="shared" si="60"/>
        <v>0</v>
      </c>
      <c r="ADE6" s="206">
        <f t="shared" si="60"/>
        <v>0</v>
      </c>
      <c r="ADF6" s="206">
        <f t="shared" si="60"/>
        <v>0</v>
      </c>
      <c r="ADG6" s="206">
        <f t="shared" si="60"/>
        <v>0</v>
      </c>
      <c r="ADH6" s="206">
        <f t="shared" si="60"/>
        <v>0</v>
      </c>
      <c r="ADI6" s="206">
        <f t="shared" si="60"/>
        <v>0</v>
      </c>
      <c r="ADJ6" s="206">
        <f t="shared" si="60"/>
        <v>0</v>
      </c>
      <c r="ADK6" s="206">
        <f t="shared" si="60"/>
        <v>0</v>
      </c>
      <c r="ADL6" s="206">
        <f t="shared" si="60"/>
        <v>0</v>
      </c>
      <c r="ADM6" s="206">
        <f t="shared" si="60"/>
        <v>0</v>
      </c>
      <c r="ADN6" s="206">
        <f t="shared" si="60"/>
        <v>0</v>
      </c>
      <c r="ADO6" s="206">
        <f t="shared" si="60"/>
        <v>0</v>
      </c>
      <c r="ADP6" s="206">
        <f t="shared" si="60"/>
        <v>0</v>
      </c>
      <c r="ADQ6" s="206">
        <f t="shared" si="60"/>
        <v>0</v>
      </c>
      <c r="ADR6" s="206">
        <f t="shared" si="60"/>
        <v>0</v>
      </c>
      <c r="ADS6" s="206">
        <f t="shared" si="60"/>
        <v>0</v>
      </c>
      <c r="ADT6" s="206">
        <f t="shared" si="60"/>
        <v>0</v>
      </c>
      <c r="ADU6" s="206">
        <f t="shared" si="60"/>
        <v>0</v>
      </c>
      <c r="ADV6" s="206">
        <f t="shared" si="60"/>
        <v>0</v>
      </c>
      <c r="ADW6" s="206">
        <f t="shared" si="60"/>
        <v>0</v>
      </c>
      <c r="ADX6" s="206">
        <f t="shared" si="60"/>
        <v>0</v>
      </c>
      <c r="ADY6" s="206">
        <f t="shared" si="60"/>
        <v>0</v>
      </c>
      <c r="ADZ6" s="206">
        <f t="shared" si="60"/>
        <v>0</v>
      </c>
      <c r="AEA6" s="206">
        <f t="shared" si="60"/>
        <v>0</v>
      </c>
      <c r="AEB6" s="206">
        <f t="shared" si="60"/>
        <v>0</v>
      </c>
      <c r="AEC6" s="206">
        <f t="shared" si="60"/>
        <v>0</v>
      </c>
      <c r="AED6" s="206">
        <f t="shared" si="60"/>
        <v>0</v>
      </c>
      <c r="AEE6" s="206">
        <f t="shared" si="60"/>
        <v>0</v>
      </c>
      <c r="AEF6" s="206">
        <f t="shared" si="60"/>
        <v>0</v>
      </c>
      <c r="AEG6" s="206">
        <f t="shared" si="60"/>
        <v>0</v>
      </c>
      <c r="AEH6" s="206">
        <f t="shared" si="60"/>
        <v>0</v>
      </c>
      <c r="AEI6" s="206">
        <f t="shared" si="60"/>
        <v>0</v>
      </c>
      <c r="AEJ6" s="206">
        <f t="shared" si="60"/>
        <v>0</v>
      </c>
      <c r="AEK6" s="206">
        <f t="shared" si="60"/>
        <v>0</v>
      </c>
      <c r="AEL6" s="206">
        <f t="shared" si="60"/>
        <v>0</v>
      </c>
      <c r="AEM6" s="206">
        <f t="shared" si="60"/>
        <v>0</v>
      </c>
      <c r="AEN6" s="206">
        <f t="shared" si="60"/>
        <v>0</v>
      </c>
      <c r="AEO6" s="206">
        <f t="shared" si="60"/>
        <v>0</v>
      </c>
      <c r="AEP6" s="206">
        <f t="shared" si="60"/>
        <v>0</v>
      </c>
      <c r="AEQ6" s="206">
        <f t="shared" si="60"/>
        <v>0</v>
      </c>
      <c r="AER6" s="206">
        <f t="shared" si="60"/>
        <v>0</v>
      </c>
      <c r="AES6" s="206">
        <f t="shared" si="60"/>
        <v>0</v>
      </c>
      <c r="AET6" s="206">
        <f t="shared" si="60"/>
        <v>0</v>
      </c>
      <c r="AEU6" s="206">
        <f t="shared" si="60"/>
        <v>0</v>
      </c>
      <c r="AEV6" s="206">
        <f t="shared" si="60"/>
        <v>0</v>
      </c>
      <c r="AEW6" s="206">
        <f t="shared" si="60"/>
        <v>0</v>
      </c>
      <c r="AEX6" s="206">
        <f t="shared" ref="AEX6:AHI6" si="61">AEX30*AEX33+AEX43*AEX46+AEX56*AEX59+AEX69*AEX72+AEX82*AEX85+AEX95*AEX98+AEX108*AEX111+AEX121*AEX124+AEX134*AEX137+AEX147*AEX150+AEX160*AEX163+AEX173*AEX176+AEX186*AEX189</f>
        <v>0</v>
      </c>
      <c r="AEY6" s="206">
        <f t="shared" si="61"/>
        <v>0</v>
      </c>
      <c r="AEZ6" s="206">
        <f t="shared" si="61"/>
        <v>0</v>
      </c>
      <c r="AFA6" s="206">
        <f t="shared" si="61"/>
        <v>0</v>
      </c>
      <c r="AFB6" s="206">
        <f t="shared" si="61"/>
        <v>0</v>
      </c>
      <c r="AFC6" s="206">
        <f t="shared" si="61"/>
        <v>0</v>
      </c>
      <c r="AFD6" s="206">
        <f t="shared" si="61"/>
        <v>0</v>
      </c>
      <c r="AFE6" s="206">
        <f t="shared" si="61"/>
        <v>0</v>
      </c>
      <c r="AFF6" s="206">
        <f t="shared" si="61"/>
        <v>0</v>
      </c>
      <c r="AFG6" s="206">
        <f t="shared" si="61"/>
        <v>0</v>
      </c>
      <c r="AFH6" s="206">
        <f t="shared" si="61"/>
        <v>0</v>
      </c>
      <c r="AFI6" s="206">
        <f t="shared" si="61"/>
        <v>0</v>
      </c>
      <c r="AFJ6" s="206">
        <f t="shared" si="61"/>
        <v>0</v>
      </c>
      <c r="AFK6" s="206">
        <f t="shared" si="61"/>
        <v>0</v>
      </c>
      <c r="AFL6" s="206">
        <f t="shared" si="61"/>
        <v>0</v>
      </c>
      <c r="AFM6" s="206">
        <f t="shared" si="61"/>
        <v>0</v>
      </c>
      <c r="AFN6" s="206">
        <f t="shared" si="61"/>
        <v>0</v>
      </c>
      <c r="AFO6" s="206">
        <f t="shared" si="61"/>
        <v>0</v>
      </c>
      <c r="AFP6" s="206">
        <f t="shared" si="61"/>
        <v>0</v>
      </c>
      <c r="AFQ6" s="206">
        <f t="shared" si="61"/>
        <v>0</v>
      </c>
      <c r="AFR6" s="206">
        <f t="shared" si="61"/>
        <v>0</v>
      </c>
      <c r="AFS6" s="206">
        <f t="shared" si="61"/>
        <v>0</v>
      </c>
      <c r="AFT6" s="206">
        <f t="shared" si="61"/>
        <v>0</v>
      </c>
      <c r="AFU6" s="206">
        <f t="shared" si="61"/>
        <v>0</v>
      </c>
      <c r="AFV6" s="206">
        <f t="shared" si="61"/>
        <v>0</v>
      </c>
      <c r="AFW6" s="206">
        <f t="shared" si="61"/>
        <v>0</v>
      </c>
      <c r="AFX6" s="206">
        <f t="shared" si="61"/>
        <v>0</v>
      </c>
      <c r="AFY6" s="206">
        <f t="shared" si="61"/>
        <v>0</v>
      </c>
      <c r="AFZ6" s="206">
        <f t="shared" si="61"/>
        <v>0</v>
      </c>
      <c r="AGA6" s="206">
        <f t="shared" si="61"/>
        <v>0</v>
      </c>
      <c r="AGB6" s="206">
        <f t="shared" si="61"/>
        <v>0</v>
      </c>
      <c r="AGC6" s="206">
        <f t="shared" si="61"/>
        <v>0</v>
      </c>
      <c r="AGD6" s="206">
        <f t="shared" si="61"/>
        <v>0</v>
      </c>
      <c r="AGE6" s="206">
        <f t="shared" si="61"/>
        <v>0</v>
      </c>
      <c r="AGF6" s="206">
        <f t="shared" si="61"/>
        <v>0</v>
      </c>
      <c r="AGG6" s="206">
        <f t="shared" si="61"/>
        <v>0</v>
      </c>
      <c r="AGH6" s="206">
        <f t="shared" si="61"/>
        <v>0</v>
      </c>
      <c r="AGI6" s="206">
        <f t="shared" si="61"/>
        <v>0</v>
      </c>
      <c r="AGJ6" s="206">
        <f t="shared" si="61"/>
        <v>0</v>
      </c>
      <c r="AGK6" s="206">
        <f t="shared" si="61"/>
        <v>0</v>
      </c>
      <c r="AGL6" s="206">
        <f t="shared" si="61"/>
        <v>0</v>
      </c>
      <c r="AGM6" s="206">
        <f t="shared" si="61"/>
        <v>0</v>
      </c>
      <c r="AGN6" s="206">
        <f t="shared" si="61"/>
        <v>0</v>
      </c>
      <c r="AGO6" s="206">
        <f t="shared" si="61"/>
        <v>0</v>
      </c>
      <c r="AGP6" s="206">
        <f t="shared" si="61"/>
        <v>0</v>
      </c>
      <c r="AGQ6" s="206">
        <f t="shared" si="61"/>
        <v>0</v>
      </c>
      <c r="AGR6" s="206">
        <f t="shared" si="61"/>
        <v>0</v>
      </c>
      <c r="AGS6" s="206">
        <f t="shared" si="61"/>
        <v>0</v>
      </c>
      <c r="AGT6" s="206">
        <f t="shared" si="61"/>
        <v>0</v>
      </c>
      <c r="AGU6" s="206">
        <f t="shared" si="61"/>
        <v>0</v>
      </c>
      <c r="AGV6" s="206">
        <f t="shared" si="61"/>
        <v>0</v>
      </c>
      <c r="AGW6" s="206">
        <f t="shared" si="61"/>
        <v>0</v>
      </c>
      <c r="AGX6" s="206">
        <f t="shared" si="61"/>
        <v>0</v>
      </c>
      <c r="AGY6" s="206">
        <f t="shared" si="61"/>
        <v>0</v>
      </c>
      <c r="AGZ6" s="206">
        <f t="shared" si="61"/>
        <v>0</v>
      </c>
      <c r="AHA6" s="206">
        <f t="shared" si="61"/>
        <v>0</v>
      </c>
      <c r="AHB6" s="206">
        <f t="shared" si="61"/>
        <v>0</v>
      </c>
      <c r="AHC6" s="206">
        <f t="shared" si="61"/>
        <v>0</v>
      </c>
      <c r="AHD6" s="206">
        <f t="shared" si="61"/>
        <v>0</v>
      </c>
      <c r="AHE6" s="206">
        <f t="shared" si="61"/>
        <v>0</v>
      </c>
      <c r="AHF6" s="206">
        <f t="shared" si="61"/>
        <v>0</v>
      </c>
      <c r="AHG6" s="206">
        <f t="shared" si="61"/>
        <v>0</v>
      </c>
      <c r="AHH6" s="206">
        <f t="shared" si="61"/>
        <v>0</v>
      </c>
      <c r="AHI6" s="206">
        <f t="shared" si="61"/>
        <v>0</v>
      </c>
      <c r="AHJ6" s="206">
        <f t="shared" ref="AHJ6:AJA6" si="62">AHJ30*AHJ33+AHJ43*AHJ46+AHJ56*AHJ59+AHJ69*AHJ72+AHJ82*AHJ85+AHJ95*AHJ98+AHJ108*AHJ111+AHJ121*AHJ124+AHJ134*AHJ137+AHJ147*AHJ150+AHJ160*AHJ163+AHJ173*AHJ176+AHJ186*AHJ189</f>
        <v>0</v>
      </c>
      <c r="AHK6" s="206">
        <f t="shared" si="62"/>
        <v>0</v>
      </c>
      <c r="AHL6" s="206">
        <f t="shared" si="62"/>
        <v>0</v>
      </c>
      <c r="AHM6" s="206">
        <f t="shared" si="62"/>
        <v>0</v>
      </c>
      <c r="AHN6" s="206">
        <f t="shared" si="62"/>
        <v>0</v>
      </c>
      <c r="AHO6" s="206">
        <f t="shared" si="62"/>
        <v>0</v>
      </c>
      <c r="AHP6" s="206">
        <f t="shared" si="62"/>
        <v>0</v>
      </c>
      <c r="AHQ6" s="206">
        <f t="shared" si="62"/>
        <v>0</v>
      </c>
      <c r="AHR6" s="206">
        <f t="shared" si="62"/>
        <v>0</v>
      </c>
      <c r="AHS6" s="206">
        <f t="shared" si="62"/>
        <v>0</v>
      </c>
      <c r="AHT6" s="206">
        <f t="shared" si="62"/>
        <v>0</v>
      </c>
      <c r="AHU6" s="206">
        <f t="shared" si="62"/>
        <v>0</v>
      </c>
      <c r="AHV6" s="206">
        <f t="shared" si="62"/>
        <v>0</v>
      </c>
      <c r="AHW6" s="206">
        <f t="shared" si="62"/>
        <v>0</v>
      </c>
      <c r="AHX6" s="206">
        <f t="shared" si="62"/>
        <v>0</v>
      </c>
      <c r="AHY6" s="206">
        <f t="shared" si="62"/>
        <v>0</v>
      </c>
      <c r="AHZ6" s="206">
        <f t="shared" si="62"/>
        <v>0</v>
      </c>
      <c r="AIA6" s="206">
        <f t="shared" si="62"/>
        <v>0</v>
      </c>
      <c r="AIB6" s="206">
        <f t="shared" si="62"/>
        <v>0</v>
      </c>
      <c r="AIC6" s="206">
        <f t="shared" si="62"/>
        <v>0</v>
      </c>
      <c r="AID6" s="206">
        <f t="shared" si="62"/>
        <v>0</v>
      </c>
      <c r="AIE6" s="206">
        <f t="shared" si="62"/>
        <v>0</v>
      </c>
      <c r="AIF6" s="206">
        <f t="shared" si="62"/>
        <v>0</v>
      </c>
      <c r="AIG6" s="206">
        <f t="shared" si="62"/>
        <v>0</v>
      </c>
      <c r="AIH6" s="206">
        <f t="shared" si="62"/>
        <v>0</v>
      </c>
      <c r="AII6" s="206">
        <f t="shared" si="62"/>
        <v>0</v>
      </c>
      <c r="AIJ6" s="206">
        <f t="shared" si="62"/>
        <v>0</v>
      </c>
      <c r="AIK6" s="206">
        <f t="shared" si="62"/>
        <v>0</v>
      </c>
      <c r="AIL6" s="206">
        <f t="shared" si="62"/>
        <v>0</v>
      </c>
      <c r="AIM6" s="206">
        <f t="shared" si="62"/>
        <v>0</v>
      </c>
      <c r="AIN6" s="206">
        <f t="shared" si="62"/>
        <v>0</v>
      </c>
      <c r="AIO6" s="206">
        <f t="shared" si="62"/>
        <v>0</v>
      </c>
      <c r="AIP6" s="206">
        <f t="shared" si="62"/>
        <v>0</v>
      </c>
      <c r="AIQ6" s="206">
        <f t="shared" si="62"/>
        <v>0</v>
      </c>
      <c r="AIR6" s="206">
        <f t="shared" si="62"/>
        <v>0</v>
      </c>
      <c r="AIS6" s="206">
        <f t="shared" si="62"/>
        <v>0</v>
      </c>
      <c r="AIT6" s="206">
        <f t="shared" si="62"/>
        <v>0</v>
      </c>
      <c r="AIU6" s="206">
        <f t="shared" si="62"/>
        <v>0</v>
      </c>
      <c r="AIV6" s="206">
        <f t="shared" si="62"/>
        <v>0</v>
      </c>
      <c r="AIW6" s="206">
        <f t="shared" si="62"/>
        <v>0</v>
      </c>
      <c r="AIX6" s="206">
        <f t="shared" si="62"/>
        <v>0</v>
      </c>
      <c r="AIY6" s="206">
        <f t="shared" si="62"/>
        <v>0</v>
      </c>
      <c r="AIZ6" s="206">
        <f t="shared" si="62"/>
        <v>0</v>
      </c>
      <c r="AJA6" s="206">
        <f t="shared" si="62"/>
        <v>0</v>
      </c>
    </row>
    <row r="7" spans="1:1024" s="208" customFormat="1" ht="22.15" customHeight="1" thickBot="1" x14ac:dyDescent="0.3">
      <c r="A7" s="288" t="s">
        <v>115</v>
      </c>
      <c r="B7" s="288"/>
      <c r="C7" s="209">
        <f>(C4*40)/1000</f>
        <v>5.6200000000000009E-3</v>
      </c>
      <c r="D7" s="209">
        <f t="shared" ref="D7:BO7" si="63">(D4*40)/1000</f>
        <v>6.1398164285714285E-3</v>
      </c>
      <c r="E7" s="209">
        <f t="shared" si="63"/>
        <v>6.7163060426275508E-3</v>
      </c>
      <c r="F7" s="209">
        <f t="shared" si="63"/>
        <v>7.332761777066433E-3</v>
      </c>
      <c r="G7" s="209">
        <f t="shared" si="63"/>
        <v>7.9741868559007039E-3</v>
      </c>
      <c r="H7" s="209">
        <f t="shared" si="63"/>
        <v>8.6657075681932962E-3</v>
      </c>
      <c r="I7" s="209">
        <f t="shared" si="63"/>
        <v>9.4137280803685639E-3</v>
      </c>
      <c r="J7" s="209">
        <f t="shared" si="63"/>
        <v>1.0202271017972865E-2</v>
      </c>
      <c r="K7" s="209">
        <f t="shared" si="63"/>
        <v>1.1033295626787501E-2</v>
      </c>
      <c r="L7" s="209">
        <f t="shared" si="63"/>
        <v>1.1879095565321393E-2</v>
      </c>
      <c r="M7" s="209">
        <f t="shared" si="63"/>
        <v>1.277615076637326E-2</v>
      </c>
      <c r="N7" s="209">
        <f t="shared" si="63"/>
        <v>1.3707606928607678E-2</v>
      </c>
      <c r="O7" s="209">
        <f t="shared" si="63"/>
        <v>1.469144968690188E-2</v>
      </c>
      <c r="P7" s="209">
        <f t="shared" si="63"/>
        <v>1.5708913486062119E-2</v>
      </c>
      <c r="Q7" s="209">
        <f t="shared" si="63"/>
        <v>1.6745653935869177E-2</v>
      </c>
      <c r="R7" s="209">
        <f t="shared" si="63"/>
        <v>1.7806572140064241E-2</v>
      </c>
      <c r="S7" s="209">
        <f t="shared" si="63"/>
        <v>1.887206175095666E-2</v>
      </c>
      <c r="T7" s="209">
        <f t="shared" si="63"/>
        <v>1.9990805147115338E-2</v>
      </c>
      <c r="U7" s="209">
        <f t="shared" si="63"/>
        <v>2.1149421682625905E-2</v>
      </c>
      <c r="V7" s="209">
        <f t="shared" si="63"/>
        <v>2.2322789910124135E-2</v>
      </c>
      <c r="W7" s="209">
        <f t="shared" si="63"/>
        <v>2.3531824514613775E-2</v>
      </c>
      <c r="X7" s="209">
        <f t="shared" si="63"/>
        <v>2.4694633268226598E-2</v>
      </c>
      <c r="Y7" s="209">
        <f t="shared" si="63"/>
        <v>2.593559795205418E-2</v>
      </c>
      <c r="Z7" s="209">
        <f t="shared" si="63"/>
        <v>2.7178335997647129E-2</v>
      </c>
      <c r="AA7" s="209">
        <f t="shared" si="63"/>
        <v>2.8511467346507561E-2</v>
      </c>
      <c r="AB7" s="209">
        <f t="shared" si="63"/>
        <v>2.9878556273733599E-2</v>
      </c>
      <c r="AC7" s="209">
        <f t="shared" si="63"/>
        <v>3.1249981372647825E-2</v>
      </c>
      <c r="AD7" s="209">
        <f t="shared" si="63"/>
        <v>3.2649974259443548E-2</v>
      </c>
      <c r="AE7" s="209">
        <f t="shared" si="63"/>
        <v>3.4047618006924844E-2</v>
      </c>
      <c r="AF7" s="209">
        <f t="shared" si="63"/>
        <v>3.5467663447059906E-2</v>
      </c>
      <c r="AG7" s="209">
        <f t="shared" si="63"/>
        <v>3.6907715584344657E-2</v>
      </c>
      <c r="AH7" s="209">
        <f t="shared" si="63"/>
        <v>3.8334808462166227E-2</v>
      </c>
      <c r="AI7" s="209">
        <f t="shared" si="63"/>
        <v>3.977464509929219E-2</v>
      </c>
      <c r="AJ7" s="209">
        <f t="shared" si="63"/>
        <v>4.1224232191631731E-2</v>
      </c>
      <c r="AK7" s="209">
        <f t="shared" si="63"/>
        <v>4.2648971889377649E-2</v>
      </c>
      <c r="AL7" s="209">
        <f t="shared" si="63"/>
        <v>4.3953507250810722E-2</v>
      </c>
      <c r="AM7" s="209">
        <f t="shared" si="63"/>
        <v>4.5334207450877732E-2</v>
      </c>
      <c r="AN7" s="209">
        <f t="shared" si="63"/>
        <v>4.6573427589196942E-2</v>
      </c>
      <c r="AO7" s="209">
        <f t="shared" si="63"/>
        <v>4.792229267293982E-2</v>
      </c>
      <c r="AP7" s="209">
        <f t="shared" si="63"/>
        <v>4.9223761252899643E-2</v>
      </c>
      <c r="AQ7" s="209">
        <f t="shared" si="63"/>
        <v>5.0351122118261205E-2</v>
      </c>
      <c r="AR7" s="209">
        <f t="shared" si="63"/>
        <v>5.1592806126803899E-2</v>
      </c>
      <c r="AS7" s="209">
        <f t="shared" si="63"/>
        <v>5.2607078815350622E-2</v>
      </c>
      <c r="AT7" s="209">
        <f t="shared" si="63"/>
        <v>5.3738993047152725E-2</v>
      </c>
      <c r="AU7" s="209">
        <f t="shared" si="63"/>
        <v>5.4831383529944551E-2</v>
      </c>
      <c r="AV7" s="209">
        <f t="shared" si="63"/>
        <v>5.5849761434503022E-2</v>
      </c>
      <c r="AW7" s="209">
        <f t="shared" si="63"/>
        <v>5.6819620451498062E-2</v>
      </c>
      <c r="AX7" s="209">
        <f t="shared" si="63"/>
        <v>5.7736791363036333E-2</v>
      </c>
      <c r="AY7" s="209">
        <f t="shared" si="63"/>
        <v>5.856798582331163E-2</v>
      </c>
      <c r="AZ7" s="209">
        <f t="shared" si="63"/>
        <v>5.9338015389302896E-2</v>
      </c>
      <c r="BA7" s="209">
        <f t="shared" si="63"/>
        <v>0</v>
      </c>
      <c r="BB7" s="209">
        <f t="shared" si="63"/>
        <v>6.4174048870294806E-2</v>
      </c>
      <c r="BC7" s="209">
        <f t="shared" si="63"/>
        <v>6.5210853558397619E-2</v>
      </c>
      <c r="BD7" s="209">
        <f t="shared" si="63"/>
        <v>6.6205383436232695E-2</v>
      </c>
      <c r="BE7" s="209">
        <f t="shared" si="63"/>
        <v>6.7653499562975852E-2</v>
      </c>
      <c r="BF7" s="209">
        <f t="shared" si="63"/>
        <v>6.9091214427727268E-2</v>
      </c>
      <c r="BG7" s="209">
        <f t="shared" si="63"/>
        <v>7.0257295454554045E-2</v>
      </c>
      <c r="BH7" s="209">
        <f t="shared" si="63"/>
        <v>7.1684542640411505E-2</v>
      </c>
      <c r="BI7" s="209">
        <f t="shared" si="63"/>
        <v>7.3109862391195407E-2</v>
      </c>
      <c r="BJ7" s="209">
        <f t="shared" si="63"/>
        <v>7.4533088964482505E-2</v>
      </c>
      <c r="BK7" s="209">
        <f t="shared" si="63"/>
        <v>7.5901648495629137E-2</v>
      </c>
      <c r="BL7" s="209">
        <f t="shared" si="63"/>
        <v>7.6975571545523119E-2</v>
      </c>
      <c r="BM7" s="209">
        <f t="shared" si="63"/>
        <v>7.8314948359337402E-2</v>
      </c>
      <c r="BN7" s="209">
        <f t="shared" si="63"/>
        <v>7.9654062058424818E-2</v>
      </c>
      <c r="BO7" s="209">
        <f t="shared" si="63"/>
        <v>8.127118074101447E-2</v>
      </c>
      <c r="BP7" s="209">
        <f t="shared" ref="BP7:EA7" si="64">(BP4*40)/1000</f>
        <v>8.287471498663905E-2</v>
      </c>
      <c r="BQ7" s="209">
        <f t="shared" si="64"/>
        <v>8.4468184923825906E-2</v>
      </c>
      <c r="BR7" s="209">
        <f t="shared" si="64"/>
        <v>8.6030621783787217E-2</v>
      </c>
      <c r="BS7" s="209">
        <f t="shared" si="64"/>
        <v>8.7609367051599316E-2</v>
      </c>
      <c r="BT7" s="209">
        <f t="shared" si="64"/>
        <v>8.9169897280717295E-2</v>
      </c>
      <c r="BU7" s="209">
        <f t="shared" si="64"/>
        <v>9.0705714314056787E-2</v>
      </c>
      <c r="BV7" s="209">
        <f t="shared" si="64"/>
        <v>9.2236514798794481E-2</v>
      </c>
      <c r="BW7" s="209">
        <f t="shared" si="64"/>
        <v>9.3679222330230363E-2</v>
      </c>
      <c r="BX7" s="209">
        <f t="shared" si="64"/>
        <v>9.5138583986894856E-2</v>
      </c>
      <c r="BY7" s="209">
        <f t="shared" si="64"/>
        <v>9.6952241926045721E-2</v>
      </c>
      <c r="BZ7" s="209">
        <f t="shared" si="64"/>
        <v>9.8835094186746658E-2</v>
      </c>
      <c r="CA7" s="209">
        <f t="shared" si="64"/>
        <v>0.1007299158987385</v>
      </c>
      <c r="CB7" s="209">
        <f t="shared" si="64"/>
        <v>0.1026063026163074</v>
      </c>
      <c r="CC7" s="209">
        <f t="shared" si="64"/>
        <v>0.10447009641975079</v>
      </c>
      <c r="CD7" s="209">
        <f t="shared" si="64"/>
        <v>0.10630721091473681</v>
      </c>
      <c r="CE7" s="209">
        <f t="shared" si="64"/>
        <v>0.10814166076721066</v>
      </c>
      <c r="CF7" s="209">
        <f t="shared" si="64"/>
        <v>0.10997032551960996</v>
      </c>
      <c r="CG7" s="209">
        <f t="shared" si="64"/>
        <v>0.11175952551672991</v>
      </c>
      <c r="CH7" s="209">
        <f t="shared" si="64"/>
        <v>0.11353426290396348</v>
      </c>
      <c r="CI7" s="209">
        <f t="shared" si="64"/>
        <v>0.11576564345029218</v>
      </c>
      <c r="CJ7" s="209">
        <f t="shared" si="64"/>
        <v>0.11795180433347006</v>
      </c>
      <c r="CK7" s="209">
        <f t="shared" si="64"/>
        <v>0.12001350553761021</v>
      </c>
      <c r="CL7" s="209">
        <f t="shared" si="64"/>
        <v>0.12214679079599457</v>
      </c>
      <c r="CM7" s="209">
        <f t="shared" si="64"/>
        <v>0.12413368666440683</v>
      </c>
      <c r="CN7" s="209">
        <f t="shared" si="64"/>
        <v>0.12622498664641213</v>
      </c>
      <c r="CO7" s="209">
        <f t="shared" si="64"/>
        <v>0.12826331497623886</v>
      </c>
      <c r="CP7" s="209">
        <f t="shared" si="64"/>
        <v>0.13010501851646661</v>
      </c>
      <c r="CQ7" s="209">
        <f t="shared" si="64"/>
        <v>0.13205460436464733</v>
      </c>
      <c r="CR7" s="209">
        <f t="shared" si="64"/>
        <v>0.13377000331087494</v>
      </c>
      <c r="CS7" s="209">
        <f t="shared" si="64"/>
        <v>0.13559593151628463</v>
      </c>
      <c r="CT7" s="209">
        <f t="shared" si="64"/>
        <v>0.13737488519648058</v>
      </c>
      <c r="CU7" s="209">
        <f t="shared" si="64"/>
        <v>0.13907203540926388</v>
      </c>
      <c r="CV7" s="209">
        <f t="shared" si="64"/>
        <v>0.14071253428436631</v>
      </c>
      <c r="CW7" s="209">
        <f t="shared" si="64"/>
        <v>0.14229186977150859</v>
      </c>
      <c r="CX7" s="209">
        <f t="shared" si="64"/>
        <v>0.14375998440119742</v>
      </c>
      <c r="CY7" s="209">
        <f t="shared" si="64"/>
        <v>0.14515763874020335</v>
      </c>
      <c r="CZ7" s="209">
        <f t="shared" si="64"/>
        <v>0</v>
      </c>
      <c r="DA7" s="209">
        <f t="shared" si="64"/>
        <v>0.14982261215432988</v>
      </c>
      <c r="DB7" s="209">
        <f t="shared" si="64"/>
        <v>0.15144753602167033</v>
      </c>
      <c r="DC7" s="209">
        <f t="shared" si="64"/>
        <v>0.15301970925214278</v>
      </c>
      <c r="DD7" s="209">
        <f t="shared" si="64"/>
        <v>0.15503466058991686</v>
      </c>
      <c r="DE7" s="209">
        <f t="shared" si="64"/>
        <v>0.15702807062884608</v>
      </c>
      <c r="DF7" s="209">
        <f t="shared" si="64"/>
        <v>0.15872262633069201</v>
      </c>
      <c r="DG7" s="209">
        <f t="shared" si="64"/>
        <v>0.16133551231886645</v>
      </c>
      <c r="DH7" s="209">
        <f t="shared" si="64"/>
        <v>0.16328435743538802</v>
      </c>
      <c r="DI7" s="209">
        <f t="shared" si="64"/>
        <v>0.16521875205628886</v>
      </c>
      <c r="DJ7" s="209">
        <f t="shared" si="64"/>
        <v>0.16708579845336491</v>
      </c>
      <c r="DK7" s="209">
        <f t="shared" si="64"/>
        <v>0.16864520489533011</v>
      </c>
      <c r="DL7" s="209">
        <f t="shared" si="64"/>
        <v>0.17045674110977743</v>
      </c>
      <c r="DM7" s="209">
        <f t="shared" si="64"/>
        <v>0.17223896657329682</v>
      </c>
      <c r="DN7" s="209">
        <f t="shared" si="64"/>
        <v>0.17428521102780695</v>
      </c>
      <c r="DO7" s="209">
        <f t="shared" si="64"/>
        <v>0.17704507878631506</v>
      </c>
      <c r="DP7" s="209">
        <f t="shared" si="64"/>
        <v>0.17905854045696926</v>
      </c>
      <c r="DQ7" s="209">
        <f t="shared" si="64"/>
        <v>0.18102619393740538</v>
      </c>
      <c r="DR7" s="209">
        <f t="shared" si="64"/>
        <v>0.18299507738409124</v>
      </c>
      <c r="DS7" s="209">
        <f t="shared" si="64"/>
        <v>0.18493036715988947</v>
      </c>
      <c r="DT7" s="209">
        <f t="shared" si="64"/>
        <v>0.18759809446640754</v>
      </c>
      <c r="DU7" s="209">
        <f t="shared" si="64"/>
        <v>0.18947713043161601</v>
      </c>
      <c r="DV7" s="209">
        <f t="shared" si="64"/>
        <v>0.19125193194987233</v>
      </c>
      <c r="DW7" s="209">
        <f t="shared" si="64"/>
        <v>0.19302696202543818</v>
      </c>
      <c r="DX7" s="209">
        <f t="shared" si="64"/>
        <v>0.19513958280305918</v>
      </c>
      <c r="DY7" s="209">
        <f t="shared" si="64"/>
        <v>0.19730441657259923</v>
      </c>
      <c r="DZ7" s="209">
        <f t="shared" si="64"/>
        <v>0.19946396717891998</v>
      </c>
      <c r="EA7" s="209">
        <f t="shared" si="64"/>
        <v>0.20242642846057088</v>
      </c>
      <c r="EB7" s="209">
        <f t="shared" ref="EB7:GM7" si="65">(EB4*40)/1000</f>
        <v>0.19215482508445184</v>
      </c>
      <c r="EC7" s="209">
        <f t="shared" si="65"/>
        <v>0.19418259507184102</v>
      </c>
      <c r="ED7" s="209">
        <f t="shared" si="65"/>
        <v>0.18374731250733461</v>
      </c>
      <c r="EE7" s="209">
        <f t="shared" si="65"/>
        <v>0.185712155860529</v>
      </c>
      <c r="EF7" s="209">
        <f t="shared" si="65"/>
        <v>0.1876234960757012</v>
      </c>
      <c r="EG7" s="209">
        <f t="shared" si="65"/>
        <v>0.18950615899247997</v>
      </c>
      <c r="EH7" s="209">
        <f t="shared" si="65"/>
        <v>0.19182087471440121</v>
      </c>
      <c r="EI7" s="209">
        <f t="shared" si="65"/>
        <v>0.18209840220704576</v>
      </c>
      <c r="EJ7" s="209">
        <f t="shared" si="65"/>
        <v>0.18421817498660351</v>
      </c>
      <c r="EK7" s="209">
        <f t="shared" si="65"/>
        <v>0.17367405763545532</v>
      </c>
      <c r="EL7" s="209">
        <f t="shared" si="65"/>
        <v>0.17568761891688606</v>
      </c>
      <c r="EM7" s="209">
        <f t="shared" si="65"/>
        <v>0.17779548054006269</v>
      </c>
      <c r="EN7" s="209">
        <f t="shared" si="65"/>
        <v>0.18033137912965455</v>
      </c>
      <c r="EO7" s="209">
        <f t="shared" si="65"/>
        <v>0.18217950616110587</v>
      </c>
      <c r="EP7" s="209">
        <f t="shared" si="65"/>
        <v>0.17123048939346011</v>
      </c>
      <c r="EQ7" s="209">
        <f t="shared" si="65"/>
        <v>0.17293501810785278</v>
      </c>
      <c r="ER7" s="209">
        <f t="shared" si="65"/>
        <v>0.16207090767267104</v>
      </c>
      <c r="ES7" s="209">
        <f t="shared" si="65"/>
        <v>0.16383391378386106</v>
      </c>
      <c r="ET7" s="209">
        <f t="shared" si="65"/>
        <v>0.1657714960390253</v>
      </c>
      <c r="EU7" s="209">
        <f t="shared" si="65"/>
        <v>0.16739047373763544</v>
      </c>
      <c r="EV7" s="209">
        <f t="shared" si="65"/>
        <v>0.16894282121026408</v>
      </c>
      <c r="EW7" s="209">
        <f t="shared" si="65"/>
        <v>0.15732184247246669</v>
      </c>
      <c r="EX7" s="209">
        <f t="shared" si="65"/>
        <v>0.15870296313754576</v>
      </c>
      <c r="EY7" s="209">
        <f t="shared" si="65"/>
        <v>-2.7382167732802389E-5</v>
      </c>
      <c r="EZ7" s="209">
        <f t="shared" si="65"/>
        <v>0.14982261215432988</v>
      </c>
      <c r="FA7" s="209">
        <f t="shared" si="65"/>
        <v>0.15144753602167033</v>
      </c>
      <c r="FB7" s="209">
        <f t="shared" si="65"/>
        <v>0.15301970925214278</v>
      </c>
      <c r="FC7" s="209">
        <f t="shared" si="65"/>
        <v>0.15503466058991686</v>
      </c>
      <c r="FD7" s="209">
        <f t="shared" si="65"/>
        <v>0.15702807062884608</v>
      </c>
      <c r="FE7" s="209">
        <f t="shared" si="65"/>
        <v>0.15872262633069201</v>
      </c>
      <c r="FF7" s="209">
        <f t="shared" si="65"/>
        <v>0.16133551231886645</v>
      </c>
      <c r="FG7" s="209">
        <f t="shared" si="65"/>
        <v>0.16328435743538802</v>
      </c>
      <c r="FH7" s="209">
        <f t="shared" si="65"/>
        <v>0.16521875205628886</v>
      </c>
      <c r="FI7" s="209">
        <f t="shared" si="65"/>
        <v>0.16708579845336491</v>
      </c>
      <c r="FJ7" s="209">
        <f t="shared" si="65"/>
        <v>0.16864520489533011</v>
      </c>
      <c r="FK7" s="209">
        <f t="shared" si="65"/>
        <v>0.17045674110977743</v>
      </c>
      <c r="FL7" s="209">
        <f t="shared" si="65"/>
        <v>0.17223896657329682</v>
      </c>
      <c r="FM7" s="209">
        <f t="shared" si="65"/>
        <v>0.17428521102780695</v>
      </c>
      <c r="FN7" s="209">
        <f t="shared" si="65"/>
        <v>0.17704507878631506</v>
      </c>
      <c r="FO7" s="209">
        <f t="shared" si="65"/>
        <v>0.17905854045696926</v>
      </c>
      <c r="FP7" s="209">
        <f t="shared" si="65"/>
        <v>0.18102619393740538</v>
      </c>
      <c r="FQ7" s="209">
        <f t="shared" si="65"/>
        <v>0.18299507738409124</v>
      </c>
      <c r="FR7" s="209">
        <f t="shared" si="65"/>
        <v>0.18493036715988947</v>
      </c>
      <c r="FS7" s="209">
        <f t="shared" si="65"/>
        <v>0.18759809446640754</v>
      </c>
      <c r="FT7" s="209">
        <f t="shared" si="65"/>
        <v>0.18947713043161601</v>
      </c>
      <c r="FU7" s="209">
        <f t="shared" si="65"/>
        <v>0.19125193194987233</v>
      </c>
      <c r="FV7" s="209">
        <f t="shared" si="65"/>
        <v>0.19302696202543818</v>
      </c>
      <c r="FW7" s="209">
        <f t="shared" si="65"/>
        <v>0.19513958280305918</v>
      </c>
      <c r="FX7" s="209">
        <f t="shared" si="65"/>
        <v>0.19730441657259923</v>
      </c>
      <c r="FY7" s="209">
        <f t="shared" si="65"/>
        <v>0.19946396717891998</v>
      </c>
      <c r="FZ7" s="209">
        <f t="shared" si="65"/>
        <v>0.20242642846057088</v>
      </c>
      <c r="GA7" s="209">
        <f t="shared" si="65"/>
        <v>0.19215482508445184</v>
      </c>
      <c r="GB7" s="209">
        <f t="shared" si="65"/>
        <v>0.19418259507184102</v>
      </c>
      <c r="GC7" s="209">
        <f t="shared" si="65"/>
        <v>0.18374731250733461</v>
      </c>
      <c r="GD7" s="209">
        <f t="shared" si="65"/>
        <v>0.185712155860529</v>
      </c>
      <c r="GE7" s="209">
        <f t="shared" si="65"/>
        <v>0.1876234960757012</v>
      </c>
      <c r="GF7" s="209">
        <f t="shared" si="65"/>
        <v>0.18950615899247997</v>
      </c>
      <c r="GG7" s="209">
        <f t="shared" si="65"/>
        <v>0.19182087471440121</v>
      </c>
      <c r="GH7" s="209">
        <f t="shared" si="65"/>
        <v>0.18209840220704576</v>
      </c>
      <c r="GI7" s="209">
        <f t="shared" si="65"/>
        <v>0.18421817498660351</v>
      </c>
      <c r="GJ7" s="209">
        <f t="shared" si="65"/>
        <v>0.17367405763545532</v>
      </c>
      <c r="GK7" s="209">
        <f t="shared" si="65"/>
        <v>0.17568761891688606</v>
      </c>
      <c r="GL7" s="209">
        <f t="shared" si="65"/>
        <v>0.17779548054006269</v>
      </c>
      <c r="GM7" s="209">
        <f t="shared" si="65"/>
        <v>0.18033137912965455</v>
      </c>
      <c r="GN7" s="209">
        <f t="shared" ref="GN7:IY7" si="66">(GN4*40)/1000</f>
        <v>0.18217950616110587</v>
      </c>
      <c r="GO7" s="209">
        <f t="shared" si="66"/>
        <v>0.17123048939346011</v>
      </c>
      <c r="GP7" s="209">
        <f t="shared" si="66"/>
        <v>0.17293501810785278</v>
      </c>
      <c r="GQ7" s="209">
        <f t="shared" si="66"/>
        <v>0.16207090767267104</v>
      </c>
      <c r="GR7" s="209">
        <f t="shared" si="66"/>
        <v>0.16383391378386106</v>
      </c>
      <c r="GS7" s="209">
        <f t="shared" si="66"/>
        <v>0.1657714960390253</v>
      </c>
      <c r="GT7" s="209">
        <f t="shared" si="66"/>
        <v>0.16739047373763544</v>
      </c>
      <c r="GU7" s="209">
        <f t="shared" si="66"/>
        <v>0.16894282121026408</v>
      </c>
      <c r="GV7" s="209">
        <f t="shared" si="66"/>
        <v>0.15732184247246669</v>
      </c>
      <c r="GW7" s="209">
        <f t="shared" si="66"/>
        <v>0.15870296313754576</v>
      </c>
      <c r="GX7" s="209">
        <f t="shared" si="66"/>
        <v>-2.7382167732802389E-5</v>
      </c>
      <c r="GY7" s="209">
        <f t="shared" si="66"/>
        <v>0.14982261215432988</v>
      </c>
      <c r="GZ7" s="209">
        <f t="shared" si="66"/>
        <v>0.15144753602167033</v>
      </c>
      <c r="HA7" s="209">
        <f t="shared" si="66"/>
        <v>0.15301970925214278</v>
      </c>
      <c r="HB7" s="209">
        <f t="shared" si="66"/>
        <v>0.15503466058991686</v>
      </c>
      <c r="HC7" s="209">
        <f t="shared" si="66"/>
        <v>0.15702807062884608</v>
      </c>
      <c r="HD7" s="209">
        <f t="shared" si="66"/>
        <v>0.15872262633069201</v>
      </c>
      <c r="HE7" s="209">
        <f t="shared" si="66"/>
        <v>0.16133551231886645</v>
      </c>
      <c r="HF7" s="209">
        <f t="shared" si="66"/>
        <v>0.16328435743538802</v>
      </c>
      <c r="HG7" s="209">
        <f t="shared" si="66"/>
        <v>0.16521875205628886</v>
      </c>
      <c r="HH7" s="209">
        <f t="shared" si="66"/>
        <v>0.16708579845336491</v>
      </c>
      <c r="HI7" s="209">
        <f t="shared" si="66"/>
        <v>0.16864520489533011</v>
      </c>
      <c r="HJ7" s="209">
        <f t="shared" si="66"/>
        <v>0.17045674110977743</v>
      </c>
      <c r="HK7" s="209">
        <f t="shared" si="66"/>
        <v>0.17223896657329682</v>
      </c>
      <c r="HL7" s="209">
        <f t="shared" si="66"/>
        <v>0.17428521102780695</v>
      </c>
      <c r="HM7" s="209">
        <f t="shared" si="66"/>
        <v>0.17704507878631506</v>
      </c>
      <c r="HN7" s="209">
        <f t="shared" si="66"/>
        <v>0.17905854045696926</v>
      </c>
      <c r="HO7" s="209">
        <f t="shared" si="66"/>
        <v>0.18102619393740538</v>
      </c>
      <c r="HP7" s="209">
        <f t="shared" si="66"/>
        <v>0.18299507738409124</v>
      </c>
      <c r="HQ7" s="209">
        <f t="shared" si="66"/>
        <v>0.18493036715988947</v>
      </c>
      <c r="HR7" s="209">
        <f t="shared" si="66"/>
        <v>0.18759809446640754</v>
      </c>
      <c r="HS7" s="209">
        <f t="shared" si="66"/>
        <v>0.18947713043161601</v>
      </c>
      <c r="HT7" s="209">
        <f t="shared" si="66"/>
        <v>0.19125193194987233</v>
      </c>
      <c r="HU7" s="209">
        <f t="shared" si="66"/>
        <v>0.19302696202543818</v>
      </c>
      <c r="HV7" s="209">
        <f t="shared" si="66"/>
        <v>0.19513958280305918</v>
      </c>
      <c r="HW7" s="209">
        <f t="shared" si="66"/>
        <v>0.19730441657259923</v>
      </c>
      <c r="HX7" s="209">
        <f t="shared" si="66"/>
        <v>0.19946396717891998</v>
      </c>
      <c r="HY7" s="209">
        <f t="shared" si="66"/>
        <v>0.20242642846057088</v>
      </c>
      <c r="HZ7" s="209">
        <f t="shared" si="66"/>
        <v>0.19215482508445184</v>
      </c>
      <c r="IA7" s="209">
        <f t="shared" si="66"/>
        <v>0.19418259507184102</v>
      </c>
      <c r="IB7" s="209">
        <f t="shared" si="66"/>
        <v>0.18374731250733461</v>
      </c>
      <c r="IC7" s="209">
        <f t="shared" si="66"/>
        <v>0.185712155860529</v>
      </c>
      <c r="ID7" s="209">
        <f t="shared" si="66"/>
        <v>0.1876234960757012</v>
      </c>
      <c r="IE7" s="209">
        <f t="shared" si="66"/>
        <v>0.18950615899247997</v>
      </c>
      <c r="IF7" s="209">
        <f t="shared" si="66"/>
        <v>0.19182087471440121</v>
      </c>
      <c r="IG7" s="209">
        <f t="shared" si="66"/>
        <v>0.18209840220704576</v>
      </c>
      <c r="IH7" s="209">
        <f t="shared" si="66"/>
        <v>0.18421817498660351</v>
      </c>
      <c r="II7" s="209">
        <f t="shared" si="66"/>
        <v>0.17367405763545532</v>
      </c>
      <c r="IJ7" s="209">
        <f t="shared" si="66"/>
        <v>0.17568761891688606</v>
      </c>
      <c r="IK7" s="209">
        <f t="shared" si="66"/>
        <v>0.17779548054006269</v>
      </c>
      <c r="IL7" s="209">
        <f t="shared" si="66"/>
        <v>0.18033137912965455</v>
      </c>
      <c r="IM7" s="209">
        <f t="shared" si="66"/>
        <v>0.18217950616110587</v>
      </c>
      <c r="IN7" s="209">
        <f t="shared" si="66"/>
        <v>0.17123048939346011</v>
      </c>
      <c r="IO7" s="209">
        <f t="shared" si="66"/>
        <v>0.17293501810785278</v>
      </c>
      <c r="IP7" s="209">
        <f t="shared" si="66"/>
        <v>0.16207090767267104</v>
      </c>
      <c r="IQ7" s="209">
        <f t="shared" si="66"/>
        <v>0.16383391378386106</v>
      </c>
      <c r="IR7" s="209">
        <f t="shared" si="66"/>
        <v>0.1657714960390253</v>
      </c>
      <c r="IS7" s="209">
        <f t="shared" si="66"/>
        <v>0.16739047373763544</v>
      </c>
      <c r="IT7" s="209">
        <f t="shared" si="66"/>
        <v>0.16894282121026408</v>
      </c>
      <c r="IU7" s="209">
        <f t="shared" si="66"/>
        <v>0.15732184247246669</v>
      </c>
      <c r="IV7" s="209">
        <f t="shared" si="66"/>
        <v>0.15870296313754576</v>
      </c>
      <c r="IW7" s="209">
        <f t="shared" si="66"/>
        <v>-2.7382167732802389E-5</v>
      </c>
      <c r="IX7" s="209">
        <f t="shared" si="66"/>
        <v>0.14982261215432988</v>
      </c>
      <c r="IY7" s="209">
        <f t="shared" si="66"/>
        <v>0.15144753602167033</v>
      </c>
      <c r="IZ7" s="209">
        <f t="shared" ref="IZ7:LK7" si="67">(IZ4*40)/1000</f>
        <v>0.15301970925214278</v>
      </c>
      <c r="JA7" s="209">
        <f t="shared" si="67"/>
        <v>0.15503466058991686</v>
      </c>
      <c r="JB7" s="209">
        <f t="shared" si="67"/>
        <v>0.15702807062884608</v>
      </c>
      <c r="JC7" s="209">
        <f t="shared" si="67"/>
        <v>0.15872262633069201</v>
      </c>
      <c r="JD7" s="209">
        <f t="shared" si="67"/>
        <v>0.16133551231886645</v>
      </c>
      <c r="JE7" s="209">
        <f t="shared" si="67"/>
        <v>0.16328435743538802</v>
      </c>
      <c r="JF7" s="209">
        <f t="shared" si="67"/>
        <v>0.16521875205628886</v>
      </c>
      <c r="JG7" s="209">
        <f t="shared" si="67"/>
        <v>0.16708579845336491</v>
      </c>
      <c r="JH7" s="209">
        <f t="shared" si="67"/>
        <v>0.16864520489533011</v>
      </c>
      <c r="JI7" s="209">
        <f t="shared" si="67"/>
        <v>0.17045674110977743</v>
      </c>
      <c r="JJ7" s="209">
        <f t="shared" si="67"/>
        <v>0.17223896657329682</v>
      </c>
      <c r="JK7" s="209">
        <f t="shared" si="67"/>
        <v>0.17428521102780695</v>
      </c>
      <c r="JL7" s="209">
        <f t="shared" si="67"/>
        <v>0.17704507878631506</v>
      </c>
      <c r="JM7" s="209">
        <f t="shared" si="67"/>
        <v>0.17905854045696926</v>
      </c>
      <c r="JN7" s="209">
        <f t="shared" si="67"/>
        <v>0.18102619393740538</v>
      </c>
      <c r="JO7" s="209">
        <f t="shared" si="67"/>
        <v>0.18299507738409124</v>
      </c>
      <c r="JP7" s="209">
        <f t="shared" si="67"/>
        <v>0.18493036715988947</v>
      </c>
      <c r="JQ7" s="209">
        <f t="shared" si="67"/>
        <v>0.18759809446640754</v>
      </c>
      <c r="JR7" s="209">
        <f t="shared" si="67"/>
        <v>0.18947713043161601</v>
      </c>
      <c r="JS7" s="209">
        <f t="shared" si="67"/>
        <v>0.19125193194987233</v>
      </c>
      <c r="JT7" s="209">
        <f t="shared" si="67"/>
        <v>0.19302696202543818</v>
      </c>
      <c r="JU7" s="209">
        <f t="shared" si="67"/>
        <v>0.19513958280305918</v>
      </c>
      <c r="JV7" s="209">
        <f t="shared" si="67"/>
        <v>0.19730441657259923</v>
      </c>
      <c r="JW7" s="209">
        <f t="shared" si="67"/>
        <v>0.19946396717891998</v>
      </c>
      <c r="JX7" s="209">
        <f t="shared" si="67"/>
        <v>0.20242642846057088</v>
      </c>
      <c r="JY7" s="209">
        <f t="shared" si="67"/>
        <v>0.19215482508445184</v>
      </c>
      <c r="JZ7" s="209">
        <f t="shared" si="67"/>
        <v>0.19418259507184102</v>
      </c>
      <c r="KA7" s="209">
        <f t="shared" si="67"/>
        <v>0.18374731250733461</v>
      </c>
      <c r="KB7" s="209">
        <f t="shared" si="67"/>
        <v>0.185712155860529</v>
      </c>
      <c r="KC7" s="209">
        <f t="shared" si="67"/>
        <v>0.1876234960757012</v>
      </c>
      <c r="KD7" s="209">
        <f t="shared" si="67"/>
        <v>0.18950615899247997</v>
      </c>
      <c r="KE7" s="209">
        <f t="shared" si="67"/>
        <v>0.19182087471440121</v>
      </c>
      <c r="KF7" s="209">
        <f t="shared" si="67"/>
        <v>0.18209840220704576</v>
      </c>
      <c r="KG7" s="209">
        <f t="shared" si="67"/>
        <v>0.18421817498660351</v>
      </c>
      <c r="KH7" s="209">
        <f t="shared" si="67"/>
        <v>0.17367405763545532</v>
      </c>
      <c r="KI7" s="209">
        <f t="shared" si="67"/>
        <v>0.17568761891688606</v>
      </c>
      <c r="KJ7" s="209">
        <f t="shared" si="67"/>
        <v>0.17779548054006269</v>
      </c>
      <c r="KK7" s="209">
        <f t="shared" si="67"/>
        <v>0.18033137912965455</v>
      </c>
      <c r="KL7" s="209">
        <f t="shared" si="67"/>
        <v>0.18217950616110587</v>
      </c>
      <c r="KM7" s="209">
        <f t="shared" si="67"/>
        <v>0.17123048939346011</v>
      </c>
      <c r="KN7" s="209">
        <f t="shared" si="67"/>
        <v>0.17293501810785278</v>
      </c>
      <c r="KO7" s="209">
        <f t="shared" si="67"/>
        <v>0.16207090767267104</v>
      </c>
      <c r="KP7" s="209">
        <f t="shared" si="67"/>
        <v>0.16383391378386106</v>
      </c>
      <c r="KQ7" s="209">
        <f t="shared" si="67"/>
        <v>0.1657714960390253</v>
      </c>
      <c r="KR7" s="209">
        <f t="shared" si="67"/>
        <v>0.16739047373763544</v>
      </c>
      <c r="KS7" s="209">
        <f t="shared" si="67"/>
        <v>0.16894282121026408</v>
      </c>
      <c r="KT7" s="209">
        <f t="shared" si="67"/>
        <v>0.15732184247246669</v>
      </c>
      <c r="KU7" s="209">
        <f t="shared" si="67"/>
        <v>0.15870296313754576</v>
      </c>
      <c r="KV7" s="209">
        <f t="shared" si="67"/>
        <v>-2.7382167732802389E-5</v>
      </c>
      <c r="KW7" s="209">
        <f t="shared" si="67"/>
        <v>0.14982261215432988</v>
      </c>
      <c r="KX7" s="209">
        <f t="shared" si="67"/>
        <v>0.15144753602167033</v>
      </c>
      <c r="KY7" s="209">
        <f t="shared" si="67"/>
        <v>0.15301970925214278</v>
      </c>
      <c r="KZ7" s="209">
        <f t="shared" si="67"/>
        <v>0.15503466058991686</v>
      </c>
      <c r="LA7" s="209">
        <f t="shared" si="67"/>
        <v>0.15702807062884608</v>
      </c>
      <c r="LB7" s="209">
        <f t="shared" si="67"/>
        <v>0.15872262633069201</v>
      </c>
      <c r="LC7" s="209">
        <f t="shared" si="67"/>
        <v>0.16133551231886645</v>
      </c>
      <c r="LD7" s="209">
        <f t="shared" si="67"/>
        <v>0.16328435743538802</v>
      </c>
      <c r="LE7" s="209">
        <f t="shared" si="67"/>
        <v>0.16521875205628886</v>
      </c>
      <c r="LF7" s="209">
        <f t="shared" si="67"/>
        <v>0.16708579845336491</v>
      </c>
      <c r="LG7" s="209">
        <f t="shared" si="67"/>
        <v>0.16864520489533011</v>
      </c>
      <c r="LH7" s="209">
        <f t="shared" si="67"/>
        <v>0.17045674110977743</v>
      </c>
      <c r="LI7" s="209">
        <f t="shared" si="67"/>
        <v>0.17223896657329682</v>
      </c>
      <c r="LJ7" s="209">
        <f t="shared" si="67"/>
        <v>0.17428521102780695</v>
      </c>
      <c r="LK7" s="209">
        <f t="shared" si="67"/>
        <v>0.17704507878631506</v>
      </c>
      <c r="LL7" s="209">
        <f t="shared" ref="LL7:NW7" si="68">(LL4*40)/1000</f>
        <v>0.17905854045696926</v>
      </c>
      <c r="LM7" s="209">
        <f t="shared" si="68"/>
        <v>0.18102619393740538</v>
      </c>
      <c r="LN7" s="209">
        <f t="shared" si="68"/>
        <v>0.18299507738409124</v>
      </c>
      <c r="LO7" s="209">
        <f t="shared" si="68"/>
        <v>0.18493036715988947</v>
      </c>
      <c r="LP7" s="209">
        <f t="shared" si="68"/>
        <v>0.18759809446640754</v>
      </c>
      <c r="LQ7" s="209">
        <f t="shared" si="68"/>
        <v>0.18947713043161601</v>
      </c>
      <c r="LR7" s="209">
        <f t="shared" si="68"/>
        <v>0.19125193194987233</v>
      </c>
      <c r="LS7" s="209">
        <f t="shared" si="68"/>
        <v>0.19302696202543818</v>
      </c>
      <c r="LT7" s="209">
        <f t="shared" si="68"/>
        <v>0.19513958280305918</v>
      </c>
      <c r="LU7" s="209">
        <f t="shared" si="68"/>
        <v>0.19730441657259923</v>
      </c>
      <c r="LV7" s="209">
        <f t="shared" si="68"/>
        <v>0.19946396717891998</v>
      </c>
      <c r="LW7" s="209">
        <f t="shared" si="68"/>
        <v>0.20242642846057088</v>
      </c>
      <c r="LX7" s="209">
        <f t="shared" si="68"/>
        <v>0.19215482508445184</v>
      </c>
      <c r="LY7" s="209">
        <f t="shared" si="68"/>
        <v>0.19418259507184102</v>
      </c>
      <c r="LZ7" s="209">
        <f t="shared" si="68"/>
        <v>0.18374731250733461</v>
      </c>
      <c r="MA7" s="209">
        <f t="shared" si="68"/>
        <v>0.185712155860529</v>
      </c>
      <c r="MB7" s="209">
        <f t="shared" si="68"/>
        <v>0.1876234960757012</v>
      </c>
      <c r="MC7" s="209">
        <f t="shared" si="68"/>
        <v>0.18950615899247997</v>
      </c>
      <c r="MD7" s="209">
        <f t="shared" si="68"/>
        <v>0.19182087471440121</v>
      </c>
      <c r="ME7" s="209">
        <f t="shared" si="68"/>
        <v>0.18209840220704576</v>
      </c>
      <c r="MF7" s="209">
        <f t="shared" si="68"/>
        <v>0.18421817498660351</v>
      </c>
      <c r="MG7" s="209">
        <f t="shared" si="68"/>
        <v>0.17367405763545532</v>
      </c>
      <c r="MH7" s="209">
        <f t="shared" si="68"/>
        <v>0.17568761891688606</v>
      </c>
      <c r="MI7" s="209">
        <f t="shared" si="68"/>
        <v>0.17779548054006269</v>
      </c>
      <c r="MJ7" s="209">
        <f t="shared" si="68"/>
        <v>0.18033137912965455</v>
      </c>
      <c r="MK7" s="209">
        <f t="shared" si="68"/>
        <v>0.18217950616110587</v>
      </c>
      <c r="ML7" s="209">
        <f t="shared" si="68"/>
        <v>0.17123048939346011</v>
      </c>
      <c r="MM7" s="209">
        <f t="shared" si="68"/>
        <v>0.17293501810785278</v>
      </c>
      <c r="MN7" s="209">
        <f t="shared" si="68"/>
        <v>0.16207090767267104</v>
      </c>
      <c r="MO7" s="209">
        <f t="shared" si="68"/>
        <v>0.16383391378386106</v>
      </c>
      <c r="MP7" s="209">
        <f t="shared" si="68"/>
        <v>0.1657714960390253</v>
      </c>
      <c r="MQ7" s="209">
        <f t="shared" si="68"/>
        <v>0.16739047373763544</v>
      </c>
      <c r="MR7" s="209">
        <f t="shared" si="68"/>
        <v>0.16894282121026408</v>
      </c>
      <c r="MS7" s="209">
        <f t="shared" si="68"/>
        <v>0.15732184247246669</v>
      </c>
      <c r="MT7" s="209">
        <f t="shared" si="68"/>
        <v>0.15870296313754576</v>
      </c>
      <c r="MU7" s="209">
        <f t="shared" si="68"/>
        <v>-2.7382167732802389E-5</v>
      </c>
      <c r="MV7" s="209">
        <f t="shared" si="68"/>
        <v>0.14982261215432988</v>
      </c>
      <c r="MW7" s="209">
        <f t="shared" si="68"/>
        <v>0.15144753602167033</v>
      </c>
      <c r="MX7" s="209">
        <f t="shared" si="68"/>
        <v>0.15301970925214278</v>
      </c>
      <c r="MY7" s="209">
        <f t="shared" si="68"/>
        <v>0.15503466058991686</v>
      </c>
      <c r="MZ7" s="209">
        <f t="shared" si="68"/>
        <v>0.15702807062884608</v>
      </c>
      <c r="NA7" s="209">
        <f t="shared" si="68"/>
        <v>0.15872262633069201</v>
      </c>
      <c r="NB7" s="209">
        <f t="shared" si="68"/>
        <v>0.16133551231886645</v>
      </c>
      <c r="NC7" s="209">
        <f t="shared" si="68"/>
        <v>0.16328435743538802</v>
      </c>
      <c r="ND7" s="209">
        <f t="shared" si="68"/>
        <v>0.16521875205628886</v>
      </c>
      <c r="NE7" s="209">
        <f t="shared" si="68"/>
        <v>0.16708579845336491</v>
      </c>
      <c r="NF7" s="209">
        <f t="shared" si="68"/>
        <v>0.16864520489533011</v>
      </c>
      <c r="NG7" s="209">
        <f t="shared" si="68"/>
        <v>0.17045674110977743</v>
      </c>
      <c r="NH7" s="209">
        <f t="shared" si="68"/>
        <v>0.17223896657329682</v>
      </c>
      <c r="NI7" s="209">
        <f t="shared" si="68"/>
        <v>0.17428521102780695</v>
      </c>
      <c r="NJ7" s="209">
        <f t="shared" si="68"/>
        <v>0.17704507878631506</v>
      </c>
      <c r="NK7" s="209">
        <f t="shared" si="68"/>
        <v>0.17905854045696926</v>
      </c>
      <c r="NL7" s="209">
        <f t="shared" si="68"/>
        <v>0.18102619393740538</v>
      </c>
      <c r="NM7" s="209">
        <f t="shared" si="68"/>
        <v>0.18299507738409124</v>
      </c>
      <c r="NN7" s="209">
        <f t="shared" si="68"/>
        <v>0.18493036715988947</v>
      </c>
      <c r="NO7" s="209">
        <f t="shared" si="68"/>
        <v>0.18759809446640754</v>
      </c>
      <c r="NP7" s="209">
        <f t="shared" si="68"/>
        <v>0.18947713043161601</v>
      </c>
      <c r="NQ7" s="209">
        <f t="shared" si="68"/>
        <v>0.19125193194987233</v>
      </c>
      <c r="NR7" s="209">
        <f t="shared" si="68"/>
        <v>0.19302696202543818</v>
      </c>
      <c r="NS7" s="209">
        <f t="shared" si="68"/>
        <v>0.19513958280305918</v>
      </c>
      <c r="NT7" s="209">
        <f t="shared" si="68"/>
        <v>0.19730441657259923</v>
      </c>
      <c r="NU7" s="209">
        <f t="shared" si="68"/>
        <v>0.19946396717891998</v>
      </c>
      <c r="NV7" s="209">
        <f t="shared" si="68"/>
        <v>0.20242642846057088</v>
      </c>
      <c r="NW7" s="209">
        <f t="shared" si="68"/>
        <v>0.19215482508445184</v>
      </c>
      <c r="NX7" s="209">
        <f t="shared" ref="NX7:QI7" si="69">(NX4*40)/1000</f>
        <v>0.19418259507184102</v>
      </c>
      <c r="NY7" s="209">
        <f t="shared" si="69"/>
        <v>0.18374731250733461</v>
      </c>
      <c r="NZ7" s="209">
        <f t="shared" si="69"/>
        <v>0.185712155860529</v>
      </c>
      <c r="OA7" s="209">
        <f t="shared" si="69"/>
        <v>0.1876234960757012</v>
      </c>
      <c r="OB7" s="209">
        <f t="shared" si="69"/>
        <v>0.18950615899247997</v>
      </c>
      <c r="OC7" s="209">
        <f t="shared" si="69"/>
        <v>0.19182087471440121</v>
      </c>
      <c r="OD7" s="209">
        <f t="shared" si="69"/>
        <v>0.18209840220704576</v>
      </c>
      <c r="OE7" s="209">
        <f t="shared" si="69"/>
        <v>0.18421817498660351</v>
      </c>
      <c r="OF7" s="209">
        <f t="shared" si="69"/>
        <v>0.17367405763545532</v>
      </c>
      <c r="OG7" s="209">
        <f t="shared" si="69"/>
        <v>0.17568761891688606</v>
      </c>
      <c r="OH7" s="209">
        <f t="shared" si="69"/>
        <v>0.17779548054006269</v>
      </c>
      <c r="OI7" s="209">
        <f t="shared" si="69"/>
        <v>0.18033137912965455</v>
      </c>
      <c r="OJ7" s="209">
        <f t="shared" si="69"/>
        <v>0.18217950616110587</v>
      </c>
      <c r="OK7" s="209">
        <f t="shared" si="69"/>
        <v>0.17123048939346011</v>
      </c>
      <c r="OL7" s="209">
        <f t="shared" si="69"/>
        <v>0.17293501810785278</v>
      </c>
      <c r="OM7" s="209">
        <f t="shared" si="69"/>
        <v>0.16207090767267104</v>
      </c>
      <c r="ON7" s="209">
        <f t="shared" si="69"/>
        <v>0.16383391378386106</v>
      </c>
      <c r="OO7" s="209">
        <f t="shared" si="69"/>
        <v>0.1657714960390253</v>
      </c>
      <c r="OP7" s="209">
        <f t="shared" si="69"/>
        <v>0.16739047373763544</v>
      </c>
      <c r="OQ7" s="209">
        <f t="shared" si="69"/>
        <v>0.16894282121026408</v>
      </c>
      <c r="OR7" s="209">
        <f t="shared" si="69"/>
        <v>0.15732184247246669</v>
      </c>
      <c r="OS7" s="209">
        <f t="shared" si="69"/>
        <v>0.15870296313754576</v>
      </c>
      <c r="OT7" s="209">
        <f t="shared" si="69"/>
        <v>-2.7382167732802389E-5</v>
      </c>
      <c r="OU7" s="209">
        <f t="shared" si="69"/>
        <v>0.14982261215432988</v>
      </c>
      <c r="OV7" s="209">
        <f t="shared" si="69"/>
        <v>0.15144753602167033</v>
      </c>
      <c r="OW7" s="209">
        <f t="shared" si="69"/>
        <v>0.15301970925214278</v>
      </c>
      <c r="OX7" s="209">
        <f t="shared" si="69"/>
        <v>0.15503466058991686</v>
      </c>
      <c r="OY7" s="209">
        <f t="shared" si="69"/>
        <v>0.15702807062884608</v>
      </c>
      <c r="OZ7" s="209">
        <f t="shared" si="69"/>
        <v>0.15872262633069201</v>
      </c>
      <c r="PA7" s="209">
        <f t="shared" si="69"/>
        <v>0.16133551231886645</v>
      </c>
      <c r="PB7" s="209">
        <f t="shared" si="69"/>
        <v>0.16328435743538802</v>
      </c>
      <c r="PC7" s="209">
        <f t="shared" si="69"/>
        <v>0.16521875205628886</v>
      </c>
      <c r="PD7" s="209">
        <f t="shared" si="69"/>
        <v>0.16708579845336491</v>
      </c>
      <c r="PE7" s="209">
        <f t="shared" si="69"/>
        <v>0.16864520489533011</v>
      </c>
      <c r="PF7" s="209">
        <f t="shared" si="69"/>
        <v>0.17045674110977743</v>
      </c>
      <c r="PG7" s="209">
        <f t="shared" si="69"/>
        <v>0.17223896657329682</v>
      </c>
      <c r="PH7" s="209">
        <f t="shared" si="69"/>
        <v>0.17428521102780695</v>
      </c>
      <c r="PI7" s="209">
        <f t="shared" si="69"/>
        <v>0.17704507878631506</v>
      </c>
      <c r="PJ7" s="209">
        <f t="shared" si="69"/>
        <v>0.17905854045696926</v>
      </c>
      <c r="PK7" s="209">
        <f t="shared" si="69"/>
        <v>0.18102619393740538</v>
      </c>
      <c r="PL7" s="209">
        <f t="shared" si="69"/>
        <v>0.18299507738409124</v>
      </c>
      <c r="PM7" s="209">
        <f t="shared" si="69"/>
        <v>0.18493036715988947</v>
      </c>
      <c r="PN7" s="209">
        <f t="shared" si="69"/>
        <v>0.18759809446640754</v>
      </c>
      <c r="PO7" s="209">
        <f t="shared" si="69"/>
        <v>0.18947713043161601</v>
      </c>
      <c r="PP7" s="209">
        <f t="shared" si="69"/>
        <v>0.19125193194987233</v>
      </c>
      <c r="PQ7" s="209">
        <f t="shared" si="69"/>
        <v>0.19302696202543818</v>
      </c>
      <c r="PR7" s="209">
        <f t="shared" si="69"/>
        <v>0.19513958280305918</v>
      </c>
      <c r="PS7" s="209">
        <f t="shared" si="69"/>
        <v>0.19730441657259923</v>
      </c>
      <c r="PT7" s="209">
        <f t="shared" si="69"/>
        <v>0.19946396717891998</v>
      </c>
      <c r="PU7" s="209">
        <f t="shared" si="69"/>
        <v>0.20242642846057088</v>
      </c>
      <c r="PV7" s="209">
        <f t="shared" si="69"/>
        <v>0.19215482508445184</v>
      </c>
      <c r="PW7" s="209">
        <f t="shared" si="69"/>
        <v>0.19418259507184102</v>
      </c>
      <c r="PX7" s="209">
        <f t="shared" si="69"/>
        <v>0.18374731250733461</v>
      </c>
      <c r="PY7" s="209">
        <f t="shared" si="69"/>
        <v>0.185712155860529</v>
      </c>
      <c r="PZ7" s="209">
        <f t="shared" si="69"/>
        <v>0.1876234960757012</v>
      </c>
      <c r="QA7" s="209">
        <f t="shared" si="69"/>
        <v>0.18950615899247997</v>
      </c>
      <c r="QB7" s="209">
        <f t="shared" si="69"/>
        <v>0.19182087471440121</v>
      </c>
      <c r="QC7" s="209">
        <f t="shared" si="69"/>
        <v>0.18209840220704576</v>
      </c>
      <c r="QD7" s="209">
        <f t="shared" si="69"/>
        <v>0.18421817498660351</v>
      </c>
      <c r="QE7" s="209">
        <f t="shared" si="69"/>
        <v>0.17367405763545532</v>
      </c>
      <c r="QF7" s="209">
        <f t="shared" si="69"/>
        <v>0.17568761891688606</v>
      </c>
      <c r="QG7" s="209">
        <f t="shared" si="69"/>
        <v>0.17779548054006269</v>
      </c>
      <c r="QH7" s="209">
        <f t="shared" si="69"/>
        <v>0.18033137912965455</v>
      </c>
      <c r="QI7" s="209">
        <f t="shared" si="69"/>
        <v>0.18217950616110587</v>
      </c>
      <c r="QJ7" s="209">
        <f t="shared" ref="QJ7:SU7" si="70">(QJ4*40)/1000</f>
        <v>0.17123048939346011</v>
      </c>
      <c r="QK7" s="209">
        <f t="shared" si="70"/>
        <v>0.17293501810785278</v>
      </c>
      <c r="QL7" s="209">
        <f t="shared" si="70"/>
        <v>0.16207090767267104</v>
      </c>
      <c r="QM7" s="209">
        <f t="shared" si="70"/>
        <v>0.16383391378386106</v>
      </c>
      <c r="QN7" s="209">
        <f t="shared" si="70"/>
        <v>0.1657714960390253</v>
      </c>
      <c r="QO7" s="209">
        <f t="shared" si="70"/>
        <v>0.16739047373763544</v>
      </c>
      <c r="QP7" s="209">
        <f t="shared" si="70"/>
        <v>0.16894282121026408</v>
      </c>
      <c r="QQ7" s="209">
        <f t="shared" si="70"/>
        <v>0.15732184247246669</v>
      </c>
      <c r="QR7" s="209">
        <f t="shared" si="70"/>
        <v>0.15870296313754576</v>
      </c>
      <c r="QS7" s="209">
        <f t="shared" si="70"/>
        <v>-2.7382167732802389E-5</v>
      </c>
      <c r="QT7" s="209">
        <f t="shared" si="70"/>
        <v>0.14982261215432988</v>
      </c>
      <c r="QU7" s="209">
        <f t="shared" si="70"/>
        <v>0.15144753602167033</v>
      </c>
      <c r="QV7" s="209">
        <f t="shared" si="70"/>
        <v>0.15301970925214278</v>
      </c>
      <c r="QW7" s="209">
        <f t="shared" si="70"/>
        <v>0.15503466058991686</v>
      </c>
      <c r="QX7" s="209">
        <f t="shared" si="70"/>
        <v>0.15702807062884608</v>
      </c>
      <c r="QY7" s="209">
        <f t="shared" si="70"/>
        <v>0.15872262633069201</v>
      </c>
      <c r="QZ7" s="209">
        <f t="shared" si="70"/>
        <v>0.16133551231886645</v>
      </c>
      <c r="RA7" s="209">
        <f t="shared" si="70"/>
        <v>0.16328435743538802</v>
      </c>
      <c r="RB7" s="209">
        <f t="shared" si="70"/>
        <v>0.16521875205628886</v>
      </c>
      <c r="RC7" s="209">
        <f t="shared" si="70"/>
        <v>0.16708579845336491</v>
      </c>
      <c r="RD7" s="209">
        <f t="shared" si="70"/>
        <v>0.16864520489533011</v>
      </c>
      <c r="RE7" s="209">
        <f t="shared" si="70"/>
        <v>0.17045674110977743</v>
      </c>
      <c r="RF7" s="209">
        <f t="shared" si="70"/>
        <v>0.17223896657329682</v>
      </c>
      <c r="RG7" s="209">
        <f t="shared" si="70"/>
        <v>0.17428521102780695</v>
      </c>
      <c r="RH7" s="209">
        <f t="shared" si="70"/>
        <v>0.17704507878631506</v>
      </c>
      <c r="RI7" s="209">
        <f t="shared" si="70"/>
        <v>0.17905854045696926</v>
      </c>
      <c r="RJ7" s="209">
        <f t="shared" si="70"/>
        <v>0.18102619393740538</v>
      </c>
      <c r="RK7" s="209">
        <f t="shared" si="70"/>
        <v>0.18299507738409124</v>
      </c>
      <c r="RL7" s="209">
        <f t="shared" si="70"/>
        <v>0.18493036715988947</v>
      </c>
      <c r="RM7" s="209">
        <f t="shared" si="70"/>
        <v>0.18759809446640754</v>
      </c>
      <c r="RN7" s="209">
        <f t="shared" si="70"/>
        <v>0.18947713043161601</v>
      </c>
      <c r="RO7" s="209">
        <f t="shared" si="70"/>
        <v>0.19125193194987233</v>
      </c>
      <c r="RP7" s="209">
        <f t="shared" si="70"/>
        <v>0.19302696202543818</v>
      </c>
      <c r="RQ7" s="209">
        <f t="shared" si="70"/>
        <v>0.19513958280305918</v>
      </c>
      <c r="RR7" s="209">
        <f t="shared" si="70"/>
        <v>0.19730441657259923</v>
      </c>
      <c r="RS7" s="209">
        <f t="shared" si="70"/>
        <v>0.19946396717891998</v>
      </c>
      <c r="RT7" s="209">
        <f t="shared" si="70"/>
        <v>0.20242642846057088</v>
      </c>
      <c r="RU7" s="209">
        <f t="shared" si="70"/>
        <v>0.19215482508445184</v>
      </c>
      <c r="RV7" s="209">
        <f t="shared" si="70"/>
        <v>0.19418259507184102</v>
      </c>
      <c r="RW7" s="209">
        <f t="shared" si="70"/>
        <v>0.18374731250733461</v>
      </c>
      <c r="RX7" s="209">
        <f t="shared" si="70"/>
        <v>0.185712155860529</v>
      </c>
      <c r="RY7" s="209">
        <f t="shared" si="70"/>
        <v>0.1876234960757012</v>
      </c>
      <c r="RZ7" s="209">
        <f t="shared" si="70"/>
        <v>0.18950615899247997</v>
      </c>
      <c r="SA7" s="209">
        <f t="shared" si="70"/>
        <v>0.19182087471440121</v>
      </c>
      <c r="SB7" s="209">
        <f t="shared" si="70"/>
        <v>0.18209840220704576</v>
      </c>
      <c r="SC7" s="209">
        <f t="shared" si="70"/>
        <v>0.18421817498660351</v>
      </c>
      <c r="SD7" s="209">
        <f t="shared" si="70"/>
        <v>0.17367405763545532</v>
      </c>
      <c r="SE7" s="209">
        <f t="shared" si="70"/>
        <v>0.17568761891688606</v>
      </c>
      <c r="SF7" s="209">
        <f t="shared" si="70"/>
        <v>0.17779548054006269</v>
      </c>
      <c r="SG7" s="209">
        <f t="shared" si="70"/>
        <v>0.18033137912965455</v>
      </c>
      <c r="SH7" s="209">
        <f t="shared" si="70"/>
        <v>0.18217950616110587</v>
      </c>
      <c r="SI7" s="209">
        <f t="shared" si="70"/>
        <v>0.17123048939346011</v>
      </c>
      <c r="SJ7" s="209">
        <f t="shared" si="70"/>
        <v>0.17293501810785278</v>
      </c>
      <c r="SK7" s="209">
        <f t="shared" si="70"/>
        <v>0.16207090767267104</v>
      </c>
      <c r="SL7" s="209">
        <f t="shared" si="70"/>
        <v>0.16383391378386106</v>
      </c>
      <c r="SM7" s="209">
        <f t="shared" si="70"/>
        <v>0.1657714960390253</v>
      </c>
      <c r="SN7" s="209">
        <f t="shared" si="70"/>
        <v>0.16739047373763544</v>
      </c>
      <c r="SO7" s="209">
        <f t="shared" si="70"/>
        <v>0.16894282121026408</v>
      </c>
      <c r="SP7" s="209">
        <f t="shared" si="70"/>
        <v>0.15732184247246669</v>
      </c>
      <c r="SQ7" s="209">
        <f t="shared" si="70"/>
        <v>0.15870296313754576</v>
      </c>
      <c r="SR7" s="209">
        <f t="shared" si="70"/>
        <v>-2.7382167732802389E-5</v>
      </c>
      <c r="SS7" s="209">
        <f t="shared" si="70"/>
        <v>0.14982261215432988</v>
      </c>
      <c r="ST7" s="209">
        <f t="shared" si="70"/>
        <v>0.15144753602167033</v>
      </c>
      <c r="SU7" s="209">
        <f t="shared" si="70"/>
        <v>0.15301970925214278</v>
      </c>
      <c r="SV7" s="209">
        <f t="shared" ref="SV7:VG7" si="71">(SV4*40)/1000</f>
        <v>0.15503466058991686</v>
      </c>
      <c r="SW7" s="209">
        <f t="shared" si="71"/>
        <v>0.15702807062884608</v>
      </c>
      <c r="SX7" s="209">
        <f t="shared" si="71"/>
        <v>0.15872262633069201</v>
      </c>
      <c r="SY7" s="209">
        <f t="shared" si="71"/>
        <v>0.16133551231886645</v>
      </c>
      <c r="SZ7" s="209">
        <f t="shared" si="71"/>
        <v>0.16328435743538802</v>
      </c>
      <c r="TA7" s="209">
        <f t="shared" si="71"/>
        <v>0.16521875205628886</v>
      </c>
      <c r="TB7" s="209">
        <f t="shared" si="71"/>
        <v>0.16708579845336491</v>
      </c>
      <c r="TC7" s="209">
        <f t="shared" si="71"/>
        <v>0.16864520489533011</v>
      </c>
      <c r="TD7" s="209">
        <f t="shared" si="71"/>
        <v>0.17045674110977743</v>
      </c>
      <c r="TE7" s="209">
        <f t="shared" si="71"/>
        <v>0.17223896657329682</v>
      </c>
      <c r="TF7" s="209">
        <f t="shared" si="71"/>
        <v>0.17428521102780695</v>
      </c>
      <c r="TG7" s="209">
        <f t="shared" si="71"/>
        <v>0.17704507878631506</v>
      </c>
      <c r="TH7" s="209">
        <f t="shared" si="71"/>
        <v>0.17905854045696926</v>
      </c>
      <c r="TI7" s="209">
        <f t="shared" si="71"/>
        <v>0.18102619393740538</v>
      </c>
      <c r="TJ7" s="209">
        <f t="shared" si="71"/>
        <v>0.18299507738409124</v>
      </c>
      <c r="TK7" s="209">
        <f t="shared" si="71"/>
        <v>0.18493036715988947</v>
      </c>
      <c r="TL7" s="209">
        <f t="shared" si="71"/>
        <v>0.18759809446640754</v>
      </c>
      <c r="TM7" s="209">
        <f t="shared" si="71"/>
        <v>0.18947713043161601</v>
      </c>
      <c r="TN7" s="209">
        <f t="shared" si="71"/>
        <v>0.19125193194987233</v>
      </c>
      <c r="TO7" s="209">
        <f t="shared" si="71"/>
        <v>0.19302696202543818</v>
      </c>
      <c r="TP7" s="209">
        <f t="shared" si="71"/>
        <v>0.19513958280305918</v>
      </c>
      <c r="TQ7" s="209">
        <f t="shared" si="71"/>
        <v>0.19730441657259923</v>
      </c>
      <c r="TR7" s="209">
        <f t="shared" si="71"/>
        <v>0.19946396717891998</v>
      </c>
      <c r="TS7" s="209">
        <f t="shared" si="71"/>
        <v>0.20242642846057088</v>
      </c>
      <c r="TT7" s="209">
        <f t="shared" si="71"/>
        <v>0.19215482508445184</v>
      </c>
      <c r="TU7" s="209">
        <f t="shared" si="71"/>
        <v>0.19418259507184102</v>
      </c>
      <c r="TV7" s="209">
        <f t="shared" si="71"/>
        <v>0.18374731250733461</v>
      </c>
      <c r="TW7" s="209">
        <f t="shared" si="71"/>
        <v>0.185712155860529</v>
      </c>
      <c r="TX7" s="209">
        <f t="shared" si="71"/>
        <v>0.1876234960757012</v>
      </c>
      <c r="TY7" s="209">
        <f t="shared" si="71"/>
        <v>0.18950615899247997</v>
      </c>
      <c r="TZ7" s="209">
        <f t="shared" si="71"/>
        <v>0.19182087471440121</v>
      </c>
      <c r="UA7" s="209">
        <f t="shared" si="71"/>
        <v>0.18209840220704576</v>
      </c>
      <c r="UB7" s="209">
        <f t="shared" si="71"/>
        <v>0.18421817498660351</v>
      </c>
      <c r="UC7" s="209">
        <f t="shared" si="71"/>
        <v>0.17367405763545532</v>
      </c>
      <c r="UD7" s="209">
        <f t="shared" si="71"/>
        <v>0.17568761891688606</v>
      </c>
      <c r="UE7" s="209">
        <f t="shared" si="71"/>
        <v>0.17779548054006269</v>
      </c>
      <c r="UF7" s="209">
        <f t="shared" si="71"/>
        <v>0.18033137912965455</v>
      </c>
      <c r="UG7" s="209">
        <f t="shared" si="71"/>
        <v>0.18217950616110587</v>
      </c>
      <c r="UH7" s="209">
        <f t="shared" si="71"/>
        <v>0.17123048939346011</v>
      </c>
      <c r="UI7" s="209">
        <f t="shared" si="71"/>
        <v>0.17293501810785278</v>
      </c>
      <c r="UJ7" s="209">
        <f t="shared" si="71"/>
        <v>0.16207090767267104</v>
      </c>
      <c r="UK7" s="209">
        <f t="shared" si="71"/>
        <v>0.16383391378386106</v>
      </c>
      <c r="UL7" s="209">
        <f t="shared" si="71"/>
        <v>0.1657714960390253</v>
      </c>
      <c r="UM7" s="209">
        <f t="shared" si="71"/>
        <v>0.16739047373763544</v>
      </c>
      <c r="UN7" s="209">
        <f t="shared" si="71"/>
        <v>0.16894282121026408</v>
      </c>
      <c r="UO7" s="209">
        <f t="shared" si="71"/>
        <v>0.15732184247246669</v>
      </c>
      <c r="UP7" s="209">
        <f t="shared" si="71"/>
        <v>0.15870296313754576</v>
      </c>
      <c r="UQ7" s="209">
        <f t="shared" si="71"/>
        <v>-2.7382167732802389E-5</v>
      </c>
      <c r="UR7" s="209">
        <f t="shared" si="71"/>
        <v>0.14982261215432988</v>
      </c>
      <c r="US7" s="209">
        <f t="shared" si="71"/>
        <v>0.15144753602167033</v>
      </c>
      <c r="UT7" s="209">
        <f t="shared" si="71"/>
        <v>0.15301970925214278</v>
      </c>
      <c r="UU7" s="209">
        <f t="shared" si="71"/>
        <v>0.15503466058991686</v>
      </c>
      <c r="UV7" s="209">
        <f t="shared" si="71"/>
        <v>0.15702807062884608</v>
      </c>
      <c r="UW7" s="209">
        <f t="shared" si="71"/>
        <v>0.15872262633069201</v>
      </c>
      <c r="UX7" s="209">
        <f t="shared" si="71"/>
        <v>0.16133551231886645</v>
      </c>
      <c r="UY7" s="209">
        <f t="shared" si="71"/>
        <v>0.16328435743538802</v>
      </c>
      <c r="UZ7" s="209">
        <f t="shared" si="71"/>
        <v>0.16521875205628886</v>
      </c>
      <c r="VA7" s="209">
        <f t="shared" si="71"/>
        <v>0.16708579845336491</v>
      </c>
      <c r="VB7" s="209">
        <f t="shared" si="71"/>
        <v>0.16864520489533011</v>
      </c>
      <c r="VC7" s="209">
        <f t="shared" si="71"/>
        <v>0.17045674110977743</v>
      </c>
      <c r="VD7" s="209">
        <f t="shared" si="71"/>
        <v>0.17223896657329682</v>
      </c>
      <c r="VE7" s="209">
        <f t="shared" si="71"/>
        <v>0.17428521102780695</v>
      </c>
      <c r="VF7" s="209">
        <f t="shared" si="71"/>
        <v>0.17704507878631506</v>
      </c>
      <c r="VG7" s="209">
        <f t="shared" si="71"/>
        <v>0.17905854045696926</v>
      </c>
      <c r="VH7" s="209">
        <f t="shared" ref="VH7:XS7" si="72">(VH4*40)/1000</f>
        <v>0.18102619393740538</v>
      </c>
      <c r="VI7" s="209">
        <f t="shared" si="72"/>
        <v>0.18299507738409124</v>
      </c>
      <c r="VJ7" s="209">
        <f t="shared" si="72"/>
        <v>0.18493036715988947</v>
      </c>
      <c r="VK7" s="209">
        <f t="shared" si="72"/>
        <v>0.18759809446640754</v>
      </c>
      <c r="VL7" s="209">
        <f t="shared" si="72"/>
        <v>0.18947713043161601</v>
      </c>
      <c r="VM7" s="209">
        <f t="shared" si="72"/>
        <v>0.19125193194987233</v>
      </c>
      <c r="VN7" s="209">
        <f t="shared" si="72"/>
        <v>0.19302696202543818</v>
      </c>
      <c r="VO7" s="209">
        <f t="shared" si="72"/>
        <v>0.19513958280305918</v>
      </c>
      <c r="VP7" s="209">
        <f t="shared" si="72"/>
        <v>0.19730441657259923</v>
      </c>
      <c r="VQ7" s="209">
        <f t="shared" si="72"/>
        <v>0.19946396717891998</v>
      </c>
      <c r="VR7" s="209">
        <f t="shared" si="72"/>
        <v>0.20242642846057088</v>
      </c>
      <c r="VS7" s="209">
        <f t="shared" si="72"/>
        <v>0.19215482508445184</v>
      </c>
      <c r="VT7" s="209">
        <f t="shared" si="72"/>
        <v>0.19418259507184102</v>
      </c>
      <c r="VU7" s="209">
        <f t="shared" si="72"/>
        <v>0.18374731250733461</v>
      </c>
      <c r="VV7" s="209">
        <f t="shared" si="72"/>
        <v>0.185712155860529</v>
      </c>
      <c r="VW7" s="209">
        <f t="shared" si="72"/>
        <v>0.1876234960757012</v>
      </c>
      <c r="VX7" s="209">
        <f t="shared" si="72"/>
        <v>0.18950615899247997</v>
      </c>
      <c r="VY7" s="209">
        <f t="shared" si="72"/>
        <v>0.19182087471440121</v>
      </c>
      <c r="VZ7" s="209">
        <f t="shared" si="72"/>
        <v>0.18209840220704576</v>
      </c>
      <c r="WA7" s="209">
        <f t="shared" si="72"/>
        <v>0.18421817498660351</v>
      </c>
      <c r="WB7" s="209">
        <f t="shared" si="72"/>
        <v>0.17367405763545532</v>
      </c>
      <c r="WC7" s="209">
        <f t="shared" si="72"/>
        <v>0.17568761891688606</v>
      </c>
      <c r="WD7" s="209">
        <f t="shared" si="72"/>
        <v>0.17779548054006269</v>
      </c>
      <c r="WE7" s="209">
        <f t="shared" si="72"/>
        <v>0.18033137912965455</v>
      </c>
      <c r="WF7" s="209">
        <f t="shared" si="72"/>
        <v>0.18217950616110587</v>
      </c>
      <c r="WG7" s="209">
        <f t="shared" si="72"/>
        <v>0.17123048939346011</v>
      </c>
      <c r="WH7" s="209">
        <f t="shared" si="72"/>
        <v>0.17293501810785278</v>
      </c>
      <c r="WI7" s="209">
        <f t="shared" si="72"/>
        <v>0.16207090767267104</v>
      </c>
      <c r="WJ7" s="209">
        <f t="shared" si="72"/>
        <v>0.16383391378386106</v>
      </c>
      <c r="WK7" s="209">
        <f t="shared" si="72"/>
        <v>0.1657714960390253</v>
      </c>
      <c r="WL7" s="209">
        <f t="shared" si="72"/>
        <v>0.16739047373763544</v>
      </c>
      <c r="WM7" s="209">
        <f t="shared" si="72"/>
        <v>0.16894282121026408</v>
      </c>
      <c r="WN7" s="209">
        <f t="shared" si="72"/>
        <v>0.15732184247246669</v>
      </c>
      <c r="WO7" s="209">
        <f t="shared" si="72"/>
        <v>0.15870296313754576</v>
      </c>
      <c r="WP7" s="209">
        <f t="shared" si="72"/>
        <v>-2.7382167732802389E-5</v>
      </c>
      <c r="WQ7" s="209">
        <f t="shared" si="72"/>
        <v>0.14982261215432988</v>
      </c>
      <c r="WR7" s="209">
        <f t="shared" si="72"/>
        <v>0.15144753602167033</v>
      </c>
      <c r="WS7" s="209">
        <f t="shared" si="72"/>
        <v>0.15301970925214278</v>
      </c>
      <c r="WT7" s="209">
        <f t="shared" si="72"/>
        <v>0.15503466058991686</v>
      </c>
      <c r="WU7" s="209">
        <f t="shared" si="72"/>
        <v>0.15702807062884608</v>
      </c>
      <c r="WV7" s="209">
        <f t="shared" si="72"/>
        <v>0.15872262633069201</v>
      </c>
      <c r="WW7" s="209">
        <f t="shared" si="72"/>
        <v>0.16133551231886645</v>
      </c>
      <c r="WX7" s="209">
        <f t="shared" si="72"/>
        <v>0.16328435743538802</v>
      </c>
      <c r="WY7" s="209">
        <f t="shared" si="72"/>
        <v>0.16521875205628886</v>
      </c>
      <c r="WZ7" s="209">
        <f t="shared" si="72"/>
        <v>0.16708579845336491</v>
      </c>
      <c r="XA7" s="209">
        <f t="shared" si="72"/>
        <v>0.16864520489533011</v>
      </c>
      <c r="XB7" s="209">
        <f t="shared" si="72"/>
        <v>0.17045674110977743</v>
      </c>
      <c r="XC7" s="209">
        <f t="shared" si="72"/>
        <v>0.17223896657329682</v>
      </c>
      <c r="XD7" s="209">
        <f t="shared" si="72"/>
        <v>0.17428521102780695</v>
      </c>
      <c r="XE7" s="209">
        <f t="shared" si="72"/>
        <v>0.17704507878631506</v>
      </c>
      <c r="XF7" s="209">
        <f t="shared" si="72"/>
        <v>0.17905854045696926</v>
      </c>
      <c r="XG7" s="209">
        <f t="shared" si="72"/>
        <v>0.18102619393740538</v>
      </c>
      <c r="XH7" s="209">
        <f t="shared" si="72"/>
        <v>0.18299507738409124</v>
      </c>
      <c r="XI7" s="209">
        <f t="shared" si="72"/>
        <v>0.18493036715988947</v>
      </c>
      <c r="XJ7" s="209">
        <f t="shared" si="72"/>
        <v>0.18759809446640754</v>
      </c>
      <c r="XK7" s="209">
        <f t="shared" si="72"/>
        <v>0.18947713043161601</v>
      </c>
      <c r="XL7" s="209">
        <f t="shared" si="72"/>
        <v>0.19125193194987233</v>
      </c>
      <c r="XM7" s="209">
        <f t="shared" si="72"/>
        <v>0.19302696202543818</v>
      </c>
      <c r="XN7" s="209">
        <f t="shared" si="72"/>
        <v>0.19513958280305918</v>
      </c>
      <c r="XO7" s="209">
        <f t="shared" si="72"/>
        <v>0.19730441657259923</v>
      </c>
      <c r="XP7" s="209">
        <f t="shared" si="72"/>
        <v>0.19946396717891998</v>
      </c>
      <c r="XQ7" s="209">
        <f t="shared" si="72"/>
        <v>0.20242642846057088</v>
      </c>
      <c r="XR7" s="209">
        <f t="shared" si="72"/>
        <v>0.19215482508445184</v>
      </c>
      <c r="XS7" s="209">
        <f t="shared" si="72"/>
        <v>0.19418259507184102</v>
      </c>
      <c r="XT7" s="209">
        <f t="shared" ref="XT7:YF7" si="73">(XT4*40)/1000</f>
        <v>0.18374731250733461</v>
      </c>
      <c r="XU7" s="209">
        <f t="shared" si="73"/>
        <v>0.185712155860529</v>
      </c>
      <c r="XV7" s="209">
        <f t="shared" si="73"/>
        <v>0.1876234960757012</v>
      </c>
      <c r="XW7" s="209">
        <f t="shared" si="73"/>
        <v>0.18950615899247997</v>
      </c>
      <c r="XX7" s="209">
        <f t="shared" si="73"/>
        <v>0.19182087471440121</v>
      </c>
      <c r="XY7" s="209">
        <f t="shared" si="73"/>
        <v>0.18209840220704576</v>
      </c>
      <c r="XZ7" s="209">
        <f t="shared" si="73"/>
        <v>0.18421817498660351</v>
      </c>
      <c r="YA7" s="209">
        <f t="shared" si="73"/>
        <v>0.17367405763545532</v>
      </c>
      <c r="YB7" s="209">
        <f t="shared" si="73"/>
        <v>0.17568761891688606</v>
      </c>
      <c r="YC7" s="209">
        <f t="shared" si="73"/>
        <v>0.17779548054006269</v>
      </c>
      <c r="YD7" s="209">
        <f t="shared" si="73"/>
        <v>0.18033137912965455</v>
      </c>
      <c r="YE7" s="209">
        <f t="shared" si="73"/>
        <v>0.18217950616110587</v>
      </c>
      <c r="YF7" s="209">
        <f t="shared" si="73"/>
        <v>0.17123048939346011</v>
      </c>
      <c r="YG7" s="209">
        <f>(YG4*40)/1000</f>
        <v>0.17293501810785278</v>
      </c>
      <c r="YH7" s="209">
        <f t="shared" ref="YH7:AAS7" si="74">(YH4*40)/1000</f>
        <v>0.16207090767267104</v>
      </c>
      <c r="YI7" s="209">
        <f t="shared" si="74"/>
        <v>0.16383391378386106</v>
      </c>
      <c r="YJ7" s="209">
        <f t="shared" si="74"/>
        <v>0.1657714960390253</v>
      </c>
      <c r="YK7" s="209">
        <f t="shared" si="74"/>
        <v>0.16739047373763544</v>
      </c>
      <c r="YL7" s="209">
        <f t="shared" si="74"/>
        <v>0.16894282121026408</v>
      </c>
      <c r="YM7" s="209">
        <f t="shared" si="74"/>
        <v>0.15732184247246669</v>
      </c>
      <c r="YN7" s="209">
        <f t="shared" si="74"/>
        <v>0.15870296313754576</v>
      </c>
      <c r="YO7" s="209">
        <f t="shared" si="74"/>
        <v>-2.7382167732802389E-5</v>
      </c>
      <c r="YP7" s="209">
        <f t="shared" si="74"/>
        <v>0.14420261215432986</v>
      </c>
      <c r="YQ7" s="209">
        <f t="shared" si="74"/>
        <v>0.14530771959309888</v>
      </c>
      <c r="YR7" s="209">
        <f t="shared" si="74"/>
        <v>0.14630340320951521</v>
      </c>
      <c r="YS7" s="209">
        <f t="shared" si="74"/>
        <v>0.1477018988128504</v>
      </c>
      <c r="YT7" s="209">
        <f t="shared" si="74"/>
        <v>0.1490538837729454</v>
      </c>
      <c r="YU7" s="209">
        <f t="shared" si="74"/>
        <v>0.15005691876249869</v>
      </c>
      <c r="YV7" s="209">
        <f t="shared" si="74"/>
        <v>0.15192178423849786</v>
      </c>
      <c r="YW7" s="209">
        <f t="shared" si="74"/>
        <v>0.15308208641741516</v>
      </c>
      <c r="YX7" s="209">
        <f t="shared" si="74"/>
        <v>0.15418545642950135</v>
      </c>
      <c r="YY7" s="209">
        <f t="shared" si="74"/>
        <v>0.1552067028880435</v>
      </c>
      <c r="YZ7" s="209">
        <f t="shared" si="74"/>
        <v>0.15586905412895685</v>
      </c>
      <c r="ZA7" s="209">
        <f t="shared" si="74"/>
        <v>0.15674913418116976</v>
      </c>
      <c r="ZB7" s="209">
        <f t="shared" si="74"/>
        <v>0.15754751688639493</v>
      </c>
      <c r="ZC7" s="209">
        <f t="shared" si="74"/>
        <v>0.15857629754174485</v>
      </c>
      <c r="ZD7" s="209">
        <f t="shared" si="74"/>
        <v>0.16029942485044588</v>
      </c>
      <c r="ZE7" s="209">
        <f t="shared" si="74"/>
        <v>0.16125196831690503</v>
      </c>
      <c r="ZF7" s="209">
        <f t="shared" si="74"/>
        <v>0.1621541321864487</v>
      </c>
      <c r="ZG7" s="209">
        <f t="shared" si="74"/>
        <v>0.16300427223697594</v>
      </c>
      <c r="ZH7" s="209">
        <f t="shared" si="74"/>
        <v>0.16378094547726357</v>
      </c>
      <c r="ZI7" s="209">
        <f t="shared" si="74"/>
        <v>0.16527530455628336</v>
      </c>
      <c r="ZJ7" s="209">
        <f t="shared" si="74"/>
        <v>0.16594530591700224</v>
      </c>
      <c r="ZK7" s="209">
        <f t="shared" si="74"/>
        <v>0.16655729868164573</v>
      </c>
      <c r="ZL7" s="209">
        <f t="shared" si="74"/>
        <v>0.16709136407338401</v>
      </c>
      <c r="ZM7" s="209">
        <f t="shared" si="74"/>
        <v>0.16796124680541202</v>
      </c>
      <c r="ZN7" s="209">
        <f t="shared" si="74"/>
        <v>0.1687929492260917</v>
      </c>
      <c r="ZO7" s="209">
        <f t="shared" si="74"/>
        <v>0.16958541090518636</v>
      </c>
      <c r="ZP7" s="209">
        <f t="shared" si="74"/>
        <v>0.17117644708792307</v>
      </c>
      <c r="ZQ7" s="209">
        <f t="shared" si="74"/>
        <v>0.15950485082500832</v>
      </c>
      <c r="ZR7" s="209">
        <f t="shared" si="74"/>
        <v>0.16013497706491617</v>
      </c>
      <c r="ZS7" s="209">
        <f t="shared" si="74"/>
        <v>0.14827964906027469</v>
      </c>
      <c r="ZT7" s="209">
        <f t="shared" si="74"/>
        <v>0.14880444027618436</v>
      </c>
      <c r="ZU7" s="209">
        <f t="shared" si="74"/>
        <v>0.14928868761353495</v>
      </c>
      <c r="ZV7" s="209">
        <f t="shared" si="74"/>
        <v>0.14973151389318776</v>
      </c>
      <c r="ZW7" s="209">
        <f t="shared" si="74"/>
        <v>0.1505966425227695</v>
      </c>
      <c r="ZX7" s="209">
        <f t="shared" si="74"/>
        <v>0.1394494303176681</v>
      </c>
      <c r="ZY7" s="209">
        <f t="shared" si="74"/>
        <v>0.1402646677357928</v>
      </c>
      <c r="ZZ7" s="209">
        <f t="shared" si="74"/>
        <v>0.12833985018457755</v>
      </c>
      <c r="AAA7" s="209">
        <f t="shared" si="74"/>
        <v>0.12911419132768909</v>
      </c>
      <c r="AAB7" s="209">
        <f t="shared" si="74"/>
        <v>0.1298731878671229</v>
      </c>
      <c r="AAC7" s="209">
        <f t="shared" si="74"/>
        <v>0.13110761787675493</v>
      </c>
      <c r="AAD7" s="209">
        <f t="shared" si="74"/>
        <v>0.13182838404284467</v>
      </c>
      <c r="AAE7" s="209">
        <f t="shared" si="74"/>
        <v>0.11963768326665622</v>
      </c>
      <c r="AAF7" s="209">
        <f t="shared" si="74"/>
        <v>0.1203279392925022</v>
      </c>
      <c r="AAG7" s="209">
        <f t="shared" si="74"/>
        <v>0.10833191462551831</v>
      </c>
      <c r="AAH7" s="209">
        <f t="shared" si="74"/>
        <v>0.10900253025391649</v>
      </c>
      <c r="AAI7" s="209">
        <f t="shared" si="74"/>
        <v>0.10992173460452229</v>
      </c>
      <c r="AAJ7" s="209">
        <f t="shared" si="74"/>
        <v>0.11057085328613737</v>
      </c>
      <c r="AAK7" s="209">
        <f t="shared" si="74"/>
        <v>0.11120602984722777</v>
      </c>
      <c r="AAL7" s="209">
        <f t="shared" si="74"/>
        <v>9.8753856649155092E-2</v>
      </c>
      <c r="AAM7" s="209">
        <f t="shared" si="74"/>
        <v>9.9364947748242879E-2</v>
      </c>
      <c r="AAN7" s="209">
        <f t="shared" si="74"/>
        <v>-2.7382167732802389E-5</v>
      </c>
      <c r="AAO7" s="209">
        <f t="shared" si="74"/>
        <v>8.5648563284035056E-2</v>
      </c>
      <c r="AAP7" s="209">
        <f t="shared" si="74"/>
        <v>8.6236682463272707E-2</v>
      </c>
      <c r="AAQ7" s="209">
        <f t="shared" si="74"/>
        <v>8.6814325815910087E-2</v>
      </c>
      <c r="AAR7" s="209">
        <f t="shared" si="74"/>
        <v>8.7381161026941004E-2</v>
      </c>
      <c r="AAS7" s="209">
        <f t="shared" si="74"/>
        <v>8.7936856201118838E-2</v>
      </c>
      <c r="AAT7" s="209">
        <f t="shared" ref="AAT7:ACJ7" si="75">(AAT4*40)/1000</f>
        <v>8.8465330876137949E-2</v>
      </c>
      <c r="AAU7" s="209">
        <f t="shared" si="75"/>
        <v>8.9650969678454956E-2</v>
      </c>
      <c r="AAV7" s="209">
        <f t="shared" si="75"/>
        <v>9.0174495044192629E-2</v>
      </c>
      <c r="AAW7" s="209">
        <f t="shared" si="75"/>
        <v>9.0685663091806368E-2</v>
      </c>
      <c r="AAX7" s="209">
        <f t="shared" si="75"/>
        <v>9.1184149957735772E-2</v>
      </c>
      <c r="AAY7" s="209">
        <f t="shared" si="75"/>
        <v>9.1669633349806989E-2</v>
      </c>
      <c r="AAZ7" s="209">
        <f t="shared" si="75"/>
        <v>9.2141792750440016E-2</v>
      </c>
      <c r="ABA7" s="209">
        <f t="shared" si="75"/>
        <v>9.2584904514872016E-2</v>
      </c>
      <c r="ABB7" s="209">
        <f t="shared" si="75"/>
        <v>9.3014030286792476E-2</v>
      </c>
      <c r="ABC7" s="209">
        <f t="shared" si="75"/>
        <v>9.4170363799676041E-2</v>
      </c>
      <c r="ABD7" s="209">
        <f t="shared" si="75"/>
        <v>9.4590355533143378E-2</v>
      </c>
      <c r="ABE7" s="209">
        <f t="shared" si="75"/>
        <v>9.4995572153618174E-2</v>
      </c>
      <c r="ABF7" s="209">
        <f t="shared" si="75"/>
        <v>9.5385710332491963E-2</v>
      </c>
      <c r="ABG7" s="209">
        <f t="shared" si="75"/>
        <v>9.576046987917218E-2</v>
      </c>
      <c r="ABH7" s="209">
        <f t="shared" si="75"/>
        <v>9.6892380152350716E-2</v>
      </c>
      <c r="ABI7" s="209">
        <f t="shared" si="75"/>
        <v>9.7240615632821548E-2</v>
      </c>
      <c r="ABJ7" s="209">
        <f t="shared" si="75"/>
        <v>9.757270961964197E-2</v>
      </c>
      <c r="ABK7" s="209">
        <f t="shared" si="75"/>
        <v>9.7888378038543292E-2</v>
      </c>
      <c r="ABL7" s="209">
        <f t="shared" si="75"/>
        <v>9.8187340877013446E-2</v>
      </c>
      <c r="ABM7" s="209">
        <f t="shared" si="75"/>
        <v>9.846932238585257E-2</v>
      </c>
      <c r="ABN7" s="209">
        <f t="shared" si="75"/>
        <v>9.8734051280181478E-2</v>
      </c>
      <c r="ABO7" s="209">
        <f t="shared" si="75"/>
        <v>9.982012584426346E-2</v>
      </c>
      <c r="ABP7" s="209">
        <f t="shared" si="75"/>
        <v>8.7684728664701062E-2</v>
      </c>
      <c r="ABQ7" s="209">
        <f t="shared" si="75"/>
        <v>8.7875384157104178E-2</v>
      </c>
      <c r="ABR7" s="209">
        <f t="shared" si="75"/>
        <v>7.5605651740123944E-2</v>
      </c>
      <c r="ABS7" s="209">
        <f t="shared" si="75"/>
        <v>7.5741830340919039E-2</v>
      </c>
      <c r="ABT7" s="209">
        <f t="shared" si="75"/>
        <v>7.5863970558971275E-2</v>
      </c>
      <c r="ABU7" s="209">
        <f t="shared" si="75"/>
        <v>7.5971896088516455E-2</v>
      </c>
      <c r="ABV7" s="209">
        <f t="shared" si="75"/>
        <v>7.6055231264109055E-2</v>
      </c>
      <c r="ABW7" s="209">
        <f t="shared" si="75"/>
        <v>6.4146597873575684E-2</v>
      </c>
      <c r="ABX7" s="209">
        <f t="shared" si="75"/>
        <v>6.4204669448993307E-2</v>
      </c>
      <c r="ABY7" s="209">
        <f t="shared" si="75"/>
        <v>5.1527266839460746E-2</v>
      </c>
      <c r="ABZ7" s="209">
        <f t="shared" si="75"/>
        <v>5.1553932252479215E-2</v>
      </c>
      <c r="ACA7" s="209">
        <f t="shared" si="75"/>
        <v>5.1570493893650593E-2</v>
      </c>
      <c r="ACB7" s="209">
        <f t="shared" si="75"/>
        <v>5.2068064153415708E-2</v>
      </c>
      <c r="ACC7" s="209">
        <f t="shared" si="75"/>
        <v>5.2074487644639275E-2</v>
      </c>
      <c r="ACD7" s="209">
        <f t="shared" si="75"/>
        <v>3.9175885028812807E-2</v>
      </c>
      <c r="ACE7" s="209">
        <f t="shared" si="75"/>
        <v>3.9165014796977898E-2</v>
      </c>
      <c r="ACF7" s="209">
        <f t="shared" si="75"/>
        <v>2.6474976156386405E-2</v>
      </c>
      <c r="ACG7" s="209">
        <f t="shared" si="75"/>
        <v>2.6459028587380432E-2</v>
      </c>
      <c r="ACH7" s="209">
        <f t="shared" si="75"/>
        <v>2.6699460629761407E-2</v>
      </c>
      <c r="ACI7" s="209">
        <f t="shared" si="75"/>
        <v>2.6677939453269132E-2</v>
      </c>
      <c r="ACJ7" s="209">
        <f t="shared" si="75"/>
        <v>2.6650951438755493E-2</v>
      </c>
      <c r="ACK7" s="209">
        <f>(ACK4*40)/1000</f>
        <v>1.3561858071269316E-2</v>
      </c>
      <c r="ACL7" s="209">
        <f t="shared" ref="ACL7:AEW7" si="76">(ACL4*40)/1000</f>
        <v>1.3545324397342429E-2</v>
      </c>
      <c r="ACM7" s="209">
        <f t="shared" si="76"/>
        <v>-2.7382167732802389E-5</v>
      </c>
      <c r="ACN7" s="209">
        <f t="shared" si="76"/>
        <v>0</v>
      </c>
      <c r="ACO7" s="209">
        <f t="shared" si="76"/>
        <v>0</v>
      </c>
      <c r="ACP7" s="209">
        <f t="shared" si="76"/>
        <v>0</v>
      </c>
      <c r="ACQ7" s="209">
        <f t="shared" si="76"/>
        <v>0</v>
      </c>
      <c r="ACR7" s="209">
        <f t="shared" si="76"/>
        <v>0</v>
      </c>
      <c r="ACS7" s="209">
        <f t="shared" si="76"/>
        <v>0</v>
      </c>
      <c r="ACT7" s="209">
        <f t="shared" si="76"/>
        <v>0</v>
      </c>
      <c r="ACU7" s="209">
        <f t="shared" si="76"/>
        <v>0</v>
      </c>
      <c r="ACV7" s="209">
        <f t="shared" si="76"/>
        <v>0</v>
      </c>
      <c r="ACW7" s="209">
        <f t="shared" si="76"/>
        <v>0</v>
      </c>
      <c r="ACX7" s="209">
        <f t="shared" si="76"/>
        <v>0</v>
      </c>
      <c r="ACY7" s="209">
        <f t="shared" si="76"/>
        <v>0</v>
      </c>
      <c r="ACZ7" s="209">
        <f t="shared" si="76"/>
        <v>0</v>
      </c>
      <c r="ADA7" s="209">
        <f t="shared" si="76"/>
        <v>0</v>
      </c>
      <c r="ADB7" s="209">
        <f t="shared" si="76"/>
        <v>0</v>
      </c>
      <c r="ADC7" s="209">
        <f t="shared" si="76"/>
        <v>0</v>
      </c>
      <c r="ADD7" s="209">
        <f t="shared" si="76"/>
        <v>0</v>
      </c>
      <c r="ADE7" s="209">
        <f t="shared" si="76"/>
        <v>0</v>
      </c>
      <c r="ADF7" s="209">
        <f t="shared" si="76"/>
        <v>0</v>
      </c>
      <c r="ADG7" s="209">
        <f t="shared" si="76"/>
        <v>0</v>
      </c>
      <c r="ADH7" s="209">
        <f t="shared" si="76"/>
        <v>0</v>
      </c>
      <c r="ADI7" s="209">
        <f t="shared" si="76"/>
        <v>0</v>
      </c>
      <c r="ADJ7" s="209">
        <f t="shared" si="76"/>
        <v>0</v>
      </c>
      <c r="ADK7" s="209">
        <f t="shared" si="76"/>
        <v>0</v>
      </c>
      <c r="ADL7" s="209">
        <f t="shared" si="76"/>
        <v>0</v>
      </c>
      <c r="ADM7" s="209">
        <f t="shared" si="76"/>
        <v>0</v>
      </c>
      <c r="ADN7" s="209">
        <f t="shared" si="76"/>
        <v>0</v>
      </c>
      <c r="ADO7" s="209">
        <f t="shared" si="76"/>
        <v>0</v>
      </c>
      <c r="ADP7" s="209">
        <f t="shared" si="76"/>
        <v>0</v>
      </c>
      <c r="ADQ7" s="209">
        <f t="shared" si="76"/>
        <v>0</v>
      </c>
      <c r="ADR7" s="209">
        <f t="shared" si="76"/>
        <v>0</v>
      </c>
      <c r="ADS7" s="209">
        <f t="shared" si="76"/>
        <v>0</v>
      </c>
      <c r="ADT7" s="209">
        <f t="shared" si="76"/>
        <v>0</v>
      </c>
      <c r="ADU7" s="209">
        <f t="shared" si="76"/>
        <v>0</v>
      </c>
      <c r="ADV7" s="209">
        <f t="shared" si="76"/>
        <v>0</v>
      </c>
      <c r="ADW7" s="209">
        <f t="shared" si="76"/>
        <v>0</v>
      </c>
      <c r="ADX7" s="209">
        <f t="shared" si="76"/>
        <v>0</v>
      </c>
      <c r="ADY7" s="209">
        <f t="shared" si="76"/>
        <v>0</v>
      </c>
      <c r="ADZ7" s="209">
        <f t="shared" si="76"/>
        <v>0</v>
      </c>
      <c r="AEA7" s="209">
        <f t="shared" si="76"/>
        <v>0</v>
      </c>
      <c r="AEB7" s="209">
        <f t="shared" si="76"/>
        <v>0</v>
      </c>
      <c r="AEC7" s="209">
        <f t="shared" si="76"/>
        <v>0</v>
      </c>
      <c r="AED7" s="209">
        <f t="shared" si="76"/>
        <v>0</v>
      </c>
      <c r="AEE7" s="209">
        <f t="shared" si="76"/>
        <v>0</v>
      </c>
      <c r="AEF7" s="209">
        <f t="shared" si="76"/>
        <v>0</v>
      </c>
      <c r="AEG7" s="209">
        <f t="shared" si="76"/>
        <v>0</v>
      </c>
      <c r="AEH7" s="209">
        <f t="shared" si="76"/>
        <v>0</v>
      </c>
      <c r="AEI7" s="209">
        <f t="shared" si="76"/>
        <v>0</v>
      </c>
      <c r="AEJ7" s="209">
        <f t="shared" si="76"/>
        <v>0</v>
      </c>
      <c r="AEK7" s="209">
        <f t="shared" si="76"/>
        <v>0</v>
      </c>
      <c r="AEL7" s="209">
        <f t="shared" si="76"/>
        <v>0</v>
      </c>
      <c r="AEM7" s="209">
        <f t="shared" si="76"/>
        <v>0</v>
      </c>
      <c r="AEN7" s="209">
        <f t="shared" si="76"/>
        <v>0</v>
      </c>
      <c r="AEO7" s="209">
        <f t="shared" si="76"/>
        <v>0</v>
      </c>
      <c r="AEP7" s="209">
        <f t="shared" si="76"/>
        <v>0</v>
      </c>
      <c r="AEQ7" s="209">
        <f t="shared" si="76"/>
        <v>0</v>
      </c>
      <c r="AER7" s="209">
        <f t="shared" si="76"/>
        <v>0</v>
      </c>
      <c r="AES7" s="209">
        <f t="shared" si="76"/>
        <v>0</v>
      </c>
      <c r="AET7" s="209">
        <f t="shared" si="76"/>
        <v>0</v>
      </c>
      <c r="AEU7" s="209">
        <f t="shared" si="76"/>
        <v>0</v>
      </c>
      <c r="AEV7" s="209">
        <f t="shared" si="76"/>
        <v>0</v>
      </c>
      <c r="AEW7" s="209">
        <f t="shared" si="76"/>
        <v>0</v>
      </c>
      <c r="AEX7" s="209">
        <f t="shared" ref="AEX7:AHI7" si="77">(AEX4*40)/1000</f>
        <v>0</v>
      </c>
      <c r="AEY7" s="209">
        <f t="shared" si="77"/>
        <v>0</v>
      </c>
      <c r="AEZ7" s="209">
        <f t="shared" si="77"/>
        <v>0</v>
      </c>
      <c r="AFA7" s="209">
        <f t="shared" si="77"/>
        <v>0</v>
      </c>
      <c r="AFB7" s="209">
        <f t="shared" si="77"/>
        <v>0</v>
      </c>
      <c r="AFC7" s="209">
        <f t="shared" si="77"/>
        <v>0</v>
      </c>
      <c r="AFD7" s="209">
        <f t="shared" si="77"/>
        <v>0</v>
      </c>
      <c r="AFE7" s="209">
        <f t="shared" si="77"/>
        <v>0</v>
      </c>
      <c r="AFF7" s="209">
        <f t="shared" si="77"/>
        <v>0</v>
      </c>
      <c r="AFG7" s="209">
        <f t="shared" si="77"/>
        <v>0</v>
      </c>
      <c r="AFH7" s="209">
        <f t="shared" si="77"/>
        <v>0</v>
      </c>
      <c r="AFI7" s="209">
        <f t="shared" si="77"/>
        <v>0</v>
      </c>
      <c r="AFJ7" s="209">
        <f t="shared" si="77"/>
        <v>0</v>
      </c>
      <c r="AFK7" s="209">
        <f t="shared" si="77"/>
        <v>0</v>
      </c>
      <c r="AFL7" s="209">
        <f t="shared" si="77"/>
        <v>0</v>
      </c>
      <c r="AFM7" s="209">
        <f t="shared" si="77"/>
        <v>0</v>
      </c>
      <c r="AFN7" s="209">
        <f t="shared" si="77"/>
        <v>0</v>
      </c>
      <c r="AFO7" s="209">
        <f t="shared" si="77"/>
        <v>0</v>
      </c>
      <c r="AFP7" s="209">
        <f t="shared" si="77"/>
        <v>0</v>
      </c>
      <c r="AFQ7" s="209">
        <f t="shared" si="77"/>
        <v>0</v>
      </c>
      <c r="AFR7" s="209">
        <f t="shared" si="77"/>
        <v>0</v>
      </c>
      <c r="AFS7" s="209">
        <f t="shared" si="77"/>
        <v>0</v>
      </c>
      <c r="AFT7" s="209">
        <f t="shared" si="77"/>
        <v>0</v>
      </c>
      <c r="AFU7" s="209">
        <f t="shared" si="77"/>
        <v>0</v>
      </c>
      <c r="AFV7" s="209">
        <f t="shared" si="77"/>
        <v>0</v>
      </c>
      <c r="AFW7" s="209">
        <f t="shared" si="77"/>
        <v>0</v>
      </c>
      <c r="AFX7" s="209">
        <f t="shared" si="77"/>
        <v>0</v>
      </c>
      <c r="AFY7" s="209">
        <f t="shared" si="77"/>
        <v>0</v>
      </c>
      <c r="AFZ7" s="209">
        <f t="shared" si="77"/>
        <v>0</v>
      </c>
      <c r="AGA7" s="209">
        <f t="shared" si="77"/>
        <v>0</v>
      </c>
      <c r="AGB7" s="209">
        <f t="shared" si="77"/>
        <v>0</v>
      </c>
      <c r="AGC7" s="209">
        <f t="shared" si="77"/>
        <v>0</v>
      </c>
      <c r="AGD7" s="209">
        <f t="shared" si="77"/>
        <v>0</v>
      </c>
      <c r="AGE7" s="209">
        <f t="shared" si="77"/>
        <v>0</v>
      </c>
      <c r="AGF7" s="209">
        <f t="shared" si="77"/>
        <v>0</v>
      </c>
      <c r="AGG7" s="209">
        <f t="shared" si="77"/>
        <v>0</v>
      </c>
      <c r="AGH7" s="209">
        <f t="shared" si="77"/>
        <v>0</v>
      </c>
      <c r="AGI7" s="209">
        <f t="shared" si="77"/>
        <v>0</v>
      </c>
      <c r="AGJ7" s="209">
        <f t="shared" si="77"/>
        <v>0</v>
      </c>
      <c r="AGK7" s="209">
        <f t="shared" si="77"/>
        <v>0</v>
      </c>
      <c r="AGL7" s="209">
        <f t="shared" si="77"/>
        <v>0</v>
      </c>
      <c r="AGM7" s="209">
        <f t="shared" si="77"/>
        <v>0</v>
      </c>
      <c r="AGN7" s="209">
        <f t="shared" si="77"/>
        <v>0</v>
      </c>
      <c r="AGO7" s="209">
        <f t="shared" si="77"/>
        <v>0</v>
      </c>
      <c r="AGP7" s="209">
        <f t="shared" si="77"/>
        <v>0</v>
      </c>
      <c r="AGQ7" s="209">
        <f t="shared" si="77"/>
        <v>0</v>
      </c>
      <c r="AGR7" s="209">
        <f t="shared" si="77"/>
        <v>0</v>
      </c>
      <c r="AGS7" s="209">
        <f t="shared" si="77"/>
        <v>0</v>
      </c>
      <c r="AGT7" s="209">
        <f t="shared" si="77"/>
        <v>0</v>
      </c>
      <c r="AGU7" s="209">
        <f t="shared" si="77"/>
        <v>0</v>
      </c>
      <c r="AGV7" s="209">
        <f t="shared" si="77"/>
        <v>0</v>
      </c>
      <c r="AGW7" s="209">
        <f t="shared" si="77"/>
        <v>0</v>
      </c>
      <c r="AGX7" s="209">
        <f t="shared" si="77"/>
        <v>0</v>
      </c>
      <c r="AGY7" s="209">
        <f t="shared" si="77"/>
        <v>0</v>
      </c>
      <c r="AGZ7" s="209">
        <f t="shared" si="77"/>
        <v>0</v>
      </c>
      <c r="AHA7" s="209">
        <f t="shared" si="77"/>
        <v>0</v>
      </c>
      <c r="AHB7" s="209">
        <f t="shared" si="77"/>
        <v>0</v>
      </c>
      <c r="AHC7" s="209">
        <f t="shared" si="77"/>
        <v>0</v>
      </c>
      <c r="AHD7" s="209">
        <f t="shared" si="77"/>
        <v>0</v>
      </c>
      <c r="AHE7" s="209">
        <f t="shared" si="77"/>
        <v>0</v>
      </c>
      <c r="AHF7" s="209">
        <f t="shared" si="77"/>
        <v>0</v>
      </c>
      <c r="AHG7" s="209">
        <f t="shared" si="77"/>
        <v>0</v>
      </c>
      <c r="AHH7" s="209">
        <f t="shared" si="77"/>
        <v>0</v>
      </c>
      <c r="AHI7" s="209">
        <f t="shared" si="77"/>
        <v>0</v>
      </c>
      <c r="AHJ7" s="209">
        <f t="shared" ref="AHJ7:AJA7" si="78">(AHJ4*40)/1000</f>
        <v>0</v>
      </c>
      <c r="AHK7" s="209">
        <f t="shared" si="78"/>
        <v>0</v>
      </c>
      <c r="AHL7" s="209">
        <f t="shared" si="78"/>
        <v>0</v>
      </c>
      <c r="AHM7" s="209">
        <f t="shared" si="78"/>
        <v>0</v>
      </c>
      <c r="AHN7" s="209">
        <f t="shared" si="78"/>
        <v>0</v>
      </c>
      <c r="AHO7" s="209">
        <f t="shared" si="78"/>
        <v>0</v>
      </c>
      <c r="AHP7" s="209">
        <f t="shared" si="78"/>
        <v>0</v>
      </c>
      <c r="AHQ7" s="209">
        <f t="shared" si="78"/>
        <v>0</v>
      </c>
      <c r="AHR7" s="209">
        <f t="shared" si="78"/>
        <v>0</v>
      </c>
      <c r="AHS7" s="209">
        <f t="shared" si="78"/>
        <v>0</v>
      </c>
      <c r="AHT7" s="209">
        <f t="shared" si="78"/>
        <v>0</v>
      </c>
      <c r="AHU7" s="209">
        <f t="shared" si="78"/>
        <v>0</v>
      </c>
      <c r="AHV7" s="209">
        <f t="shared" si="78"/>
        <v>0</v>
      </c>
      <c r="AHW7" s="209">
        <f t="shared" si="78"/>
        <v>0</v>
      </c>
      <c r="AHX7" s="209">
        <f t="shared" si="78"/>
        <v>0</v>
      </c>
      <c r="AHY7" s="209">
        <f t="shared" si="78"/>
        <v>0</v>
      </c>
      <c r="AHZ7" s="209">
        <f t="shared" si="78"/>
        <v>0</v>
      </c>
      <c r="AIA7" s="209">
        <f t="shared" si="78"/>
        <v>0</v>
      </c>
      <c r="AIB7" s="209">
        <f t="shared" si="78"/>
        <v>0</v>
      </c>
      <c r="AIC7" s="209">
        <f t="shared" si="78"/>
        <v>0</v>
      </c>
      <c r="AID7" s="209">
        <f t="shared" si="78"/>
        <v>0</v>
      </c>
      <c r="AIE7" s="209">
        <f t="shared" si="78"/>
        <v>0</v>
      </c>
      <c r="AIF7" s="209">
        <f t="shared" si="78"/>
        <v>0</v>
      </c>
      <c r="AIG7" s="209">
        <f t="shared" si="78"/>
        <v>0</v>
      </c>
      <c r="AIH7" s="209">
        <f t="shared" si="78"/>
        <v>0</v>
      </c>
      <c r="AII7" s="209">
        <f t="shared" si="78"/>
        <v>0</v>
      </c>
      <c r="AIJ7" s="209">
        <f t="shared" si="78"/>
        <v>0</v>
      </c>
      <c r="AIK7" s="209">
        <f t="shared" si="78"/>
        <v>0</v>
      </c>
      <c r="AIL7" s="209">
        <f t="shared" si="78"/>
        <v>0</v>
      </c>
      <c r="AIM7" s="209">
        <f t="shared" si="78"/>
        <v>0</v>
      </c>
      <c r="AIN7" s="209">
        <f t="shared" si="78"/>
        <v>0</v>
      </c>
      <c r="AIO7" s="209">
        <f t="shared" si="78"/>
        <v>0</v>
      </c>
      <c r="AIP7" s="209">
        <f t="shared" si="78"/>
        <v>0</v>
      </c>
      <c r="AIQ7" s="209">
        <f t="shared" si="78"/>
        <v>0</v>
      </c>
      <c r="AIR7" s="209">
        <f t="shared" si="78"/>
        <v>0</v>
      </c>
      <c r="AIS7" s="209">
        <f t="shared" si="78"/>
        <v>0</v>
      </c>
      <c r="AIT7" s="209">
        <f t="shared" si="78"/>
        <v>0</v>
      </c>
      <c r="AIU7" s="209">
        <f t="shared" si="78"/>
        <v>0</v>
      </c>
      <c r="AIV7" s="209">
        <f t="shared" si="78"/>
        <v>0</v>
      </c>
      <c r="AIW7" s="209">
        <f t="shared" si="78"/>
        <v>0</v>
      </c>
      <c r="AIX7" s="209">
        <f t="shared" si="78"/>
        <v>0</v>
      </c>
      <c r="AIY7" s="209">
        <f t="shared" si="78"/>
        <v>0</v>
      </c>
      <c r="AIZ7" s="209">
        <f t="shared" si="78"/>
        <v>0</v>
      </c>
      <c r="AJA7" s="209">
        <f t="shared" si="78"/>
        <v>0</v>
      </c>
    </row>
    <row r="8" spans="1:1024" s="204" customFormat="1" ht="22.15" customHeight="1" x14ac:dyDescent="0.25">
      <c r="A8" s="286" t="s">
        <v>75</v>
      </c>
      <c r="B8" s="286"/>
      <c r="C8" s="206">
        <f t="shared" ref="C8:BN8" si="79">C4*$AJ$16</f>
        <v>0.12645000000000001</v>
      </c>
      <c r="D8" s="206">
        <f t="shared" si="79"/>
        <v>0.13814586964285713</v>
      </c>
      <c r="E8" s="206">
        <f t="shared" si="79"/>
        <v>0.1511168859591199</v>
      </c>
      <c r="F8" s="206">
        <f t="shared" si="79"/>
        <v>0.16498713998399475</v>
      </c>
      <c r="G8" s="206">
        <f t="shared" si="79"/>
        <v>0.17941920425776586</v>
      </c>
      <c r="H8" s="206">
        <f t="shared" si="79"/>
        <v>0.19497842028434917</v>
      </c>
      <c r="I8" s="206">
        <f t="shared" si="79"/>
        <v>0.21180888180829269</v>
      </c>
      <c r="J8" s="206">
        <f t="shared" si="79"/>
        <v>0.22955109790438949</v>
      </c>
      <c r="K8" s="206">
        <f t="shared" si="79"/>
        <v>0.24824915160271877</v>
      </c>
      <c r="L8" s="206">
        <f t="shared" si="79"/>
        <v>0.26727965021973138</v>
      </c>
      <c r="M8" s="206">
        <f t="shared" si="79"/>
        <v>0.28746339224339834</v>
      </c>
      <c r="N8" s="206">
        <f t="shared" si="79"/>
        <v>0.30842115589367275</v>
      </c>
      <c r="O8" s="206">
        <f t="shared" si="79"/>
        <v>0.33055761795529232</v>
      </c>
      <c r="P8" s="206">
        <f t="shared" si="79"/>
        <v>0.35345055343639764</v>
      </c>
      <c r="Q8" s="206">
        <f t="shared" si="79"/>
        <v>0.37677721355705646</v>
      </c>
      <c r="R8" s="206">
        <f t="shared" si="79"/>
        <v>0.4006478731514454</v>
      </c>
      <c r="S8" s="206">
        <f t="shared" si="79"/>
        <v>0.42462138939652483</v>
      </c>
      <c r="T8" s="206">
        <f t="shared" si="79"/>
        <v>0.44979311581009518</v>
      </c>
      <c r="U8" s="206">
        <f t="shared" si="79"/>
        <v>0.4758619878590829</v>
      </c>
      <c r="V8" s="206">
        <f t="shared" si="79"/>
        <v>0.50226277297779309</v>
      </c>
      <c r="W8" s="206">
        <f t="shared" si="79"/>
        <v>0.52946605157880999</v>
      </c>
      <c r="X8" s="206">
        <f t="shared" si="79"/>
        <v>0.55562924853509843</v>
      </c>
      <c r="Y8" s="206">
        <f t="shared" si="79"/>
        <v>0.58355095392121903</v>
      </c>
      <c r="Z8" s="206">
        <f t="shared" si="79"/>
        <v>0.61151255994706033</v>
      </c>
      <c r="AA8" s="206">
        <f t="shared" si="79"/>
        <v>0.64150801529642021</v>
      </c>
      <c r="AB8" s="206">
        <f t="shared" si="79"/>
        <v>0.67226751615900593</v>
      </c>
      <c r="AC8" s="206">
        <f t="shared" si="79"/>
        <v>0.70312458088457608</v>
      </c>
      <c r="AD8" s="206">
        <f t="shared" si="79"/>
        <v>0.73462442083747981</v>
      </c>
      <c r="AE8" s="206">
        <f t="shared" si="79"/>
        <v>0.76607140515580896</v>
      </c>
      <c r="AF8" s="206">
        <f t="shared" si="79"/>
        <v>0.79802242755884778</v>
      </c>
      <c r="AG8" s="206">
        <f t="shared" si="79"/>
        <v>0.83042360064775478</v>
      </c>
      <c r="AH8" s="206">
        <f t="shared" si="79"/>
        <v>0.86253319039874021</v>
      </c>
      <c r="AI8" s="206">
        <f t="shared" si="79"/>
        <v>0.89492951473407423</v>
      </c>
      <c r="AJ8" s="206">
        <f t="shared" si="79"/>
        <v>0.92754522431171382</v>
      </c>
      <c r="AK8" s="206">
        <f t="shared" si="79"/>
        <v>0.95960186751099708</v>
      </c>
      <c r="AL8" s="206">
        <f t="shared" si="79"/>
        <v>0.98895391314324121</v>
      </c>
      <c r="AM8" s="206">
        <f t="shared" si="79"/>
        <v>1.0200196676447491</v>
      </c>
      <c r="AN8" s="206">
        <f t="shared" si="79"/>
        <v>1.0479021207569312</v>
      </c>
      <c r="AO8" s="206">
        <f t="shared" si="79"/>
        <v>1.0782515851411458</v>
      </c>
      <c r="AP8" s="206">
        <f t="shared" si="79"/>
        <v>1.1075346281902418</v>
      </c>
      <c r="AQ8" s="206">
        <f t="shared" si="79"/>
        <v>1.1329002476608769</v>
      </c>
      <c r="AR8" s="206">
        <f t="shared" si="79"/>
        <v>1.1608381378530876</v>
      </c>
      <c r="AS8" s="206">
        <f t="shared" si="79"/>
        <v>1.183659273345389</v>
      </c>
      <c r="AT8" s="206">
        <f t="shared" si="79"/>
        <v>1.2091273435609362</v>
      </c>
      <c r="AU8" s="206">
        <f t="shared" si="79"/>
        <v>1.2337061294237526</v>
      </c>
      <c r="AV8" s="206">
        <f t="shared" si="79"/>
        <v>1.2566196322763181</v>
      </c>
      <c r="AW8" s="206">
        <f t="shared" si="79"/>
        <v>1.2784414601587064</v>
      </c>
      <c r="AX8" s="206">
        <f t="shared" si="79"/>
        <v>1.2990778056683174</v>
      </c>
      <c r="AY8" s="206">
        <f t="shared" si="79"/>
        <v>1.3177796810245117</v>
      </c>
      <c r="AZ8" s="206">
        <f t="shared" si="79"/>
        <v>1.3351053462593152</v>
      </c>
      <c r="BA8" s="206">
        <f t="shared" si="79"/>
        <v>0</v>
      </c>
      <c r="BB8" s="206">
        <f t="shared" si="79"/>
        <v>1.4439160995816334</v>
      </c>
      <c r="BC8" s="206">
        <f t="shared" si="79"/>
        <v>1.4672442050639463</v>
      </c>
      <c r="BD8" s="206">
        <f t="shared" si="79"/>
        <v>1.4896211273152355</v>
      </c>
      <c r="BE8" s="206">
        <f t="shared" si="79"/>
        <v>1.5222037401669566</v>
      </c>
      <c r="BF8" s="206">
        <f t="shared" si="79"/>
        <v>1.5545523246238633</v>
      </c>
      <c r="BG8" s="206">
        <f t="shared" si="79"/>
        <v>1.5807891477274658</v>
      </c>
      <c r="BH8" s="206">
        <f t="shared" si="79"/>
        <v>1.6129022094092591</v>
      </c>
      <c r="BI8" s="206">
        <f t="shared" si="79"/>
        <v>1.6449719038018966</v>
      </c>
      <c r="BJ8" s="206">
        <f t="shared" si="79"/>
        <v>1.6769945017008565</v>
      </c>
      <c r="BK8" s="206">
        <f t="shared" si="79"/>
        <v>1.7077870911516557</v>
      </c>
      <c r="BL8" s="206">
        <f t="shared" si="79"/>
        <v>1.7319503597742705</v>
      </c>
      <c r="BM8" s="206">
        <f t="shared" si="79"/>
        <v>1.7620863380850915</v>
      </c>
      <c r="BN8" s="206">
        <f t="shared" si="79"/>
        <v>1.7922163963145581</v>
      </c>
      <c r="BO8" s="206">
        <f t="shared" ref="BO8:DZ8" si="80">BO4*$AJ$16</f>
        <v>1.8286015666728259</v>
      </c>
      <c r="BP8" s="206">
        <f t="shared" si="80"/>
        <v>1.8646810871993786</v>
      </c>
      <c r="BQ8" s="206">
        <f t="shared" si="80"/>
        <v>1.9005341607860828</v>
      </c>
      <c r="BR8" s="206">
        <f t="shared" si="80"/>
        <v>1.9356889901352123</v>
      </c>
      <c r="BS8" s="206">
        <f t="shared" si="80"/>
        <v>1.9712107586609846</v>
      </c>
      <c r="BT8" s="206">
        <f t="shared" si="80"/>
        <v>2.0063226888161392</v>
      </c>
      <c r="BU8" s="206">
        <f t="shared" si="80"/>
        <v>2.0408785720662777</v>
      </c>
      <c r="BV8" s="206">
        <f t="shared" si="80"/>
        <v>2.0753215829728755</v>
      </c>
      <c r="BW8" s="206">
        <f t="shared" si="80"/>
        <v>2.1077825024301831</v>
      </c>
      <c r="BX8" s="206">
        <f t="shared" si="80"/>
        <v>2.1406181397051345</v>
      </c>
      <c r="BY8" s="206">
        <f t="shared" si="80"/>
        <v>2.1814254433360287</v>
      </c>
      <c r="BZ8" s="206">
        <f t="shared" si="80"/>
        <v>2.2237896192018001</v>
      </c>
      <c r="CA8" s="206">
        <f t="shared" si="80"/>
        <v>2.2664231077216161</v>
      </c>
      <c r="CB8" s="206">
        <f t="shared" si="80"/>
        <v>2.3086418088669167</v>
      </c>
      <c r="CC8" s="206">
        <f t="shared" si="80"/>
        <v>2.3505771694443927</v>
      </c>
      <c r="CD8" s="206">
        <f t="shared" si="80"/>
        <v>2.3919122455815782</v>
      </c>
      <c r="CE8" s="206">
        <f t="shared" si="80"/>
        <v>2.4331873672622399</v>
      </c>
      <c r="CF8" s="206">
        <f t="shared" si="80"/>
        <v>2.4743323241912241</v>
      </c>
      <c r="CG8" s="206">
        <f t="shared" si="80"/>
        <v>2.514589324126423</v>
      </c>
      <c r="CH8" s="206">
        <f t="shared" si="80"/>
        <v>2.5545209153391784</v>
      </c>
      <c r="CI8" s="206">
        <f t="shared" si="80"/>
        <v>2.6047269776315738</v>
      </c>
      <c r="CJ8" s="206">
        <f t="shared" si="80"/>
        <v>2.6539155975030764</v>
      </c>
      <c r="CK8" s="206">
        <f t="shared" si="80"/>
        <v>2.70030387459623</v>
      </c>
      <c r="CL8" s="206">
        <f t="shared" si="80"/>
        <v>2.7483027929098776</v>
      </c>
      <c r="CM8" s="206">
        <f t="shared" si="80"/>
        <v>2.7930079499491538</v>
      </c>
      <c r="CN8" s="206">
        <f t="shared" si="80"/>
        <v>2.8400621995442732</v>
      </c>
      <c r="CO8" s="206">
        <f t="shared" si="80"/>
        <v>2.8859245869653742</v>
      </c>
      <c r="CP8" s="206">
        <f t="shared" si="80"/>
        <v>2.9273629166204982</v>
      </c>
      <c r="CQ8" s="206">
        <f t="shared" si="80"/>
        <v>2.971228598204565</v>
      </c>
      <c r="CR8" s="206">
        <f t="shared" si="80"/>
        <v>3.0098250744946857</v>
      </c>
      <c r="CS8" s="206">
        <f t="shared" si="80"/>
        <v>3.0509084591164042</v>
      </c>
      <c r="CT8" s="206">
        <f t="shared" si="80"/>
        <v>3.0909349169208138</v>
      </c>
      <c r="CU8" s="206">
        <f t="shared" si="80"/>
        <v>3.1291207967084378</v>
      </c>
      <c r="CV8" s="206">
        <f t="shared" si="80"/>
        <v>3.1660320213982418</v>
      </c>
      <c r="CW8" s="206">
        <f t="shared" si="80"/>
        <v>3.2015670698589438</v>
      </c>
      <c r="CX8" s="206">
        <f t="shared" si="80"/>
        <v>3.2345996490269417</v>
      </c>
      <c r="CY8" s="206">
        <f t="shared" si="80"/>
        <v>3.2660468716545754</v>
      </c>
      <c r="CZ8" s="206">
        <f t="shared" si="80"/>
        <v>0</v>
      </c>
      <c r="DA8" s="206">
        <f t="shared" si="80"/>
        <v>3.3710087734724219</v>
      </c>
      <c r="DB8" s="206">
        <f t="shared" si="80"/>
        <v>3.4075695604875818</v>
      </c>
      <c r="DC8" s="206">
        <f t="shared" si="80"/>
        <v>3.4429434581732123</v>
      </c>
      <c r="DD8" s="206">
        <f t="shared" si="80"/>
        <v>3.4882798632731293</v>
      </c>
      <c r="DE8" s="206">
        <f t="shared" si="80"/>
        <v>3.5331315891490371</v>
      </c>
      <c r="DF8" s="206">
        <f t="shared" si="80"/>
        <v>3.5712590924405698</v>
      </c>
      <c r="DG8" s="206">
        <f t="shared" si="80"/>
        <v>3.6300490271744952</v>
      </c>
      <c r="DH8" s="206">
        <f t="shared" si="80"/>
        <v>3.6738980422962304</v>
      </c>
      <c r="DI8" s="206">
        <f t="shared" si="80"/>
        <v>3.717421921266499</v>
      </c>
      <c r="DJ8" s="206">
        <f t="shared" si="80"/>
        <v>3.7594304652007104</v>
      </c>
      <c r="DK8" s="206">
        <f t="shared" si="80"/>
        <v>3.7945171101449273</v>
      </c>
      <c r="DL8" s="206">
        <f t="shared" si="80"/>
        <v>3.8352766749699922</v>
      </c>
      <c r="DM8" s="206">
        <f t="shared" si="80"/>
        <v>3.8753767478991787</v>
      </c>
      <c r="DN8" s="206">
        <f t="shared" si="80"/>
        <v>3.9214172481256568</v>
      </c>
      <c r="DO8" s="206">
        <f t="shared" si="80"/>
        <v>3.9835142726920889</v>
      </c>
      <c r="DP8" s="206">
        <f t="shared" si="80"/>
        <v>4.0288171602818084</v>
      </c>
      <c r="DQ8" s="206">
        <f t="shared" si="80"/>
        <v>4.0730893635916203</v>
      </c>
      <c r="DR8" s="206">
        <f t="shared" si="80"/>
        <v>4.1173892411420532</v>
      </c>
      <c r="DS8" s="206">
        <f t="shared" si="80"/>
        <v>4.1609332610975134</v>
      </c>
      <c r="DT8" s="206">
        <f t="shared" si="80"/>
        <v>4.2209571254941691</v>
      </c>
      <c r="DU8" s="206">
        <f t="shared" si="80"/>
        <v>4.263235434711361</v>
      </c>
      <c r="DV8" s="206">
        <f t="shared" si="80"/>
        <v>4.3031684688721272</v>
      </c>
      <c r="DW8" s="206">
        <f t="shared" si="80"/>
        <v>4.3431066455723588</v>
      </c>
      <c r="DX8" s="206">
        <f t="shared" si="80"/>
        <v>4.3906406130688316</v>
      </c>
      <c r="DY8" s="206">
        <f t="shared" si="80"/>
        <v>4.4393493728834832</v>
      </c>
      <c r="DZ8" s="206">
        <f t="shared" si="80"/>
        <v>4.4879392615256997</v>
      </c>
      <c r="EA8" s="206">
        <f t="shared" ref="EA8:GL8" si="81">EA4*$AJ$16</f>
        <v>4.5545946403628452</v>
      </c>
      <c r="EB8" s="206">
        <f t="shared" si="81"/>
        <v>4.323483564400167</v>
      </c>
      <c r="EC8" s="206">
        <f t="shared" si="81"/>
        <v>4.3691083891164224</v>
      </c>
      <c r="ED8" s="206">
        <f t="shared" si="81"/>
        <v>4.1343145314150291</v>
      </c>
      <c r="EE8" s="206">
        <f t="shared" si="81"/>
        <v>4.1785235068619029</v>
      </c>
      <c r="EF8" s="206">
        <f t="shared" si="81"/>
        <v>4.2215286617032772</v>
      </c>
      <c r="EG8" s="206">
        <f t="shared" si="81"/>
        <v>4.2638885773307988</v>
      </c>
      <c r="EH8" s="206">
        <f t="shared" si="81"/>
        <v>4.3159696810740273</v>
      </c>
      <c r="EI8" s="206">
        <f t="shared" si="81"/>
        <v>4.097214049658529</v>
      </c>
      <c r="EJ8" s="206">
        <f t="shared" si="81"/>
        <v>4.1449089371985792</v>
      </c>
      <c r="EK8" s="206">
        <f t="shared" si="81"/>
        <v>3.9076662967977445</v>
      </c>
      <c r="EL8" s="206">
        <f t="shared" si="81"/>
        <v>3.9529714256299364</v>
      </c>
      <c r="EM8" s="206">
        <f t="shared" si="81"/>
        <v>4.0003983121514111</v>
      </c>
      <c r="EN8" s="206">
        <f t="shared" si="81"/>
        <v>4.0574560304172271</v>
      </c>
      <c r="EO8" s="206">
        <f t="shared" si="81"/>
        <v>4.0990388886248823</v>
      </c>
      <c r="EP8" s="206">
        <f t="shared" si="81"/>
        <v>3.8526860113528532</v>
      </c>
      <c r="EQ8" s="206">
        <f t="shared" si="81"/>
        <v>3.8910379074266879</v>
      </c>
      <c r="ER8" s="206">
        <f t="shared" si="81"/>
        <v>3.6465954226350985</v>
      </c>
      <c r="ES8" s="206">
        <f t="shared" si="81"/>
        <v>3.6862630601368735</v>
      </c>
      <c r="ET8" s="206">
        <f t="shared" si="81"/>
        <v>3.7298586608780693</v>
      </c>
      <c r="EU8" s="206">
        <f t="shared" si="81"/>
        <v>3.7662856590967975</v>
      </c>
      <c r="EV8" s="206">
        <f t="shared" si="81"/>
        <v>3.8012134772309416</v>
      </c>
      <c r="EW8" s="206">
        <f t="shared" si="81"/>
        <v>3.5397414556305011</v>
      </c>
      <c r="EX8" s="206">
        <f t="shared" si="81"/>
        <v>3.5708166705947799</v>
      </c>
      <c r="EY8" s="206">
        <f t="shared" si="81"/>
        <v>-6.160987739880537E-4</v>
      </c>
      <c r="EZ8" s="206">
        <f t="shared" si="81"/>
        <v>3.3710087734724219</v>
      </c>
      <c r="FA8" s="206">
        <f t="shared" si="81"/>
        <v>3.4075695604875818</v>
      </c>
      <c r="FB8" s="206">
        <f t="shared" si="81"/>
        <v>3.4429434581732123</v>
      </c>
      <c r="FC8" s="206">
        <f t="shared" si="81"/>
        <v>3.4882798632731293</v>
      </c>
      <c r="FD8" s="206">
        <f t="shared" si="81"/>
        <v>3.5331315891490371</v>
      </c>
      <c r="FE8" s="206">
        <f t="shared" si="81"/>
        <v>3.5712590924405698</v>
      </c>
      <c r="FF8" s="206">
        <f t="shared" si="81"/>
        <v>3.6300490271744952</v>
      </c>
      <c r="FG8" s="206">
        <f t="shared" si="81"/>
        <v>3.6738980422962304</v>
      </c>
      <c r="FH8" s="206">
        <f t="shared" si="81"/>
        <v>3.717421921266499</v>
      </c>
      <c r="FI8" s="206">
        <f t="shared" si="81"/>
        <v>3.7594304652007104</v>
      </c>
      <c r="FJ8" s="206">
        <f t="shared" si="81"/>
        <v>3.7945171101449273</v>
      </c>
      <c r="FK8" s="206">
        <f t="shared" si="81"/>
        <v>3.8352766749699922</v>
      </c>
      <c r="FL8" s="206">
        <f t="shared" si="81"/>
        <v>3.8753767478991787</v>
      </c>
      <c r="FM8" s="206">
        <f t="shared" si="81"/>
        <v>3.9214172481256568</v>
      </c>
      <c r="FN8" s="206">
        <f t="shared" si="81"/>
        <v>3.9835142726920889</v>
      </c>
      <c r="FO8" s="206">
        <f t="shared" si="81"/>
        <v>4.0288171602818084</v>
      </c>
      <c r="FP8" s="206">
        <f t="shared" si="81"/>
        <v>4.0730893635916203</v>
      </c>
      <c r="FQ8" s="206">
        <f t="shared" si="81"/>
        <v>4.1173892411420532</v>
      </c>
      <c r="FR8" s="206">
        <f t="shared" si="81"/>
        <v>4.1609332610975134</v>
      </c>
      <c r="FS8" s="206">
        <f t="shared" si="81"/>
        <v>4.2209571254941691</v>
      </c>
      <c r="FT8" s="206">
        <f t="shared" si="81"/>
        <v>4.263235434711361</v>
      </c>
      <c r="FU8" s="206">
        <f t="shared" si="81"/>
        <v>4.3031684688721272</v>
      </c>
      <c r="FV8" s="206">
        <f t="shared" si="81"/>
        <v>4.3431066455723588</v>
      </c>
      <c r="FW8" s="206">
        <f t="shared" si="81"/>
        <v>4.3906406130688316</v>
      </c>
      <c r="FX8" s="206">
        <f t="shared" si="81"/>
        <v>4.4393493728834832</v>
      </c>
      <c r="FY8" s="206">
        <f t="shared" si="81"/>
        <v>4.4879392615256997</v>
      </c>
      <c r="FZ8" s="206">
        <f t="shared" si="81"/>
        <v>4.5545946403628452</v>
      </c>
      <c r="GA8" s="206">
        <f t="shared" si="81"/>
        <v>4.323483564400167</v>
      </c>
      <c r="GB8" s="206">
        <f t="shared" si="81"/>
        <v>4.3691083891164224</v>
      </c>
      <c r="GC8" s="206">
        <f t="shared" si="81"/>
        <v>4.1343145314150291</v>
      </c>
      <c r="GD8" s="206">
        <f t="shared" si="81"/>
        <v>4.1785235068619029</v>
      </c>
      <c r="GE8" s="206">
        <f t="shared" si="81"/>
        <v>4.2215286617032772</v>
      </c>
      <c r="GF8" s="206">
        <f t="shared" si="81"/>
        <v>4.2638885773307988</v>
      </c>
      <c r="GG8" s="206">
        <f t="shared" si="81"/>
        <v>4.3159696810740273</v>
      </c>
      <c r="GH8" s="206">
        <f t="shared" si="81"/>
        <v>4.097214049658529</v>
      </c>
      <c r="GI8" s="206">
        <f t="shared" si="81"/>
        <v>4.1449089371985792</v>
      </c>
      <c r="GJ8" s="206">
        <f t="shared" si="81"/>
        <v>3.9076662967977445</v>
      </c>
      <c r="GK8" s="206">
        <f t="shared" si="81"/>
        <v>3.9529714256299364</v>
      </c>
      <c r="GL8" s="206">
        <f t="shared" si="81"/>
        <v>4.0003983121514111</v>
      </c>
      <c r="GM8" s="206">
        <f t="shared" ref="GM8:IX8" si="82">GM4*$AJ$16</f>
        <v>4.0574560304172271</v>
      </c>
      <c r="GN8" s="206">
        <f t="shared" si="82"/>
        <v>4.0990388886248823</v>
      </c>
      <c r="GO8" s="206">
        <f t="shared" si="82"/>
        <v>3.8526860113528532</v>
      </c>
      <c r="GP8" s="206">
        <f t="shared" si="82"/>
        <v>3.8910379074266879</v>
      </c>
      <c r="GQ8" s="206">
        <f t="shared" si="82"/>
        <v>3.6465954226350985</v>
      </c>
      <c r="GR8" s="206">
        <f t="shared" si="82"/>
        <v>3.6862630601368735</v>
      </c>
      <c r="GS8" s="206">
        <f t="shared" si="82"/>
        <v>3.7298586608780693</v>
      </c>
      <c r="GT8" s="206">
        <f t="shared" si="82"/>
        <v>3.7662856590967975</v>
      </c>
      <c r="GU8" s="206">
        <f t="shared" si="82"/>
        <v>3.8012134772309416</v>
      </c>
      <c r="GV8" s="206">
        <f t="shared" si="82"/>
        <v>3.5397414556305011</v>
      </c>
      <c r="GW8" s="206">
        <f t="shared" si="82"/>
        <v>3.5708166705947799</v>
      </c>
      <c r="GX8" s="206">
        <f t="shared" si="82"/>
        <v>-6.160987739880537E-4</v>
      </c>
      <c r="GY8" s="206">
        <f t="shared" si="82"/>
        <v>3.3710087734724219</v>
      </c>
      <c r="GZ8" s="206">
        <f t="shared" si="82"/>
        <v>3.4075695604875818</v>
      </c>
      <c r="HA8" s="206">
        <f t="shared" si="82"/>
        <v>3.4429434581732123</v>
      </c>
      <c r="HB8" s="206">
        <f t="shared" si="82"/>
        <v>3.4882798632731293</v>
      </c>
      <c r="HC8" s="206">
        <f t="shared" si="82"/>
        <v>3.5331315891490371</v>
      </c>
      <c r="HD8" s="206">
        <f t="shared" si="82"/>
        <v>3.5712590924405698</v>
      </c>
      <c r="HE8" s="206">
        <f t="shared" si="82"/>
        <v>3.6300490271744952</v>
      </c>
      <c r="HF8" s="206">
        <f t="shared" si="82"/>
        <v>3.6738980422962304</v>
      </c>
      <c r="HG8" s="206">
        <f t="shared" si="82"/>
        <v>3.717421921266499</v>
      </c>
      <c r="HH8" s="206">
        <f t="shared" si="82"/>
        <v>3.7594304652007104</v>
      </c>
      <c r="HI8" s="206">
        <f t="shared" si="82"/>
        <v>3.7945171101449273</v>
      </c>
      <c r="HJ8" s="206">
        <f t="shared" si="82"/>
        <v>3.8352766749699922</v>
      </c>
      <c r="HK8" s="206">
        <f t="shared" si="82"/>
        <v>3.8753767478991787</v>
      </c>
      <c r="HL8" s="206">
        <f t="shared" si="82"/>
        <v>3.9214172481256568</v>
      </c>
      <c r="HM8" s="206">
        <f t="shared" si="82"/>
        <v>3.9835142726920889</v>
      </c>
      <c r="HN8" s="206">
        <f t="shared" si="82"/>
        <v>4.0288171602818084</v>
      </c>
      <c r="HO8" s="206">
        <f t="shared" si="82"/>
        <v>4.0730893635916203</v>
      </c>
      <c r="HP8" s="206">
        <f t="shared" si="82"/>
        <v>4.1173892411420532</v>
      </c>
      <c r="HQ8" s="206">
        <f t="shared" si="82"/>
        <v>4.1609332610975134</v>
      </c>
      <c r="HR8" s="206">
        <f t="shared" si="82"/>
        <v>4.2209571254941691</v>
      </c>
      <c r="HS8" s="206">
        <f t="shared" si="82"/>
        <v>4.263235434711361</v>
      </c>
      <c r="HT8" s="206">
        <f t="shared" si="82"/>
        <v>4.3031684688721272</v>
      </c>
      <c r="HU8" s="206">
        <f t="shared" si="82"/>
        <v>4.3431066455723588</v>
      </c>
      <c r="HV8" s="206">
        <f t="shared" si="82"/>
        <v>4.3906406130688316</v>
      </c>
      <c r="HW8" s="206">
        <f t="shared" si="82"/>
        <v>4.4393493728834832</v>
      </c>
      <c r="HX8" s="206">
        <f t="shared" si="82"/>
        <v>4.4879392615256997</v>
      </c>
      <c r="HY8" s="206">
        <f t="shared" si="82"/>
        <v>4.5545946403628452</v>
      </c>
      <c r="HZ8" s="206">
        <f t="shared" si="82"/>
        <v>4.323483564400167</v>
      </c>
      <c r="IA8" s="206">
        <f t="shared" si="82"/>
        <v>4.3691083891164224</v>
      </c>
      <c r="IB8" s="206">
        <f t="shared" si="82"/>
        <v>4.1343145314150291</v>
      </c>
      <c r="IC8" s="206">
        <f t="shared" si="82"/>
        <v>4.1785235068619029</v>
      </c>
      <c r="ID8" s="206">
        <f t="shared" si="82"/>
        <v>4.2215286617032772</v>
      </c>
      <c r="IE8" s="206">
        <f t="shared" si="82"/>
        <v>4.2638885773307988</v>
      </c>
      <c r="IF8" s="206">
        <f t="shared" si="82"/>
        <v>4.3159696810740273</v>
      </c>
      <c r="IG8" s="206">
        <f t="shared" si="82"/>
        <v>4.097214049658529</v>
      </c>
      <c r="IH8" s="206">
        <f t="shared" si="82"/>
        <v>4.1449089371985792</v>
      </c>
      <c r="II8" s="206">
        <f t="shared" si="82"/>
        <v>3.9076662967977445</v>
      </c>
      <c r="IJ8" s="206">
        <f t="shared" si="82"/>
        <v>3.9529714256299364</v>
      </c>
      <c r="IK8" s="206">
        <f t="shared" si="82"/>
        <v>4.0003983121514111</v>
      </c>
      <c r="IL8" s="206">
        <f t="shared" si="82"/>
        <v>4.0574560304172271</v>
      </c>
      <c r="IM8" s="206">
        <f t="shared" si="82"/>
        <v>4.0990388886248823</v>
      </c>
      <c r="IN8" s="206">
        <f t="shared" si="82"/>
        <v>3.8526860113528532</v>
      </c>
      <c r="IO8" s="206">
        <f t="shared" si="82"/>
        <v>3.8910379074266879</v>
      </c>
      <c r="IP8" s="206">
        <f t="shared" si="82"/>
        <v>3.6465954226350985</v>
      </c>
      <c r="IQ8" s="206">
        <f t="shared" si="82"/>
        <v>3.6862630601368735</v>
      </c>
      <c r="IR8" s="206">
        <f t="shared" si="82"/>
        <v>3.7298586608780693</v>
      </c>
      <c r="IS8" s="206">
        <f t="shared" si="82"/>
        <v>3.7662856590967975</v>
      </c>
      <c r="IT8" s="206">
        <f t="shared" si="82"/>
        <v>3.8012134772309416</v>
      </c>
      <c r="IU8" s="206">
        <f t="shared" si="82"/>
        <v>3.5397414556305011</v>
      </c>
      <c r="IV8" s="206">
        <f t="shared" si="82"/>
        <v>3.5708166705947799</v>
      </c>
      <c r="IW8" s="206">
        <f t="shared" si="82"/>
        <v>-6.160987739880537E-4</v>
      </c>
      <c r="IX8" s="206">
        <f t="shared" si="82"/>
        <v>3.3710087734724219</v>
      </c>
      <c r="IY8" s="206">
        <f t="shared" ref="IY8:LJ8" si="83">IY4*$AJ$16</f>
        <v>3.4075695604875818</v>
      </c>
      <c r="IZ8" s="206">
        <f t="shared" si="83"/>
        <v>3.4429434581732123</v>
      </c>
      <c r="JA8" s="206">
        <f t="shared" si="83"/>
        <v>3.4882798632731293</v>
      </c>
      <c r="JB8" s="206">
        <f t="shared" si="83"/>
        <v>3.5331315891490371</v>
      </c>
      <c r="JC8" s="206">
        <f t="shared" si="83"/>
        <v>3.5712590924405698</v>
      </c>
      <c r="JD8" s="206">
        <f t="shared" si="83"/>
        <v>3.6300490271744952</v>
      </c>
      <c r="JE8" s="206">
        <f t="shared" si="83"/>
        <v>3.6738980422962304</v>
      </c>
      <c r="JF8" s="206">
        <f t="shared" si="83"/>
        <v>3.717421921266499</v>
      </c>
      <c r="JG8" s="206">
        <f t="shared" si="83"/>
        <v>3.7594304652007104</v>
      </c>
      <c r="JH8" s="206">
        <f t="shared" si="83"/>
        <v>3.7945171101449273</v>
      </c>
      <c r="JI8" s="206">
        <f t="shared" si="83"/>
        <v>3.8352766749699922</v>
      </c>
      <c r="JJ8" s="206">
        <f t="shared" si="83"/>
        <v>3.8753767478991787</v>
      </c>
      <c r="JK8" s="206">
        <f t="shared" si="83"/>
        <v>3.9214172481256568</v>
      </c>
      <c r="JL8" s="206">
        <f t="shared" si="83"/>
        <v>3.9835142726920889</v>
      </c>
      <c r="JM8" s="206">
        <f t="shared" si="83"/>
        <v>4.0288171602818084</v>
      </c>
      <c r="JN8" s="206">
        <f t="shared" si="83"/>
        <v>4.0730893635916203</v>
      </c>
      <c r="JO8" s="206">
        <f t="shared" si="83"/>
        <v>4.1173892411420532</v>
      </c>
      <c r="JP8" s="206">
        <f t="shared" si="83"/>
        <v>4.1609332610975134</v>
      </c>
      <c r="JQ8" s="206">
        <f t="shared" si="83"/>
        <v>4.2209571254941691</v>
      </c>
      <c r="JR8" s="206">
        <f t="shared" si="83"/>
        <v>4.263235434711361</v>
      </c>
      <c r="JS8" s="206">
        <f t="shared" si="83"/>
        <v>4.3031684688721272</v>
      </c>
      <c r="JT8" s="206">
        <f t="shared" si="83"/>
        <v>4.3431066455723588</v>
      </c>
      <c r="JU8" s="206">
        <f t="shared" si="83"/>
        <v>4.3906406130688316</v>
      </c>
      <c r="JV8" s="206">
        <f t="shared" si="83"/>
        <v>4.4393493728834832</v>
      </c>
      <c r="JW8" s="206">
        <f t="shared" si="83"/>
        <v>4.4879392615256997</v>
      </c>
      <c r="JX8" s="206">
        <f t="shared" si="83"/>
        <v>4.5545946403628452</v>
      </c>
      <c r="JY8" s="206">
        <f t="shared" si="83"/>
        <v>4.323483564400167</v>
      </c>
      <c r="JZ8" s="206">
        <f t="shared" si="83"/>
        <v>4.3691083891164224</v>
      </c>
      <c r="KA8" s="206">
        <f t="shared" si="83"/>
        <v>4.1343145314150291</v>
      </c>
      <c r="KB8" s="206">
        <f t="shared" si="83"/>
        <v>4.1785235068619029</v>
      </c>
      <c r="KC8" s="206">
        <f t="shared" si="83"/>
        <v>4.2215286617032772</v>
      </c>
      <c r="KD8" s="206">
        <f t="shared" si="83"/>
        <v>4.2638885773307988</v>
      </c>
      <c r="KE8" s="206">
        <f t="shared" si="83"/>
        <v>4.3159696810740273</v>
      </c>
      <c r="KF8" s="206">
        <f t="shared" si="83"/>
        <v>4.097214049658529</v>
      </c>
      <c r="KG8" s="206">
        <f t="shared" si="83"/>
        <v>4.1449089371985792</v>
      </c>
      <c r="KH8" s="206">
        <f t="shared" si="83"/>
        <v>3.9076662967977445</v>
      </c>
      <c r="KI8" s="206">
        <f t="shared" si="83"/>
        <v>3.9529714256299364</v>
      </c>
      <c r="KJ8" s="206">
        <f t="shared" si="83"/>
        <v>4.0003983121514111</v>
      </c>
      <c r="KK8" s="206">
        <f t="shared" si="83"/>
        <v>4.0574560304172271</v>
      </c>
      <c r="KL8" s="206">
        <f t="shared" si="83"/>
        <v>4.0990388886248823</v>
      </c>
      <c r="KM8" s="206">
        <f t="shared" si="83"/>
        <v>3.8526860113528532</v>
      </c>
      <c r="KN8" s="206">
        <f t="shared" si="83"/>
        <v>3.8910379074266879</v>
      </c>
      <c r="KO8" s="206">
        <f t="shared" si="83"/>
        <v>3.6465954226350985</v>
      </c>
      <c r="KP8" s="206">
        <f t="shared" si="83"/>
        <v>3.6862630601368735</v>
      </c>
      <c r="KQ8" s="206">
        <f t="shared" si="83"/>
        <v>3.7298586608780693</v>
      </c>
      <c r="KR8" s="206">
        <f t="shared" si="83"/>
        <v>3.7662856590967975</v>
      </c>
      <c r="KS8" s="206">
        <f t="shared" si="83"/>
        <v>3.8012134772309416</v>
      </c>
      <c r="KT8" s="206">
        <f t="shared" si="83"/>
        <v>3.5397414556305011</v>
      </c>
      <c r="KU8" s="206">
        <f t="shared" si="83"/>
        <v>3.5708166705947799</v>
      </c>
      <c r="KV8" s="206">
        <f t="shared" si="83"/>
        <v>-6.160987739880537E-4</v>
      </c>
      <c r="KW8" s="206">
        <f t="shared" si="83"/>
        <v>3.3710087734724219</v>
      </c>
      <c r="KX8" s="206">
        <f t="shared" si="83"/>
        <v>3.4075695604875818</v>
      </c>
      <c r="KY8" s="206">
        <f t="shared" si="83"/>
        <v>3.4429434581732123</v>
      </c>
      <c r="KZ8" s="206">
        <f t="shared" si="83"/>
        <v>3.4882798632731293</v>
      </c>
      <c r="LA8" s="206">
        <f t="shared" si="83"/>
        <v>3.5331315891490371</v>
      </c>
      <c r="LB8" s="206">
        <f t="shared" si="83"/>
        <v>3.5712590924405698</v>
      </c>
      <c r="LC8" s="206">
        <f t="shared" si="83"/>
        <v>3.6300490271744952</v>
      </c>
      <c r="LD8" s="206">
        <f t="shared" si="83"/>
        <v>3.6738980422962304</v>
      </c>
      <c r="LE8" s="206">
        <f t="shared" si="83"/>
        <v>3.717421921266499</v>
      </c>
      <c r="LF8" s="206">
        <f t="shared" si="83"/>
        <v>3.7594304652007104</v>
      </c>
      <c r="LG8" s="206">
        <f t="shared" si="83"/>
        <v>3.7945171101449273</v>
      </c>
      <c r="LH8" s="206">
        <f t="shared" si="83"/>
        <v>3.8352766749699922</v>
      </c>
      <c r="LI8" s="206">
        <f t="shared" si="83"/>
        <v>3.8753767478991787</v>
      </c>
      <c r="LJ8" s="206">
        <f t="shared" si="83"/>
        <v>3.9214172481256568</v>
      </c>
      <c r="LK8" s="206">
        <f t="shared" ref="LK8:NV8" si="84">LK4*$AJ$16</f>
        <v>3.9835142726920889</v>
      </c>
      <c r="LL8" s="206">
        <f t="shared" si="84"/>
        <v>4.0288171602818084</v>
      </c>
      <c r="LM8" s="206">
        <f t="shared" si="84"/>
        <v>4.0730893635916203</v>
      </c>
      <c r="LN8" s="206">
        <f t="shared" si="84"/>
        <v>4.1173892411420532</v>
      </c>
      <c r="LO8" s="206">
        <f t="shared" si="84"/>
        <v>4.1609332610975134</v>
      </c>
      <c r="LP8" s="206">
        <f t="shared" si="84"/>
        <v>4.2209571254941691</v>
      </c>
      <c r="LQ8" s="206">
        <f t="shared" si="84"/>
        <v>4.263235434711361</v>
      </c>
      <c r="LR8" s="206">
        <f t="shared" si="84"/>
        <v>4.3031684688721272</v>
      </c>
      <c r="LS8" s="206">
        <f t="shared" si="84"/>
        <v>4.3431066455723588</v>
      </c>
      <c r="LT8" s="206">
        <f t="shared" si="84"/>
        <v>4.3906406130688316</v>
      </c>
      <c r="LU8" s="206">
        <f t="shared" si="84"/>
        <v>4.4393493728834832</v>
      </c>
      <c r="LV8" s="206">
        <f t="shared" si="84"/>
        <v>4.4879392615256997</v>
      </c>
      <c r="LW8" s="206">
        <f t="shared" si="84"/>
        <v>4.5545946403628452</v>
      </c>
      <c r="LX8" s="206">
        <f t="shared" si="84"/>
        <v>4.323483564400167</v>
      </c>
      <c r="LY8" s="206">
        <f t="shared" si="84"/>
        <v>4.3691083891164224</v>
      </c>
      <c r="LZ8" s="206">
        <f t="shared" si="84"/>
        <v>4.1343145314150291</v>
      </c>
      <c r="MA8" s="206">
        <f t="shared" si="84"/>
        <v>4.1785235068619029</v>
      </c>
      <c r="MB8" s="206">
        <f t="shared" si="84"/>
        <v>4.2215286617032772</v>
      </c>
      <c r="MC8" s="206">
        <f t="shared" si="84"/>
        <v>4.2638885773307988</v>
      </c>
      <c r="MD8" s="206">
        <f t="shared" si="84"/>
        <v>4.3159696810740273</v>
      </c>
      <c r="ME8" s="206">
        <f t="shared" si="84"/>
        <v>4.097214049658529</v>
      </c>
      <c r="MF8" s="206">
        <f t="shared" si="84"/>
        <v>4.1449089371985792</v>
      </c>
      <c r="MG8" s="206">
        <f t="shared" si="84"/>
        <v>3.9076662967977445</v>
      </c>
      <c r="MH8" s="206">
        <f t="shared" si="84"/>
        <v>3.9529714256299364</v>
      </c>
      <c r="MI8" s="206">
        <f t="shared" si="84"/>
        <v>4.0003983121514111</v>
      </c>
      <c r="MJ8" s="206">
        <f t="shared" si="84"/>
        <v>4.0574560304172271</v>
      </c>
      <c r="MK8" s="206">
        <f t="shared" si="84"/>
        <v>4.0990388886248823</v>
      </c>
      <c r="ML8" s="206">
        <f t="shared" si="84"/>
        <v>3.8526860113528532</v>
      </c>
      <c r="MM8" s="206">
        <f t="shared" si="84"/>
        <v>3.8910379074266879</v>
      </c>
      <c r="MN8" s="206">
        <f t="shared" si="84"/>
        <v>3.6465954226350985</v>
      </c>
      <c r="MO8" s="206">
        <f t="shared" si="84"/>
        <v>3.6862630601368735</v>
      </c>
      <c r="MP8" s="206">
        <f t="shared" si="84"/>
        <v>3.7298586608780693</v>
      </c>
      <c r="MQ8" s="206">
        <f t="shared" si="84"/>
        <v>3.7662856590967975</v>
      </c>
      <c r="MR8" s="206">
        <f t="shared" si="84"/>
        <v>3.8012134772309416</v>
      </c>
      <c r="MS8" s="206">
        <f t="shared" si="84"/>
        <v>3.5397414556305011</v>
      </c>
      <c r="MT8" s="206">
        <f t="shared" si="84"/>
        <v>3.5708166705947799</v>
      </c>
      <c r="MU8" s="206">
        <f t="shared" si="84"/>
        <v>-6.160987739880537E-4</v>
      </c>
      <c r="MV8" s="206">
        <f t="shared" si="84"/>
        <v>3.3710087734724219</v>
      </c>
      <c r="MW8" s="206">
        <f t="shared" si="84"/>
        <v>3.4075695604875818</v>
      </c>
      <c r="MX8" s="206">
        <f t="shared" si="84"/>
        <v>3.4429434581732123</v>
      </c>
      <c r="MY8" s="206">
        <f t="shared" si="84"/>
        <v>3.4882798632731293</v>
      </c>
      <c r="MZ8" s="206">
        <f t="shared" si="84"/>
        <v>3.5331315891490371</v>
      </c>
      <c r="NA8" s="206">
        <f t="shared" si="84"/>
        <v>3.5712590924405698</v>
      </c>
      <c r="NB8" s="206">
        <f t="shared" si="84"/>
        <v>3.6300490271744952</v>
      </c>
      <c r="NC8" s="206">
        <f t="shared" si="84"/>
        <v>3.6738980422962304</v>
      </c>
      <c r="ND8" s="206">
        <f t="shared" si="84"/>
        <v>3.717421921266499</v>
      </c>
      <c r="NE8" s="206">
        <f t="shared" si="84"/>
        <v>3.7594304652007104</v>
      </c>
      <c r="NF8" s="206">
        <f t="shared" si="84"/>
        <v>3.7945171101449273</v>
      </c>
      <c r="NG8" s="206">
        <f t="shared" si="84"/>
        <v>3.8352766749699922</v>
      </c>
      <c r="NH8" s="206">
        <f t="shared" si="84"/>
        <v>3.8753767478991787</v>
      </c>
      <c r="NI8" s="206">
        <f t="shared" si="84"/>
        <v>3.9214172481256568</v>
      </c>
      <c r="NJ8" s="206">
        <f t="shared" si="84"/>
        <v>3.9835142726920889</v>
      </c>
      <c r="NK8" s="206">
        <f t="shared" si="84"/>
        <v>4.0288171602818084</v>
      </c>
      <c r="NL8" s="206">
        <f t="shared" si="84"/>
        <v>4.0730893635916203</v>
      </c>
      <c r="NM8" s="206">
        <f t="shared" si="84"/>
        <v>4.1173892411420532</v>
      </c>
      <c r="NN8" s="206">
        <f t="shared" si="84"/>
        <v>4.1609332610975134</v>
      </c>
      <c r="NO8" s="206">
        <f t="shared" si="84"/>
        <v>4.2209571254941691</v>
      </c>
      <c r="NP8" s="206">
        <f t="shared" si="84"/>
        <v>4.263235434711361</v>
      </c>
      <c r="NQ8" s="206">
        <f t="shared" si="84"/>
        <v>4.3031684688721272</v>
      </c>
      <c r="NR8" s="206">
        <f t="shared" si="84"/>
        <v>4.3431066455723588</v>
      </c>
      <c r="NS8" s="206">
        <f t="shared" si="84"/>
        <v>4.3906406130688316</v>
      </c>
      <c r="NT8" s="206">
        <f t="shared" si="84"/>
        <v>4.4393493728834832</v>
      </c>
      <c r="NU8" s="206">
        <f t="shared" si="84"/>
        <v>4.4879392615256997</v>
      </c>
      <c r="NV8" s="206">
        <f t="shared" si="84"/>
        <v>4.5545946403628452</v>
      </c>
      <c r="NW8" s="206">
        <f t="shared" ref="NW8:QH8" si="85">NW4*$AJ$16</f>
        <v>4.323483564400167</v>
      </c>
      <c r="NX8" s="206">
        <f t="shared" si="85"/>
        <v>4.3691083891164224</v>
      </c>
      <c r="NY8" s="206">
        <f t="shared" si="85"/>
        <v>4.1343145314150291</v>
      </c>
      <c r="NZ8" s="206">
        <f t="shared" si="85"/>
        <v>4.1785235068619029</v>
      </c>
      <c r="OA8" s="206">
        <f t="shared" si="85"/>
        <v>4.2215286617032772</v>
      </c>
      <c r="OB8" s="206">
        <f t="shared" si="85"/>
        <v>4.2638885773307988</v>
      </c>
      <c r="OC8" s="206">
        <f t="shared" si="85"/>
        <v>4.3159696810740273</v>
      </c>
      <c r="OD8" s="206">
        <f t="shared" si="85"/>
        <v>4.097214049658529</v>
      </c>
      <c r="OE8" s="206">
        <f t="shared" si="85"/>
        <v>4.1449089371985792</v>
      </c>
      <c r="OF8" s="206">
        <f t="shared" si="85"/>
        <v>3.9076662967977445</v>
      </c>
      <c r="OG8" s="206">
        <f t="shared" si="85"/>
        <v>3.9529714256299364</v>
      </c>
      <c r="OH8" s="206">
        <f t="shared" si="85"/>
        <v>4.0003983121514111</v>
      </c>
      <c r="OI8" s="206">
        <f t="shared" si="85"/>
        <v>4.0574560304172271</v>
      </c>
      <c r="OJ8" s="206">
        <f t="shared" si="85"/>
        <v>4.0990388886248823</v>
      </c>
      <c r="OK8" s="206">
        <f t="shared" si="85"/>
        <v>3.8526860113528532</v>
      </c>
      <c r="OL8" s="206">
        <f t="shared" si="85"/>
        <v>3.8910379074266879</v>
      </c>
      <c r="OM8" s="206">
        <f t="shared" si="85"/>
        <v>3.6465954226350985</v>
      </c>
      <c r="ON8" s="206">
        <f t="shared" si="85"/>
        <v>3.6862630601368735</v>
      </c>
      <c r="OO8" s="206">
        <f t="shared" si="85"/>
        <v>3.7298586608780693</v>
      </c>
      <c r="OP8" s="206">
        <f t="shared" si="85"/>
        <v>3.7662856590967975</v>
      </c>
      <c r="OQ8" s="206">
        <f t="shared" si="85"/>
        <v>3.8012134772309416</v>
      </c>
      <c r="OR8" s="206">
        <f t="shared" si="85"/>
        <v>3.5397414556305011</v>
      </c>
      <c r="OS8" s="206">
        <f t="shared" si="85"/>
        <v>3.5708166705947799</v>
      </c>
      <c r="OT8" s="206">
        <f t="shared" si="85"/>
        <v>-6.160987739880537E-4</v>
      </c>
      <c r="OU8" s="206">
        <f t="shared" si="85"/>
        <v>3.3710087734724219</v>
      </c>
      <c r="OV8" s="206">
        <f t="shared" si="85"/>
        <v>3.4075695604875818</v>
      </c>
      <c r="OW8" s="206">
        <f t="shared" si="85"/>
        <v>3.4429434581732123</v>
      </c>
      <c r="OX8" s="206">
        <f t="shared" si="85"/>
        <v>3.4882798632731293</v>
      </c>
      <c r="OY8" s="206">
        <f t="shared" si="85"/>
        <v>3.5331315891490371</v>
      </c>
      <c r="OZ8" s="206">
        <f t="shared" si="85"/>
        <v>3.5712590924405698</v>
      </c>
      <c r="PA8" s="206">
        <f t="shared" si="85"/>
        <v>3.6300490271744952</v>
      </c>
      <c r="PB8" s="206">
        <f t="shared" si="85"/>
        <v>3.6738980422962304</v>
      </c>
      <c r="PC8" s="206">
        <f t="shared" si="85"/>
        <v>3.717421921266499</v>
      </c>
      <c r="PD8" s="206">
        <f t="shared" si="85"/>
        <v>3.7594304652007104</v>
      </c>
      <c r="PE8" s="206">
        <f t="shared" si="85"/>
        <v>3.7945171101449273</v>
      </c>
      <c r="PF8" s="206">
        <f t="shared" si="85"/>
        <v>3.8352766749699922</v>
      </c>
      <c r="PG8" s="206">
        <f t="shared" si="85"/>
        <v>3.8753767478991787</v>
      </c>
      <c r="PH8" s="206">
        <f t="shared" si="85"/>
        <v>3.9214172481256568</v>
      </c>
      <c r="PI8" s="206">
        <f t="shared" si="85"/>
        <v>3.9835142726920889</v>
      </c>
      <c r="PJ8" s="206">
        <f t="shared" si="85"/>
        <v>4.0288171602818084</v>
      </c>
      <c r="PK8" s="206">
        <f t="shared" si="85"/>
        <v>4.0730893635916203</v>
      </c>
      <c r="PL8" s="206">
        <f t="shared" si="85"/>
        <v>4.1173892411420532</v>
      </c>
      <c r="PM8" s="206">
        <f t="shared" si="85"/>
        <v>4.1609332610975134</v>
      </c>
      <c r="PN8" s="206">
        <f t="shared" si="85"/>
        <v>4.2209571254941691</v>
      </c>
      <c r="PO8" s="206">
        <f t="shared" si="85"/>
        <v>4.263235434711361</v>
      </c>
      <c r="PP8" s="206">
        <f t="shared" si="85"/>
        <v>4.3031684688721272</v>
      </c>
      <c r="PQ8" s="206">
        <f t="shared" si="85"/>
        <v>4.3431066455723588</v>
      </c>
      <c r="PR8" s="206">
        <f t="shared" si="85"/>
        <v>4.3906406130688316</v>
      </c>
      <c r="PS8" s="206">
        <f t="shared" si="85"/>
        <v>4.4393493728834832</v>
      </c>
      <c r="PT8" s="206">
        <f t="shared" si="85"/>
        <v>4.4879392615256997</v>
      </c>
      <c r="PU8" s="206">
        <f t="shared" si="85"/>
        <v>4.5545946403628452</v>
      </c>
      <c r="PV8" s="206">
        <f t="shared" si="85"/>
        <v>4.323483564400167</v>
      </c>
      <c r="PW8" s="206">
        <f t="shared" si="85"/>
        <v>4.3691083891164224</v>
      </c>
      <c r="PX8" s="206">
        <f t="shared" si="85"/>
        <v>4.1343145314150291</v>
      </c>
      <c r="PY8" s="206">
        <f t="shared" si="85"/>
        <v>4.1785235068619029</v>
      </c>
      <c r="PZ8" s="206">
        <f t="shared" si="85"/>
        <v>4.2215286617032772</v>
      </c>
      <c r="QA8" s="206">
        <f t="shared" si="85"/>
        <v>4.2638885773307988</v>
      </c>
      <c r="QB8" s="206">
        <f t="shared" si="85"/>
        <v>4.3159696810740273</v>
      </c>
      <c r="QC8" s="206">
        <f t="shared" si="85"/>
        <v>4.097214049658529</v>
      </c>
      <c r="QD8" s="206">
        <f t="shared" si="85"/>
        <v>4.1449089371985792</v>
      </c>
      <c r="QE8" s="206">
        <f t="shared" si="85"/>
        <v>3.9076662967977445</v>
      </c>
      <c r="QF8" s="206">
        <f t="shared" si="85"/>
        <v>3.9529714256299364</v>
      </c>
      <c r="QG8" s="206">
        <f t="shared" si="85"/>
        <v>4.0003983121514111</v>
      </c>
      <c r="QH8" s="206">
        <f t="shared" si="85"/>
        <v>4.0574560304172271</v>
      </c>
      <c r="QI8" s="206">
        <f t="shared" ref="QI8:ST8" si="86">QI4*$AJ$16</f>
        <v>4.0990388886248823</v>
      </c>
      <c r="QJ8" s="206">
        <f t="shared" si="86"/>
        <v>3.8526860113528532</v>
      </c>
      <c r="QK8" s="206">
        <f t="shared" si="86"/>
        <v>3.8910379074266879</v>
      </c>
      <c r="QL8" s="206">
        <f t="shared" si="86"/>
        <v>3.6465954226350985</v>
      </c>
      <c r="QM8" s="206">
        <f t="shared" si="86"/>
        <v>3.6862630601368735</v>
      </c>
      <c r="QN8" s="206">
        <f t="shared" si="86"/>
        <v>3.7298586608780693</v>
      </c>
      <c r="QO8" s="206">
        <f t="shared" si="86"/>
        <v>3.7662856590967975</v>
      </c>
      <c r="QP8" s="206">
        <f t="shared" si="86"/>
        <v>3.8012134772309416</v>
      </c>
      <c r="QQ8" s="206">
        <f t="shared" si="86"/>
        <v>3.5397414556305011</v>
      </c>
      <c r="QR8" s="206">
        <f t="shared" si="86"/>
        <v>3.5708166705947799</v>
      </c>
      <c r="QS8" s="206">
        <f t="shared" si="86"/>
        <v>-6.160987739880537E-4</v>
      </c>
      <c r="QT8" s="206">
        <f t="shared" si="86"/>
        <v>3.3710087734724219</v>
      </c>
      <c r="QU8" s="206">
        <f t="shared" si="86"/>
        <v>3.4075695604875818</v>
      </c>
      <c r="QV8" s="206">
        <f t="shared" si="86"/>
        <v>3.4429434581732123</v>
      </c>
      <c r="QW8" s="206">
        <f t="shared" si="86"/>
        <v>3.4882798632731293</v>
      </c>
      <c r="QX8" s="206">
        <f t="shared" si="86"/>
        <v>3.5331315891490371</v>
      </c>
      <c r="QY8" s="206">
        <f t="shared" si="86"/>
        <v>3.5712590924405698</v>
      </c>
      <c r="QZ8" s="206">
        <f t="shared" si="86"/>
        <v>3.6300490271744952</v>
      </c>
      <c r="RA8" s="206">
        <f t="shared" si="86"/>
        <v>3.6738980422962304</v>
      </c>
      <c r="RB8" s="206">
        <f t="shared" si="86"/>
        <v>3.717421921266499</v>
      </c>
      <c r="RC8" s="206">
        <f t="shared" si="86"/>
        <v>3.7594304652007104</v>
      </c>
      <c r="RD8" s="206">
        <f t="shared" si="86"/>
        <v>3.7945171101449273</v>
      </c>
      <c r="RE8" s="206">
        <f t="shared" si="86"/>
        <v>3.8352766749699922</v>
      </c>
      <c r="RF8" s="206">
        <f t="shared" si="86"/>
        <v>3.8753767478991787</v>
      </c>
      <c r="RG8" s="206">
        <f t="shared" si="86"/>
        <v>3.9214172481256568</v>
      </c>
      <c r="RH8" s="206">
        <f t="shared" si="86"/>
        <v>3.9835142726920889</v>
      </c>
      <c r="RI8" s="206">
        <f t="shared" si="86"/>
        <v>4.0288171602818084</v>
      </c>
      <c r="RJ8" s="206">
        <f t="shared" si="86"/>
        <v>4.0730893635916203</v>
      </c>
      <c r="RK8" s="206">
        <f t="shared" si="86"/>
        <v>4.1173892411420532</v>
      </c>
      <c r="RL8" s="206">
        <f t="shared" si="86"/>
        <v>4.1609332610975134</v>
      </c>
      <c r="RM8" s="206">
        <f t="shared" si="86"/>
        <v>4.2209571254941691</v>
      </c>
      <c r="RN8" s="206">
        <f t="shared" si="86"/>
        <v>4.263235434711361</v>
      </c>
      <c r="RO8" s="206">
        <f t="shared" si="86"/>
        <v>4.3031684688721272</v>
      </c>
      <c r="RP8" s="206">
        <f t="shared" si="86"/>
        <v>4.3431066455723588</v>
      </c>
      <c r="RQ8" s="206">
        <f t="shared" si="86"/>
        <v>4.3906406130688316</v>
      </c>
      <c r="RR8" s="206">
        <f t="shared" si="86"/>
        <v>4.4393493728834832</v>
      </c>
      <c r="RS8" s="206">
        <f t="shared" si="86"/>
        <v>4.4879392615256997</v>
      </c>
      <c r="RT8" s="206">
        <f t="shared" si="86"/>
        <v>4.5545946403628452</v>
      </c>
      <c r="RU8" s="206">
        <f t="shared" si="86"/>
        <v>4.323483564400167</v>
      </c>
      <c r="RV8" s="206">
        <f t="shared" si="86"/>
        <v>4.3691083891164224</v>
      </c>
      <c r="RW8" s="206">
        <f t="shared" si="86"/>
        <v>4.1343145314150291</v>
      </c>
      <c r="RX8" s="206">
        <f t="shared" si="86"/>
        <v>4.1785235068619029</v>
      </c>
      <c r="RY8" s="206">
        <f t="shared" si="86"/>
        <v>4.2215286617032772</v>
      </c>
      <c r="RZ8" s="206">
        <f t="shared" si="86"/>
        <v>4.2638885773307988</v>
      </c>
      <c r="SA8" s="206">
        <f t="shared" si="86"/>
        <v>4.3159696810740273</v>
      </c>
      <c r="SB8" s="206">
        <f t="shared" si="86"/>
        <v>4.097214049658529</v>
      </c>
      <c r="SC8" s="206">
        <f t="shared" si="86"/>
        <v>4.1449089371985792</v>
      </c>
      <c r="SD8" s="206">
        <f t="shared" si="86"/>
        <v>3.9076662967977445</v>
      </c>
      <c r="SE8" s="206">
        <f t="shared" si="86"/>
        <v>3.9529714256299364</v>
      </c>
      <c r="SF8" s="206">
        <f t="shared" si="86"/>
        <v>4.0003983121514111</v>
      </c>
      <c r="SG8" s="206">
        <f t="shared" si="86"/>
        <v>4.0574560304172271</v>
      </c>
      <c r="SH8" s="206">
        <f t="shared" si="86"/>
        <v>4.0990388886248823</v>
      </c>
      <c r="SI8" s="206">
        <f t="shared" si="86"/>
        <v>3.8526860113528532</v>
      </c>
      <c r="SJ8" s="206">
        <f t="shared" si="86"/>
        <v>3.8910379074266879</v>
      </c>
      <c r="SK8" s="206">
        <f t="shared" si="86"/>
        <v>3.6465954226350985</v>
      </c>
      <c r="SL8" s="206">
        <f t="shared" si="86"/>
        <v>3.6862630601368735</v>
      </c>
      <c r="SM8" s="206">
        <f t="shared" si="86"/>
        <v>3.7298586608780693</v>
      </c>
      <c r="SN8" s="206">
        <f t="shared" si="86"/>
        <v>3.7662856590967975</v>
      </c>
      <c r="SO8" s="206">
        <f t="shared" si="86"/>
        <v>3.8012134772309416</v>
      </c>
      <c r="SP8" s="206">
        <f t="shared" si="86"/>
        <v>3.5397414556305011</v>
      </c>
      <c r="SQ8" s="206">
        <f t="shared" si="86"/>
        <v>3.5708166705947799</v>
      </c>
      <c r="SR8" s="206">
        <f t="shared" si="86"/>
        <v>-6.160987739880537E-4</v>
      </c>
      <c r="SS8" s="206">
        <f t="shared" si="86"/>
        <v>3.3710087734724219</v>
      </c>
      <c r="ST8" s="206">
        <f t="shared" si="86"/>
        <v>3.4075695604875818</v>
      </c>
      <c r="SU8" s="206">
        <f t="shared" ref="SU8:VF8" si="87">SU4*$AJ$16</f>
        <v>3.4429434581732123</v>
      </c>
      <c r="SV8" s="206">
        <f t="shared" si="87"/>
        <v>3.4882798632731293</v>
      </c>
      <c r="SW8" s="206">
        <f t="shared" si="87"/>
        <v>3.5331315891490371</v>
      </c>
      <c r="SX8" s="206">
        <f t="shared" si="87"/>
        <v>3.5712590924405698</v>
      </c>
      <c r="SY8" s="206">
        <f t="shared" si="87"/>
        <v>3.6300490271744952</v>
      </c>
      <c r="SZ8" s="206">
        <f t="shared" si="87"/>
        <v>3.6738980422962304</v>
      </c>
      <c r="TA8" s="206">
        <f t="shared" si="87"/>
        <v>3.717421921266499</v>
      </c>
      <c r="TB8" s="206">
        <f t="shared" si="87"/>
        <v>3.7594304652007104</v>
      </c>
      <c r="TC8" s="206">
        <f t="shared" si="87"/>
        <v>3.7945171101449273</v>
      </c>
      <c r="TD8" s="206">
        <f t="shared" si="87"/>
        <v>3.8352766749699922</v>
      </c>
      <c r="TE8" s="206">
        <f t="shared" si="87"/>
        <v>3.8753767478991787</v>
      </c>
      <c r="TF8" s="206">
        <f t="shared" si="87"/>
        <v>3.9214172481256568</v>
      </c>
      <c r="TG8" s="206">
        <f t="shared" si="87"/>
        <v>3.9835142726920889</v>
      </c>
      <c r="TH8" s="206">
        <f t="shared" si="87"/>
        <v>4.0288171602818084</v>
      </c>
      <c r="TI8" s="206">
        <f t="shared" si="87"/>
        <v>4.0730893635916203</v>
      </c>
      <c r="TJ8" s="206">
        <f t="shared" si="87"/>
        <v>4.1173892411420532</v>
      </c>
      <c r="TK8" s="206">
        <f t="shared" si="87"/>
        <v>4.1609332610975134</v>
      </c>
      <c r="TL8" s="206">
        <f t="shared" si="87"/>
        <v>4.2209571254941691</v>
      </c>
      <c r="TM8" s="206">
        <f t="shared" si="87"/>
        <v>4.263235434711361</v>
      </c>
      <c r="TN8" s="206">
        <f t="shared" si="87"/>
        <v>4.3031684688721272</v>
      </c>
      <c r="TO8" s="206">
        <f t="shared" si="87"/>
        <v>4.3431066455723588</v>
      </c>
      <c r="TP8" s="206">
        <f t="shared" si="87"/>
        <v>4.3906406130688316</v>
      </c>
      <c r="TQ8" s="206">
        <f t="shared" si="87"/>
        <v>4.4393493728834832</v>
      </c>
      <c r="TR8" s="206">
        <f t="shared" si="87"/>
        <v>4.4879392615256997</v>
      </c>
      <c r="TS8" s="206">
        <f t="shared" si="87"/>
        <v>4.5545946403628452</v>
      </c>
      <c r="TT8" s="206">
        <f t="shared" si="87"/>
        <v>4.323483564400167</v>
      </c>
      <c r="TU8" s="206">
        <f t="shared" si="87"/>
        <v>4.3691083891164224</v>
      </c>
      <c r="TV8" s="206">
        <f t="shared" si="87"/>
        <v>4.1343145314150291</v>
      </c>
      <c r="TW8" s="206">
        <f t="shared" si="87"/>
        <v>4.1785235068619029</v>
      </c>
      <c r="TX8" s="206">
        <f t="shared" si="87"/>
        <v>4.2215286617032772</v>
      </c>
      <c r="TY8" s="206">
        <f t="shared" si="87"/>
        <v>4.2638885773307988</v>
      </c>
      <c r="TZ8" s="206">
        <f t="shared" si="87"/>
        <v>4.3159696810740273</v>
      </c>
      <c r="UA8" s="206">
        <f t="shared" si="87"/>
        <v>4.097214049658529</v>
      </c>
      <c r="UB8" s="206">
        <f t="shared" si="87"/>
        <v>4.1449089371985792</v>
      </c>
      <c r="UC8" s="206">
        <f t="shared" si="87"/>
        <v>3.9076662967977445</v>
      </c>
      <c r="UD8" s="206">
        <f t="shared" si="87"/>
        <v>3.9529714256299364</v>
      </c>
      <c r="UE8" s="206">
        <f t="shared" si="87"/>
        <v>4.0003983121514111</v>
      </c>
      <c r="UF8" s="206">
        <f t="shared" si="87"/>
        <v>4.0574560304172271</v>
      </c>
      <c r="UG8" s="206">
        <f t="shared" si="87"/>
        <v>4.0990388886248823</v>
      </c>
      <c r="UH8" s="206">
        <f t="shared" si="87"/>
        <v>3.8526860113528532</v>
      </c>
      <c r="UI8" s="206">
        <f t="shared" si="87"/>
        <v>3.8910379074266879</v>
      </c>
      <c r="UJ8" s="206">
        <f t="shared" si="87"/>
        <v>3.6465954226350985</v>
      </c>
      <c r="UK8" s="206">
        <f t="shared" si="87"/>
        <v>3.6862630601368735</v>
      </c>
      <c r="UL8" s="206">
        <f t="shared" si="87"/>
        <v>3.7298586608780693</v>
      </c>
      <c r="UM8" s="206">
        <f t="shared" si="87"/>
        <v>3.7662856590967975</v>
      </c>
      <c r="UN8" s="206">
        <f t="shared" si="87"/>
        <v>3.8012134772309416</v>
      </c>
      <c r="UO8" s="206">
        <f t="shared" si="87"/>
        <v>3.5397414556305011</v>
      </c>
      <c r="UP8" s="206">
        <f t="shared" si="87"/>
        <v>3.5708166705947799</v>
      </c>
      <c r="UQ8" s="206">
        <f t="shared" si="87"/>
        <v>-6.160987739880537E-4</v>
      </c>
      <c r="UR8" s="206">
        <f t="shared" si="87"/>
        <v>3.3710087734724219</v>
      </c>
      <c r="US8" s="206">
        <f t="shared" si="87"/>
        <v>3.4075695604875818</v>
      </c>
      <c r="UT8" s="206">
        <f t="shared" si="87"/>
        <v>3.4429434581732123</v>
      </c>
      <c r="UU8" s="206">
        <f t="shared" si="87"/>
        <v>3.4882798632731293</v>
      </c>
      <c r="UV8" s="206">
        <f t="shared" si="87"/>
        <v>3.5331315891490371</v>
      </c>
      <c r="UW8" s="206">
        <f t="shared" si="87"/>
        <v>3.5712590924405698</v>
      </c>
      <c r="UX8" s="206">
        <f t="shared" si="87"/>
        <v>3.6300490271744952</v>
      </c>
      <c r="UY8" s="206">
        <f t="shared" si="87"/>
        <v>3.6738980422962304</v>
      </c>
      <c r="UZ8" s="206">
        <f t="shared" si="87"/>
        <v>3.717421921266499</v>
      </c>
      <c r="VA8" s="206">
        <f t="shared" si="87"/>
        <v>3.7594304652007104</v>
      </c>
      <c r="VB8" s="206">
        <f t="shared" si="87"/>
        <v>3.7945171101449273</v>
      </c>
      <c r="VC8" s="206">
        <f t="shared" si="87"/>
        <v>3.8352766749699922</v>
      </c>
      <c r="VD8" s="206">
        <f t="shared" si="87"/>
        <v>3.8753767478991787</v>
      </c>
      <c r="VE8" s="206">
        <f t="shared" si="87"/>
        <v>3.9214172481256568</v>
      </c>
      <c r="VF8" s="206">
        <f t="shared" si="87"/>
        <v>3.9835142726920889</v>
      </c>
      <c r="VG8" s="206">
        <f t="shared" ref="VG8:XR8" si="88">VG4*$AJ$16</f>
        <v>4.0288171602818084</v>
      </c>
      <c r="VH8" s="206">
        <f t="shared" si="88"/>
        <v>4.0730893635916203</v>
      </c>
      <c r="VI8" s="206">
        <f t="shared" si="88"/>
        <v>4.1173892411420532</v>
      </c>
      <c r="VJ8" s="206">
        <f t="shared" si="88"/>
        <v>4.1609332610975134</v>
      </c>
      <c r="VK8" s="206">
        <f t="shared" si="88"/>
        <v>4.2209571254941691</v>
      </c>
      <c r="VL8" s="206">
        <f t="shared" si="88"/>
        <v>4.263235434711361</v>
      </c>
      <c r="VM8" s="206">
        <f t="shared" si="88"/>
        <v>4.3031684688721272</v>
      </c>
      <c r="VN8" s="206">
        <f t="shared" si="88"/>
        <v>4.3431066455723588</v>
      </c>
      <c r="VO8" s="206">
        <f t="shared" si="88"/>
        <v>4.3906406130688316</v>
      </c>
      <c r="VP8" s="206">
        <f t="shared" si="88"/>
        <v>4.4393493728834832</v>
      </c>
      <c r="VQ8" s="206">
        <f t="shared" si="88"/>
        <v>4.4879392615256997</v>
      </c>
      <c r="VR8" s="206">
        <f t="shared" si="88"/>
        <v>4.5545946403628452</v>
      </c>
      <c r="VS8" s="206">
        <f t="shared" si="88"/>
        <v>4.323483564400167</v>
      </c>
      <c r="VT8" s="206">
        <f t="shared" si="88"/>
        <v>4.3691083891164224</v>
      </c>
      <c r="VU8" s="206">
        <f t="shared" si="88"/>
        <v>4.1343145314150291</v>
      </c>
      <c r="VV8" s="206">
        <f t="shared" si="88"/>
        <v>4.1785235068619029</v>
      </c>
      <c r="VW8" s="206">
        <f t="shared" si="88"/>
        <v>4.2215286617032772</v>
      </c>
      <c r="VX8" s="206">
        <f t="shared" si="88"/>
        <v>4.2638885773307988</v>
      </c>
      <c r="VY8" s="206">
        <f t="shared" si="88"/>
        <v>4.3159696810740273</v>
      </c>
      <c r="VZ8" s="206">
        <f t="shared" si="88"/>
        <v>4.097214049658529</v>
      </c>
      <c r="WA8" s="206">
        <f t="shared" si="88"/>
        <v>4.1449089371985792</v>
      </c>
      <c r="WB8" s="206">
        <f t="shared" si="88"/>
        <v>3.9076662967977445</v>
      </c>
      <c r="WC8" s="206">
        <f t="shared" si="88"/>
        <v>3.9529714256299364</v>
      </c>
      <c r="WD8" s="206">
        <f t="shared" si="88"/>
        <v>4.0003983121514111</v>
      </c>
      <c r="WE8" s="206">
        <f t="shared" si="88"/>
        <v>4.0574560304172271</v>
      </c>
      <c r="WF8" s="206">
        <f t="shared" si="88"/>
        <v>4.0990388886248823</v>
      </c>
      <c r="WG8" s="206">
        <f t="shared" si="88"/>
        <v>3.8526860113528532</v>
      </c>
      <c r="WH8" s="206">
        <f t="shared" si="88"/>
        <v>3.8910379074266879</v>
      </c>
      <c r="WI8" s="206">
        <f t="shared" si="88"/>
        <v>3.6465954226350985</v>
      </c>
      <c r="WJ8" s="206">
        <f t="shared" si="88"/>
        <v>3.6862630601368735</v>
      </c>
      <c r="WK8" s="206">
        <f t="shared" si="88"/>
        <v>3.7298586608780693</v>
      </c>
      <c r="WL8" s="206">
        <f t="shared" si="88"/>
        <v>3.7662856590967975</v>
      </c>
      <c r="WM8" s="206">
        <f t="shared" si="88"/>
        <v>3.8012134772309416</v>
      </c>
      <c r="WN8" s="206">
        <f t="shared" si="88"/>
        <v>3.5397414556305011</v>
      </c>
      <c r="WO8" s="206">
        <f t="shared" si="88"/>
        <v>3.5708166705947799</v>
      </c>
      <c r="WP8" s="206">
        <f t="shared" si="88"/>
        <v>-6.160987739880537E-4</v>
      </c>
      <c r="WQ8" s="206">
        <f t="shared" si="88"/>
        <v>3.3710087734724219</v>
      </c>
      <c r="WR8" s="206">
        <f t="shared" si="88"/>
        <v>3.4075695604875818</v>
      </c>
      <c r="WS8" s="206">
        <f t="shared" si="88"/>
        <v>3.4429434581732123</v>
      </c>
      <c r="WT8" s="206">
        <f t="shared" si="88"/>
        <v>3.4882798632731293</v>
      </c>
      <c r="WU8" s="206">
        <f t="shared" si="88"/>
        <v>3.5331315891490371</v>
      </c>
      <c r="WV8" s="206">
        <f t="shared" si="88"/>
        <v>3.5712590924405698</v>
      </c>
      <c r="WW8" s="206">
        <f t="shared" si="88"/>
        <v>3.6300490271744952</v>
      </c>
      <c r="WX8" s="206">
        <f t="shared" si="88"/>
        <v>3.6738980422962304</v>
      </c>
      <c r="WY8" s="206">
        <f t="shared" si="88"/>
        <v>3.717421921266499</v>
      </c>
      <c r="WZ8" s="206">
        <f t="shared" si="88"/>
        <v>3.7594304652007104</v>
      </c>
      <c r="XA8" s="206">
        <f t="shared" si="88"/>
        <v>3.7945171101449273</v>
      </c>
      <c r="XB8" s="206">
        <f t="shared" si="88"/>
        <v>3.8352766749699922</v>
      </c>
      <c r="XC8" s="206">
        <f t="shared" si="88"/>
        <v>3.8753767478991787</v>
      </c>
      <c r="XD8" s="206">
        <f t="shared" si="88"/>
        <v>3.9214172481256568</v>
      </c>
      <c r="XE8" s="206">
        <f t="shared" si="88"/>
        <v>3.9835142726920889</v>
      </c>
      <c r="XF8" s="206">
        <f t="shared" si="88"/>
        <v>4.0288171602818084</v>
      </c>
      <c r="XG8" s="206">
        <f t="shared" si="88"/>
        <v>4.0730893635916203</v>
      </c>
      <c r="XH8" s="206">
        <f t="shared" si="88"/>
        <v>4.1173892411420532</v>
      </c>
      <c r="XI8" s="206">
        <f t="shared" si="88"/>
        <v>4.1609332610975134</v>
      </c>
      <c r="XJ8" s="206">
        <f t="shared" si="88"/>
        <v>4.2209571254941691</v>
      </c>
      <c r="XK8" s="206">
        <f t="shared" si="88"/>
        <v>4.263235434711361</v>
      </c>
      <c r="XL8" s="206">
        <f t="shared" si="88"/>
        <v>4.3031684688721272</v>
      </c>
      <c r="XM8" s="206">
        <f t="shared" si="88"/>
        <v>4.3431066455723588</v>
      </c>
      <c r="XN8" s="206">
        <f t="shared" si="88"/>
        <v>4.3906406130688316</v>
      </c>
      <c r="XO8" s="206">
        <f t="shared" si="88"/>
        <v>4.4393493728834832</v>
      </c>
      <c r="XP8" s="206">
        <f t="shared" si="88"/>
        <v>4.4879392615256997</v>
      </c>
      <c r="XQ8" s="206">
        <f t="shared" si="88"/>
        <v>4.5545946403628452</v>
      </c>
      <c r="XR8" s="206">
        <f t="shared" si="88"/>
        <v>4.323483564400167</v>
      </c>
      <c r="XS8" s="206">
        <f t="shared" ref="XS8:AAD8" si="89">XS4*$AJ$16</f>
        <v>4.3691083891164224</v>
      </c>
      <c r="XT8" s="206">
        <f t="shared" si="89"/>
        <v>4.1343145314150291</v>
      </c>
      <c r="XU8" s="206">
        <f t="shared" si="89"/>
        <v>4.1785235068619029</v>
      </c>
      <c r="XV8" s="206">
        <f t="shared" si="89"/>
        <v>4.2215286617032772</v>
      </c>
      <c r="XW8" s="206">
        <f t="shared" si="89"/>
        <v>4.2638885773307988</v>
      </c>
      <c r="XX8" s="206">
        <f t="shared" si="89"/>
        <v>4.3159696810740273</v>
      </c>
      <c r="XY8" s="206">
        <f t="shared" si="89"/>
        <v>4.097214049658529</v>
      </c>
      <c r="XZ8" s="206">
        <f t="shared" si="89"/>
        <v>4.1449089371985792</v>
      </c>
      <c r="YA8" s="206">
        <f t="shared" si="89"/>
        <v>3.9076662967977445</v>
      </c>
      <c r="YB8" s="206">
        <f t="shared" si="89"/>
        <v>3.9529714256299364</v>
      </c>
      <c r="YC8" s="206">
        <f t="shared" si="89"/>
        <v>4.0003983121514111</v>
      </c>
      <c r="YD8" s="206">
        <f t="shared" si="89"/>
        <v>4.0574560304172271</v>
      </c>
      <c r="YE8" s="206">
        <f t="shared" si="89"/>
        <v>4.0990388886248823</v>
      </c>
      <c r="YF8" s="206">
        <f t="shared" si="89"/>
        <v>3.8526860113528532</v>
      </c>
      <c r="YG8" s="206">
        <f t="shared" si="89"/>
        <v>3.8910379074266879</v>
      </c>
      <c r="YH8" s="206">
        <f t="shared" si="89"/>
        <v>3.6465954226350985</v>
      </c>
      <c r="YI8" s="206">
        <f t="shared" si="89"/>
        <v>3.6862630601368735</v>
      </c>
      <c r="YJ8" s="206">
        <f t="shared" si="89"/>
        <v>3.7298586608780693</v>
      </c>
      <c r="YK8" s="206">
        <f t="shared" si="89"/>
        <v>3.7662856590967975</v>
      </c>
      <c r="YL8" s="206">
        <f t="shared" si="89"/>
        <v>3.8012134772309416</v>
      </c>
      <c r="YM8" s="206">
        <f t="shared" si="89"/>
        <v>3.5397414556305011</v>
      </c>
      <c r="YN8" s="206">
        <f t="shared" si="89"/>
        <v>3.5708166705947799</v>
      </c>
      <c r="YO8" s="206">
        <f t="shared" si="89"/>
        <v>-6.160987739880537E-4</v>
      </c>
      <c r="YP8" s="206">
        <f t="shared" si="89"/>
        <v>3.2445587734724222</v>
      </c>
      <c r="YQ8" s="206">
        <f t="shared" si="89"/>
        <v>3.2694236908447247</v>
      </c>
      <c r="YR8" s="206">
        <f t="shared" si="89"/>
        <v>3.2918265722140925</v>
      </c>
      <c r="YS8" s="206">
        <f t="shared" si="89"/>
        <v>3.3232927232891343</v>
      </c>
      <c r="YT8" s="206">
        <f t="shared" si="89"/>
        <v>3.3537123848912715</v>
      </c>
      <c r="YU8" s="206">
        <f t="shared" si="89"/>
        <v>3.3762806721562209</v>
      </c>
      <c r="YV8" s="206">
        <f t="shared" si="89"/>
        <v>3.4182401453662026</v>
      </c>
      <c r="YW8" s="206">
        <f t="shared" si="89"/>
        <v>3.4443469443918411</v>
      </c>
      <c r="YX8" s="206">
        <f t="shared" si="89"/>
        <v>3.4691727696637806</v>
      </c>
      <c r="YY8" s="206">
        <f t="shared" si="89"/>
        <v>3.4921508149809792</v>
      </c>
      <c r="YZ8" s="206">
        <f t="shared" si="89"/>
        <v>3.5070537179015293</v>
      </c>
      <c r="ZA8" s="206">
        <f t="shared" si="89"/>
        <v>3.5268555190763191</v>
      </c>
      <c r="ZB8" s="206">
        <f t="shared" si="89"/>
        <v>3.5448191299438863</v>
      </c>
      <c r="ZC8" s="206">
        <f t="shared" si="89"/>
        <v>3.5679666946892588</v>
      </c>
      <c r="ZD8" s="206">
        <f t="shared" si="89"/>
        <v>3.6067370591350327</v>
      </c>
      <c r="ZE8" s="206">
        <f t="shared" si="89"/>
        <v>3.6281692871303632</v>
      </c>
      <c r="ZF8" s="206">
        <f t="shared" si="89"/>
        <v>3.6484679741950958</v>
      </c>
      <c r="ZG8" s="206">
        <f t="shared" si="89"/>
        <v>3.6675961253319587</v>
      </c>
      <c r="ZH8" s="206">
        <f t="shared" si="89"/>
        <v>3.6850712732384303</v>
      </c>
      <c r="ZI8" s="206">
        <f t="shared" si="89"/>
        <v>3.7186943525163758</v>
      </c>
      <c r="ZJ8" s="206">
        <f t="shared" si="89"/>
        <v>3.7337693831325502</v>
      </c>
      <c r="ZK8" s="206">
        <f t="shared" si="89"/>
        <v>3.7475392203370292</v>
      </c>
      <c r="ZL8" s="206">
        <f t="shared" si="89"/>
        <v>3.7595556916511397</v>
      </c>
      <c r="ZM8" s="206">
        <f t="shared" si="89"/>
        <v>3.779128053121771</v>
      </c>
      <c r="ZN8" s="206">
        <f t="shared" si="89"/>
        <v>3.7978413575870631</v>
      </c>
      <c r="ZO8" s="206">
        <f t="shared" si="89"/>
        <v>3.8156717453666933</v>
      </c>
      <c r="ZP8" s="206">
        <f t="shared" si="89"/>
        <v>3.8514700594782689</v>
      </c>
      <c r="ZQ8" s="206">
        <f t="shared" si="89"/>
        <v>3.5888591435626869</v>
      </c>
      <c r="ZR8" s="206">
        <f t="shared" si="89"/>
        <v>3.6030369839606138</v>
      </c>
      <c r="ZS8" s="206">
        <f t="shared" si="89"/>
        <v>3.3362921038561808</v>
      </c>
      <c r="ZT8" s="206">
        <f t="shared" si="89"/>
        <v>3.3480999062141477</v>
      </c>
      <c r="ZU8" s="206">
        <f t="shared" si="89"/>
        <v>3.3589954713045365</v>
      </c>
      <c r="ZV8" s="206">
        <f t="shared" si="89"/>
        <v>3.3689590625967245</v>
      </c>
      <c r="ZW8" s="206">
        <f t="shared" si="89"/>
        <v>3.3884244567623139</v>
      </c>
      <c r="ZX8" s="206">
        <f t="shared" si="89"/>
        <v>3.1376121821475325</v>
      </c>
      <c r="ZY8" s="206">
        <f t="shared" si="89"/>
        <v>3.1559550240553382</v>
      </c>
      <c r="ZZ8" s="206">
        <f t="shared" si="89"/>
        <v>2.8876466291529952</v>
      </c>
      <c r="AAA8" s="206">
        <f t="shared" si="89"/>
        <v>2.9050693048730052</v>
      </c>
      <c r="AAB8" s="206">
        <f t="shared" si="89"/>
        <v>2.9221467270102655</v>
      </c>
      <c r="AAC8" s="206">
        <f t="shared" si="89"/>
        <v>2.9499214022269857</v>
      </c>
      <c r="AAD8" s="206">
        <f t="shared" si="89"/>
        <v>2.9661386409640054</v>
      </c>
      <c r="AAE8" s="206">
        <f t="shared" ref="AAE8:ACP8" si="90">AAE4*$AJ$16</f>
        <v>2.6918478734997651</v>
      </c>
      <c r="AAF8" s="206">
        <f t="shared" si="90"/>
        <v>2.7073786340812993</v>
      </c>
      <c r="AAG8" s="206">
        <f t="shared" si="90"/>
        <v>2.4374680790741619</v>
      </c>
      <c r="AAH8" s="206">
        <f t="shared" si="90"/>
        <v>2.4525569307131212</v>
      </c>
      <c r="AAI8" s="206">
        <f t="shared" si="90"/>
        <v>2.4732390286017516</v>
      </c>
      <c r="AAJ8" s="206">
        <f t="shared" si="90"/>
        <v>2.4878441989380913</v>
      </c>
      <c r="AAK8" s="206">
        <f t="shared" si="90"/>
        <v>2.5021356715626246</v>
      </c>
      <c r="AAL8" s="206">
        <f t="shared" si="90"/>
        <v>2.2219617746059894</v>
      </c>
      <c r="AAM8" s="206">
        <f t="shared" si="90"/>
        <v>2.2357113243354649</v>
      </c>
      <c r="AAN8" s="206">
        <f t="shared" si="90"/>
        <v>-6.160987739880537E-4</v>
      </c>
      <c r="AAO8" s="206">
        <f t="shared" si="90"/>
        <v>1.927092673890789</v>
      </c>
      <c r="AAP8" s="206">
        <f t="shared" si="90"/>
        <v>1.9403253554236357</v>
      </c>
      <c r="AAQ8" s="206">
        <f t="shared" si="90"/>
        <v>1.9533223308579768</v>
      </c>
      <c r="AAR8" s="206">
        <f t="shared" si="90"/>
        <v>1.9660761231061725</v>
      </c>
      <c r="AAS8" s="206">
        <f t="shared" si="90"/>
        <v>1.9785792645251739</v>
      </c>
      <c r="AAT8" s="206">
        <f t="shared" si="90"/>
        <v>1.9904699447131042</v>
      </c>
      <c r="AAU8" s="206">
        <f t="shared" si="90"/>
        <v>2.0171468177652363</v>
      </c>
      <c r="AAV8" s="206">
        <f t="shared" si="90"/>
        <v>2.028926138494334</v>
      </c>
      <c r="AAW8" s="206">
        <f t="shared" si="90"/>
        <v>2.0404274195656429</v>
      </c>
      <c r="AAX8" s="206">
        <f t="shared" si="90"/>
        <v>2.0516433740490547</v>
      </c>
      <c r="AAY8" s="206">
        <f t="shared" si="90"/>
        <v>2.0625667503706571</v>
      </c>
      <c r="AAZ8" s="206">
        <f t="shared" si="90"/>
        <v>2.0731903368849003</v>
      </c>
      <c r="ABA8" s="206">
        <f t="shared" si="90"/>
        <v>2.0831603515846204</v>
      </c>
      <c r="ABB8" s="206">
        <f t="shared" si="90"/>
        <v>2.0928156814528309</v>
      </c>
      <c r="ABC8" s="206">
        <f t="shared" si="90"/>
        <v>2.1188331854927109</v>
      </c>
      <c r="ABD8" s="206">
        <f t="shared" si="90"/>
        <v>2.1282829994957262</v>
      </c>
      <c r="ABE8" s="206">
        <f t="shared" si="90"/>
        <v>2.1374003734564089</v>
      </c>
      <c r="ABF8" s="206">
        <f t="shared" si="90"/>
        <v>2.1461784824810692</v>
      </c>
      <c r="ABG8" s="206">
        <f t="shared" si="90"/>
        <v>2.1546105722813742</v>
      </c>
      <c r="ABH8" s="206">
        <f t="shared" si="90"/>
        <v>2.180078553427891</v>
      </c>
      <c r="ABI8" s="206">
        <f t="shared" si="90"/>
        <v>2.1879138517384846</v>
      </c>
      <c r="ABJ8" s="206">
        <f t="shared" si="90"/>
        <v>2.1953859664419446</v>
      </c>
      <c r="ABK8" s="206">
        <f t="shared" si="90"/>
        <v>2.2024885058672243</v>
      </c>
      <c r="ABL8" s="206">
        <f t="shared" si="90"/>
        <v>2.2092151697328024</v>
      </c>
      <c r="ABM8" s="206">
        <f t="shared" si="90"/>
        <v>2.2155597536816831</v>
      </c>
      <c r="ABN8" s="206">
        <f t="shared" si="90"/>
        <v>2.2215161538040831</v>
      </c>
      <c r="ABO8" s="206">
        <f t="shared" si="90"/>
        <v>2.2459528314959281</v>
      </c>
      <c r="ABP8" s="206">
        <f t="shared" si="90"/>
        <v>1.9729063949557737</v>
      </c>
      <c r="ABQ8" s="206">
        <f t="shared" si="90"/>
        <v>1.9771961435348442</v>
      </c>
      <c r="ABR8" s="206">
        <f t="shared" si="90"/>
        <v>1.701127164152789</v>
      </c>
      <c r="ABS8" s="206">
        <f t="shared" si="90"/>
        <v>1.7041911826706784</v>
      </c>
      <c r="ABT8" s="206">
        <f t="shared" si="90"/>
        <v>1.7069393375768538</v>
      </c>
      <c r="ABU8" s="206">
        <f t="shared" si="90"/>
        <v>1.7093676619916203</v>
      </c>
      <c r="ABV8" s="206">
        <f t="shared" si="90"/>
        <v>1.7112427034424538</v>
      </c>
      <c r="ABW8" s="206">
        <f t="shared" si="90"/>
        <v>1.443298452155453</v>
      </c>
      <c r="ABX8" s="206">
        <f t="shared" si="90"/>
        <v>1.4446050626023494</v>
      </c>
      <c r="ABY8" s="206">
        <f t="shared" si="90"/>
        <v>1.1593635038878667</v>
      </c>
      <c r="ABZ8" s="206">
        <f t="shared" si="90"/>
        <v>1.1599634756807824</v>
      </c>
      <c r="ACA8" s="206">
        <f t="shared" si="90"/>
        <v>1.1603361126071383</v>
      </c>
      <c r="ACB8" s="206">
        <f t="shared" si="90"/>
        <v>1.1715314434518533</v>
      </c>
      <c r="ACC8" s="206">
        <f t="shared" si="90"/>
        <v>1.1716759720043839</v>
      </c>
      <c r="ACD8" s="206">
        <f t="shared" si="90"/>
        <v>0.88145741314828818</v>
      </c>
      <c r="ACE8" s="206">
        <f t="shared" si="90"/>
        <v>0.8812128329320027</v>
      </c>
      <c r="ACF8" s="206">
        <f t="shared" si="90"/>
        <v>0.5956869635186941</v>
      </c>
      <c r="ACG8" s="206">
        <f t="shared" si="90"/>
        <v>0.59532814321605965</v>
      </c>
      <c r="ACH8" s="206">
        <f t="shared" si="90"/>
        <v>0.60073786416963171</v>
      </c>
      <c r="ACI8" s="206">
        <f t="shared" si="90"/>
        <v>0.60025363769855555</v>
      </c>
      <c r="ACJ8" s="206">
        <f t="shared" si="90"/>
        <v>0.59964640737199859</v>
      </c>
      <c r="ACK8" s="206">
        <f t="shared" si="90"/>
        <v>0.30514180660355966</v>
      </c>
      <c r="ACL8" s="206">
        <f t="shared" si="90"/>
        <v>0.30476979894020467</v>
      </c>
      <c r="ACM8" s="206">
        <f t="shared" si="90"/>
        <v>-6.160987739880537E-4</v>
      </c>
      <c r="ACN8" s="206">
        <f t="shared" si="90"/>
        <v>0</v>
      </c>
      <c r="ACO8" s="206">
        <f t="shared" si="90"/>
        <v>0</v>
      </c>
      <c r="ACP8" s="206">
        <f t="shared" si="90"/>
        <v>0</v>
      </c>
      <c r="ACQ8" s="206">
        <f t="shared" ref="ACQ8:AFB8" si="91">ACQ4*$AJ$16</f>
        <v>0</v>
      </c>
      <c r="ACR8" s="206">
        <f t="shared" si="91"/>
        <v>0</v>
      </c>
      <c r="ACS8" s="206">
        <f t="shared" si="91"/>
        <v>0</v>
      </c>
      <c r="ACT8" s="206">
        <f t="shared" si="91"/>
        <v>0</v>
      </c>
      <c r="ACU8" s="206">
        <f t="shared" si="91"/>
        <v>0</v>
      </c>
      <c r="ACV8" s="206">
        <f t="shared" si="91"/>
        <v>0</v>
      </c>
      <c r="ACW8" s="206">
        <f t="shared" si="91"/>
        <v>0</v>
      </c>
      <c r="ACX8" s="206">
        <f t="shared" si="91"/>
        <v>0</v>
      </c>
      <c r="ACY8" s="206">
        <f t="shared" si="91"/>
        <v>0</v>
      </c>
      <c r="ACZ8" s="206">
        <f t="shared" si="91"/>
        <v>0</v>
      </c>
      <c r="ADA8" s="206">
        <f t="shared" si="91"/>
        <v>0</v>
      </c>
      <c r="ADB8" s="206">
        <f t="shared" si="91"/>
        <v>0</v>
      </c>
      <c r="ADC8" s="206">
        <f t="shared" si="91"/>
        <v>0</v>
      </c>
      <c r="ADD8" s="206">
        <f t="shared" si="91"/>
        <v>0</v>
      </c>
      <c r="ADE8" s="206">
        <f t="shared" si="91"/>
        <v>0</v>
      </c>
      <c r="ADF8" s="206">
        <f t="shared" si="91"/>
        <v>0</v>
      </c>
      <c r="ADG8" s="206">
        <f t="shared" si="91"/>
        <v>0</v>
      </c>
      <c r="ADH8" s="206">
        <f t="shared" si="91"/>
        <v>0</v>
      </c>
      <c r="ADI8" s="206">
        <f t="shared" si="91"/>
        <v>0</v>
      </c>
      <c r="ADJ8" s="206">
        <f t="shared" si="91"/>
        <v>0</v>
      </c>
      <c r="ADK8" s="206">
        <f t="shared" si="91"/>
        <v>0</v>
      </c>
      <c r="ADL8" s="206">
        <f t="shared" si="91"/>
        <v>0</v>
      </c>
      <c r="ADM8" s="206">
        <f t="shared" si="91"/>
        <v>0</v>
      </c>
      <c r="ADN8" s="206">
        <f t="shared" si="91"/>
        <v>0</v>
      </c>
      <c r="ADO8" s="206">
        <f t="shared" si="91"/>
        <v>0</v>
      </c>
      <c r="ADP8" s="206">
        <f t="shared" si="91"/>
        <v>0</v>
      </c>
      <c r="ADQ8" s="206">
        <f t="shared" si="91"/>
        <v>0</v>
      </c>
      <c r="ADR8" s="206">
        <f t="shared" si="91"/>
        <v>0</v>
      </c>
      <c r="ADS8" s="206">
        <f t="shared" si="91"/>
        <v>0</v>
      </c>
      <c r="ADT8" s="206">
        <f t="shared" si="91"/>
        <v>0</v>
      </c>
      <c r="ADU8" s="206">
        <f t="shared" si="91"/>
        <v>0</v>
      </c>
      <c r="ADV8" s="206">
        <f t="shared" si="91"/>
        <v>0</v>
      </c>
      <c r="ADW8" s="206">
        <f t="shared" si="91"/>
        <v>0</v>
      </c>
      <c r="ADX8" s="206">
        <f t="shared" si="91"/>
        <v>0</v>
      </c>
      <c r="ADY8" s="206">
        <f t="shared" si="91"/>
        <v>0</v>
      </c>
      <c r="ADZ8" s="206">
        <f t="shared" si="91"/>
        <v>0</v>
      </c>
      <c r="AEA8" s="206">
        <f t="shared" si="91"/>
        <v>0</v>
      </c>
      <c r="AEB8" s="206">
        <f t="shared" si="91"/>
        <v>0</v>
      </c>
      <c r="AEC8" s="206">
        <f t="shared" si="91"/>
        <v>0</v>
      </c>
      <c r="AED8" s="206">
        <f t="shared" si="91"/>
        <v>0</v>
      </c>
      <c r="AEE8" s="206">
        <f t="shared" si="91"/>
        <v>0</v>
      </c>
      <c r="AEF8" s="206">
        <f t="shared" si="91"/>
        <v>0</v>
      </c>
      <c r="AEG8" s="206">
        <f t="shared" si="91"/>
        <v>0</v>
      </c>
      <c r="AEH8" s="206">
        <f t="shared" si="91"/>
        <v>0</v>
      </c>
      <c r="AEI8" s="206">
        <f t="shared" si="91"/>
        <v>0</v>
      </c>
      <c r="AEJ8" s="206">
        <f t="shared" si="91"/>
        <v>0</v>
      </c>
      <c r="AEK8" s="206">
        <f t="shared" si="91"/>
        <v>0</v>
      </c>
      <c r="AEL8" s="206">
        <f t="shared" si="91"/>
        <v>0</v>
      </c>
      <c r="AEM8" s="206">
        <f t="shared" si="91"/>
        <v>0</v>
      </c>
      <c r="AEN8" s="206">
        <f t="shared" si="91"/>
        <v>0</v>
      </c>
      <c r="AEO8" s="206">
        <f t="shared" si="91"/>
        <v>0</v>
      </c>
      <c r="AEP8" s="206">
        <f t="shared" si="91"/>
        <v>0</v>
      </c>
      <c r="AEQ8" s="206">
        <f t="shared" si="91"/>
        <v>0</v>
      </c>
      <c r="AER8" s="206">
        <f t="shared" si="91"/>
        <v>0</v>
      </c>
      <c r="AES8" s="206">
        <f t="shared" si="91"/>
        <v>0</v>
      </c>
      <c r="AET8" s="206">
        <f t="shared" si="91"/>
        <v>0</v>
      </c>
      <c r="AEU8" s="206">
        <f t="shared" si="91"/>
        <v>0</v>
      </c>
      <c r="AEV8" s="206">
        <f t="shared" si="91"/>
        <v>0</v>
      </c>
      <c r="AEW8" s="206">
        <f t="shared" si="91"/>
        <v>0</v>
      </c>
      <c r="AEX8" s="206">
        <f t="shared" si="91"/>
        <v>0</v>
      </c>
      <c r="AEY8" s="206">
        <f t="shared" si="91"/>
        <v>0</v>
      </c>
      <c r="AEZ8" s="206">
        <f t="shared" si="91"/>
        <v>0</v>
      </c>
      <c r="AFA8" s="206">
        <f t="shared" si="91"/>
        <v>0</v>
      </c>
      <c r="AFB8" s="206">
        <f t="shared" si="91"/>
        <v>0</v>
      </c>
      <c r="AFC8" s="206">
        <f t="shared" ref="AFC8:AHN8" si="92">AFC4*$AJ$16</f>
        <v>0</v>
      </c>
      <c r="AFD8" s="206">
        <f t="shared" si="92"/>
        <v>0</v>
      </c>
      <c r="AFE8" s="206">
        <f t="shared" si="92"/>
        <v>0</v>
      </c>
      <c r="AFF8" s="206">
        <f t="shared" si="92"/>
        <v>0</v>
      </c>
      <c r="AFG8" s="206">
        <f t="shared" si="92"/>
        <v>0</v>
      </c>
      <c r="AFH8" s="206">
        <f t="shared" si="92"/>
        <v>0</v>
      </c>
      <c r="AFI8" s="206">
        <f t="shared" si="92"/>
        <v>0</v>
      </c>
      <c r="AFJ8" s="206">
        <f t="shared" si="92"/>
        <v>0</v>
      </c>
      <c r="AFK8" s="206">
        <f t="shared" si="92"/>
        <v>0</v>
      </c>
      <c r="AFL8" s="206">
        <f t="shared" si="92"/>
        <v>0</v>
      </c>
      <c r="AFM8" s="206">
        <f t="shared" si="92"/>
        <v>0</v>
      </c>
      <c r="AFN8" s="206">
        <f t="shared" si="92"/>
        <v>0</v>
      </c>
      <c r="AFO8" s="206">
        <f t="shared" si="92"/>
        <v>0</v>
      </c>
      <c r="AFP8" s="206">
        <f t="shared" si="92"/>
        <v>0</v>
      </c>
      <c r="AFQ8" s="206">
        <f t="shared" si="92"/>
        <v>0</v>
      </c>
      <c r="AFR8" s="206">
        <f t="shared" si="92"/>
        <v>0</v>
      </c>
      <c r="AFS8" s="206">
        <f t="shared" si="92"/>
        <v>0</v>
      </c>
      <c r="AFT8" s="206">
        <f t="shared" si="92"/>
        <v>0</v>
      </c>
      <c r="AFU8" s="206">
        <f t="shared" si="92"/>
        <v>0</v>
      </c>
      <c r="AFV8" s="206">
        <f t="shared" si="92"/>
        <v>0</v>
      </c>
      <c r="AFW8" s="206">
        <f t="shared" si="92"/>
        <v>0</v>
      </c>
      <c r="AFX8" s="206">
        <f t="shared" si="92"/>
        <v>0</v>
      </c>
      <c r="AFY8" s="206">
        <f t="shared" si="92"/>
        <v>0</v>
      </c>
      <c r="AFZ8" s="206">
        <f t="shared" si="92"/>
        <v>0</v>
      </c>
      <c r="AGA8" s="206">
        <f t="shared" si="92"/>
        <v>0</v>
      </c>
      <c r="AGB8" s="206">
        <f t="shared" si="92"/>
        <v>0</v>
      </c>
      <c r="AGC8" s="206">
        <f t="shared" si="92"/>
        <v>0</v>
      </c>
      <c r="AGD8" s="206">
        <f t="shared" si="92"/>
        <v>0</v>
      </c>
      <c r="AGE8" s="206">
        <f t="shared" si="92"/>
        <v>0</v>
      </c>
      <c r="AGF8" s="206">
        <f t="shared" si="92"/>
        <v>0</v>
      </c>
      <c r="AGG8" s="206">
        <f t="shared" si="92"/>
        <v>0</v>
      </c>
      <c r="AGH8" s="206">
        <f t="shared" si="92"/>
        <v>0</v>
      </c>
      <c r="AGI8" s="206">
        <f t="shared" si="92"/>
        <v>0</v>
      </c>
      <c r="AGJ8" s="206">
        <f t="shared" si="92"/>
        <v>0</v>
      </c>
      <c r="AGK8" s="206">
        <f t="shared" si="92"/>
        <v>0</v>
      </c>
      <c r="AGL8" s="206">
        <f t="shared" si="92"/>
        <v>0</v>
      </c>
      <c r="AGM8" s="206">
        <f t="shared" si="92"/>
        <v>0</v>
      </c>
      <c r="AGN8" s="206">
        <f t="shared" si="92"/>
        <v>0</v>
      </c>
      <c r="AGO8" s="206">
        <f t="shared" si="92"/>
        <v>0</v>
      </c>
      <c r="AGP8" s="206">
        <f t="shared" si="92"/>
        <v>0</v>
      </c>
      <c r="AGQ8" s="206">
        <f t="shared" si="92"/>
        <v>0</v>
      </c>
      <c r="AGR8" s="206">
        <f t="shared" si="92"/>
        <v>0</v>
      </c>
      <c r="AGS8" s="206">
        <f t="shared" si="92"/>
        <v>0</v>
      </c>
      <c r="AGT8" s="206">
        <f t="shared" si="92"/>
        <v>0</v>
      </c>
      <c r="AGU8" s="206">
        <f t="shared" si="92"/>
        <v>0</v>
      </c>
      <c r="AGV8" s="206">
        <f t="shared" si="92"/>
        <v>0</v>
      </c>
      <c r="AGW8" s="206">
        <f t="shared" si="92"/>
        <v>0</v>
      </c>
      <c r="AGX8" s="206">
        <f t="shared" si="92"/>
        <v>0</v>
      </c>
      <c r="AGY8" s="206">
        <f t="shared" si="92"/>
        <v>0</v>
      </c>
      <c r="AGZ8" s="206">
        <f t="shared" si="92"/>
        <v>0</v>
      </c>
      <c r="AHA8" s="206">
        <f t="shared" si="92"/>
        <v>0</v>
      </c>
      <c r="AHB8" s="206">
        <f t="shared" si="92"/>
        <v>0</v>
      </c>
      <c r="AHC8" s="206">
        <f t="shared" si="92"/>
        <v>0</v>
      </c>
      <c r="AHD8" s="206">
        <f t="shared" si="92"/>
        <v>0</v>
      </c>
      <c r="AHE8" s="206">
        <f t="shared" si="92"/>
        <v>0</v>
      </c>
      <c r="AHF8" s="206">
        <f t="shared" si="92"/>
        <v>0</v>
      </c>
      <c r="AHG8" s="206">
        <f t="shared" si="92"/>
        <v>0</v>
      </c>
      <c r="AHH8" s="206">
        <f t="shared" si="92"/>
        <v>0</v>
      </c>
      <c r="AHI8" s="206">
        <f t="shared" si="92"/>
        <v>0</v>
      </c>
      <c r="AHJ8" s="206">
        <f t="shared" si="92"/>
        <v>0</v>
      </c>
      <c r="AHK8" s="206">
        <f t="shared" si="92"/>
        <v>0</v>
      </c>
      <c r="AHL8" s="206">
        <f t="shared" si="92"/>
        <v>0</v>
      </c>
      <c r="AHM8" s="206">
        <f t="shared" si="92"/>
        <v>0</v>
      </c>
      <c r="AHN8" s="206">
        <f t="shared" si="92"/>
        <v>0</v>
      </c>
      <c r="AHO8" s="206">
        <f t="shared" ref="AHO8:AJA8" si="93">AHO4*$AJ$16</f>
        <v>0</v>
      </c>
      <c r="AHP8" s="206">
        <f t="shared" si="93"/>
        <v>0</v>
      </c>
      <c r="AHQ8" s="206">
        <f t="shared" si="93"/>
        <v>0</v>
      </c>
      <c r="AHR8" s="206">
        <f t="shared" si="93"/>
        <v>0</v>
      </c>
      <c r="AHS8" s="206">
        <f t="shared" si="93"/>
        <v>0</v>
      </c>
      <c r="AHT8" s="206">
        <f t="shared" si="93"/>
        <v>0</v>
      </c>
      <c r="AHU8" s="206">
        <f t="shared" si="93"/>
        <v>0</v>
      </c>
      <c r="AHV8" s="206">
        <f t="shared" si="93"/>
        <v>0</v>
      </c>
      <c r="AHW8" s="206">
        <f t="shared" si="93"/>
        <v>0</v>
      </c>
      <c r="AHX8" s="206">
        <f t="shared" si="93"/>
        <v>0</v>
      </c>
      <c r="AHY8" s="206">
        <f t="shared" si="93"/>
        <v>0</v>
      </c>
      <c r="AHZ8" s="206">
        <f t="shared" si="93"/>
        <v>0</v>
      </c>
      <c r="AIA8" s="206">
        <f t="shared" si="93"/>
        <v>0</v>
      </c>
      <c r="AIB8" s="206">
        <f t="shared" si="93"/>
        <v>0</v>
      </c>
      <c r="AIC8" s="206">
        <f t="shared" si="93"/>
        <v>0</v>
      </c>
      <c r="AID8" s="206">
        <f t="shared" si="93"/>
        <v>0</v>
      </c>
      <c r="AIE8" s="206">
        <f t="shared" si="93"/>
        <v>0</v>
      </c>
      <c r="AIF8" s="206">
        <f t="shared" si="93"/>
        <v>0</v>
      </c>
      <c r="AIG8" s="206">
        <f t="shared" si="93"/>
        <v>0</v>
      </c>
      <c r="AIH8" s="206">
        <f t="shared" si="93"/>
        <v>0</v>
      </c>
      <c r="AII8" s="206">
        <f t="shared" si="93"/>
        <v>0</v>
      </c>
      <c r="AIJ8" s="206">
        <f t="shared" si="93"/>
        <v>0</v>
      </c>
      <c r="AIK8" s="206">
        <f t="shared" si="93"/>
        <v>0</v>
      </c>
      <c r="AIL8" s="206">
        <f t="shared" si="93"/>
        <v>0</v>
      </c>
      <c r="AIM8" s="206">
        <f t="shared" si="93"/>
        <v>0</v>
      </c>
      <c r="AIN8" s="206">
        <f t="shared" si="93"/>
        <v>0</v>
      </c>
      <c r="AIO8" s="206">
        <f t="shared" si="93"/>
        <v>0</v>
      </c>
      <c r="AIP8" s="206">
        <f t="shared" si="93"/>
        <v>0</v>
      </c>
      <c r="AIQ8" s="206">
        <f t="shared" si="93"/>
        <v>0</v>
      </c>
      <c r="AIR8" s="206">
        <f t="shared" si="93"/>
        <v>0</v>
      </c>
      <c r="AIS8" s="206">
        <f t="shared" si="93"/>
        <v>0</v>
      </c>
      <c r="AIT8" s="206">
        <f t="shared" si="93"/>
        <v>0</v>
      </c>
      <c r="AIU8" s="206">
        <f t="shared" si="93"/>
        <v>0</v>
      </c>
      <c r="AIV8" s="206">
        <f t="shared" si="93"/>
        <v>0</v>
      </c>
      <c r="AIW8" s="206">
        <f t="shared" si="93"/>
        <v>0</v>
      </c>
      <c r="AIX8" s="206">
        <f t="shared" si="93"/>
        <v>0</v>
      </c>
      <c r="AIY8" s="206">
        <f t="shared" si="93"/>
        <v>0</v>
      </c>
      <c r="AIZ8" s="206">
        <f t="shared" si="93"/>
        <v>0</v>
      </c>
      <c r="AJA8" s="206">
        <f t="shared" si="93"/>
        <v>0</v>
      </c>
    </row>
    <row r="9" spans="1:1024" s="204" customFormat="1" ht="22.15" customHeight="1" x14ac:dyDescent="0.25">
      <c r="A9" s="286" t="s">
        <v>67</v>
      </c>
      <c r="B9" s="286"/>
      <c r="C9" s="206">
        <f t="shared" ref="C9:BN9" si="94">C8*(100%-$AJ$18)*$AJ$20</f>
        <v>2.8767375000000001E-2</v>
      </c>
      <c r="D9" s="206">
        <f t="shared" si="94"/>
        <v>3.1428185343749998E-2</v>
      </c>
      <c r="E9" s="206">
        <f t="shared" si="94"/>
        <v>3.4379091555699778E-2</v>
      </c>
      <c r="F9" s="206">
        <f t="shared" si="94"/>
        <v>3.7534574346358804E-2</v>
      </c>
      <c r="G9" s="206">
        <f t="shared" si="94"/>
        <v>4.081786896864173E-2</v>
      </c>
      <c r="H9" s="206">
        <f t="shared" si="94"/>
        <v>4.4357590614689434E-2</v>
      </c>
      <c r="I9" s="206">
        <f t="shared" si="94"/>
        <v>4.8186520611386591E-2</v>
      </c>
      <c r="J9" s="206">
        <f t="shared" si="94"/>
        <v>5.2222874773248606E-2</v>
      </c>
      <c r="K9" s="206">
        <f t="shared" si="94"/>
        <v>5.6476681989618513E-2</v>
      </c>
      <c r="L9" s="206">
        <f t="shared" si="94"/>
        <v>6.080612042498889E-2</v>
      </c>
      <c r="M9" s="206">
        <f t="shared" si="94"/>
        <v>6.5397921735373121E-2</v>
      </c>
      <c r="N9" s="206">
        <f t="shared" si="94"/>
        <v>7.0165812965810551E-2</v>
      </c>
      <c r="O9" s="206">
        <f t="shared" si="94"/>
        <v>7.5201858084829001E-2</v>
      </c>
      <c r="P9" s="206">
        <f t="shared" si="94"/>
        <v>8.0410000906780466E-2</v>
      </c>
      <c r="Q9" s="206">
        <f t="shared" si="94"/>
        <v>8.5716816084230346E-2</v>
      </c>
      <c r="R9" s="206">
        <f t="shared" si="94"/>
        <v>9.1147391141953818E-2</v>
      </c>
      <c r="S9" s="206">
        <f t="shared" si="94"/>
        <v>9.6601366087709403E-2</v>
      </c>
      <c r="T9" s="206">
        <f t="shared" si="94"/>
        <v>0.10232793384679666</v>
      </c>
      <c r="U9" s="206">
        <f t="shared" si="94"/>
        <v>0.10825860223794137</v>
      </c>
      <c r="V9" s="206">
        <f t="shared" si="94"/>
        <v>0.11426478085244791</v>
      </c>
      <c r="W9" s="206">
        <f t="shared" si="94"/>
        <v>0.12045352673417928</v>
      </c>
      <c r="X9" s="206">
        <f t="shared" si="94"/>
        <v>0.1264056540417349</v>
      </c>
      <c r="Y9" s="206">
        <f t="shared" si="94"/>
        <v>0.13275784201707733</v>
      </c>
      <c r="Z9" s="206">
        <f t="shared" si="94"/>
        <v>0.13911910738795621</v>
      </c>
      <c r="AA9" s="206">
        <f t="shared" si="94"/>
        <v>0.1459430734799356</v>
      </c>
      <c r="AB9" s="206">
        <f t="shared" si="94"/>
        <v>0.15294085992617384</v>
      </c>
      <c r="AC9" s="206">
        <f t="shared" si="94"/>
        <v>0.15996084215124107</v>
      </c>
      <c r="AD9" s="206">
        <f t="shared" si="94"/>
        <v>0.16712705574052664</v>
      </c>
      <c r="AE9" s="206">
        <f t="shared" si="94"/>
        <v>0.17428124467294656</v>
      </c>
      <c r="AF9" s="206">
        <f t="shared" si="94"/>
        <v>0.18155010226963786</v>
      </c>
      <c r="AG9" s="206">
        <f t="shared" si="94"/>
        <v>0.18892136914736421</v>
      </c>
      <c r="AH9" s="206">
        <f t="shared" si="94"/>
        <v>0.19622630081571341</v>
      </c>
      <c r="AI9" s="206">
        <f t="shared" si="94"/>
        <v>0.20359646460200187</v>
      </c>
      <c r="AJ9" s="206">
        <f t="shared" si="94"/>
        <v>0.21101653853091487</v>
      </c>
      <c r="AK9" s="206">
        <f t="shared" si="94"/>
        <v>0.21830942485875185</v>
      </c>
      <c r="AL9" s="206">
        <f t="shared" si="94"/>
        <v>0.22498701524008738</v>
      </c>
      <c r="AM9" s="206">
        <f t="shared" si="94"/>
        <v>0.23205447438918039</v>
      </c>
      <c r="AN9" s="206">
        <f t="shared" si="94"/>
        <v>0.23839773247220186</v>
      </c>
      <c r="AO9" s="206">
        <f t="shared" si="94"/>
        <v>0.24530223561961068</v>
      </c>
      <c r="AP9" s="206">
        <f t="shared" si="94"/>
        <v>0.25196412791327999</v>
      </c>
      <c r="AQ9" s="206">
        <f t="shared" si="94"/>
        <v>0.25773480634284951</v>
      </c>
      <c r="AR9" s="206">
        <f t="shared" si="94"/>
        <v>0.26409067636157746</v>
      </c>
      <c r="AS9" s="206">
        <f t="shared" si="94"/>
        <v>0.26928248468607602</v>
      </c>
      <c r="AT9" s="206">
        <f t="shared" si="94"/>
        <v>0.27507647066011298</v>
      </c>
      <c r="AU9" s="206">
        <f t="shared" si="94"/>
        <v>0.2806681444439037</v>
      </c>
      <c r="AV9" s="206">
        <f t="shared" si="94"/>
        <v>0.28588096634286236</v>
      </c>
      <c r="AW9" s="206">
        <f t="shared" si="94"/>
        <v>0.2908454321861057</v>
      </c>
      <c r="AX9" s="206">
        <f t="shared" si="94"/>
        <v>0.29554020078954218</v>
      </c>
      <c r="AY9" s="206">
        <f t="shared" si="94"/>
        <v>0.29979487743307637</v>
      </c>
      <c r="AZ9" s="206">
        <f t="shared" si="94"/>
        <v>0.3037364662739942</v>
      </c>
      <c r="BA9" s="206">
        <f t="shared" si="94"/>
        <v>0</v>
      </c>
      <c r="BB9" s="206">
        <f t="shared" si="94"/>
        <v>0.32849091265482161</v>
      </c>
      <c r="BC9" s="206">
        <f t="shared" si="94"/>
        <v>0.33379805665204776</v>
      </c>
      <c r="BD9" s="206">
        <f t="shared" si="94"/>
        <v>0.3388888064642161</v>
      </c>
      <c r="BE9" s="206">
        <f t="shared" si="94"/>
        <v>0.34630135088798258</v>
      </c>
      <c r="BF9" s="206">
        <f t="shared" si="94"/>
        <v>0.35366065385192891</v>
      </c>
      <c r="BG9" s="206">
        <f t="shared" si="94"/>
        <v>0.35962953110799845</v>
      </c>
      <c r="BH9" s="206">
        <f t="shared" si="94"/>
        <v>0.36693525264060645</v>
      </c>
      <c r="BI9" s="206">
        <f t="shared" si="94"/>
        <v>0.37423110811493149</v>
      </c>
      <c r="BJ9" s="206">
        <f t="shared" si="94"/>
        <v>0.38151624913694482</v>
      </c>
      <c r="BK9" s="206">
        <f t="shared" si="94"/>
        <v>0.38852156323700171</v>
      </c>
      <c r="BL9" s="206">
        <f t="shared" si="94"/>
        <v>0.39401870684864648</v>
      </c>
      <c r="BM9" s="206">
        <f t="shared" si="94"/>
        <v>0.40087464191435834</v>
      </c>
      <c r="BN9" s="206">
        <f t="shared" si="94"/>
        <v>0.40772923016156198</v>
      </c>
      <c r="BO9" s="206">
        <f t="shared" ref="BO9:DZ9" si="95">BO8*(100%-$AJ$18)*$AJ$20</f>
        <v>0.41600685641806784</v>
      </c>
      <c r="BP9" s="206">
        <f t="shared" si="95"/>
        <v>0.42421494733785864</v>
      </c>
      <c r="BQ9" s="206">
        <f t="shared" si="95"/>
        <v>0.4323715215788338</v>
      </c>
      <c r="BR9" s="206">
        <f t="shared" si="95"/>
        <v>0.44036924525576077</v>
      </c>
      <c r="BS9" s="206">
        <f t="shared" si="95"/>
        <v>0.448450447595374</v>
      </c>
      <c r="BT9" s="206">
        <f t="shared" si="95"/>
        <v>0.45643841170567168</v>
      </c>
      <c r="BU9" s="206">
        <f t="shared" si="95"/>
        <v>0.46429987514507814</v>
      </c>
      <c r="BV9" s="206">
        <f t="shared" si="95"/>
        <v>0.47213566012632918</v>
      </c>
      <c r="BW9" s="206">
        <f t="shared" si="95"/>
        <v>0.4795205193028666</v>
      </c>
      <c r="BX9" s="206">
        <f t="shared" si="95"/>
        <v>0.48699062678291805</v>
      </c>
      <c r="BY9" s="206">
        <f t="shared" si="95"/>
        <v>0.49627428835894649</v>
      </c>
      <c r="BZ9" s="206">
        <f t="shared" si="95"/>
        <v>0.50591213836840943</v>
      </c>
      <c r="CA9" s="206">
        <f t="shared" si="95"/>
        <v>0.51561125700666766</v>
      </c>
      <c r="CB9" s="206">
        <f t="shared" si="95"/>
        <v>0.52521601151722352</v>
      </c>
      <c r="CC9" s="206">
        <f t="shared" si="95"/>
        <v>0.53475630604859936</v>
      </c>
      <c r="CD9" s="206">
        <f t="shared" si="95"/>
        <v>0.54416003586980899</v>
      </c>
      <c r="CE9" s="206">
        <f t="shared" si="95"/>
        <v>0.55355012605215959</v>
      </c>
      <c r="CF9" s="206">
        <f t="shared" si="95"/>
        <v>0.56291060375350355</v>
      </c>
      <c r="CG9" s="206">
        <f t="shared" si="95"/>
        <v>0.57206907123876127</v>
      </c>
      <c r="CH9" s="206">
        <f t="shared" si="95"/>
        <v>0.58115350823966305</v>
      </c>
      <c r="CI9" s="206">
        <f t="shared" si="95"/>
        <v>0.59257538741118299</v>
      </c>
      <c r="CJ9" s="206">
        <f t="shared" si="95"/>
        <v>0.60376579843194988</v>
      </c>
      <c r="CK9" s="206">
        <f t="shared" si="95"/>
        <v>0.61431913147064232</v>
      </c>
      <c r="CL9" s="206">
        <f t="shared" si="95"/>
        <v>0.62523888538699712</v>
      </c>
      <c r="CM9" s="206">
        <f t="shared" si="95"/>
        <v>0.63540930861343248</v>
      </c>
      <c r="CN9" s="206">
        <f t="shared" si="95"/>
        <v>0.64611415039632214</v>
      </c>
      <c r="CO9" s="206">
        <f t="shared" si="95"/>
        <v>0.65654784353462259</v>
      </c>
      <c r="CP9" s="206">
        <f t="shared" si="95"/>
        <v>0.66597506353116331</v>
      </c>
      <c r="CQ9" s="206">
        <f t="shared" si="95"/>
        <v>0.67595450609153851</v>
      </c>
      <c r="CR9" s="206">
        <f t="shared" si="95"/>
        <v>0.68473520444754088</v>
      </c>
      <c r="CS9" s="206">
        <f t="shared" si="95"/>
        <v>0.69408167444898194</v>
      </c>
      <c r="CT9" s="206">
        <f t="shared" si="95"/>
        <v>0.70318769359948519</v>
      </c>
      <c r="CU9" s="206">
        <f t="shared" si="95"/>
        <v>0.71187498125116955</v>
      </c>
      <c r="CV9" s="206">
        <f t="shared" si="95"/>
        <v>0.72027228486810002</v>
      </c>
      <c r="CW9" s="206">
        <f t="shared" si="95"/>
        <v>0.72835650839290966</v>
      </c>
      <c r="CX9" s="206">
        <f t="shared" si="95"/>
        <v>0.73587142015362927</v>
      </c>
      <c r="CY9" s="206">
        <f t="shared" si="95"/>
        <v>0.74302566330141595</v>
      </c>
      <c r="CZ9" s="206">
        <f t="shared" si="95"/>
        <v>0</v>
      </c>
      <c r="DA9" s="206">
        <f t="shared" si="95"/>
        <v>0.76690449596497601</v>
      </c>
      <c r="DB9" s="206">
        <f t="shared" si="95"/>
        <v>0.77522207501092488</v>
      </c>
      <c r="DC9" s="206">
        <f t="shared" si="95"/>
        <v>0.78326963673440586</v>
      </c>
      <c r="DD9" s="206">
        <f t="shared" si="95"/>
        <v>0.79358366889463683</v>
      </c>
      <c r="DE9" s="206">
        <f t="shared" si="95"/>
        <v>0.80378743653140594</v>
      </c>
      <c r="DF9" s="206">
        <f t="shared" si="95"/>
        <v>0.81246144353022964</v>
      </c>
      <c r="DG9" s="206">
        <f t="shared" si="95"/>
        <v>0.82583615368219754</v>
      </c>
      <c r="DH9" s="206">
        <f t="shared" si="95"/>
        <v>0.83581180462239235</v>
      </c>
      <c r="DI9" s="206">
        <f t="shared" si="95"/>
        <v>0.84571348708812855</v>
      </c>
      <c r="DJ9" s="206">
        <f t="shared" si="95"/>
        <v>0.85527043083316157</v>
      </c>
      <c r="DK9" s="206">
        <f t="shared" si="95"/>
        <v>0.86325264255797096</v>
      </c>
      <c r="DL9" s="206">
        <f t="shared" si="95"/>
        <v>0.87252544355567319</v>
      </c>
      <c r="DM9" s="206">
        <f t="shared" si="95"/>
        <v>0.88164821014706318</v>
      </c>
      <c r="DN9" s="206">
        <f t="shared" si="95"/>
        <v>0.89212242394858687</v>
      </c>
      <c r="DO9" s="206">
        <f t="shared" si="95"/>
        <v>0.90624949703745017</v>
      </c>
      <c r="DP9" s="206">
        <f t="shared" si="95"/>
        <v>0.91655590396411135</v>
      </c>
      <c r="DQ9" s="206">
        <f t="shared" si="95"/>
        <v>0.92662783021709361</v>
      </c>
      <c r="DR9" s="206">
        <f t="shared" si="95"/>
        <v>0.93670605235981708</v>
      </c>
      <c r="DS9" s="206">
        <f t="shared" si="95"/>
        <v>0.94661231689968428</v>
      </c>
      <c r="DT9" s="206">
        <f t="shared" si="95"/>
        <v>0.96026774604992349</v>
      </c>
      <c r="DU9" s="206">
        <f t="shared" si="95"/>
        <v>0.96988606139683464</v>
      </c>
      <c r="DV9" s="206">
        <f t="shared" si="95"/>
        <v>0.97897082666840896</v>
      </c>
      <c r="DW9" s="206">
        <f t="shared" si="95"/>
        <v>0.98805676186771163</v>
      </c>
      <c r="DX9" s="206">
        <f t="shared" si="95"/>
        <v>0.99887073947315919</v>
      </c>
      <c r="DY9" s="206">
        <f t="shared" si="95"/>
        <v>1.0099519823309924</v>
      </c>
      <c r="DZ9" s="206">
        <f t="shared" si="95"/>
        <v>1.0210061819970968</v>
      </c>
      <c r="EA9" s="206">
        <f t="shared" ref="EA9:GL9" si="96">EA8*(100%-$AJ$18)*$AJ$20</f>
        <v>1.0361702806825472</v>
      </c>
      <c r="EB9" s="206">
        <f t="shared" si="96"/>
        <v>0.98359251090103794</v>
      </c>
      <c r="EC9" s="206">
        <f t="shared" si="96"/>
        <v>0.99397215852398602</v>
      </c>
      <c r="ED9" s="206">
        <f t="shared" si="96"/>
        <v>0.94055655589691911</v>
      </c>
      <c r="EE9" s="206">
        <f t="shared" si="96"/>
        <v>0.95061409781108286</v>
      </c>
      <c r="EF9" s="206">
        <f t="shared" si="96"/>
        <v>0.96039777053749553</v>
      </c>
      <c r="EG9" s="206">
        <f t="shared" si="96"/>
        <v>0.97003465134275679</v>
      </c>
      <c r="EH9" s="206">
        <f t="shared" si="96"/>
        <v>0.98188310244434118</v>
      </c>
      <c r="EI9" s="206">
        <f t="shared" si="96"/>
        <v>0.93211619629731535</v>
      </c>
      <c r="EJ9" s="206">
        <f t="shared" si="96"/>
        <v>0.9429667832126768</v>
      </c>
      <c r="EK9" s="206">
        <f t="shared" si="96"/>
        <v>0.88899408252148682</v>
      </c>
      <c r="EL9" s="206">
        <f t="shared" si="96"/>
        <v>0.89930099933081054</v>
      </c>
      <c r="EM9" s="206">
        <f t="shared" si="96"/>
        <v>0.91009061601444596</v>
      </c>
      <c r="EN9" s="206">
        <f t="shared" si="96"/>
        <v>0.92307124691991915</v>
      </c>
      <c r="EO9" s="206">
        <f t="shared" si="96"/>
        <v>0.93253134716216068</v>
      </c>
      <c r="EP9" s="206">
        <f t="shared" si="96"/>
        <v>0.87648606758277414</v>
      </c>
      <c r="EQ9" s="206">
        <f t="shared" si="96"/>
        <v>0.88521112393957146</v>
      </c>
      <c r="ER9" s="206">
        <f t="shared" si="96"/>
        <v>0.82960045864948495</v>
      </c>
      <c r="ES9" s="206">
        <f t="shared" si="96"/>
        <v>0.83862484618113864</v>
      </c>
      <c r="ET9" s="206">
        <f t="shared" si="96"/>
        <v>0.84854284534976077</v>
      </c>
      <c r="EU9" s="206">
        <f t="shared" si="96"/>
        <v>0.85682998744452143</v>
      </c>
      <c r="EV9" s="206">
        <f t="shared" si="96"/>
        <v>0.86477606607003921</v>
      </c>
      <c r="EW9" s="206">
        <f t="shared" si="96"/>
        <v>0.8052911811559389</v>
      </c>
      <c r="EX9" s="206">
        <f t="shared" si="96"/>
        <v>0.81236079256031246</v>
      </c>
      <c r="EY9" s="206">
        <f t="shared" si="96"/>
        <v>-1.401624710822822E-4</v>
      </c>
      <c r="EZ9" s="206">
        <f t="shared" si="96"/>
        <v>0.76690449596497601</v>
      </c>
      <c r="FA9" s="206">
        <f t="shared" si="96"/>
        <v>0.77522207501092488</v>
      </c>
      <c r="FB9" s="206">
        <f t="shared" si="96"/>
        <v>0.78326963673440586</v>
      </c>
      <c r="FC9" s="206">
        <f t="shared" si="96"/>
        <v>0.79358366889463683</v>
      </c>
      <c r="FD9" s="206">
        <f t="shared" si="96"/>
        <v>0.80378743653140594</v>
      </c>
      <c r="FE9" s="206">
        <f t="shared" si="96"/>
        <v>0.81246144353022964</v>
      </c>
      <c r="FF9" s="206">
        <f t="shared" si="96"/>
        <v>0.82583615368219754</v>
      </c>
      <c r="FG9" s="206">
        <f t="shared" si="96"/>
        <v>0.83581180462239235</v>
      </c>
      <c r="FH9" s="206">
        <f t="shared" si="96"/>
        <v>0.84571348708812855</v>
      </c>
      <c r="FI9" s="206">
        <f t="shared" si="96"/>
        <v>0.85527043083316157</v>
      </c>
      <c r="FJ9" s="206">
        <f t="shared" si="96"/>
        <v>0.86325264255797096</v>
      </c>
      <c r="FK9" s="206">
        <f t="shared" si="96"/>
        <v>0.87252544355567319</v>
      </c>
      <c r="FL9" s="206">
        <f t="shared" si="96"/>
        <v>0.88164821014706318</v>
      </c>
      <c r="FM9" s="206">
        <f t="shared" si="96"/>
        <v>0.89212242394858687</v>
      </c>
      <c r="FN9" s="206">
        <f t="shared" si="96"/>
        <v>0.90624949703745017</v>
      </c>
      <c r="FO9" s="206">
        <f t="shared" si="96"/>
        <v>0.91655590396411135</v>
      </c>
      <c r="FP9" s="206">
        <f t="shared" si="96"/>
        <v>0.92662783021709361</v>
      </c>
      <c r="FQ9" s="206">
        <f t="shared" si="96"/>
        <v>0.93670605235981708</v>
      </c>
      <c r="FR9" s="206">
        <f t="shared" si="96"/>
        <v>0.94661231689968428</v>
      </c>
      <c r="FS9" s="206">
        <f t="shared" si="96"/>
        <v>0.96026774604992349</v>
      </c>
      <c r="FT9" s="206">
        <f t="shared" si="96"/>
        <v>0.96988606139683464</v>
      </c>
      <c r="FU9" s="206">
        <f t="shared" si="96"/>
        <v>0.97897082666840896</v>
      </c>
      <c r="FV9" s="206">
        <f t="shared" si="96"/>
        <v>0.98805676186771163</v>
      </c>
      <c r="FW9" s="206">
        <f t="shared" si="96"/>
        <v>0.99887073947315919</v>
      </c>
      <c r="FX9" s="206">
        <f t="shared" si="96"/>
        <v>1.0099519823309924</v>
      </c>
      <c r="FY9" s="206">
        <f t="shared" si="96"/>
        <v>1.0210061819970968</v>
      </c>
      <c r="FZ9" s="206">
        <f t="shared" si="96"/>
        <v>1.0361702806825472</v>
      </c>
      <c r="GA9" s="206">
        <f t="shared" si="96"/>
        <v>0.98359251090103794</v>
      </c>
      <c r="GB9" s="206">
        <f t="shared" si="96"/>
        <v>0.99397215852398602</v>
      </c>
      <c r="GC9" s="206">
        <f t="shared" si="96"/>
        <v>0.94055655589691911</v>
      </c>
      <c r="GD9" s="206">
        <f t="shared" si="96"/>
        <v>0.95061409781108286</v>
      </c>
      <c r="GE9" s="206">
        <f t="shared" si="96"/>
        <v>0.96039777053749553</v>
      </c>
      <c r="GF9" s="206">
        <f t="shared" si="96"/>
        <v>0.97003465134275679</v>
      </c>
      <c r="GG9" s="206">
        <f t="shared" si="96"/>
        <v>0.98188310244434118</v>
      </c>
      <c r="GH9" s="206">
        <f t="shared" si="96"/>
        <v>0.93211619629731535</v>
      </c>
      <c r="GI9" s="206">
        <f t="shared" si="96"/>
        <v>0.9429667832126768</v>
      </c>
      <c r="GJ9" s="206">
        <f t="shared" si="96"/>
        <v>0.88899408252148682</v>
      </c>
      <c r="GK9" s="206">
        <f t="shared" si="96"/>
        <v>0.89930099933081054</v>
      </c>
      <c r="GL9" s="206">
        <f t="shared" si="96"/>
        <v>0.91009061601444596</v>
      </c>
      <c r="GM9" s="206">
        <f t="shared" ref="GM9:IX9" si="97">GM8*(100%-$AJ$18)*$AJ$20</f>
        <v>0.92307124691991915</v>
      </c>
      <c r="GN9" s="206">
        <f t="shared" si="97"/>
        <v>0.93253134716216068</v>
      </c>
      <c r="GO9" s="206">
        <f t="shared" si="97"/>
        <v>0.87648606758277414</v>
      </c>
      <c r="GP9" s="206">
        <f t="shared" si="97"/>
        <v>0.88521112393957146</v>
      </c>
      <c r="GQ9" s="206">
        <f t="shared" si="97"/>
        <v>0.82960045864948495</v>
      </c>
      <c r="GR9" s="206">
        <f t="shared" si="97"/>
        <v>0.83862484618113864</v>
      </c>
      <c r="GS9" s="206">
        <f t="shared" si="97"/>
        <v>0.84854284534976077</v>
      </c>
      <c r="GT9" s="206">
        <f t="shared" si="97"/>
        <v>0.85682998744452143</v>
      </c>
      <c r="GU9" s="206">
        <f t="shared" si="97"/>
        <v>0.86477606607003921</v>
      </c>
      <c r="GV9" s="206">
        <f t="shared" si="97"/>
        <v>0.8052911811559389</v>
      </c>
      <c r="GW9" s="206">
        <f t="shared" si="97"/>
        <v>0.81236079256031246</v>
      </c>
      <c r="GX9" s="206">
        <f t="shared" si="97"/>
        <v>-1.401624710822822E-4</v>
      </c>
      <c r="GY9" s="206">
        <f t="shared" si="97"/>
        <v>0.76690449596497601</v>
      </c>
      <c r="GZ9" s="206">
        <f t="shared" si="97"/>
        <v>0.77522207501092488</v>
      </c>
      <c r="HA9" s="206">
        <f t="shared" si="97"/>
        <v>0.78326963673440586</v>
      </c>
      <c r="HB9" s="206">
        <f t="shared" si="97"/>
        <v>0.79358366889463683</v>
      </c>
      <c r="HC9" s="206">
        <f t="shared" si="97"/>
        <v>0.80378743653140594</v>
      </c>
      <c r="HD9" s="206">
        <f t="shared" si="97"/>
        <v>0.81246144353022964</v>
      </c>
      <c r="HE9" s="206">
        <f t="shared" si="97"/>
        <v>0.82583615368219754</v>
      </c>
      <c r="HF9" s="206">
        <f t="shared" si="97"/>
        <v>0.83581180462239235</v>
      </c>
      <c r="HG9" s="206">
        <f t="shared" si="97"/>
        <v>0.84571348708812855</v>
      </c>
      <c r="HH9" s="206">
        <f t="shared" si="97"/>
        <v>0.85527043083316157</v>
      </c>
      <c r="HI9" s="206">
        <f t="shared" si="97"/>
        <v>0.86325264255797096</v>
      </c>
      <c r="HJ9" s="206">
        <f t="shared" si="97"/>
        <v>0.87252544355567319</v>
      </c>
      <c r="HK9" s="206">
        <f t="shared" si="97"/>
        <v>0.88164821014706318</v>
      </c>
      <c r="HL9" s="206">
        <f t="shared" si="97"/>
        <v>0.89212242394858687</v>
      </c>
      <c r="HM9" s="206">
        <f t="shared" si="97"/>
        <v>0.90624949703745017</v>
      </c>
      <c r="HN9" s="206">
        <f t="shared" si="97"/>
        <v>0.91655590396411135</v>
      </c>
      <c r="HO9" s="206">
        <f t="shared" si="97"/>
        <v>0.92662783021709361</v>
      </c>
      <c r="HP9" s="206">
        <f t="shared" si="97"/>
        <v>0.93670605235981708</v>
      </c>
      <c r="HQ9" s="206">
        <f t="shared" si="97"/>
        <v>0.94661231689968428</v>
      </c>
      <c r="HR9" s="206">
        <f t="shared" si="97"/>
        <v>0.96026774604992349</v>
      </c>
      <c r="HS9" s="206">
        <f t="shared" si="97"/>
        <v>0.96988606139683464</v>
      </c>
      <c r="HT9" s="206">
        <f t="shared" si="97"/>
        <v>0.97897082666840896</v>
      </c>
      <c r="HU9" s="206">
        <f t="shared" si="97"/>
        <v>0.98805676186771163</v>
      </c>
      <c r="HV9" s="206">
        <f t="shared" si="97"/>
        <v>0.99887073947315919</v>
      </c>
      <c r="HW9" s="206">
        <f t="shared" si="97"/>
        <v>1.0099519823309924</v>
      </c>
      <c r="HX9" s="206">
        <f t="shared" si="97"/>
        <v>1.0210061819970968</v>
      </c>
      <c r="HY9" s="206">
        <f t="shared" si="97"/>
        <v>1.0361702806825472</v>
      </c>
      <c r="HZ9" s="206">
        <f t="shared" si="97"/>
        <v>0.98359251090103794</v>
      </c>
      <c r="IA9" s="206">
        <f t="shared" si="97"/>
        <v>0.99397215852398602</v>
      </c>
      <c r="IB9" s="206">
        <f t="shared" si="97"/>
        <v>0.94055655589691911</v>
      </c>
      <c r="IC9" s="206">
        <f t="shared" si="97"/>
        <v>0.95061409781108286</v>
      </c>
      <c r="ID9" s="206">
        <f t="shared" si="97"/>
        <v>0.96039777053749553</v>
      </c>
      <c r="IE9" s="206">
        <f t="shared" si="97"/>
        <v>0.97003465134275679</v>
      </c>
      <c r="IF9" s="206">
        <f t="shared" si="97"/>
        <v>0.98188310244434118</v>
      </c>
      <c r="IG9" s="206">
        <f t="shared" si="97"/>
        <v>0.93211619629731535</v>
      </c>
      <c r="IH9" s="206">
        <f t="shared" si="97"/>
        <v>0.9429667832126768</v>
      </c>
      <c r="II9" s="206">
        <f t="shared" si="97"/>
        <v>0.88899408252148682</v>
      </c>
      <c r="IJ9" s="206">
        <f t="shared" si="97"/>
        <v>0.89930099933081054</v>
      </c>
      <c r="IK9" s="206">
        <f t="shared" si="97"/>
        <v>0.91009061601444596</v>
      </c>
      <c r="IL9" s="206">
        <f t="shared" si="97"/>
        <v>0.92307124691991915</v>
      </c>
      <c r="IM9" s="206">
        <f t="shared" si="97"/>
        <v>0.93253134716216068</v>
      </c>
      <c r="IN9" s="206">
        <f t="shared" si="97"/>
        <v>0.87648606758277414</v>
      </c>
      <c r="IO9" s="206">
        <f t="shared" si="97"/>
        <v>0.88521112393957146</v>
      </c>
      <c r="IP9" s="206">
        <f t="shared" si="97"/>
        <v>0.82960045864948495</v>
      </c>
      <c r="IQ9" s="206">
        <f t="shared" si="97"/>
        <v>0.83862484618113864</v>
      </c>
      <c r="IR9" s="206">
        <f t="shared" si="97"/>
        <v>0.84854284534976077</v>
      </c>
      <c r="IS9" s="206">
        <f t="shared" si="97"/>
        <v>0.85682998744452143</v>
      </c>
      <c r="IT9" s="206">
        <f t="shared" si="97"/>
        <v>0.86477606607003921</v>
      </c>
      <c r="IU9" s="206">
        <f t="shared" si="97"/>
        <v>0.8052911811559389</v>
      </c>
      <c r="IV9" s="206">
        <f t="shared" si="97"/>
        <v>0.81236079256031246</v>
      </c>
      <c r="IW9" s="206">
        <f t="shared" si="97"/>
        <v>-1.401624710822822E-4</v>
      </c>
      <c r="IX9" s="206">
        <f t="shared" si="97"/>
        <v>0.76690449596497601</v>
      </c>
      <c r="IY9" s="206">
        <f t="shared" ref="IY9:LJ9" si="98">IY8*(100%-$AJ$18)*$AJ$20</f>
        <v>0.77522207501092488</v>
      </c>
      <c r="IZ9" s="206">
        <f t="shared" si="98"/>
        <v>0.78326963673440586</v>
      </c>
      <c r="JA9" s="206">
        <f t="shared" si="98"/>
        <v>0.79358366889463683</v>
      </c>
      <c r="JB9" s="206">
        <f t="shared" si="98"/>
        <v>0.80378743653140594</v>
      </c>
      <c r="JC9" s="206">
        <f t="shared" si="98"/>
        <v>0.81246144353022964</v>
      </c>
      <c r="JD9" s="206">
        <f t="shared" si="98"/>
        <v>0.82583615368219754</v>
      </c>
      <c r="JE9" s="206">
        <f t="shared" si="98"/>
        <v>0.83581180462239235</v>
      </c>
      <c r="JF9" s="206">
        <f t="shared" si="98"/>
        <v>0.84571348708812855</v>
      </c>
      <c r="JG9" s="206">
        <f t="shared" si="98"/>
        <v>0.85527043083316157</v>
      </c>
      <c r="JH9" s="206">
        <f t="shared" si="98"/>
        <v>0.86325264255797096</v>
      </c>
      <c r="JI9" s="206">
        <f t="shared" si="98"/>
        <v>0.87252544355567319</v>
      </c>
      <c r="JJ9" s="206">
        <f t="shared" si="98"/>
        <v>0.88164821014706318</v>
      </c>
      <c r="JK9" s="206">
        <f t="shared" si="98"/>
        <v>0.89212242394858687</v>
      </c>
      <c r="JL9" s="206">
        <f t="shared" si="98"/>
        <v>0.90624949703745017</v>
      </c>
      <c r="JM9" s="206">
        <f t="shared" si="98"/>
        <v>0.91655590396411135</v>
      </c>
      <c r="JN9" s="206">
        <f t="shared" si="98"/>
        <v>0.92662783021709361</v>
      </c>
      <c r="JO9" s="206">
        <f t="shared" si="98"/>
        <v>0.93670605235981708</v>
      </c>
      <c r="JP9" s="206">
        <f t="shared" si="98"/>
        <v>0.94661231689968428</v>
      </c>
      <c r="JQ9" s="206">
        <f t="shared" si="98"/>
        <v>0.96026774604992349</v>
      </c>
      <c r="JR9" s="206">
        <f t="shared" si="98"/>
        <v>0.96988606139683464</v>
      </c>
      <c r="JS9" s="206">
        <f t="shared" si="98"/>
        <v>0.97897082666840896</v>
      </c>
      <c r="JT9" s="206">
        <f t="shared" si="98"/>
        <v>0.98805676186771163</v>
      </c>
      <c r="JU9" s="206">
        <f t="shared" si="98"/>
        <v>0.99887073947315919</v>
      </c>
      <c r="JV9" s="206">
        <f t="shared" si="98"/>
        <v>1.0099519823309924</v>
      </c>
      <c r="JW9" s="206">
        <f t="shared" si="98"/>
        <v>1.0210061819970968</v>
      </c>
      <c r="JX9" s="206">
        <f t="shared" si="98"/>
        <v>1.0361702806825472</v>
      </c>
      <c r="JY9" s="206">
        <f t="shared" si="98"/>
        <v>0.98359251090103794</v>
      </c>
      <c r="JZ9" s="206">
        <f t="shared" si="98"/>
        <v>0.99397215852398602</v>
      </c>
      <c r="KA9" s="206">
        <f t="shared" si="98"/>
        <v>0.94055655589691911</v>
      </c>
      <c r="KB9" s="206">
        <f t="shared" si="98"/>
        <v>0.95061409781108286</v>
      </c>
      <c r="KC9" s="206">
        <f t="shared" si="98"/>
        <v>0.96039777053749553</v>
      </c>
      <c r="KD9" s="206">
        <f t="shared" si="98"/>
        <v>0.97003465134275679</v>
      </c>
      <c r="KE9" s="206">
        <f t="shared" si="98"/>
        <v>0.98188310244434118</v>
      </c>
      <c r="KF9" s="206">
        <f t="shared" si="98"/>
        <v>0.93211619629731535</v>
      </c>
      <c r="KG9" s="206">
        <f t="shared" si="98"/>
        <v>0.9429667832126768</v>
      </c>
      <c r="KH9" s="206">
        <f t="shared" si="98"/>
        <v>0.88899408252148682</v>
      </c>
      <c r="KI9" s="206">
        <f t="shared" si="98"/>
        <v>0.89930099933081054</v>
      </c>
      <c r="KJ9" s="206">
        <f t="shared" si="98"/>
        <v>0.91009061601444596</v>
      </c>
      <c r="KK9" s="206">
        <f t="shared" si="98"/>
        <v>0.92307124691991915</v>
      </c>
      <c r="KL9" s="206">
        <f t="shared" si="98"/>
        <v>0.93253134716216068</v>
      </c>
      <c r="KM9" s="206">
        <f t="shared" si="98"/>
        <v>0.87648606758277414</v>
      </c>
      <c r="KN9" s="206">
        <f t="shared" si="98"/>
        <v>0.88521112393957146</v>
      </c>
      <c r="KO9" s="206">
        <f t="shared" si="98"/>
        <v>0.82960045864948495</v>
      </c>
      <c r="KP9" s="206">
        <f t="shared" si="98"/>
        <v>0.83862484618113864</v>
      </c>
      <c r="KQ9" s="206">
        <f t="shared" si="98"/>
        <v>0.84854284534976077</v>
      </c>
      <c r="KR9" s="206">
        <f t="shared" si="98"/>
        <v>0.85682998744452143</v>
      </c>
      <c r="KS9" s="206">
        <f t="shared" si="98"/>
        <v>0.86477606607003921</v>
      </c>
      <c r="KT9" s="206">
        <f t="shared" si="98"/>
        <v>0.8052911811559389</v>
      </c>
      <c r="KU9" s="206">
        <f t="shared" si="98"/>
        <v>0.81236079256031246</v>
      </c>
      <c r="KV9" s="206">
        <f t="shared" si="98"/>
        <v>-1.401624710822822E-4</v>
      </c>
      <c r="KW9" s="206">
        <f t="shared" si="98"/>
        <v>0.76690449596497601</v>
      </c>
      <c r="KX9" s="206">
        <f t="shared" si="98"/>
        <v>0.77522207501092488</v>
      </c>
      <c r="KY9" s="206">
        <f t="shared" si="98"/>
        <v>0.78326963673440586</v>
      </c>
      <c r="KZ9" s="206">
        <f t="shared" si="98"/>
        <v>0.79358366889463683</v>
      </c>
      <c r="LA9" s="206">
        <f t="shared" si="98"/>
        <v>0.80378743653140594</v>
      </c>
      <c r="LB9" s="206">
        <f t="shared" si="98"/>
        <v>0.81246144353022964</v>
      </c>
      <c r="LC9" s="206">
        <f t="shared" si="98"/>
        <v>0.82583615368219754</v>
      </c>
      <c r="LD9" s="206">
        <f t="shared" si="98"/>
        <v>0.83581180462239235</v>
      </c>
      <c r="LE9" s="206">
        <f t="shared" si="98"/>
        <v>0.84571348708812855</v>
      </c>
      <c r="LF9" s="206">
        <f t="shared" si="98"/>
        <v>0.85527043083316157</v>
      </c>
      <c r="LG9" s="206">
        <f t="shared" si="98"/>
        <v>0.86325264255797096</v>
      </c>
      <c r="LH9" s="206">
        <f t="shared" si="98"/>
        <v>0.87252544355567319</v>
      </c>
      <c r="LI9" s="206">
        <f t="shared" si="98"/>
        <v>0.88164821014706318</v>
      </c>
      <c r="LJ9" s="206">
        <f t="shared" si="98"/>
        <v>0.89212242394858687</v>
      </c>
      <c r="LK9" s="206">
        <f t="shared" ref="LK9:NV9" si="99">LK8*(100%-$AJ$18)*$AJ$20</f>
        <v>0.90624949703745017</v>
      </c>
      <c r="LL9" s="206">
        <f t="shared" si="99"/>
        <v>0.91655590396411135</v>
      </c>
      <c r="LM9" s="206">
        <f t="shared" si="99"/>
        <v>0.92662783021709361</v>
      </c>
      <c r="LN9" s="206">
        <f t="shared" si="99"/>
        <v>0.93670605235981708</v>
      </c>
      <c r="LO9" s="206">
        <f t="shared" si="99"/>
        <v>0.94661231689968428</v>
      </c>
      <c r="LP9" s="206">
        <f t="shared" si="99"/>
        <v>0.96026774604992349</v>
      </c>
      <c r="LQ9" s="206">
        <f t="shared" si="99"/>
        <v>0.96988606139683464</v>
      </c>
      <c r="LR9" s="206">
        <f t="shared" si="99"/>
        <v>0.97897082666840896</v>
      </c>
      <c r="LS9" s="206">
        <f t="shared" si="99"/>
        <v>0.98805676186771163</v>
      </c>
      <c r="LT9" s="206">
        <f t="shared" si="99"/>
        <v>0.99887073947315919</v>
      </c>
      <c r="LU9" s="206">
        <f t="shared" si="99"/>
        <v>1.0099519823309924</v>
      </c>
      <c r="LV9" s="206">
        <f t="shared" si="99"/>
        <v>1.0210061819970968</v>
      </c>
      <c r="LW9" s="206">
        <f t="shared" si="99"/>
        <v>1.0361702806825472</v>
      </c>
      <c r="LX9" s="206">
        <f t="shared" si="99"/>
        <v>0.98359251090103794</v>
      </c>
      <c r="LY9" s="206">
        <f t="shared" si="99"/>
        <v>0.99397215852398602</v>
      </c>
      <c r="LZ9" s="206">
        <f t="shared" si="99"/>
        <v>0.94055655589691911</v>
      </c>
      <c r="MA9" s="206">
        <f t="shared" si="99"/>
        <v>0.95061409781108286</v>
      </c>
      <c r="MB9" s="206">
        <f t="shared" si="99"/>
        <v>0.96039777053749553</v>
      </c>
      <c r="MC9" s="206">
        <f t="shared" si="99"/>
        <v>0.97003465134275679</v>
      </c>
      <c r="MD9" s="206">
        <f t="shared" si="99"/>
        <v>0.98188310244434118</v>
      </c>
      <c r="ME9" s="206">
        <f t="shared" si="99"/>
        <v>0.93211619629731535</v>
      </c>
      <c r="MF9" s="206">
        <f t="shared" si="99"/>
        <v>0.9429667832126768</v>
      </c>
      <c r="MG9" s="206">
        <f t="shared" si="99"/>
        <v>0.88899408252148682</v>
      </c>
      <c r="MH9" s="206">
        <f t="shared" si="99"/>
        <v>0.89930099933081054</v>
      </c>
      <c r="MI9" s="206">
        <f t="shared" si="99"/>
        <v>0.91009061601444596</v>
      </c>
      <c r="MJ9" s="206">
        <f t="shared" si="99"/>
        <v>0.92307124691991915</v>
      </c>
      <c r="MK9" s="206">
        <f t="shared" si="99"/>
        <v>0.93253134716216068</v>
      </c>
      <c r="ML9" s="206">
        <f t="shared" si="99"/>
        <v>0.87648606758277414</v>
      </c>
      <c r="MM9" s="206">
        <f t="shared" si="99"/>
        <v>0.88521112393957146</v>
      </c>
      <c r="MN9" s="206">
        <f t="shared" si="99"/>
        <v>0.82960045864948495</v>
      </c>
      <c r="MO9" s="206">
        <f t="shared" si="99"/>
        <v>0.83862484618113864</v>
      </c>
      <c r="MP9" s="206">
        <f t="shared" si="99"/>
        <v>0.84854284534976077</v>
      </c>
      <c r="MQ9" s="206">
        <f t="shared" si="99"/>
        <v>0.85682998744452143</v>
      </c>
      <c r="MR9" s="206">
        <f t="shared" si="99"/>
        <v>0.86477606607003921</v>
      </c>
      <c r="MS9" s="206">
        <f t="shared" si="99"/>
        <v>0.8052911811559389</v>
      </c>
      <c r="MT9" s="206">
        <f t="shared" si="99"/>
        <v>0.81236079256031246</v>
      </c>
      <c r="MU9" s="206">
        <f t="shared" si="99"/>
        <v>-1.401624710822822E-4</v>
      </c>
      <c r="MV9" s="206">
        <f t="shared" si="99"/>
        <v>0.76690449596497601</v>
      </c>
      <c r="MW9" s="206">
        <f t="shared" si="99"/>
        <v>0.77522207501092488</v>
      </c>
      <c r="MX9" s="206">
        <f t="shared" si="99"/>
        <v>0.78326963673440586</v>
      </c>
      <c r="MY9" s="206">
        <f t="shared" si="99"/>
        <v>0.79358366889463683</v>
      </c>
      <c r="MZ9" s="206">
        <f t="shared" si="99"/>
        <v>0.80378743653140594</v>
      </c>
      <c r="NA9" s="206">
        <f t="shared" si="99"/>
        <v>0.81246144353022964</v>
      </c>
      <c r="NB9" s="206">
        <f t="shared" si="99"/>
        <v>0.82583615368219754</v>
      </c>
      <c r="NC9" s="206">
        <f t="shared" si="99"/>
        <v>0.83581180462239235</v>
      </c>
      <c r="ND9" s="206">
        <f t="shared" si="99"/>
        <v>0.84571348708812855</v>
      </c>
      <c r="NE9" s="206">
        <f t="shared" si="99"/>
        <v>0.85527043083316157</v>
      </c>
      <c r="NF9" s="206">
        <f t="shared" si="99"/>
        <v>0.86325264255797096</v>
      </c>
      <c r="NG9" s="206">
        <f t="shared" si="99"/>
        <v>0.87252544355567319</v>
      </c>
      <c r="NH9" s="206">
        <f t="shared" si="99"/>
        <v>0.88164821014706318</v>
      </c>
      <c r="NI9" s="206">
        <f t="shared" si="99"/>
        <v>0.89212242394858687</v>
      </c>
      <c r="NJ9" s="206">
        <f t="shared" si="99"/>
        <v>0.90624949703745017</v>
      </c>
      <c r="NK9" s="206">
        <f t="shared" si="99"/>
        <v>0.91655590396411135</v>
      </c>
      <c r="NL9" s="206">
        <f t="shared" si="99"/>
        <v>0.92662783021709361</v>
      </c>
      <c r="NM9" s="206">
        <f t="shared" si="99"/>
        <v>0.93670605235981708</v>
      </c>
      <c r="NN9" s="206">
        <f t="shared" si="99"/>
        <v>0.94661231689968428</v>
      </c>
      <c r="NO9" s="206">
        <f t="shared" si="99"/>
        <v>0.96026774604992349</v>
      </c>
      <c r="NP9" s="206">
        <f t="shared" si="99"/>
        <v>0.96988606139683464</v>
      </c>
      <c r="NQ9" s="206">
        <f t="shared" si="99"/>
        <v>0.97897082666840896</v>
      </c>
      <c r="NR9" s="206">
        <f t="shared" si="99"/>
        <v>0.98805676186771163</v>
      </c>
      <c r="NS9" s="206">
        <f t="shared" si="99"/>
        <v>0.99887073947315919</v>
      </c>
      <c r="NT9" s="206">
        <f t="shared" si="99"/>
        <v>1.0099519823309924</v>
      </c>
      <c r="NU9" s="206">
        <f t="shared" si="99"/>
        <v>1.0210061819970968</v>
      </c>
      <c r="NV9" s="206">
        <f t="shared" si="99"/>
        <v>1.0361702806825472</v>
      </c>
      <c r="NW9" s="206">
        <f t="shared" ref="NW9:QH9" si="100">NW8*(100%-$AJ$18)*$AJ$20</f>
        <v>0.98359251090103794</v>
      </c>
      <c r="NX9" s="206">
        <f t="shared" si="100"/>
        <v>0.99397215852398602</v>
      </c>
      <c r="NY9" s="206">
        <f t="shared" si="100"/>
        <v>0.94055655589691911</v>
      </c>
      <c r="NZ9" s="206">
        <f t="shared" si="100"/>
        <v>0.95061409781108286</v>
      </c>
      <c r="OA9" s="206">
        <f t="shared" si="100"/>
        <v>0.96039777053749553</v>
      </c>
      <c r="OB9" s="206">
        <f t="shared" si="100"/>
        <v>0.97003465134275679</v>
      </c>
      <c r="OC9" s="206">
        <f t="shared" si="100"/>
        <v>0.98188310244434118</v>
      </c>
      <c r="OD9" s="206">
        <f t="shared" si="100"/>
        <v>0.93211619629731535</v>
      </c>
      <c r="OE9" s="206">
        <f t="shared" si="100"/>
        <v>0.9429667832126768</v>
      </c>
      <c r="OF9" s="206">
        <f t="shared" si="100"/>
        <v>0.88899408252148682</v>
      </c>
      <c r="OG9" s="206">
        <f t="shared" si="100"/>
        <v>0.89930099933081054</v>
      </c>
      <c r="OH9" s="206">
        <f t="shared" si="100"/>
        <v>0.91009061601444596</v>
      </c>
      <c r="OI9" s="206">
        <f t="shared" si="100"/>
        <v>0.92307124691991915</v>
      </c>
      <c r="OJ9" s="206">
        <f t="shared" si="100"/>
        <v>0.93253134716216068</v>
      </c>
      <c r="OK9" s="206">
        <f t="shared" si="100"/>
        <v>0.87648606758277414</v>
      </c>
      <c r="OL9" s="206">
        <f t="shared" si="100"/>
        <v>0.88521112393957146</v>
      </c>
      <c r="OM9" s="206">
        <f t="shared" si="100"/>
        <v>0.82960045864948495</v>
      </c>
      <c r="ON9" s="206">
        <f t="shared" si="100"/>
        <v>0.83862484618113864</v>
      </c>
      <c r="OO9" s="206">
        <f t="shared" si="100"/>
        <v>0.84854284534976077</v>
      </c>
      <c r="OP9" s="206">
        <f t="shared" si="100"/>
        <v>0.85682998744452143</v>
      </c>
      <c r="OQ9" s="206">
        <f t="shared" si="100"/>
        <v>0.86477606607003921</v>
      </c>
      <c r="OR9" s="206">
        <f t="shared" si="100"/>
        <v>0.8052911811559389</v>
      </c>
      <c r="OS9" s="206">
        <f t="shared" si="100"/>
        <v>0.81236079256031246</v>
      </c>
      <c r="OT9" s="206">
        <f t="shared" si="100"/>
        <v>-1.401624710822822E-4</v>
      </c>
      <c r="OU9" s="206">
        <f t="shared" si="100"/>
        <v>0.76690449596497601</v>
      </c>
      <c r="OV9" s="206">
        <f t="shared" si="100"/>
        <v>0.77522207501092488</v>
      </c>
      <c r="OW9" s="206">
        <f t="shared" si="100"/>
        <v>0.78326963673440586</v>
      </c>
      <c r="OX9" s="206">
        <f t="shared" si="100"/>
        <v>0.79358366889463683</v>
      </c>
      <c r="OY9" s="206">
        <f t="shared" si="100"/>
        <v>0.80378743653140594</v>
      </c>
      <c r="OZ9" s="206">
        <f t="shared" si="100"/>
        <v>0.81246144353022964</v>
      </c>
      <c r="PA9" s="206">
        <f t="shared" si="100"/>
        <v>0.82583615368219754</v>
      </c>
      <c r="PB9" s="206">
        <f t="shared" si="100"/>
        <v>0.83581180462239235</v>
      </c>
      <c r="PC9" s="206">
        <f t="shared" si="100"/>
        <v>0.84571348708812855</v>
      </c>
      <c r="PD9" s="206">
        <f t="shared" si="100"/>
        <v>0.85527043083316157</v>
      </c>
      <c r="PE9" s="206">
        <f t="shared" si="100"/>
        <v>0.86325264255797096</v>
      </c>
      <c r="PF9" s="206">
        <f t="shared" si="100"/>
        <v>0.87252544355567319</v>
      </c>
      <c r="PG9" s="206">
        <f t="shared" si="100"/>
        <v>0.88164821014706318</v>
      </c>
      <c r="PH9" s="206">
        <f t="shared" si="100"/>
        <v>0.89212242394858687</v>
      </c>
      <c r="PI9" s="206">
        <f t="shared" si="100"/>
        <v>0.90624949703745017</v>
      </c>
      <c r="PJ9" s="206">
        <f t="shared" si="100"/>
        <v>0.91655590396411135</v>
      </c>
      <c r="PK9" s="206">
        <f t="shared" si="100"/>
        <v>0.92662783021709361</v>
      </c>
      <c r="PL9" s="206">
        <f t="shared" si="100"/>
        <v>0.93670605235981708</v>
      </c>
      <c r="PM9" s="206">
        <f t="shared" si="100"/>
        <v>0.94661231689968428</v>
      </c>
      <c r="PN9" s="206">
        <f t="shared" si="100"/>
        <v>0.96026774604992349</v>
      </c>
      <c r="PO9" s="206">
        <f t="shared" si="100"/>
        <v>0.96988606139683464</v>
      </c>
      <c r="PP9" s="206">
        <f t="shared" si="100"/>
        <v>0.97897082666840896</v>
      </c>
      <c r="PQ9" s="206">
        <f t="shared" si="100"/>
        <v>0.98805676186771163</v>
      </c>
      <c r="PR9" s="206">
        <f t="shared" si="100"/>
        <v>0.99887073947315919</v>
      </c>
      <c r="PS9" s="206">
        <f t="shared" si="100"/>
        <v>1.0099519823309924</v>
      </c>
      <c r="PT9" s="206">
        <f t="shared" si="100"/>
        <v>1.0210061819970968</v>
      </c>
      <c r="PU9" s="206">
        <f t="shared" si="100"/>
        <v>1.0361702806825472</v>
      </c>
      <c r="PV9" s="206">
        <f t="shared" si="100"/>
        <v>0.98359251090103794</v>
      </c>
      <c r="PW9" s="206">
        <f t="shared" si="100"/>
        <v>0.99397215852398602</v>
      </c>
      <c r="PX9" s="206">
        <f t="shared" si="100"/>
        <v>0.94055655589691911</v>
      </c>
      <c r="PY9" s="206">
        <f t="shared" si="100"/>
        <v>0.95061409781108286</v>
      </c>
      <c r="PZ9" s="206">
        <f t="shared" si="100"/>
        <v>0.96039777053749553</v>
      </c>
      <c r="QA9" s="206">
        <f t="shared" si="100"/>
        <v>0.97003465134275679</v>
      </c>
      <c r="QB9" s="206">
        <f t="shared" si="100"/>
        <v>0.98188310244434118</v>
      </c>
      <c r="QC9" s="206">
        <f t="shared" si="100"/>
        <v>0.93211619629731535</v>
      </c>
      <c r="QD9" s="206">
        <f t="shared" si="100"/>
        <v>0.9429667832126768</v>
      </c>
      <c r="QE9" s="206">
        <f t="shared" si="100"/>
        <v>0.88899408252148682</v>
      </c>
      <c r="QF9" s="206">
        <f t="shared" si="100"/>
        <v>0.89930099933081054</v>
      </c>
      <c r="QG9" s="206">
        <f t="shared" si="100"/>
        <v>0.91009061601444596</v>
      </c>
      <c r="QH9" s="206">
        <f t="shared" si="100"/>
        <v>0.92307124691991915</v>
      </c>
      <c r="QI9" s="206">
        <f t="shared" ref="QI9:ST9" si="101">QI8*(100%-$AJ$18)*$AJ$20</f>
        <v>0.93253134716216068</v>
      </c>
      <c r="QJ9" s="206">
        <f t="shared" si="101"/>
        <v>0.87648606758277414</v>
      </c>
      <c r="QK9" s="206">
        <f t="shared" si="101"/>
        <v>0.88521112393957146</v>
      </c>
      <c r="QL9" s="206">
        <f t="shared" si="101"/>
        <v>0.82960045864948495</v>
      </c>
      <c r="QM9" s="206">
        <f t="shared" si="101"/>
        <v>0.83862484618113864</v>
      </c>
      <c r="QN9" s="206">
        <f t="shared" si="101"/>
        <v>0.84854284534976077</v>
      </c>
      <c r="QO9" s="206">
        <f t="shared" si="101"/>
        <v>0.85682998744452143</v>
      </c>
      <c r="QP9" s="206">
        <f t="shared" si="101"/>
        <v>0.86477606607003921</v>
      </c>
      <c r="QQ9" s="206">
        <f t="shared" si="101"/>
        <v>0.8052911811559389</v>
      </c>
      <c r="QR9" s="206">
        <f t="shared" si="101"/>
        <v>0.81236079256031246</v>
      </c>
      <c r="QS9" s="206">
        <f t="shared" si="101"/>
        <v>-1.401624710822822E-4</v>
      </c>
      <c r="QT9" s="206">
        <f t="shared" si="101"/>
        <v>0.76690449596497601</v>
      </c>
      <c r="QU9" s="206">
        <f t="shared" si="101"/>
        <v>0.77522207501092488</v>
      </c>
      <c r="QV9" s="206">
        <f t="shared" si="101"/>
        <v>0.78326963673440586</v>
      </c>
      <c r="QW9" s="206">
        <f t="shared" si="101"/>
        <v>0.79358366889463683</v>
      </c>
      <c r="QX9" s="206">
        <f t="shared" si="101"/>
        <v>0.80378743653140594</v>
      </c>
      <c r="QY9" s="206">
        <f t="shared" si="101"/>
        <v>0.81246144353022964</v>
      </c>
      <c r="QZ9" s="206">
        <f t="shared" si="101"/>
        <v>0.82583615368219754</v>
      </c>
      <c r="RA9" s="206">
        <f t="shared" si="101"/>
        <v>0.83581180462239235</v>
      </c>
      <c r="RB9" s="206">
        <f t="shared" si="101"/>
        <v>0.84571348708812855</v>
      </c>
      <c r="RC9" s="206">
        <f t="shared" si="101"/>
        <v>0.85527043083316157</v>
      </c>
      <c r="RD9" s="206">
        <f t="shared" si="101"/>
        <v>0.86325264255797096</v>
      </c>
      <c r="RE9" s="206">
        <f t="shared" si="101"/>
        <v>0.87252544355567319</v>
      </c>
      <c r="RF9" s="206">
        <f t="shared" si="101"/>
        <v>0.88164821014706318</v>
      </c>
      <c r="RG9" s="206">
        <f t="shared" si="101"/>
        <v>0.89212242394858687</v>
      </c>
      <c r="RH9" s="206">
        <f t="shared" si="101"/>
        <v>0.90624949703745017</v>
      </c>
      <c r="RI9" s="206">
        <f t="shared" si="101"/>
        <v>0.91655590396411135</v>
      </c>
      <c r="RJ9" s="206">
        <f t="shared" si="101"/>
        <v>0.92662783021709361</v>
      </c>
      <c r="RK9" s="206">
        <f t="shared" si="101"/>
        <v>0.93670605235981708</v>
      </c>
      <c r="RL9" s="206">
        <f t="shared" si="101"/>
        <v>0.94661231689968428</v>
      </c>
      <c r="RM9" s="206">
        <f t="shared" si="101"/>
        <v>0.96026774604992349</v>
      </c>
      <c r="RN9" s="206">
        <f t="shared" si="101"/>
        <v>0.96988606139683464</v>
      </c>
      <c r="RO9" s="206">
        <f t="shared" si="101"/>
        <v>0.97897082666840896</v>
      </c>
      <c r="RP9" s="206">
        <f t="shared" si="101"/>
        <v>0.98805676186771163</v>
      </c>
      <c r="RQ9" s="206">
        <f t="shared" si="101"/>
        <v>0.99887073947315919</v>
      </c>
      <c r="RR9" s="206">
        <f t="shared" si="101"/>
        <v>1.0099519823309924</v>
      </c>
      <c r="RS9" s="206">
        <f t="shared" si="101"/>
        <v>1.0210061819970968</v>
      </c>
      <c r="RT9" s="206">
        <f t="shared" si="101"/>
        <v>1.0361702806825472</v>
      </c>
      <c r="RU9" s="206">
        <f t="shared" si="101"/>
        <v>0.98359251090103794</v>
      </c>
      <c r="RV9" s="206">
        <f t="shared" si="101"/>
        <v>0.99397215852398602</v>
      </c>
      <c r="RW9" s="206">
        <f t="shared" si="101"/>
        <v>0.94055655589691911</v>
      </c>
      <c r="RX9" s="206">
        <f t="shared" si="101"/>
        <v>0.95061409781108286</v>
      </c>
      <c r="RY9" s="206">
        <f t="shared" si="101"/>
        <v>0.96039777053749553</v>
      </c>
      <c r="RZ9" s="206">
        <f t="shared" si="101"/>
        <v>0.97003465134275679</v>
      </c>
      <c r="SA9" s="206">
        <f t="shared" si="101"/>
        <v>0.98188310244434118</v>
      </c>
      <c r="SB9" s="206">
        <f t="shared" si="101"/>
        <v>0.93211619629731535</v>
      </c>
      <c r="SC9" s="206">
        <f t="shared" si="101"/>
        <v>0.9429667832126768</v>
      </c>
      <c r="SD9" s="206">
        <f t="shared" si="101"/>
        <v>0.88899408252148682</v>
      </c>
      <c r="SE9" s="206">
        <f t="shared" si="101"/>
        <v>0.89930099933081054</v>
      </c>
      <c r="SF9" s="206">
        <f t="shared" si="101"/>
        <v>0.91009061601444596</v>
      </c>
      <c r="SG9" s="206">
        <f t="shared" si="101"/>
        <v>0.92307124691991915</v>
      </c>
      <c r="SH9" s="206">
        <f t="shared" si="101"/>
        <v>0.93253134716216068</v>
      </c>
      <c r="SI9" s="206">
        <f t="shared" si="101"/>
        <v>0.87648606758277414</v>
      </c>
      <c r="SJ9" s="206">
        <f t="shared" si="101"/>
        <v>0.88521112393957146</v>
      </c>
      <c r="SK9" s="206">
        <f t="shared" si="101"/>
        <v>0.82960045864948495</v>
      </c>
      <c r="SL9" s="206">
        <f t="shared" si="101"/>
        <v>0.83862484618113864</v>
      </c>
      <c r="SM9" s="206">
        <f t="shared" si="101"/>
        <v>0.84854284534976077</v>
      </c>
      <c r="SN9" s="206">
        <f t="shared" si="101"/>
        <v>0.85682998744452143</v>
      </c>
      <c r="SO9" s="206">
        <f t="shared" si="101"/>
        <v>0.86477606607003921</v>
      </c>
      <c r="SP9" s="206">
        <f t="shared" si="101"/>
        <v>0.8052911811559389</v>
      </c>
      <c r="SQ9" s="206">
        <f t="shared" si="101"/>
        <v>0.81236079256031246</v>
      </c>
      <c r="SR9" s="206">
        <f t="shared" si="101"/>
        <v>-1.401624710822822E-4</v>
      </c>
      <c r="SS9" s="206">
        <f t="shared" si="101"/>
        <v>0.76690449596497601</v>
      </c>
      <c r="ST9" s="206">
        <f t="shared" si="101"/>
        <v>0.77522207501092488</v>
      </c>
      <c r="SU9" s="206">
        <f t="shared" ref="SU9:VF9" si="102">SU8*(100%-$AJ$18)*$AJ$20</f>
        <v>0.78326963673440586</v>
      </c>
      <c r="SV9" s="206">
        <f t="shared" si="102"/>
        <v>0.79358366889463683</v>
      </c>
      <c r="SW9" s="206">
        <f t="shared" si="102"/>
        <v>0.80378743653140594</v>
      </c>
      <c r="SX9" s="206">
        <f t="shared" si="102"/>
        <v>0.81246144353022964</v>
      </c>
      <c r="SY9" s="206">
        <f t="shared" si="102"/>
        <v>0.82583615368219754</v>
      </c>
      <c r="SZ9" s="206">
        <f t="shared" si="102"/>
        <v>0.83581180462239235</v>
      </c>
      <c r="TA9" s="206">
        <f t="shared" si="102"/>
        <v>0.84571348708812855</v>
      </c>
      <c r="TB9" s="206">
        <f t="shared" si="102"/>
        <v>0.85527043083316157</v>
      </c>
      <c r="TC9" s="206">
        <f t="shared" si="102"/>
        <v>0.86325264255797096</v>
      </c>
      <c r="TD9" s="206">
        <f t="shared" si="102"/>
        <v>0.87252544355567319</v>
      </c>
      <c r="TE9" s="206">
        <f t="shared" si="102"/>
        <v>0.88164821014706318</v>
      </c>
      <c r="TF9" s="206">
        <f t="shared" si="102"/>
        <v>0.89212242394858687</v>
      </c>
      <c r="TG9" s="206">
        <f t="shared" si="102"/>
        <v>0.90624949703745017</v>
      </c>
      <c r="TH9" s="206">
        <f t="shared" si="102"/>
        <v>0.91655590396411135</v>
      </c>
      <c r="TI9" s="206">
        <f t="shared" si="102"/>
        <v>0.92662783021709361</v>
      </c>
      <c r="TJ9" s="206">
        <f t="shared" si="102"/>
        <v>0.93670605235981708</v>
      </c>
      <c r="TK9" s="206">
        <f t="shared" si="102"/>
        <v>0.94661231689968428</v>
      </c>
      <c r="TL9" s="206">
        <f t="shared" si="102"/>
        <v>0.96026774604992349</v>
      </c>
      <c r="TM9" s="206">
        <f t="shared" si="102"/>
        <v>0.96988606139683464</v>
      </c>
      <c r="TN9" s="206">
        <f t="shared" si="102"/>
        <v>0.97897082666840896</v>
      </c>
      <c r="TO9" s="206">
        <f t="shared" si="102"/>
        <v>0.98805676186771163</v>
      </c>
      <c r="TP9" s="206">
        <f t="shared" si="102"/>
        <v>0.99887073947315919</v>
      </c>
      <c r="TQ9" s="206">
        <f t="shared" si="102"/>
        <v>1.0099519823309924</v>
      </c>
      <c r="TR9" s="206">
        <f t="shared" si="102"/>
        <v>1.0210061819970968</v>
      </c>
      <c r="TS9" s="206">
        <f t="shared" si="102"/>
        <v>1.0361702806825472</v>
      </c>
      <c r="TT9" s="206">
        <f t="shared" si="102"/>
        <v>0.98359251090103794</v>
      </c>
      <c r="TU9" s="206">
        <f t="shared" si="102"/>
        <v>0.99397215852398602</v>
      </c>
      <c r="TV9" s="206">
        <f t="shared" si="102"/>
        <v>0.94055655589691911</v>
      </c>
      <c r="TW9" s="206">
        <f t="shared" si="102"/>
        <v>0.95061409781108286</v>
      </c>
      <c r="TX9" s="206">
        <f t="shared" si="102"/>
        <v>0.96039777053749553</v>
      </c>
      <c r="TY9" s="206">
        <f t="shared" si="102"/>
        <v>0.97003465134275679</v>
      </c>
      <c r="TZ9" s="206">
        <f t="shared" si="102"/>
        <v>0.98188310244434118</v>
      </c>
      <c r="UA9" s="206">
        <f t="shared" si="102"/>
        <v>0.93211619629731535</v>
      </c>
      <c r="UB9" s="206">
        <f t="shared" si="102"/>
        <v>0.9429667832126768</v>
      </c>
      <c r="UC9" s="206">
        <f t="shared" si="102"/>
        <v>0.88899408252148682</v>
      </c>
      <c r="UD9" s="206">
        <f t="shared" si="102"/>
        <v>0.89930099933081054</v>
      </c>
      <c r="UE9" s="206">
        <f t="shared" si="102"/>
        <v>0.91009061601444596</v>
      </c>
      <c r="UF9" s="206">
        <f t="shared" si="102"/>
        <v>0.92307124691991915</v>
      </c>
      <c r="UG9" s="206">
        <f t="shared" si="102"/>
        <v>0.93253134716216068</v>
      </c>
      <c r="UH9" s="206">
        <f t="shared" si="102"/>
        <v>0.87648606758277414</v>
      </c>
      <c r="UI9" s="206">
        <f t="shared" si="102"/>
        <v>0.88521112393957146</v>
      </c>
      <c r="UJ9" s="206">
        <f t="shared" si="102"/>
        <v>0.82960045864948495</v>
      </c>
      <c r="UK9" s="206">
        <f t="shared" si="102"/>
        <v>0.83862484618113864</v>
      </c>
      <c r="UL9" s="206">
        <f t="shared" si="102"/>
        <v>0.84854284534976077</v>
      </c>
      <c r="UM9" s="206">
        <f t="shared" si="102"/>
        <v>0.85682998744452143</v>
      </c>
      <c r="UN9" s="206">
        <f t="shared" si="102"/>
        <v>0.86477606607003921</v>
      </c>
      <c r="UO9" s="206">
        <f t="shared" si="102"/>
        <v>0.8052911811559389</v>
      </c>
      <c r="UP9" s="206">
        <f t="shared" si="102"/>
        <v>0.81236079256031246</v>
      </c>
      <c r="UQ9" s="206">
        <f t="shared" si="102"/>
        <v>-1.401624710822822E-4</v>
      </c>
      <c r="UR9" s="206">
        <f t="shared" si="102"/>
        <v>0.76690449596497601</v>
      </c>
      <c r="US9" s="206">
        <f t="shared" si="102"/>
        <v>0.77522207501092488</v>
      </c>
      <c r="UT9" s="206">
        <f t="shared" si="102"/>
        <v>0.78326963673440586</v>
      </c>
      <c r="UU9" s="206">
        <f t="shared" si="102"/>
        <v>0.79358366889463683</v>
      </c>
      <c r="UV9" s="206">
        <f t="shared" si="102"/>
        <v>0.80378743653140594</v>
      </c>
      <c r="UW9" s="206">
        <f t="shared" si="102"/>
        <v>0.81246144353022964</v>
      </c>
      <c r="UX9" s="206">
        <f t="shared" si="102"/>
        <v>0.82583615368219754</v>
      </c>
      <c r="UY9" s="206">
        <f t="shared" si="102"/>
        <v>0.83581180462239235</v>
      </c>
      <c r="UZ9" s="206">
        <f t="shared" si="102"/>
        <v>0.84571348708812855</v>
      </c>
      <c r="VA9" s="206">
        <f t="shared" si="102"/>
        <v>0.85527043083316157</v>
      </c>
      <c r="VB9" s="206">
        <f t="shared" si="102"/>
        <v>0.86325264255797096</v>
      </c>
      <c r="VC9" s="206">
        <f t="shared" si="102"/>
        <v>0.87252544355567319</v>
      </c>
      <c r="VD9" s="206">
        <f t="shared" si="102"/>
        <v>0.88164821014706318</v>
      </c>
      <c r="VE9" s="206">
        <f t="shared" si="102"/>
        <v>0.89212242394858687</v>
      </c>
      <c r="VF9" s="206">
        <f t="shared" si="102"/>
        <v>0.90624949703745017</v>
      </c>
      <c r="VG9" s="206">
        <f t="shared" ref="VG9:XR9" si="103">VG8*(100%-$AJ$18)*$AJ$20</f>
        <v>0.91655590396411135</v>
      </c>
      <c r="VH9" s="206">
        <f t="shared" si="103"/>
        <v>0.92662783021709361</v>
      </c>
      <c r="VI9" s="206">
        <f t="shared" si="103"/>
        <v>0.93670605235981708</v>
      </c>
      <c r="VJ9" s="206">
        <f t="shared" si="103"/>
        <v>0.94661231689968428</v>
      </c>
      <c r="VK9" s="206">
        <f t="shared" si="103"/>
        <v>0.96026774604992349</v>
      </c>
      <c r="VL9" s="206">
        <f t="shared" si="103"/>
        <v>0.96988606139683464</v>
      </c>
      <c r="VM9" s="206">
        <f t="shared" si="103"/>
        <v>0.97897082666840896</v>
      </c>
      <c r="VN9" s="206">
        <f t="shared" si="103"/>
        <v>0.98805676186771163</v>
      </c>
      <c r="VO9" s="206">
        <f t="shared" si="103"/>
        <v>0.99887073947315919</v>
      </c>
      <c r="VP9" s="206">
        <f t="shared" si="103"/>
        <v>1.0099519823309924</v>
      </c>
      <c r="VQ9" s="206">
        <f t="shared" si="103"/>
        <v>1.0210061819970968</v>
      </c>
      <c r="VR9" s="206">
        <f t="shared" si="103"/>
        <v>1.0361702806825472</v>
      </c>
      <c r="VS9" s="206">
        <f t="shared" si="103"/>
        <v>0.98359251090103794</v>
      </c>
      <c r="VT9" s="206">
        <f t="shared" si="103"/>
        <v>0.99397215852398602</v>
      </c>
      <c r="VU9" s="206">
        <f t="shared" si="103"/>
        <v>0.94055655589691911</v>
      </c>
      <c r="VV9" s="206">
        <f t="shared" si="103"/>
        <v>0.95061409781108286</v>
      </c>
      <c r="VW9" s="206">
        <f t="shared" si="103"/>
        <v>0.96039777053749553</v>
      </c>
      <c r="VX9" s="206">
        <f t="shared" si="103"/>
        <v>0.97003465134275679</v>
      </c>
      <c r="VY9" s="206">
        <f t="shared" si="103"/>
        <v>0.98188310244434118</v>
      </c>
      <c r="VZ9" s="206">
        <f t="shared" si="103"/>
        <v>0.93211619629731535</v>
      </c>
      <c r="WA9" s="206">
        <f t="shared" si="103"/>
        <v>0.9429667832126768</v>
      </c>
      <c r="WB9" s="206">
        <f t="shared" si="103"/>
        <v>0.88899408252148682</v>
      </c>
      <c r="WC9" s="206">
        <f t="shared" si="103"/>
        <v>0.89930099933081054</v>
      </c>
      <c r="WD9" s="206">
        <f t="shared" si="103"/>
        <v>0.91009061601444596</v>
      </c>
      <c r="WE9" s="206">
        <f t="shared" si="103"/>
        <v>0.92307124691991915</v>
      </c>
      <c r="WF9" s="206">
        <f t="shared" si="103"/>
        <v>0.93253134716216068</v>
      </c>
      <c r="WG9" s="206">
        <f t="shared" si="103"/>
        <v>0.87648606758277414</v>
      </c>
      <c r="WH9" s="206">
        <f t="shared" si="103"/>
        <v>0.88521112393957146</v>
      </c>
      <c r="WI9" s="206">
        <f t="shared" si="103"/>
        <v>0.82960045864948495</v>
      </c>
      <c r="WJ9" s="206">
        <f t="shared" si="103"/>
        <v>0.83862484618113864</v>
      </c>
      <c r="WK9" s="206">
        <f t="shared" si="103"/>
        <v>0.84854284534976077</v>
      </c>
      <c r="WL9" s="206">
        <f t="shared" si="103"/>
        <v>0.85682998744452143</v>
      </c>
      <c r="WM9" s="206">
        <f t="shared" si="103"/>
        <v>0.86477606607003921</v>
      </c>
      <c r="WN9" s="206">
        <f t="shared" si="103"/>
        <v>0.8052911811559389</v>
      </c>
      <c r="WO9" s="206">
        <f t="shared" si="103"/>
        <v>0.81236079256031246</v>
      </c>
      <c r="WP9" s="206">
        <f t="shared" si="103"/>
        <v>-1.401624710822822E-4</v>
      </c>
      <c r="WQ9" s="206">
        <f t="shared" si="103"/>
        <v>0.76690449596497601</v>
      </c>
      <c r="WR9" s="206">
        <f t="shared" si="103"/>
        <v>0.77522207501092488</v>
      </c>
      <c r="WS9" s="206">
        <f t="shared" si="103"/>
        <v>0.78326963673440586</v>
      </c>
      <c r="WT9" s="206">
        <f t="shared" si="103"/>
        <v>0.79358366889463683</v>
      </c>
      <c r="WU9" s="206">
        <f t="shared" si="103"/>
        <v>0.80378743653140594</v>
      </c>
      <c r="WV9" s="206">
        <f t="shared" si="103"/>
        <v>0.81246144353022964</v>
      </c>
      <c r="WW9" s="206">
        <f t="shared" si="103"/>
        <v>0.82583615368219754</v>
      </c>
      <c r="WX9" s="206">
        <f t="shared" si="103"/>
        <v>0.83581180462239235</v>
      </c>
      <c r="WY9" s="206">
        <f t="shared" si="103"/>
        <v>0.84571348708812855</v>
      </c>
      <c r="WZ9" s="206">
        <f t="shared" si="103"/>
        <v>0.85527043083316157</v>
      </c>
      <c r="XA9" s="206">
        <f t="shared" si="103"/>
        <v>0.86325264255797096</v>
      </c>
      <c r="XB9" s="206">
        <f t="shared" si="103"/>
        <v>0.87252544355567319</v>
      </c>
      <c r="XC9" s="206">
        <f t="shared" si="103"/>
        <v>0.88164821014706318</v>
      </c>
      <c r="XD9" s="206">
        <f t="shared" si="103"/>
        <v>0.89212242394858687</v>
      </c>
      <c r="XE9" s="206">
        <f t="shared" si="103"/>
        <v>0.90624949703745017</v>
      </c>
      <c r="XF9" s="206">
        <f t="shared" si="103"/>
        <v>0.91655590396411135</v>
      </c>
      <c r="XG9" s="206">
        <f t="shared" si="103"/>
        <v>0.92662783021709361</v>
      </c>
      <c r="XH9" s="206">
        <f t="shared" si="103"/>
        <v>0.93670605235981708</v>
      </c>
      <c r="XI9" s="206">
        <f t="shared" si="103"/>
        <v>0.94661231689968428</v>
      </c>
      <c r="XJ9" s="206">
        <f t="shared" si="103"/>
        <v>0.96026774604992349</v>
      </c>
      <c r="XK9" s="206">
        <f t="shared" si="103"/>
        <v>0.96988606139683464</v>
      </c>
      <c r="XL9" s="206">
        <f t="shared" si="103"/>
        <v>0.97897082666840896</v>
      </c>
      <c r="XM9" s="206">
        <f t="shared" si="103"/>
        <v>0.98805676186771163</v>
      </c>
      <c r="XN9" s="206">
        <f t="shared" si="103"/>
        <v>0.99887073947315919</v>
      </c>
      <c r="XO9" s="206">
        <f t="shared" si="103"/>
        <v>1.0099519823309924</v>
      </c>
      <c r="XP9" s="206">
        <f t="shared" si="103"/>
        <v>1.0210061819970968</v>
      </c>
      <c r="XQ9" s="206">
        <f t="shared" si="103"/>
        <v>1.0361702806825472</v>
      </c>
      <c r="XR9" s="206">
        <f t="shared" si="103"/>
        <v>0.98359251090103794</v>
      </c>
      <c r="XS9" s="206">
        <f t="shared" ref="XS9:AAD9" si="104">XS8*(100%-$AJ$18)*$AJ$20</f>
        <v>0.99397215852398602</v>
      </c>
      <c r="XT9" s="206">
        <f t="shared" si="104"/>
        <v>0.94055655589691911</v>
      </c>
      <c r="XU9" s="206">
        <f t="shared" si="104"/>
        <v>0.95061409781108286</v>
      </c>
      <c r="XV9" s="206">
        <f t="shared" si="104"/>
        <v>0.96039777053749553</v>
      </c>
      <c r="XW9" s="206">
        <f t="shared" si="104"/>
        <v>0.97003465134275679</v>
      </c>
      <c r="XX9" s="206">
        <f t="shared" si="104"/>
        <v>0.98188310244434118</v>
      </c>
      <c r="XY9" s="206">
        <f t="shared" si="104"/>
        <v>0.93211619629731535</v>
      </c>
      <c r="XZ9" s="206">
        <f t="shared" si="104"/>
        <v>0.9429667832126768</v>
      </c>
      <c r="YA9" s="206">
        <f t="shared" si="104"/>
        <v>0.88899408252148682</v>
      </c>
      <c r="YB9" s="206">
        <f t="shared" si="104"/>
        <v>0.89930099933081054</v>
      </c>
      <c r="YC9" s="206">
        <f t="shared" si="104"/>
        <v>0.91009061601444596</v>
      </c>
      <c r="YD9" s="206">
        <f t="shared" si="104"/>
        <v>0.92307124691991915</v>
      </c>
      <c r="YE9" s="206">
        <f t="shared" si="104"/>
        <v>0.93253134716216068</v>
      </c>
      <c r="YF9" s="206">
        <f t="shared" si="104"/>
        <v>0.87648606758277414</v>
      </c>
      <c r="YG9" s="206">
        <f t="shared" si="104"/>
        <v>0.88521112393957146</v>
      </c>
      <c r="YH9" s="206">
        <f t="shared" si="104"/>
        <v>0.82960045864948495</v>
      </c>
      <c r="YI9" s="206">
        <f t="shared" si="104"/>
        <v>0.83862484618113864</v>
      </c>
      <c r="YJ9" s="206">
        <f t="shared" si="104"/>
        <v>0.84854284534976077</v>
      </c>
      <c r="YK9" s="206">
        <f t="shared" si="104"/>
        <v>0.85682998744452143</v>
      </c>
      <c r="YL9" s="206">
        <f t="shared" si="104"/>
        <v>0.86477606607003921</v>
      </c>
      <c r="YM9" s="206">
        <f t="shared" si="104"/>
        <v>0.8052911811559389</v>
      </c>
      <c r="YN9" s="206">
        <f t="shared" si="104"/>
        <v>0.81236079256031246</v>
      </c>
      <c r="YO9" s="206">
        <f t="shared" si="104"/>
        <v>-1.401624710822822E-4</v>
      </c>
      <c r="YP9" s="206">
        <f t="shared" si="104"/>
        <v>0.73813712096497608</v>
      </c>
      <c r="YQ9" s="206">
        <f t="shared" si="104"/>
        <v>0.74379388966717497</v>
      </c>
      <c r="YR9" s="206">
        <f t="shared" si="104"/>
        <v>0.74889054517870601</v>
      </c>
      <c r="YS9" s="206">
        <f t="shared" si="104"/>
        <v>0.75604909454827807</v>
      </c>
      <c r="YT9" s="206">
        <f t="shared" si="104"/>
        <v>0.76296956756276424</v>
      </c>
      <c r="YU9" s="206">
        <f t="shared" si="104"/>
        <v>0.76810385291554018</v>
      </c>
      <c r="YV9" s="206">
        <f t="shared" si="104"/>
        <v>0.77764963307081114</v>
      </c>
      <c r="YW9" s="206">
        <f t="shared" si="104"/>
        <v>0.78358892984914374</v>
      </c>
      <c r="YX9" s="206">
        <f t="shared" si="104"/>
        <v>0.78923680509851013</v>
      </c>
      <c r="YY9" s="206">
        <f t="shared" si="104"/>
        <v>0.79446431040817278</v>
      </c>
      <c r="YZ9" s="206">
        <f t="shared" si="104"/>
        <v>0.7978547208225979</v>
      </c>
      <c r="ZA9" s="206">
        <f t="shared" si="104"/>
        <v>0.80235963058986248</v>
      </c>
      <c r="ZB9" s="206">
        <f t="shared" si="104"/>
        <v>0.80644635206223414</v>
      </c>
      <c r="ZC9" s="206">
        <f t="shared" si="104"/>
        <v>0.81171242304180635</v>
      </c>
      <c r="ZD9" s="206">
        <f t="shared" si="104"/>
        <v>0.82053268095321996</v>
      </c>
      <c r="ZE9" s="206">
        <f t="shared" si="104"/>
        <v>0.82540851282215755</v>
      </c>
      <c r="ZF9" s="206">
        <f t="shared" si="104"/>
        <v>0.83002646412938419</v>
      </c>
      <c r="ZG9" s="206">
        <f t="shared" si="104"/>
        <v>0.83437811851302057</v>
      </c>
      <c r="ZH9" s="206">
        <f t="shared" si="104"/>
        <v>0.83835371466174291</v>
      </c>
      <c r="ZI9" s="206">
        <f t="shared" si="104"/>
        <v>0.84600296519747553</v>
      </c>
      <c r="ZJ9" s="206">
        <f t="shared" si="104"/>
        <v>0.84943253466265523</v>
      </c>
      <c r="ZK9" s="206">
        <f t="shared" si="104"/>
        <v>0.85256517262667408</v>
      </c>
      <c r="ZL9" s="206">
        <f t="shared" si="104"/>
        <v>0.85529891985063433</v>
      </c>
      <c r="ZM9" s="206">
        <f t="shared" si="104"/>
        <v>0.85975163208520289</v>
      </c>
      <c r="ZN9" s="206">
        <f t="shared" si="104"/>
        <v>0.86400890885105674</v>
      </c>
      <c r="ZO9" s="206">
        <f t="shared" si="104"/>
        <v>0.86806532207092268</v>
      </c>
      <c r="ZP9" s="206">
        <f t="shared" si="104"/>
        <v>0.87620943853130617</v>
      </c>
      <c r="ZQ9" s="206">
        <f t="shared" si="104"/>
        <v>0.81646545516051128</v>
      </c>
      <c r="ZR9" s="206">
        <f t="shared" si="104"/>
        <v>0.81969091385103954</v>
      </c>
      <c r="ZS9" s="206">
        <f t="shared" si="104"/>
        <v>0.75900645362728114</v>
      </c>
      <c r="ZT9" s="206">
        <f t="shared" si="104"/>
        <v>0.76169272866371851</v>
      </c>
      <c r="ZU9" s="206">
        <f t="shared" si="104"/>
        <v>0.76417146972178207</v>
      </c>
      <c r="ZV9" s="206">
        <f t="shared" si="104"/>
        <v>0.76643818674075481</v>
      </c>
      <c r="ZW9" s="206">
        <f t="shared" si="104"/>
        <v>0.77086656391342645</v>
      </c>
      <c r="ZX9" s="206">
        <f t="shared" si="104"/>
        <v>0.71380677143856353</v>
      </c>
      <c r="ZY9" s="206">
        <f t="shared" si="104"/>
        <v>0.71797976797258944</v>
      </c>
      <c r="ZZ9" s="206">
        <f t="shared" si="104"/>
        <v>0.65693960813230634</v>
      </c>
      <c r="AAA9" s="206">
        <f t="shared" si="104"/>
        <v>0.66090326685860867</v>
      </c>
      <c r="AAB9" s="206">
        <f t="shared" si="104"/>
        <v>0.66478838039483545</v>
      </c>
      <c r="AAC9" s="206">
        <f t="shared" si="104"/>
        <v>0.67110711900663922</v>
      </c>
      <c r="AAD9" s="206">
        <f t="shared" si="104"/>
        <v>0.67479654081931117</v>
      </c>
      <c r="AAE9" s="206">
        <f t="shared" ref="AAE9:ACP9" si="105">AAE8*(100%-$AJ$18)*$AJ$20</f>
        <v>0.61239539122119646</v>
      </c>
      <c r="AAF9" s="206">
        <f t="shared" si="105"/>
        <v>0.61592863925349561</v>
      </c>
      <c r="AAG9" s="206">
        <f t="shared" si="105"/>
        <v>0.55452398798937175</v>
      </c>
      <c r="AAH9" s="206">
        <f t="shared" si="105"/>
        <v>0.55795670173723511</v>
      </c>
      <c r="AAI9" s="206">
        <f t="shared" si="105"/>
        <v>0.56266187900689846</v>
      </c>
      <c r="AAJ9" s="206">
        <f t="shared" si="105"/>
        <v>0.56598455525841573</v>
      </c>
      <c r="AAK9" s="206">
        <f t="shared" si="105"/>
        <v>0.56923586528049708</v>
      </c>
      <c r="AAL9" s="206">
        <f t="shared" si="105"/>
        <v>0.50549630372286258</v>
      </c>
      <c r="AAM9" s="206">
        <f t="shared" si="105"/>
        <v>0.50862432628631826</v>
      </c>
      <c r="AAN9" s="206">
        <f t="shared" si="105"/>
        <v>-1.401624710822822E-4</v>
      </c>
      <c r="AAO9" s="206">
        <f t="shared" si="105"/>
        <v>0.43841358331015451</v>
      </c>
      <c r="AAP9" s="206">
        <f t="shared" si="105"/>
        <v>0.44142401835887707</v>
      </c>
      <c r="AAQ9" s="206">
        <f t="shared" si="105"/>
        <v>0.44438083027018971</v>
      </c>
      <c r="AAR9" s="206">
        <f t="shared" si="105"/>
        <v>0.44728231800665424</v>
      </c>
      <c r="AAS9" s="206">
        <f t="shared" si="105"/>
        <v>0.45012678267947703</v>
      </c>
      <c r="AAT9" s="206">
        <f t="shared" si="105"/>
        <v>0.4528319124222312</v>
      </c>
      <c r="AAU9" s="206">
        <f t="shared" si="105"/>
        <v>0.45890090104159126</v>
      </c>
      <c r="AAV9" s="206">
        <f t="shared" si="105"/>
        <v>0.46158069650746097</v>
      </c>
      <c r="AAW9" s="206">
        <f t="shared" si="105"/>
        <v>0.46419723795118373</v>
      </c>
      <c r="AAX9" s="206">
        <f t="shared" si="105"/>
        <v>0.46674886759615997</v>
      </c>
      <c r="AAY9" s="206">
        <f t="shared" si="105"/>
        <v>0.46923393570932448</v>
      </c>
      <c r="AAZ9" s="206">
        <f t="shared" si="105"/>
        <v>0.47165080164131484</v>
      </c>
      <c r="ABA9" s="206">
        <f t="shared" si="105"/>
        <v>0.47391897998550114</v>
      </c>
      <c r="ABB9" s="206">
        <f t="shared" si="105"/>
        <v>0.47611556753051903</v>
      </c>
      <c r="ABC9" s="206">
        <f t="shared" si="105"/>
        <v>0.4820345496995917</v>
      </c>
      <c r="ABD9" s="206">
        <f t="shared" si="105"/>
        <v>0.48418438238527767</v>
      </c>
      <c r="ABE9" s="206">
        <f t="shared" si="105"/>
        <v>0.48625858496133301</v>
      </c>
      <c r="ABF9" s="206">
        <f t="shared" si="105"/>
        <v>0.4882556047644433</v>
      </c>
      <c r="ABG9" s="206">
        <f t="shared" si="105"/>
        <v>0.4901739051940126</v>
      </c>
      <c r="ABH9" s="206">
        <f t="shared" si="105"/>
        <v>0.49596787090484523</v>
      </c>
      <c r="ABI9" s="206">
        <f t="shared" si="105"/>
        <v>0.49775040127050524</v>
      </c>
      <c r="ABJ9" s="206">
        <f t="shared" si="105"/>
        <v>0.49945030736554236</v>
      </c>
      <c r="ABK9" s="206">
        <f t="shared" si="105"/>
        <v>0.50106613508479347</v>
      </c>
      <c r="ABL9" s="206">
        <f t="shared" si="105"/>
        <v>0.50259645111421258</v>
      </c>
      <c r="ABM9" s="206">
        <f t="shared" si="105"/>
        <v>0.50403984396258295</v>
      </c>
      <c r="ABN9" s="206">
        <f t="shared" si="105"/>
        <v>0.50539492499042893</v>
      </c>
      <c r="ABO9" s="206">
        <f t="shared" si="105"/>
        <v>0.5109542691653236</v>
      </c>
      <c r="ABP9" s="206">
        <f t="shared" si="105"/>
        <v>0.44883620485243847</v>
      </c>
      <c r="ABQ9" s="206">
        <f t="shared" si="105"/>
        <v>0.44981212265417703</v>
      </c>
      <c r="ABR9" s="206">
        <f t="shared" si="105"/>
        <v>0.38700642984475947</v>
      </c>
      <c r="ABS9" s="206">
        <f t="shared" si="105"/>
        <v>0.38770349405757931</v>
      </c>
      <c r="ABT9" s="206">
        <f t="shared" si="105"/>
        <v>0.38832869929873426</v>
      </c>
      <c r="ABU9" s="206">
        <f t="shared" si="105"/>
        <v>0.38888114310309363</v>
      </c>
      <c r="ABV9" s="206">
        <f t="shared" si="105"/>
        <v>0.3893077150331582</v>
      </c>
      <c r="ABW9" s="206">
        <f t="shared" si="105"/>
        <v>0.32835039786536557</v>
      </c>
      <c r="ABX9" s="206">
        <f t="shared" si="105"/>
        <v>0.32864765174203453</v>
      </c>
      <c r="ABY9" s="206">
        <f t="shared" si="105"/>
        <v>0.26375519713448964</v>
      </c>
      <c r="ABZ9" s="206">
        <f t="shared" si="105"/>
        <v>0.263891690717378</v>
      </c>
      <c r="ACA9" s="206">
        <f t="shared" si="105"/>
        <v>0.26397646561812399</v>
      </c>
      <c r="ACB9" s="206">
        <f t="shared" si="105"/>
        <v>0.26652340338529662</v>
      </c>
      <c r="ACC9" s="206">
        <f t="shared" si="105"/>
        <v>0.26655628363099731</v>
      </c>
      <c r="ACD9" s="206">
        <f t="shared" si="105"/>
        <v>0.20053156149123555</v>
      </c>
      <c r="ACE9" s="206">
        <f t="shared" si="105"/>
        <v>0.20047591949203061</v>
      </c>
      <c r="ACF9" s="206">
        <f t="shared" si="105"/>
        <v>0.1355187842005029</v>
      </c>
      <c r="ACG9" s="206">
        <f t="shared" si="105"/>
        <v>0.13543715258165356</v>
      </c>
      <c r="ACH9" s="206">
        <f t="shared" si="105"/>
        <v>0.13666786409859119</v>
      </c>
      <c r="ACI9" s="206">
        <f t="shared" si="105"/>
        <v>0.13655770257642139</v>
      </c>
      <c r="ACJ9" s="206">
        <f t="shared" si="105"/>
        <v>0.13641955767712968</v>
      </c>
      <c r="ACK9" s="206">
        <f t="shared" si="105"/>
        <v>6.9419761002309829E-2</v>
      </c>
      <c r="ACL9" s="206">
        <f t="shared" si="105"/>
        <v>6.9335129258896552E-2</v>
      </c>
      <c r="ACM9" s="206">
        <f t="shared" si="105"/>
        <v>-1.401624710822822E-4</v>
      </c>
      <c r="ACN9" s="206">
        <f t="shared" si="105"/>
        <v>0</v>
      </c>
      <c r="ACO9" s="206">
        <f t="shared" si="105"/>
        <v>0</v>
      </c>
      <c r="ACP9" s="206">
        <f t="shared" si="105"/>
        <v>0</v>
      </c>
      <c r="ACQ9" s="206">
        <f t="shared" ref="ACQ9:AFB9" si="106">ACQ8*(100%-$AJ$18)*$AJ$20</f>
        <v>0</v>
      </c>
      <c r="ACR9" s="206">
        <f t="shared" si="106"/>
        <v>0</v>
      </c>
      <c r="ACS9" s="206">
        <f t="shared" si="106"/>
        <v>0</v>
      </c>
      <c r="ACT9" s="206">
        <f t="shared" si="106"/>
        <v>0</v>
      </c>
      <c r="ACU9" s="206">
        <f t="shared" si="106"/>
        <v>0</v>
      </c>
      <c r="ACV9" s="206">
        <f t="shared" si="106"/>
        <v>0</v>
      </c>
      <c r="ACW9" s="206">
        <f t="shared" si="106"/>
        <v>0</v>
      </c>
      <c r="ACX9" s="206">
        <f t="shared" si="106"/>
        <v>0</v>
      </c>
      <c r="ACY9" s="206">
        <f t="shared" si="106"/>
        <v>0</v>
      </c>
      <c r="ACZ9" s="206">
        <f t="shared" si="106"/>
        <v>0</v>
      </c>
      <c r="ADA9" s="206">
        <f t="shared" si="106"/>
        <v>0</v>
      </c>
      <c r="ADB9" s="206">
        <f t="shared" si="106"/>
        <v>0</v>
      </c>
      <c r="ADC9" s="206">
        <f t="shared" si="106"/>
        <v>0</v>
      </c>
      <c r="ADD9" s="206">
        <f t="shared" si="106"/>
        <v>0</v>
      </c>
      <c r="ADE9" s="206">
        <f t="shared" si="106"/>
        <v>0</v>
      </c>
      <c r="ADF9" s="206">
        <f t="shared" si="106"/>
        <v>0</v>
      </c>
      <c r="ADG9" s="206">
        <f t="shared" si="106"/>
        <v>0</v>
      </c>
      <c r="ADH9" s="206">
        <f t="shared" si="106"/>
        <v>0</v>
      </c>
      <c r="ADI9" s="206">
        <f t="shared" si="106"/>
        <v>0</v>
      </c>
      <c r="ADJ9" s="206">
        <f t="shared" si="106"/>
        <v>0</v>
      </c>
      <c r="ADK9" s="206">
        <f t="shared" si="106"/>
        <v>0</v>
      </c>
      <c r="ADL9" s="206">
        <f t="shared" si="106"/>
        <v>0</v>
      </c>
      <c r="ADM9" s="206">
        <f t="shared" si="106"/>
        <v>0</v>
      </c>
      <c r="ADN9" s="206">
        <f t="shared" si="106"/>
        <v>0</v>
      </c>
      <c r="ADO9" s="206">
        <f t="shared" si="106"/>
        <v>0</v>
      </c>
      <c r="ADP9" s="206">
        <f t="shared" si="106"/>
        <v>0</v>
      </c>
      <c r="ADQ9" s="206">
        <f t="shared" si="106"/>
        <v>0</v>
      </c>
      <c r="ADR9" s="206">
        <f t="shared" si="106"/>
        <v>0</v>
      </c>
      <c r="ADS9" s="206">
        <f t="shared" si="106"/>
        <v>0</v>
      </c>
      <c r="ADT9" s="206">
        <f t="shared" si="106"/>
        <v>0</v>
      </c>
      <c r="ADU9" s="206">
        <f t="shared" si="106"/>
        <v>0</v>
      </c>
      <c r="ADV9" s="206">
        <f t="shared" si="106"/>
        <v>0</v>
      </c>
      <c r="ADW9" s="206">
        <f t="shared" si="106"/>
        <v>0</v>
      </c>
      <c r="ADX9" s="206">
        <f t="shared" si="106"/>
        <v>0</v>
      </c>
      <c r="ADY9" s="206">
        <f t="shared" si="106"/>
        <v>0</v>
      </c>
      <c r="ADZ9" s="206">
        <f t="shared" si="106"/>
        <v>0</v>
      </c>
      <c r="AEA9" s="206">
        <f t="shared" si="106"/>
        <v>0</v>
      </c>
      <c r="AEB9" s="206">
        <f t="shared" si="106"/>
        <v>0</v>
      </c>
      <c r="AEC9" s="206">
        <f t="shared" si="106"/>
        <v>0</v>
      </c>
      <c r="AED9" s="206">
        <f t="shared" si="106"/>
        <v>0</v>
      </c>
      <c r="AEE9" s="206">
        <f t="shared" si="106"/>
        <v>0</v>
      </c>
      <c r="AEF9" s="206">
        <f t="shared" si="106"/>
        <v>0</v>
      </c>
      <c r="AEG9" s="206">
        <f t="shared" si="106"/>
        <v>0</v>
      </c>
      <c r="AEH9" s="206">
        <f t="shared" si="106"/>
        <v>0</v>
      </c>
      <c r="AEI9" s="206">
        <f t="shared" si="106"/>
        <v>0</v>
      </c>
      <c r="AEJ9" s="206">
        <f t="shared" si="106"/>
        <v>0</v>
      </c>
      <c r="AEK9" s="206">
        <f t="shared" si="106"/>
        <v>0</v>
      </c>
      <c r="AEL9" s="206">
        <f t="shared" si="106"/>
        <v>0</v>
      </c>
      <c r="AEM9" s="206">
        <f t="shared" si="106"/>
        <v>0</v>
      </c>
      <c r="AEN9" s="206">
        <f t="shared" si="106"/>
        <v>0</v>
      </c>
      <c r="AEO9" s="206">
        <f t="shared" si="106"/>
        <v>0</v>
      </c>
      <c r="AEP9" s="206">
        <f t="shared" si="106"/>
        <v>0</v>
      </c>
      <c r="AEQ9" s="206">
        <f t="shared" si="106"/>
        <v>0</v>
      </c>
      <c r="AER9" s="206">
        <f t="shared" si="106"/>
        <v>0</v>
      </c>
      <c r="AES9" s="206">
        <f t="shared" si="106"/>
        <v>0</v>
      </c>
      <c r="AET9" s="206">
        <f t="shared" si="106"/>
        <v>0</v>
      </c>
      <c r="AEU9" s="206">
        <f t="shared" si="106"/>
        <v>0</v>
      </c>
      <c r="AEV9" s="206">
        <f t="shared" si="106"/>
        <v>0</v>
      </c>
      <c r="AEW9" s="206">
        <f t="shared" si="106"/>
        <v>0</v>
      </c>
      <c r="AEX9" s="206">
        <f t="shared" si="106"/>
        <v>0</v>
      </c>
      <c r="AEY9" s="206">
        <f t="shared" si="106"/>
        <v>0</v>
      </c>
      <c r="AEZ9" s="206">
        <f t="shared" si="106"/>
        <v>0</v>
      </c>
      <c r="AFA9" s="206">
        <f t="shared" si="106"/>
        <v>0</v>
      </c>
      <c r="AFB9" s="206">
        <f t="shared" si="106"/>
        <v>0</v>
      </c>
      <c r="AFC9" s="206">
        <f t="shared" ref="AFC9:AHN9" si="107">AFC8*(100%-$AJ$18)*$AJ$20</f>
        <v>0</v>
      </c>
      <c r="AFD9" s="206">
        <f t="shared" si="107"/>
        <v>0</v>
      </c>
      <c r="AFE9" s="206">
        <f t="shared" si="107"/>
        <v>0</v>
      </c>
      <c r="AFF9" s="206">
        <f t="shared" si="107"/>
        <v>0</v>
      </c>
      <c r="AFG9" s="206">
        <f t="shared" si="107"/>
        <v>0</v>
      </c>
      <c r="AFH9" s="206">
        <f t="shared" si="107"/>
        <v>0</v>
      </c>
      <c r="AFI9" s="206">
        <f t="shared" si="107"/>
        <v>0</v>
      </c>
      <c r="AFJ9" s="206">
        <f t="shared" si="107"/>
        <v>0</v>
      </c>
      <c r="AFK9" s="206">
        <f t="shared" si="107"/>
        <v>0</v>
      </c>
      <c r="AFL9" s="206">
        <f t="shared" si="107"/>
        <v>0</v>
      </c>
      <c r="AFM9" s="206">
        <f t="shared" si="107"/>
        <v>0</v>
      </c>
      <c r="AFN9" s="206">
        <f t="shared" si="107"/>
        <v>0</v>
      </c>
      <c r="AFO9" s="206">
        <f t="shared" si="107"/>
        <v>0</v>
      </c>
      <c r="AFP9" s="206">
        <f t="shared" si="107"/>
        <v>0</v>
      </c>
      <c r="AFQ9" s="206">
        <f t="shared" si="107"/>
        <v>0</v>
      </c>
      <c r="AFR9" s="206">
        <f t="shared" si="107"/>
        <v>0</v>
      </c>
      <c r="AFS9" s="206">
        <f t="shared" si="107"/>
        <v>0</v>
      </c>
      <c r="AFT9" s="206">
        <f t="shared" si="107"/>
        <v>0</v>
      </c>
      <c r="AFU9" s="206">
        <f t="shared" si="107"/>
        <v>0</v>
      </c>
      <c r="AFV9" s="206">
        <f t="shared" si="107"/>
        <v>0</v>
      </c>
      <c r="AFW9" s="206">
        <f t="shared" si="107"/>
        <v>0</v>
      </c>
      <c r="AFX9" s="206">
        <f t="shared" si="107"/>
        <v>0</v>
      </c>
      <c r="AFY9" s="206">
        <f t="shared" si="107"/>
        <v>0</v>
      </c>
      <c r="AFZ9" s="206">
        <f t="shared" si="107"/>
        <v>0</v>
      </c>
      <c r="AGA9" s="206">
        <f t="shared" si="107"/>
        <v>0</v>
      </c>
      <c r="AGB9" s="206">
        <f t="shared" si="107"/>
        <v>0</v>
      </c>
      <c r="AGC9" s="206">
        <f t="shared" si="107"/>
        <v>0</v>
      </c>
      <c r="AGD9" s="206">
        <f t="shared" si="107"/>
        <v>0</v>
      </c>
      <c r="AGE9" s="206">
        <f t="shared" si="107"/>
        <v>0</v>
      </c>
      <c r="AGF9" s="206">
        <f t="shared" si="107"/>
        <v>0</v>
      </c>
      <c r="AGG9" s="206">
        <f t="shared" si="107"/>
        <v>0</v>
      </c>
      <c r="AGH9" s="206">
        <f t="shared" si="107"/>
        <v>0</v>
      </c>
      <c r="AGI9" s="206">
        <f t="shared" si="107"/>
        <v>0</v>
      </c>
      <c r="AGJ9" s="206">
        <f t="shared" si="107"/>
        <v>0</v>
      </c>
      <c r="AGK9" s="206">
        <f t="shared" si="107"/>
        <v>0</v>
      </c>
      <c r="AGL9" s="206">
        <f t="shared" si="107"/>
        <v>0</v>
      </c>
      <c r="AGM9" s="206">
        <f t="shared" si="107"/>
        <v>0</v>
      </c>
      <c r="AGN9" s="206">
        <f t="shared" si="107"/>
        <v>0</v>
      </c>
      <c r="AGO9" s="206">
        <f t="shared" si="107"/>
        <v>0</v>
      </c>
      <c r="AGP9" s="206">
        <f t="shared" si="107"/>
        <v>0</v>
      </c>
      <c r="AGQ9" s="206">
        <f t="shared" si="107"/>
        <v>0</v>
      </c>
      <c r="AGR9" s="206">
        <f t="shared" si="107"/>
        <v>0</v>
      </c>
      <c r="AGS9" s="206">
        <f t="shared" si="107"/>
        <v>0</v>
      </c>
      <c r="AGT9" s="206">
        <f t="shared" si="107"/>
        <v>0</v>
      </c>
      <c r="AGU9" s="206">
        <f t="shared" si="107"/>
        <v>0</v>
      </c>
      <c r="AGV9" s="206">
        <f t="shared" si="107"/>
        <v>0</v>
      </c>
      <c r="AGW9" s="206">
        <f t="shared" si="107"/>
        <v>0</v>
      </c>
      <c r="AGX9" s="206">
        <f t="shared" si="107"/>
        <v>0</v>
      </c>
      <c r="AGY9" s="206">
        <f t="shared" si="107"/>
        <v>0</v>
      </c>
      <c r="AGZ9" s="206">
        <f t="shared" si="107"/>
        <v>0</v>
      </c>
      <c r="AHA9" s="206">
        <f t="shared" si="107"/>
        <v>0</v>
      </c>
      <c r="AHB9" s="206">
        <f t="shared" si="107"/>
        <v>0</v>
      </c>
      <c r="AHC9" s="206">
        <f t="shared" si="107"/>
        <v>0</v>
      </c>
      <c r="AHD9" s="206">
        <f t="shared" si="107"/>
        <v>0</v>
      </c>
      <c r="AHE9" s="206">
        <f t="shared" si="107"/>
        <v>0</v>
      </c>
      <c r="AHF9" s="206">
        <f t="shared" si="107"/>
        <v>0</v>
      </c>
      <c r="AHG9" s="206">
        <f t="shared" si="107"/>
        <v>0</v>
      </c>
      <c r="AHH9" s="206">
        <f t="shared" si="107"/>
        <v>0</v>
      </c>
      <c r="AHI9" s="206">
        <f t="shared" si="107"/>
        <v>0</v>
      </c>
      <c r="AHJ9" s="206">
        <f t="shared" si="107"/>
        <v>0</v>
      </c>
      <c r="AHK9" s="206">
        <f t="shared" si="107"/>
        <v>0</v>
      </c>
      <c r="AHL9" s="206">
        <f t="shared" si="107"/>
        <v>0</v>
      </c>
      <c r="AHM9" s="206">
        <f t="shared" si="107"/>
        <v>0</v>
      </c>
      <c r="AHN9" s="206">
        <f t="shared" si="107"/>
        <v>0</v>
      </c>
      <c r="AHO9" s="206">
        <f t="shared" ref="AHO9:AJA9" si="108">AHO8*(100%-$AJ$18)*$AJ$20</f>
        <v>0</v>
      </c>
      <c r="AHP9" s="206">
        <f t="shared" si="108"/>
        <v>0</v>
      </c>
      <c r="AHQ9" s="206">
        <f t="shared" si="108"/>
        <v>0</v>
      </c>
      <c r="AHR9" s="206">
        <f t="shared" si="108"/>
        <v>0</v>
      </c>
      <c r="AHS9" s="206">
        <f t="shared" si="108"/>
        <v>0</v>
      </c>
      <c r="AHT9" s="206">
        <f t="shared" si="108"/>
        <v>0</v>
      </c>
      <c r="AHU9" s="206">
        <f t="shared" si="108"/>
        <v>0</v>
      </c>
      <c r="AHV9" s="206">
        <f t="shared" si="108"/>
        <v>0</v>
      </c>
      <c r="AHW9" s="206">
        <f t="shared" si="108"/>
        <v>0</v>
      </c>
      <c r="AHX9" s="206">
        <f t="shared" si="108"/>
        <v>0</v>
      </c>
      <c r="AHY9" s="206">
        <f t="shared" si="108"/>
        <v>0</v>
      </c>
      <c r="AHZ9" s="206">
        <f t="shared" si="108"/>
        <v>0</v>
      </c>
      <c r="AIA9" s="206">
        <f t="shared" si="108"/>
        <v>0</v>
      </c>
      <c r="AIB9" s="206">
        <f t="shared" si="108"/>
        <v>0</v>
      </c>
      <c r="AIC9" s="206">
        <f t="shared" si="108"/>
        <v>0</v>
      </c>
      <c r="AID9" s="206">
        <f t="shared" si="108"/>
        <v>0</v>
      </c>
      <c r="AIE9" s="206">
        <f t="shared" si="108"/>
        <v>0</v>
      </c>
      <c r="AIF9" s="206">
        <f t="shared" si="108"/>
        <v>0</v>
      </c>
      <c r="AIG9" s="206">
        <f t="shared" si="108"/>
        <v>0</v>
      </c>
      <c r="AIH9" s="206">
        <f t="shared" si="108"/>
        <v>0</v>
      </c>
      <c r="AII9" s="206">
        <f t="shared" si="108"/>
        <v>0</v>
      </c>
      <c r="AIJ9" s="206">
        <f t="shared" si="108"/>
        <v>0</v>
      </c>
      <c r="AIK9" s="206">
        <f t="shared" si="108"/>
        <v>0</v>
      </c>
      <c r="AIL9" s="206">
        <f t="shared" si="108"/>
        <v>0</v>
      </c>
      <c r="AIM9" s="206">
        <f t="shared" si="108"/>
        <v>0</v>
      </c>
      <c r="AIN9" s="206">
        <f t="shared" si="108"/>
        <v>0</v>
      </c>
      <c r="AIO9" s="206">
        <f t="shared" si="108"/>
        <v>0</v>
      </c>
      <c r="AIP9" s="206">
        <f t="shared" si="108"/>
        <v>0</v>
      </c>
      <c r="AIQ9" s="206">
        <f t="shared" si="108"/>
        <v>0</v>
      </c>
      <c r="AIR9" s="206">
        <f t="shared" si="108"/>
        <v>0</v>
      </c>
      <c r="AIS9" s="206">
        <f t="shared" si="108"/>
        <v>0</v>
      </c>
      <c r="AIT9" s="206">
        <f t="shared" si="108"/>
        <v>0</v>
      </c>
      <c r="AIU9" s="206">
        <f t="shared" si="108"/>
        <v>0</v>
      </c>
      <c r="AIV9" s="206">
        <f t="shared" si="108"/>
        <v>0</v>
      </c>
      <c r="AIW9" s="206">
        <f t="shared" si="108"/>
        <v>0</v>
      </c>
      <c r="AIX9" s="206">
        <f t="shared" si="108"/>
        <v>0</v>
      </c>
      <c r="AIY9" s="206">
        <f t="shared" si="108"/>
        <v>0</v>
      </c>
      <c r="AIZ9" s="206">
        <f t="shared" si="108"/>
        <v>0</v>
      </c>
      <c r="AJA9" s="206">
        <f t="shared" si="108"/>
        <v>0</v>
      </c>
    </row>
    <row r="10" spans="1:1024" s="204" customFormat="1" ht="22.15" customHeight="1" x14ac:dyDescent="0.25">
      <c r="A10" s="286" t="s">
        <v>68</v>
      </c>
      <c r="B10" s="286"/>
      <c r="C10" s="206">
        <f t="shared" ref="C10:BN10" si="109">C8*(100%-$AJ$19)*$AJ$20</f>
        <v>2.0548125E-2</v>
      </c>
      <c r="D10" s="206">
        <f t="shared" si="109"/>
        <v>2.2448703816964285E-2</v>
      </c>
      <c r="E10" s="206">
        <f t="shared" si="109"/>
        <v>2.4556493968356984E-2</v>
      </c>
      <c r="F10" s="206">
        <f t="shared" si="109"/>
        <v>2.681041024739915E-2</v>
      </c>
      <c r="G10" s="206">
        <f t="shared" si="109"/>
        <v>2.9155620691886954E-2</v>
      </c>
      <c r="H10" s="206">
        <f t="shared" si="109"/>
        <v>3.168399329620674E-2</v>
      </c>
      <c r="I10" s="206">
        <f t="shared" si="109"/>
        <v>3.4418943293847565E-2</v>
      </c>
      <c r="J10" s="206">
        <f t="shared" si="109"/>
        <v>3.7302053409463291E-2</v>
      </c>
      <c r="K10" s="206">
        <f t="shared" si="109"/>
        <v>4.0340487135441798E-2</v>
      </c>
      <c r="L10" s="206">
        <f t="shared" si="109"/>
        <v>4.3432943160706353E-2</v>
      </c>
      <c r="M10" s="206">
        <f t="shared" si="109"/>
        <v>4.671280123955223E-2</v>
      </c>
      <c r="N10" s="206">
        <f t="shared" si="109"/>
        <v>5.0118437832721824E-2</v>
      </c>
      <c r="O10" s="206">
        <f t="shared" si="109"/>
        <v>5.3715612917735002E-2</v>
      </c>
      <c r="P10" s="206">
        <f t="shared" si="109"/>
        <v>5.7435714933414615E-2</v>
      </c>
      <c r="Q10" s="206">
        <f t="shared" si="109"/>
        <v>6.1226297203021675E-2</v>
      </c>
      <c r="R10" s="206">
        <f t="shared" si="109"/>
        <v>6.5105279387109874E-2</v>
      </c>
      <c r="S10" s="206">
        <f t="shared" si="109"/>
        <v>6.9000975776935286E-2</v>
      </c>
      <c r="T10" s="206">
        <f t="shared" si="109"/>
        <v>7.3091381319140475E-2</v>
      </c>
      <c r="U10" s="206">
        <f t="shared" si="109"/>
        <v>7.7327573027100971E-2</v>
      </c>
      <c r="V10" s="206">
        <f t="shared" si="109"/>
        <v>8.1617700608891383E-2</v>
      </c>
      <c r="W10" s="206">
        <f t="shared" si="109"/>
        <v>8.6038233381556625E-2</v>
      </c>
      <c r="X10" s="206">
        <f t="shared" si="109"/>
        <v>9.0289752886953498E-2</v>
      </c>
      <c r="Y10" s="206">
        <f t="shared" si="109"/>
        <v>9.4827030012198096E-2</v>
      </c>
      <c r="Z10" s="206">
        <f t="shared" si="109"/>
        <v>9.9370790991397312E-2</v>
      </c>
      <c r="AA10" s="206">
        <f t="shared" si="109"/>
        <v>0.10424505248566829</v>
      </c>
      <c r="AB10" s="206">
        <f t="shared" si="109"/>
        <v>0.10924347137583847</v>
      </c>
      <c r="AC10" s="206">
        <f t="shared" si="109"/>
        <v>0.11425774439374362</v>
      </c>
      <c r="AD10" s="206">
        <f t="shared" si="109"/>
        <v>0.11937646838609048</v>
      </c>
      <c r="AE10" s="206">
        <f t="shared" si="109"/>
        <v>0.12448660333781895</v>
      </c>
      <c r="AF10" s="206">
        <f t="shared" si="109"/>
        <v>0.12967864447831276</v>
      </c>
      <c r="AG10" s="206">
        <f t="shared" si="109"/>
        <v>0.13494383510526015</v>
      </c>
      <c r="AH10" s="206">
        <f t="shared" si="109"/>
        <v>0.14016164343979529</v>
      </c>
      <c r="AI10" s="206">
        <f t="shared" si="109"/>
        <v>0.14542604614428706</v>
      </c>
      <c r="AJ10" s="206">
        <f t="shared" si="109"/>
        <v>0.1507260989506535</v>
      </c>
      <c r="AK10" s="206">
        <f t="shared" si="109"/>
        <v>0.15593530347053702</v>
      </c>
      <c r="AL10" s="206">
        <f t="shared" si="109"/>
        <v>0.16070501088577671</v>
      </c>
      <c r="AM10" s="206">
        <f t="shared" si="109"/>
        <v>0.16575319599227173</v>
      </c>
      <c r="AN10" s="206">
        <f t="shared" si="109"/>
        <v>0.17028409462300134</v>
      </c>
      <c r="AO10" s="206">
        <f t="shared" si="109"/>
        <v>0.17521588258543622</v>
      </c>
      <c r="AP10" s="206">
        <f t="shared" si="109"/>
        <v>0.17997437708091429</v>
      </c>
      <c r="AQ10" s="206">
        <f t="shared" si="109"/>
        <v>0.18409629024489252</v>
      </c>
      <c r="AR10" s="206">
        <f t="shared" si="109"/>
        <v>0.18863619740112675</v>
      </c>
      <c r="AS10" s="206">
        <f t="shared" si="109"/>
        <v>0.19234463191862572</v>
      </c>
      <c r="AT10" s="206">
        <f t="shared" si="109"/>
        <v>0.19648319332865213</v>
      </c>
      <c r="AU10" s="206">
        <f t="shared" si="109"/>
        <v>0.2004772460313598</v>
      </c>
      <c r="AV10" s="206">
        <f t="shared" si="109"/>
        <v>0.2042006902449017</v>
      </c>
      <c r="AW10" s="206">
        <f t="shared" si="109"/>
        <v>0.20774673727578979</v>
      </c>
      <c r="AX10" s="206">
        <f t="shared" si="109"/>
        <v>0.21110014342110159</v>
      </c>
      <c r="AY10" s="206">
        <f t="shared" si="109"/>
        <v>0.21413919816648316</v>
      </c>
      <c r="AZ10" s="206">
        <f t="shared" si="109"/>
        <v>0.21695461876713873</v>
      </c>
      <c r="BA10" s="206">
        <f t="shared" si="109"/>
        <v>0</v>
      </c>
      <c r="BB10" s="206">
        <f t="shared" si="109"/>
        <v>0.23463636618201542</v>
      </c>
      <c r="BC10" s="206">
        <f t="shared" si="109"/>
        <v>0.23842718332289128</v>
      </c>
      <c r="BD10" s="206">
        <f t="shared" si="109"/>
        <v>0.24206343318872578</v>
      </c>
      <c r="BE10" s="206">
        <f t="shared" si="109"/>
        <v>0.24735810777713046</v>
      </c>
      <c r="BF10" s="206">
        <f t="shared" si="109"/>
        <v>0.25261475275137779</v>
      </c>
      <c r="BG10" s="206">
        <f t="shared" si="109"/>
        <v>0.25687823650571323</v>
      </c>
      <c r="BH10" s="206">
        <f t="shared" si="109"/>
        <v>0.26209660902900461</v>
      </c>
      <c r="BI10" s="206">
        <f t="shared" si="109"/>
        <v>0.2673079343678082</v>
      </c>
      <c r="BJ10" s="206">
        <f t="shared" si="109"/>
        <v>0.27251160652638917</v>
      </c>
      <c r="BK10" s="206">
        <f t="shared" si="109"/>
        <v>0.27751540231214405</v>
      </c>
      <c r="BL10" s="206">
        <f t="shared" si="109"/>
        <v>0.28144193346331897</v>
      </c>
      <c r="BM10" s="206">
        <f t="shared" si="109"/>
        <v>0.28633902993882737</v>
      </c>
      <c r="BN10" s="206">
        <f t="shared" si="109"/>
        <v>0.29123516440111569</v>
      </c>
      <c r="BO10" s="206">
        <f t="shared" ref="BO10:DZ10" si="110">BO8*(100%-$AJ$19)*$AJ$20</f>
        <v>0.29714775458433423</v>
      </c>
      <c r="BP10" s="206">
        <f t="shared" si="110"/>
        <v>0.30301067666989906</v>
      </c>
      <c r="BQ10" s="206">
        <f t="shared" si="110"/>
        <v>0.30883680112773848</v>
      </c>
      <c r="BR10" s="206">
        <f t="shared" si="110"/>
        <v>0.314549460896972</v>
      </c>
      <c r="BS10" s="206">
        <f t="shared" si="110"/>
        <v>0.32032174828241</v>
      </c>
      <c r="BT10" s="206">
        <f t="shared" si="110"/>
        <v>0.32602743693262265</v>
      </c>
      <c r="BU10" s="206">
        <f t="shared" si="110"/>
        <v>0.33164276796077014</v>
      </c>
      <c r="BV10" s="206">
        <f t="shared" si="110"/>
        <v>0.3372397572330923</v>
      </c>
      <c r="BW10" s="206">
        <f t="shared" si="110"/>
        <v>0.34251465664490477</v>
      </c>
      <c r="BX10" s="206">
        <f t="shared" si="110"/>
        <v>0.34785044770208434</v>
      </c>
      <c r="BY10" s="206">
        <f t="shared" si="110"/>
        <v>0.35448163454210468</v>
      </c>
      <c r="BZ10" s="206">
        <f t="shared" si="110"/>
        <v>0.36136581312029253</v>
      </c>
      <c r="CA10" s="206">
        <f t="shared" si="110"/>
        <v>0.36829375500476264</v>
      </c>
      <c r="CB10" s="206">
        <f t="shared" si="110"/>
        <v>0.37515429394087396</v>
      </c>
      <c r="CC10" s="206">
        <f t="shared" si="110"/>
        <v>0.38196879003471385</v>
      </c>
      <c r="CD10" s="206">
        <f t="shared" si="110"/>
        <v>0.3886857399070065</v>
      </c>
      <c r="CE10" s="206">
        <f t="shared" si="110"/>
        <v>0.39539294718011403</v>
      </c>
      <c r="CF10" s="206">
        <f t="shared" si="110"/>
        <v>0.40207900268107394</v>
      </c>
      <c r="CG10" s="206">
        <f t="shared" si="110"/>
        <v>0.40862076517054374</v>
      </c>
      <c r="CH10" s="206">
        <f t="shared" si="110"/>
        <v>0.41510964874261652</v>
      </c>
      <c r="CI10" s="206">
        <f t="shared" si="110"/>
        <v>0.42326813386513074</v>
      </c>
      <c r="CJ10" s="206">
        <f t="shared" si="110"/>
        <v>0.43126128459424995</v>
      </c>
      <c r="CK10" s="206">
        <f t="shared" si="110"/>
        <v>0.43879937962188736</v>
      </c>
      <c r="CL10" s="206">
        <f t="shared" si="110"/>
        <v>0.44659920384785512</v>
      </c>
      <c r="CM10" s="206">
        <f t="shared" si="110"/>
        <v>0.45386379186673753</v>
      </c>
      <c r="CN10" s="206">
        <f t="shared" si="110"/>
        <v>0.46151010742594439</v>
      </c>
      <c r="CO10" s="206">
        <f t="shared" si="110"/>
        <v>0.46896274538187332</v>
      </c>
      <c r="CP10" s="206">
        <f t="shared" si="110"/>
        <v>0.47569647395083098</v>
      </c>
      <c r="CQ10" s="206">
        <f t="shared" si="110"/>
        <v>0.48282464720824181</v>
      </c>
      <c r="CR10" s="206">
        <f t="shared" si="110"/>
        <v>0.48909657460538647</v>
      </c>
      <c r="CS10" s="206">
        <f t="shared" si="110"/>
        <v>0.49577262460641569</v>
      </c>
      <c r="CT10" s="206">
        <f t="shared" si="110"/>
        <v>0.50227692399963231</v>
      </c>
      <c r="CU10" s="206">
        <f t="shared" si="110"/>
        <v>0.50848212946512117</v>
      </c>
      <c r="CV10" s="206">
        <f t="shared" si="110"/>
        <v>0.51448020347721435</v>
      </c>
      <c r="CW10" s="206">
        <f t="shared" si="110"/>
        <v>0.52025464885207839</v>
      </c>
      <c r="CX10" s="206">
        <f t="shared" si="110"/>
        <v>0.5256224429668781</v>
      </c>
      <c r="CY10" s="206">
        <f t="shared" si="110"/>
        <v>0.5307326166438685</v>
      </c>
      <c r="CZ10" s="206">
        <f t="shared" si="110"/>
        <v>0</v>
      </c>
      <c r="DA10" s="206">
        <f t="shared" si="110"/>
        <v>0.54778892568926862</v>
      </c>
      <c r="DB10" s="206">
        <f t="shared" si="110"/>
        <v>0.55373005357923211</v>
      </c>
      <c r="DC10" s="206">
        <f t="shared" si="110"/>
        <v>0.55947831195314701</v>
      </c>
      <c r="DD10" s="206">
        <f t="shared" si="110"/>
        <v>0.56684547778188354</v>
      </c>
      <c r="DE10" s="206">
        <f t="shared" si="110"/>
        <v>0.57413388323671855</v>
      </c>
      <c r="DF10" s="206">
        <f t="shared" si="110"/>
        <v>0.5803296025215926</v>
      </c>
      <c r="DG10" s="206">
        <f t="shared" si="110"/>
        <v>0.58988296691585551</v>
      </c>
      <c r="DH10" s="206">
        <f t="shared" si="110"/>
        <v>0.59700843187313746</v>
      </c>
      <c r="DI10" s="206">
        <f t="shared" si="110"/>
        <v>0.60408106220580615</v>
      </c>
      <c r="DJ10" s="206">
        <f t="shared" si="110"/>
        <v>0.61090745059511542</v>
      </c>
      <c r="DK10" s="206">
        <f t="shared" si="110"/>
        <v>0.61660903039855075</v>
      </c>
      <c r="DL10" s="206">
        <f t="shared" si="110"/>
        <v>0.62323245968262375</v>
      </c>
      <c r="DM10" s="206">
        <f t="shared" si="110"/>
        <v>0.62974872153361661</v>
      </c>
      <c r="DN10" s="206">
        <f t="shared" si="110"/>
        <v>0.63723030282041926</v>
      </c>
      <c r="DO10" s="206">
        <f t="shared" si="110"/>
        <v>0.64732106931246447</v>
      </c>
      <c r="DP10" s="206">
        <f t="shared" si="110"/>
        <v>0.65468278854579387</v>
      </c>
      <c r="DQ10" s="206">
        <f t="shared" si="110"/>
        <v>0.66187702158363837</v>
      </c>
      <c r="DR10" s="206">
        <f t="shared" si="110"/>
        <v>0.66907575168558364</v>
      </c>
      <c r="DS10" s="206">
        <f t="shared" si="110"/>
        <v>0.67615165492834595</v>
      </c>
      <c r="DT10" s="206">
        <f t="shared" si="110"/>
        <v>0.68590553289280254</v>
      </c>
      <c r="DU10" s="206">
        <f t="shared" si="110"/>
        <v>0.69277575814059622</v>
      </c>
      <c r="DV10" s="206">
        <f t="shared" si="110"/>
        <v>0.69926487619172073</v>
      </c>
      <c r="DW10" s="206">
        <f t="shared" si="110"/>
        <v>0.70575482990550831</v>
      </c>
      <c r="DX10" s="206">
        <f t="shared" si="110"/>
        <v>0.71347909962368516</v>
      </c>
      <c r="DY10" s="206">
        <f t="shared" si="110"/>
        <v>0.72139427309356607</v>
      </c>
      <c r="DZ10" s="206">
        <f t="shared" si="110"/>
        <v>0.7292901299979262</v>
      </c>
      <c r="EA10" s="206">
        <f t="shared" ref="EA10:GL10" si="111">EA8*(100%-$AJ$19)*$AJ$20</f>
        <v>0.74012162905896239</v>
      </c>
      <c r="EB10" s="206">
        <f t="shared" si="111"/>
        <v>0.70256607921502712</v>
      </c>
      <c r="EC10" s="206">
        <f t="shared" si="111"/>
        <v>0.70998011323141863</v>
      </c>
      <c r="ED10" s="206">
        <f t="shared" si="111"/>
        <v>0.6718261113549423</v>
      </c>
      <c r="EE10" s="206">
        <f t="shared" si="111"/>
        <v>0.6790100698650593</v>
      </c>
      <c r="EF10" s="206">
        <f t="shared" si="111"/>
        <v>0.68599840752678254</v>
      </c>
      <c r="EG10" s="206">
        <f t="shared" si="111"/>
        <v>0.69288189381625487</v>
      </c>
      <c r="EH10" s="206">
        <f t="shared" si="111"/>
        <v>0.70134507317452943</v>
      </c>
      <c r="EI10" s="206">
        <f t="shared" si="111"/>
        <v>0.66579728306951103</v>
      </c>
      <c r="EJ10" s="206">
        <f t="shared" si="111"/>
        <v>0.67354770229476912</v>
      </c>
      <c r="EK10" s="206">
        <f t="shared" si="111"/>
        <v>0.63499577322963352</v>
      </c>
      <c r="EL10" s="206">
        <f t="shared" si="111"/>
        <v>0.64235785666486467</v>
      </c>
      <c r="EM10" s="206">
        <f t="shared" si="111"/>
        <v>0.65006472572460428</v>
      </c>
      <c r="EN10" s="206">
        <f t="shared" si="111"/>
        <v>0.65933660494279944</v>
      </c>
      <c r="EO10" s="206">
        <f t="shared" si="111"/>
        <v>0.66609381940154344</v>
      </c>
      <c r="EP10" s="206">
        <f t="shared" si="111"/>
        <v>0.6260614768448387</v>
      </c>
      <c r="EQ10" s="206">
        <f t="shared" si="111"/>
        <v>0.63229365995683684</v>
      </c>
      <c r="ER10" s="206">
        <f t="shared" si="111"/>
        <v>0.59257175617820357</v>
      </c>
      <c r="ES10" s="206">
        <f t="shared" si="111"/>
        <v>0.599017747272242</v>
      </c>
      <c r="ET10" s="206">
        <f t="shared" si="111"/>
        <v>0.60610203239268623</v>
      </c>
      <c r="EU10" s="206">
        <f t="shared" si="111"/>
        <v>0.61202141960322964</v>
      </c>
      <c r="EV10" s="206">
        <f t="shared" si="111"/>
        <v>0.61769719005002799</v>
      </c>
      <c r="EW10" s="206">
        <f t="shared" si="111"/>
        <v>0.57520798653995642</v>
      </c>
      <c r="EX10" s="206">
        <f t="shared" si="111"/>
        <v>0.58025770897165174</v>
      </c>
      <c r="EY10" s="206">
        <f t="shared" si="111"/>
        <v>-1.0011605077305873E-4</v>
      </c>
      <c r="EZ10" s="206">
        <f t="shared" si="111"/>
        <v>0.54778892568926862</v>
      </c>
      <c r="FA10" s="206">
        <f t="shared" si="111"/>
        <v>0.55373005357923211</v>
      </c>
      <c r="FB10" s="206">
        <f t="shared" si="111"/>
        <v>0.55947831195314701</v>
      </c>
      <c r="FC10" s="206">
        <f t="shared" si="111"/>
        <v>0.56684547778188354</v>
      </c>
      <c r="FD10" s="206">
        <f t="shared" si="111"/>
        <v>0.57413388323671855</v>
      </c>
      <c r="FE10" s="206">
        <f t="shared" si="111"/>
        <v>0.5803296025215926</v>
      </c>
      <c r="FF10" s="206">
        <f t="shared" si="111"/>
        <v>0.58988296691585551</v>
      </c>
      <c r="FG10" s="206">
        <f t="shared" si="111"/>
        <v>0.59700843187313746</v>
      </c>
      <c r="FH10" s="206">
        <f t="shared" si="111"/>
        <v>0.60408106220580615</v>
      </c>
      <c r="FI10" s="206">
        <f t="shared" si="111"/>
        <v>0.61090745059511542</v>
      </c>
      <c r="FJ10" s="206">
        <f t="shared" si="111"/>
        <v>0.61660903039855075</v>
      </c>
      <c r="FK10" s="206">
        <f t="shared" si="111"/>
        <v>0.62323245968262375</v>
      </c>
      <c r="FL10" s="206">
        <f t="shared" si="111"/>
        <v>0.62974872153361661</v>
      </c>
      <c r="FM10" s="206">
        <f t="shared" si="111"/>
        <v>0.63723030282041926</v>
      </c>
      <c r="FN10" s="206">
        <f t="shared" si="111"/>
        <v>0.64732106931246447</v>
      </c>
      <c r="FO10" s="206">
        <f t="shared" si="111"/>
        <v>0.65468278854579387</v>
      </c>
      <c r="FP10" s="206">
        <f t="shared" si="111"/>
        <v>0.66187702158363837</v>
      </c>
      <c r="FQ10" s="206">
        <f t="shared" si="111"/>
        <v>0.66907575168558364</v>
      </c>
      <c r="FR10" s="206">
        <f t="shared" si="111"/>
        <v>0.67615165492834595</v>
      </c>
      <c r="FS10" s="206">
        <f t="shared" si="111"/>
        <v>0.68590553289280254</v>
      </c>
      <c r="FT10" s="206">
        <f t="shared" si="111"/>
        <v>0.69277575814059622</v>
      </c>
      <c r="FU10" s="206">
        <f t="shared" si="111"/>
        <v>0.69926487619172073</v>
      </c>
      <c r="FV10" s="206">
        <f t="shared" si="111"/>
        <v>0.70575482990550831</v>
      </c>
      <c r="FW10" s="206">
        <f t="shared" si="111"/>
        <v>0.71347909962368516</v>
      </c>
      <c r="FX10" s="206">
        <f t="shared" si="111"/>
        <v>0.72139427309356607</v>
      </c>
      <c r="FY10" s="206">
        <f t="shared" si="111"/>
        <v>0.7292901299979262</v>
      </c>
      <c r="FZ10" s="206">
        <f t="shared" si="111"/>
        <v>0.74012162905896239</v>
      </c>
      <c r="GA10" s="206">
        <f t="shared" si="111"/>
        <v>0.70256607921502712</v>
      </c>
      <c r="GB10" s="206">
        <f t="shared" si="111"/>
        <v>0.70998011323141863</v>
      </c>
      <c r="GC10" s="206">
        <f t="shared" si="111"/>
        <v>0.6718261113549423</v>
      </c>
      <c r="GD10" s="206">
        <f t="shared" si="111"/>
        <v>0.6790100698650593</v>
      </c>
      <c r="GE10" s="206">
        <f t="shared" si="111"/>
        <v>0.68599840752678254</v>
      </c>
      <c r="GF10" s="206">
        <f t="shared" si="111"/>
        <v>0.69288189381625487</v>
      </c>
      <c r="GG10" s="206">
        <f t="shared" si="111"/>
        <v>0.70134507317452943</v>
      </c>
      <c r="GH10" s="206">
        <f t="shared" si="111"/>
        <v>0.66579728306951103</v>
      </c>
      <c r="GI10" s="206">
        <f t="shared" si="111"/>
        <v>0.67354770229476912</v>
      </c>
      <c r="GJ10" s="206">
        <f t="shared" si="111"/>
        <v>0.63499577322963352</v>
      </c>
      <c r="GK10" s="206">
        <f t="shared" si="111"/>
        <v>0.64235785666486467</v>
      </c>
      <c r="GL10" s="206">
        <f t="shared" si="111"/>
        <v>0.65006472572460428</v>
      </c>
      <c r="GM10" s="206">
        <f t="shared" ref="GM10:IX10" si="112">GM8*(100%-$AJ$19)*$AJ$20</f>
        <v>0.65933660494279944</v>
      </c>
      <c r="GN10" s="206">
        <f t="shared" si="112"/>
        <v>0.66609381940154344</v>
      </c>
      <c r="GO10" s="206">
        <f t="shared" si="112"/>
        <v>0.6260614768448387</v>
      </c>
      <c r="GP10" s="206">
        <f t="shared" si="112"/>
        <v>0.63229365995683684</v>
      </c>
      <c r="GQ10" s="206">
        <f t="shared" si="112"/>
        <v>0.59257175617820357</v>
      </c>
      <c r="GR10" s="206">
        <f t="shared" si="112"/>
        <v>0.599017747272242</v>
      </c>
      <c r="GS10" s="206">
        <f t="shared" si="112"/>
        <v>0.60610203239268623</v>
      </c>
      <c r="GT10" s="206">
        <f t="shared" si="112"/>
        <v>0.61202141960322964</v>
      </c>
      <c r="GU10" s="206">
        <f t="shared" si="112"/>
        <v>0.61769719005002799</v>
      </c>
      <c r="GV10" s="206">
        <f t="shared" si="112"/>
        <v>0.57520798653995642</v>
      </c>
      <c r="GW10" s="206">
        <f t="shared" si="112"/>
        <v>0.58025770897165174</v>
      </c>
      <c r="GX10" s="206">
        <f t="shared" si="112"/>
        <v>-1.0011605077305873E-4</v>
      </c>
      <c r="GY10" s="206">
        <f t="shared" si="112"/>
        <v>0.54778892568926862</v>
      </c>
      <c r="GZ10" s="206">
        <f t="shared" si="112"/>
        <v>0.55373005357923211</v>
      </c>
      <c r="HA10" s="206">
        <f t="shared" si="112"/>
        <v>0.55947831195314701</v>
      </c>
      <c r="HB10" s="206">
        <f t="shared" si="112"/>
        <v>0.56684547778188354</v>
      </c>
      <c r="HC10" s="206">
        <f t="shared" si="112"/>
        <v>0.57413388323671855</v>
      </c>
      <c r="HD10" s="206">
        <f t="shared" si="112"/>
        <v>0.5803296025215926</v>
      </c>
      <c r="HE10" s="206">
        <f t="shared" si="112"/>
        <v>0.58988296691585551</v>
      </c>
      <c r="HF10" s="206">
        <f t="shared" si="112"/>
        <v>0.59700843187313746</v>
      </c>
      <c r="HG10" s="206">
        <f t="shared" si="112"/>
        <v>0.60408106220580615</v>
      </c>
      <c r="HH10" s="206">
        <f t="shared" si="112"/>
        <v>0.61090745059511542</v>
      </c>
      <c r="HI10" s="206">
        <f t="shared" si="112"/>
        <v>0.61660903039855075</v>
      </c>
      <c r="HJ10" s="206">
        <f t="shared" si="112"/>
        <v>0.62323245968262375</v>
      </c>
      <c r="HK10" s="206">
        <f t="shared" si="112"/>
        <v>0.62974872153361661</v>
      </c>
      <c r="HL10" s="206">
        <f t="shared" si="112"/>
        <v>0.63723030282041926</v>
      </c>
      <c r="HM10" s="206">
        <f t="shared" si="112"/>
        <v>0.64732106931246447</v>
      </c>
      <c r="HN10" s="206">
        <f t="shared" si="112"/>
        <v>0.65468278854579387</v>
      </c>
      <c r="HO10" s="206">
        <f t="shared" si="112"/>
        <v>0.66187702158363837</v>
      </c>
      <c r="HP10" s="206">
        <f t="shared" si="112"/>
        <v>0.66907575168558364</v>
      </c>
      <c r="HQ10" s="206">
        <f t="shared" si="112"/>
        <v>0.67615165492834595</v>
      </c>
      <c r="HR10" s="206">
        <f t="shared" si="112"/>
        <v>0.68590553289280254</v>
      </c>
      <c r="HS10" s="206">
        <f t="shared" si="112"/>
        <v>0.69277575814059622</v>
      </c>
      <c r="HT10" s="206">
        <f t="shared" si="112"/>
        <v>0.69926487619172073</v>
      </c>
      <c r="HU10" s="206">
        <f t="shared" si="112"/>
        <v>0.70575482990550831</v>
      </c>
      <c r="HV10" s="206">
        <f t="shared" si="112"/>
        <v>0.71347909962368516</v>
      </c>
      <c r="HW10" s="206">
        <f t="shared" si="112"/>
        <v>0.72139427309356607</v>
      </c>
      <c r="HX10" s="206">
        <f t="shared" si="112"/>
        <v>0.7292901299979262</v>
      </c>
      <c r="HY10" s="206">
        <f t="shared" si="112"/>
        <v>0.74012162905896239</v>
      </c>
      <c r="HZ10" s="206">
        <f t="shared" si="112"/>
        <v>0.70256607921502712</v>
      </c>
      <c r="IA10" s="206">
        <f t="shared" si="112"/>
        <v>0.70998011323141863</v>
      </c>
      <c r="IB10" s="206">
        <f t="shared" si="112"/>
        <v>0.6718261113549423</v>
      </c>
      <c r="IC10" s="206">
        <f t="shared" si="112"/>
        <v>0.6790100698650593</v>
      </c>
      <c r="ID10" s="206">
        <f t="shared" si="112"/>
        <v>0.68599840752678254</v>
      </c>
      <c r="IE10" s="206">
        <f t="shared" si="112"/>
        <v>0.69288189381625487</v>
      </c>
      <c r="IF10" s="206">
        <f t="shared" si="112"/>
        <v>0.70134507317452943</v>
      </c>
      <c r="IG10" s="206">
        <f t="shared" si="112"/>
        <v>0.66579728306951103</v>
      </c>
      <c r="IH10" s="206">
        <f t="shared" si="112"/>
        <v>0.67354770229476912</v>
      </c>
      <c r="II10" s="206">
        <f t="shared" si="112"/>
        <v>0.63499577322963352</v>
      </c>
      <c r="IJ10" s="206">
        <f t="shared" si="112"/>
        <v>0.64235785666486467</v>
      </c>
      <c r="IK10" s="206">
        <f t="shared" si="112"/>
        <v>0.65006472572460428</v>
      </c>
      <c r="IL10" s="206">
        <f t="shared" si="112"/>
        <v>0.65933660494279944</v>
      </c>
      <c r="IM10" s="206">
        <f t="shared" si="112"/>
        <v>0.66609381940154344</v>
      </c>
      <c r="IN10" s="206">
        <f t="shared" si="112"/>
        <v>0.6260614768448387</v>
      </c>
      <c r="IO10" s="206">
        <f t="shared" si="112"/>
        <v>0.63229365995683684</v>
      </c>
      <c r="IP10" s="206">
        <f t="shared" si="112"/>
        <v>0.59257175617820357</v>
      </c>
      <c r="IQ10" s="206">
        <f t="shared" si="112"/>
        <v>0.599017747272242</v>
      </c>
      <c r="IR10" s="206">
        <f t="shared" si="112"/>
        <v>0.60610203239268623</v>
      </c>
      <c r="IS10" s="206">
        <f t="shared" si="112"/>
        <v>0.61202141960322964</v>
      </c>
      <c r="IT10" s="206">
        <f t="shared" si="112"/>
        <v>0.61769719005002799</v>
      </c>
      <c r="IU10" s="206">
        <f t="shared" si="112"/>
        <v>0.57520798653995642</v>
      </c>
      <c r="IV10" s="206">
        <f t="shared" si="112"/>
        <v>0.58025770897165174</v>
      </c>
      <c r="IW10" s="206">
        <f t="shared" si="112"/>
        <v>-1.0011605077305873E-4</v>
      </c>
      <c r="IX10" s="206">
        <f t="shared" si="112"/>
        <v>0.54778892568926862</v>
      </c>
      <c r="IY10" s="206">
        <f t="shared" ref="IY10:LJ10" si="113">IY8*(100%-$AJ$19)*$AJ$20</f>
        <v>0.55373005357923211</v>
      </c>
      <c r="IZ10" s="206">
        <f t="shared" si="113"/>
        <v>0.55947831195314701</v>
      </c>
      <c r="JA10" s="206">
        <f t="shared" si="113"/>
        <v>0.56684547778188354</v>
      </c>
      <c r="JB10" s="206">
        <f t="shared" si="113"/>
        <v>0.57413388323671855</v>
      </c>
      <c r="JC10" s="206">
        <f t="shared" si="113"/>
        <v>0.5803296025215926</v>
      </c>
      <c r="JD10" s="206">
        <f t="shared" si="113"/>
        <v>0.58988296691585551</v>
      </c>
      <c r="JE10" s="206">
        <f t="shared" si="113"/>
        <v>0.59700843187313746</v>
      </c>
      <c r="JF10" s="206">
        <f t="shared" si="113"/>
        <v>0.60408106220580615</v>
      </c>
      <c r="JG10" s="206">
        <f t="shared" si="113"/>
        <v>0.61090745059511542</v>
      </c>
      <c r="JH10" s="206">
        <f t="shared" si="113"/>
        <v>0.61660903039855075</v>
      </c>
      <c r="JI10" s="206">
        <f t="shared" si="113"/>
        <v>0.62323245968262375</v>
      </c>
      <c r="JJ10" s="206">
        <f t="shared" si="113"/>
        <v>0.62974872153361661</v>
      </c>
      <c r="JK10" s="206">
        <f t="shared" si="113"/>
        <v>0.63723030282041926</v>
      </c>
      <c r="JL10" s="206">
        <f t="shared" si="113"/>
        <v>0.64732106931246447</v>
      </c>
      <c r="JM10" s="206">
        <f t="shared" si="113"/>
        <v>0.65468278854579387</v>
      </c>
      <c r="JN10" s="206">
        <f t="shared" si="113"/>
        <v>0.66187702158363837</v>
      </c>
      <c r="JO10" s="206">
        <f t="shared" si="113"/>
        <v>0.66907575168558364</v>
      </c>
      <c r="JP10" s="206">
        <f t="shared" si="113"/>
        <v>0.67615165492834595</v>
      </c>
      <c r="JQ10" s="206">
        <f t="shared" si="113"/>
        <v>0.68590553289280254</v>
      </c>
      <c r="JR10" s="206">
        <f t="shared" si="113"/>
        <v>0.69277575814059622</v>
      </c>
      <c r="JS10" s="206">
        <f t="shared" si="113"/>
        <v>0.69926487619172073</v>
      </c>
      <c r="JT10" s="206">
        <f t="shared" si="113"/>
        <v>0.70575482990550831</v>
      </c>
      <c r="JU10" s="206">
        <f t="shared" si="113"/>
        <v>0.71347909962368516</v>
      </c>
      <c r="JV10" s="206">
        <f t="shared" si="113"/>
        <v>0.72139427309356607</v>
      </c>
      <c r="JW10" s="206">
        <f t="shared" si="113"/>
        <v>0.7292901299979262</v>
      </c>
      <c r="JX10" s="206">
        <f t="shared" si="113"/>
        <v>0.74012162905896239</v>
      </c>
      <c r="JY10" s="206">
        <f t="shared" si="113"/>
        <v>0.70256607921502712</v>
      </c>
      <c r="JZ10" s="206">
        <f t="shared" si="113"/>
        <v>0.70998011323141863</v>
      </c>
      <c r="KA10" s="206">
        <f t="shared" si="113"/>
        <v>0.6718261113549423</v>
      </c>
      <c r="KB10" s="206">
        <f t="shared" si="113"/>
        <v>0.6790100698650593</v>
      </c>
      <c r="KC10" s="206">
        <f t="shared" si="113"/>
        <v>0.68599840752678254</v>
      </c>
      <c r="KD10" s="206">
        <f t="shared" si="113"/>
        <v>0.69288189381625487</v>
      </c>
      <c r="KE10" s="206">
        <f t="shared" si="113"/>
        <v>0.70134507317452943</v>
      </c>
      <c r="KF10" s="206">
        <f t="shared" si="113"/>
        <v>0.66579728306951103</v>
      </c>
      <c r="KG10" s="206">
        <f t="shared" si="113"/>
        <v>0.67354770229476912</v>
      </c>
      <c r="KH10" s="206">
        <f t="shared" si="113"/>
        <v>0.63499577322963352</v>
      </c>
      <c r="KI10" s="206">
        <f t="shared" si="113"/>
        <v>0.64235785666486467</v>
      </c>
      <c r="KJ10" s="206">
        <f t="shared" si="113"/>
        <v>0.65006472572460428</v>
      </c>
      <c r="KK10" s="206">
        <f t="shared" si="113"/>
        <v>0.65933660494279944</v>
      </c>
      <c r="KL10" s="206">
        <f t="shared" si="113"/>
        <v>0.66609381940154344</v>
      </c>
      <c r="KM10" s="206">
        <f t="shared" si="113"/>
        <v>0.6260614768448387</v>
      </c>
      <c r="KN10" s="206">
        <f t="shared" si="113"/>
        <v>0.63229365995683684</v>
      </c>
      <c r="KO10" s="206">
        <f t="shared" si="113"/>
        <v>0.59257175617820357</v>
      </c>
      <c r="KP10" s="206">
        <f t="shared" si="113"/>
        <v>0.599017747272242</v>
      </c>
      <c r="KQ10" s="206">
        <f t="shared" si="113"/>
        <v>0.60610203239268623</v>
      </c>
      <c r="KR10" s="206">
        <f t="shared" si="113"/>
        <v>0.61202141960322964</v>
      </c>
      <c r="KS10" s="206">
        <f t="shared" si="113"/>
        <v>0.61769719005002799</v>
      </c>
      <c r="KT10" s="206">
        <f t="shared" si="113"/>
        <v>0.57520798653995642</v>
      </c>
      <c r="KU10" s="206">
        <f t="shared" si="113"/>
        <v>0.58025770897165174</v>
      </c>
      <c r="KV10" s="206">
        <f t="shared" si="113"/>
        <v>-1.0011605077305873E-4</v>
      </c>
      <c r="KW10" s="206">
        <f t="shared" si="113"/>
        <v>0.54778892568926862</v>
      </c>
      <c r="KX10" s="206">
        <f t="shared" si="113"/>
        <v>0.55373005357923211</v>
      </c>
      <c r="KY10" s="206">
        <f t="shared" si="113"/>
        <v>0.55947831195314701</v>
      </c>
      <c r="KZ10" s="206">
        <f t="shared" si="113"/>
        <v>0.56684547778188354</v>
      </c>
      <c r="LA10" s="206">
        <f t="shared" si="113"/>
        <v>0.57413388323671855</v>
      </c>
      <c r="LB10" s="206">
        <f t="shared" si="113"/>
        <v>0.5803296025215926</v>
      </c>
      <c r="LC10" s="206">
        <f t="shared" si="113"/>
        <v>0.58988296691585551</v>
      </c>
      <c r="LD10" s="206">
        <f t="shared" si="113"/>
        <v>0.59700843187313746</v>
      </c>
      <c r="LE10" s="206">
        <f t="shared" si="113"/>
        <v>0.60408106220580615</v>
      </c>
      <c r="LF10" s="206">
        <f t="shared" si="113"/>
        <v>0.61090745059511542</v>
      </c>
      <c r="LG10" s="206">
        <f t="shared" si="113"/>
        <v>0.61660903039855075</v>
      </c>
      <c r="LH10" s="206">
        <f t="shared" si="113"/>
        <v>0.62323245968262375</v>
      </c>
      <c r="LI10" s="206">
        <f t="shared" si="113"/>
        <v>0.62974872153361661</v>
      </c>
      <c r="LJ10" s="206">
        <f t="shared" si="113"/>
        <v>0.63723030282041926</v>
      </c>
      <c r="LK10" s="206">
        <f t="shared" ref="LK10:NV10" si="114">LK8*(100%-$AJ$19)*$AJ$20</f>
        <v>0.64732106931246447</v>
      </c>
      <c r="LL10" s="206">
        <f t="shared" si="114"/>
        <v>0.65468278854579387</v>
      </c>
      <c r="LM10" s="206">
        <f t="shared" si="114"/>
        <v>0.66187702158363837</v>
      </c>
      <c r="LN10" s="206">
        <f t="shared" si="114"/>
        <v>0.66907575168558364</v>
      </c>
      <c r="LO10" s="206">
        <f t="shared" si="114"/>
        <v>0.67615165492834595</v>
      </c>
      <c r="LP10" s="206">
        <f t="shared" si="114"/>
        <v>0.68590553289280254</v>
      </c>
      <c r="LQ10" s="206">
        <f t="shared" si="114"/>
        <v>0.69277575814059622</v>
      </c>
      <c r="LR10" s="206">
        <f t="shared" si="114"/>
        <v>0.69926487619172073</v>
      </c>
      <c r="LS10" s="206">
        <f t="shared" si="114"/>
        <v>0.70575482990550831</v>
      </c>
      <c r="LT10" s="206">
        <f t="shared" si="114"/>
        <v>0.71347909962368516</v>
      </c>
      <c r="LU10" s="206">
        <f t="shared" si="114"/>
        <v>0.72139427309356607</v>
      </c>
      <c r="LV10" s="206">
        <f t="shared" si="114"/>
        <v>0.7292901299979262</v>
      </c>
      <c r="LW10" s="206">
        <f t="shared" si="114"/>
        <v>0.74012162905896239</v>
      </c>
      <c r="LX10" s="206">
        <f t="shared" si="114"/>
        <v>0.70256607921502712</v>
      </c>
      <c r="LY10" s="206">
        <f t="shared" si="114"/>
        <v>0.70998011323141863</v>
      </c>
      <c r="LZ10" s="206">
        <f t="shared" si="114"/>
        <v>0.6718261113549423</v>
      </c>
      <c r="MA10" s="206">
        <f t="shared" si="114"/>
        <v>0.6790100698650593</v>
      </c>
      <c r="MB10" s="206">
        <f t="shared" si="114"/>
        <v>0.68599840752678254</v>
      </c>
      <c r="MC10" s="206">
        <f t="shared" si="114"/>
        <v>0.69288189381625487</v>
      </c>
      <c r="MD10" s="206">
        <f t="shared" si="114"/>
        <v>0.70134507317452943</v>
      </c>
      <c r="ME10" s="206">
        <f t="shared" si="114"/>
        <v>0.66579728306951103</v>
      </c>
      <c r="MF10" s="206">
        <f t="shared" si="114"/>
        <v>0.67354770229476912</v>
      </c>
      <c r="MG10" s="206">
        <f t="shared" si="114"/>
        <v>0.63499577322963352</v>
      </c>
      <c r="MH10" s="206">
        <f t="shared" si="114"/>
        <v>0.64235785666486467</v>
      </c>
      <c r="MI10" s="206">
        <f t="shared" si="114"/>
        <v>0.65006472572460428</v>
      </c>
      <c r="MJ10" s="206">
        <f t="shared" si="114"/>
        <v>0.65933660494279944</v>
      </c>
      <c r="MK10" s="206">
        <f t="shared" si="114"/>
        <v>0.66609381940154344</v>
      </c>
      <c r="ML10" s="206">
        <f t="shared" si="114"/>
        <v>0.6260614768448387</v>
      </c>
      <c r="MM10" s="206">
        <f t="shared" si="114"/>
        <v>0.63229365995683684</v>
      </c>
      <c r="MN10" s="206">
        <f t="shared" si="114"/>
        <v>0.59257175617820357</v>
      </c>
      <c r="MO10" s="206">
        <f t="shared" si="114"/>
        <v>0.599017747272242</v>
      </c>
      <c r="MP10" s="206">
        <f t="shared" si="114"/>
        <v>0.60610203239268623</v>
      </c>
      <c r="MQ10" s="206">
        <f t="shared" si="114"/>
        <v>0.61202141960322964</v>
      </c>
      <c r="MR10" s="206">
        <f t="shared" si="114"/>
        <v>0.61769719005002799</v>
      </c>
      <c r="MS10" s="206">
        <f t="shared" si="114"/>
        <v>0.57520798653995642</v>
      </c>
      <c r="MT10" s="206">
        <f t="shared" si="114"/>
        <v>0.58025770897165174</v>
      </c>
      <c r="MU10" s="206">
        <f t="shared" si="114"/>
        <v>-1.0011605077305873E-4</v>
      </c>
      <c r="MV10" s="206">
        <f t="shared" si="114"/>
        <v>0.54778892568926862</v>
      </c>
      <c r="MW10" s="206">
        <f t="shared" si="114"/>
        <v>0.55373005357923211</v>
      </c>
      <c r="MX10" s="206">
        <f t="shared" si="114"/>
        <v>0.55947831195314701</v>
      </c>
      <c r="MY10" s="206">
        <f t="shared" si="114"/>
        <v>0.56684547778188354</v>
      </c>
      <c r="MZ10" s="206">
        <f t="shared" si="114"/>
        <v>0.57413388323671855</v>
      </c>
      <c r="NA10" s="206">
        <f t="shared" si="114"/>
        <v>0.5803296025215926</v>
      </c>
      <c r="NB10" s="206">
        <f t="shared" si="114"/>
        <v>0.58988296691585551</v>
      </c>
      <c r="NC10" s="206">
        <f t="shared" si="114"/>
        <v>0.59700843187313746</v>
      </c>
      <c r="ND10" s="206">
        <f t="shared" si="114"/>
        <v>0.60408106220580615</v>
      </c>
      <c r="NE10" s="206">
        <f t="shared" si="114"/>
        <v>0.61090745059511542</v>
      </c>
      <c r="NF10" s="206">
        <f t="shared" si="114"/>
        <v>0.61660903039855075</v>
      </c>
      <c r="NG10" s="206">
        <f t="shared" si="114"/>
        <v>0.62323245968262375</v>
      </c>
      <c r="NH10" s="206">
        <f t="shared" si="114"/>
        <v>0.62974872153361661</v>
      </c>
      <c r="NI10" s="206">
        <f t="shared" si="114"/>
        <v>0.63723030282041926</v>
      </c>
      <c r="NJ10" s="206">
        <f t="shared" si="114"/>
        <v>0.64732106931246447</v>
      </c>
      <c r="NK10" s="206">
        <f t="shared" si="114"/>
        <v>0.65468278854579387</v>
      </c>
      <c r="NL10" s="206">
        <f t="shared" si="114"/>
        <v>0.66187702158363837</v>
      </c>
      <c r="NM10" s="206">
        <f t="shared" si="114"/>
        <v>0.66907575168558364</v>
      </c>
      <c r="NN10" s="206">
        <f t="shared" si="114"/>
        <v>0.67615165492834595</v>
      </c>
      <c r="NO10" s="206">
        <f t="shared" si="114"/>
        <v>0.68590553289280254</v>
      </c>
      <c r="NP10" s="206">
        <f t="shared" si="114"/>
        <v>0.69277575814059622</v>
      </c>
      <c r="NQ10" s="206">
        <f t="shared" si="114"/>
        <v>0.69926487619172073</v>
      </c>
      <c r="NR10" s="206">
        <f t="shared" si="114"/>
        <v>0.70575482990550831</v>
      </c>
      <c r="NS10" s="206">
        <f t="shared" si="114"/>
        <v>0.71347909962368516</v>
      </c>
      <c r="NT10" s="206">
        <f t="shared" si="114"/>
        <v>0.72139427309356607</v>
      </c>
      <c r="NU10" s="206">
        <f t="shared" si="114"/>
        <v>0.7292901299979262</v>
      </c>
      <c r="NV10" s="206">
        <f t="shared" si="114"/>
        <v>0.74012162905896239</v>
      </c>
      <c r="NW10" s="206">
        <f t="shared" ref="NW10:QH10" si="115">NW8*(100%-$AJ$19)*$AJ$20</f>
        <v>0.70256607921502712</v>
      </c>
      <c r="NX10" s="206">
        <f t="shared" si="115"/>
        <v>0.70998011323141863</v>
      </c>
      <c r="NY10" s="206">
        <f t="shared" si="115"/>
        <v>0.6718261113549423</v>
      </c>
      <c r="NZ10" s="206">
        <f t="shared" si="115"/>
        <v>0.6790100698650593</v>
      </c>
      <c r="OA10" s="206">
        <f t="shared" si="115"/>
        <v>0.68599840752678254</v>
      </c>
      <c r="OB10" s="206">
        <f t="shared" si="115"/>
        <v>0.69288189381625487</v>
      </c>
      <c r="OC10" s="206">
        <f t="shared" si="115"/>
        <v>0.70134507317452943</v>
      </c>
      <c r="OD10" s="206">
        <f t="shared" si="115"/>
        <v>0.66579728306951103</v>
      </c>
      <c r="OE10" s="206">
        <f t="shared" si="115"/>
        <v>0.67354770229476912</v>
      </c>
      <c r="OF10" s="206">
        <f t="shared" si="115"/>
        <v>0.63499577322963352</v>
      </c>
      <c r="OG10" s="206">
        <f t="shared" si="115"/>
        <v>0.64235785666486467</v>
      </c>
      <c r="OH10" s="206">
        <f t="shared" si="115"/>
        <v>0.65006472572460428</v>
      </c>
      <c r="OI10" s="206">
        <f t="shared" si="115"/>
        <v>0.65933660494279944</v>
      </c>
      <c r="OJ10" s="206">
        <f t="shared" si="115"/>
        <v>0.66609381940154344</v>
      </c>
      <c r="OK10" s="206">
        <f t="shared" si="115"/>
        <v>0.6260614768448387</v>
      </c>
      <c r="OL10" s="206">
        <f t="shared" si="115"/>
        <v>0.63229365995683684</v>
      </c>
      <c r="OM10" s="206">
        <f t="shared" si="115"/>
        <v>0.59257175617820357</v>
      </c>
      <c r="ON10" s="206">
        <f t="shared" si="115"/>
        <v>0.599017747272242</v>
      </c>
      <c r="OO10" s="206">
        <f t="shared" si="115"/>
        <v>0.60610203239268623</v>
      </c>
      <c r="OP10" s="206">
        <f t="shared" si="115"/>
        <v>0.61202141960322964</v>
      </c>
      <c r="OQ10" s="206">
        <f t="shared" si="115"/>
        <v>0.61769719005002799</v>
      </c>
      <c r="OR10" s="206">
        <f t="shared" si="115"/>
        <v>0.57520798653995642</v>
      </c>
      <c r="OS10" s="206">
        <f t="shared" si="115"/>
        <v>0.58025770897165174</v>
      </c>
      <c r="OT10" s="206">
        <f t="shared" si="115"/>
        <v>-1.0011605077305873E-4</v>
      </c>
      <c r="OU10" s="206">
        <f t="shared" si="115"/>
        <v>0.54778892568926862</v>
      </c>
      <c r="OV10" s="206">
        <f t="shared" si="115"/>
        <v>0.55373005357923211</v>
      </c>
      <c r="OW10" s="206">
        <f t="shared" si="115"/>
        <v>0.55947831195314701</v>
      </c>
      <c r="OX10" s="206">
        <f t="shared" si="115"/>
        <v>0.56684547778188354</v>
      </c>
      <c r="OY10" s="206">
        <f t="shared" si="115"/>
        <v>0.57413388323671855</v>
      </c>
      <c r="OZ10" s="206">
        <f t="shared" si="115"/>
        <v>0.5803296025215926</v>
      </c>
      <c r="PA10" s="206">
        <f t="shared" si="115"/>
        <v>0.58988296691585551</v>
      </c>
      <c r="PB10" s="206">
        <f t="shared" si="115"/>
        <v>0.59700843187313746</v>
      </c>
      <c r="PC10" s="206">
        <f t="shared" si="115"/>
        <v>0.60408106220580615</v>
      </c>
      <c r="PD10" s="206">
        <f t="shared" si="115"/>
        <v>0.61090745059511542</v>
      </c>
      <c r="PE10" s="206">
        <f t="shared" si="115"/>
        <v>0.61660903039855075</v>
      </c>
      <c r="PF10" s="206">
        <f t="shared" si="115"/>
        <v>0.62323245968262375</v>
      </c>
      <c r="PG10" s="206">
        <f t="shared" si="115"/>
        <v>0.62974872153361661</v>
      </c>
      <c r="PH10" s="206">
        <f t="shared" si="115"/>
        <v>0.63723030282041926</v>
      </c>
      <c r="PI10" s="206">
        <f t="shared" si="115"/>
        <v>0.64732106931246447</v>
      </c>
      <c r="PJ10" s="206">
        <f t="shared" si="115"/>
        <v>0.65468278854579387</v>
      </c>
      <c r="PK10" s="206">
        <f t="shared" si="115"/>
        <v>0.66187702158363837</v>
      </c>
      <c r="PL10" s="206">
        <f t="shared" si="115"/>
        <v>0.66907575168558364</v>
      </c>
      <c r="PM10" s="206">
        <f t="shared" si="115"/>
        <v>0.67615165492834595</v>
      </c>
      <c r="PN10" s="206">
        <f t="shared" si="115"/>
        <v>0.68590553289280254</v>
      </c>
      <c r="PO10" s="206">
        <f t="shared" si="115"/>
        <v>0.69277575814059622</v>
      </c>
      <c r="PP10" s="206">
        <f t="shared" si="115"/>
        <v>0.69926487619172073</v>
      </c>
      <c r="PQ10" s="206">
        <f t="shared" si="115"/>
        <v>0.70575482990550831</v>
      </c>
      <c r="PR10" s="206">
        <f t="shared" si="115"/>
        <v>0.71347909962368516</v>
      </c>
      <c r="PS10" s="206">
        <f t="shared" si="115"/>
        <v>0.72139427309356607</v>
      </c>
      <c r="PT10" s="206">
        <f t="shared" si="115"/>
        <v>0.7292901299979262</v>
      </c>
      <c r="PU10" s="206">
        <f t="shared" si="115"/>
        <v>0.74012162905896239</v>
      </c>
      <c r="PV10" s="206">
        <f t="shared" si="115"/>
        <v>0.70256607921502712</v>
      </c>
      <c r="PW10" s="206">
        <f t="shared" si="115"/>
        <v>0.70998011323141863</v>
      </c>
      <c r="PX10" s="206">
        <f t="shared" si="115"/>
        <v>0.6718261113549423</v>
      </c>
      <c r="PY10" s="206">
        <f t="shared" si="115"/>
        <v>0.6790100698650593</v>
      </c>
      <c r="PZ10" s="206">
        <f t="shared" si="115"/>
        <v>0.68599840752678254</v>
      </c>
      <c r="QA10" s="206">
        <f t="shared" si="115"/>
        <v>0.69288189381625487</v>
      </c>
      <c r="QB10" s="206">
        <f t="shared" si="115"/>
        <v>0.70134507317452943</v>
      </c>
      <c r="QC10" s="206">
        <f t="shared" si="115"/>
        <v>0.66579728306951103</v>
      </c>
      <c r="QD10" s="206">
        <f t="shared" si="115"/>
        <v>0.67354770229476912</v>
      </c>
      <c r="QE10" s="206">
        <f t="shared" si="115"/>
        <v>0.63499577322963352</v>
      </c>
      <c r="QF10" s="206">
        <f t="shared" si="115"/>
        <v>0.64235785666486467</v>
      </c>
      <c r="QG10" s="206">
        <f t="shared" si="115"/>
        <v>0.65006472572460428</v>
      </c>
      <c r="QH10" s="206">
        <f t="shared" si="115"/>
        <v>0.65933660494279944</v>
      </c>
      <c r="QI10" s="206">
        <f t="shared" ref="QI10:ST10" si="116">QI8*(100%-$AJ$19)*$AJ$20</f>
        <v>0.66609381940154344</v>
      </c>
      <c r="QJ10" s="206">
        <f t="shared" si="116"/>
        <v>0.6260614768448387</v>
      </c>
      <c r="QK10" s="206">
        <f t="shared" si="116"/>
        <v>0.63229365995683684</v>
      </c>
      <c r="QL10" s="206">
        <f t="shared" si="116"/>
        <v>0.59257175617820357</v>
      </c>
      <c r="QM10" s="206">
        <f t="shared" si="116"/>
        <v>0.599017747272242</v>
      </c>
      <c r="QN10" s="206">
        <f t="shared" si="116"/>
        <v>0.60610203239268623</v>
      </c>
      <c r="QO10" s="206">
        <f t="shared" si="116"/>
        <v>0.61202141960322964</v>
      </c>
      <c r="QP10" s="206">
        <f t="shared" si="116"/>
        <v>0.61769719005002799</v>
      </c>
      <c r="QQ10" s="206">
        <f t="shared" si="116"/>
        <v>0.57520798653995642</v>
      </c>
      <c r="QR10" s="206">
        <f t="shared" si="116"/>
        <v>0.58025770897165174</v>
      </c>
      <c r="QS10" s="206">
        <f t="shared" si="116"/>
        <v>-1.0011605077305873E-4</v>
      </c>
      <c r="QT10" s="206">
        <f t="shared" si="116"/>
        <v>0.54778892568926862</v>
      </c>
      <c r="QU10" s="206">
        <f t="shared" si="116"/>
        <v>0.55373005357923211</v>
      </c>
      <c r="QV10" s="206">
        <f t="shared" si="116"/>
        <v>0.55947831195314701</v>
      </c>
      <c r="QW10" s="206">
        <f t="shared" si="116"/>
        <v>0.56684547778188354</v>
      </c>
      <c r="QX10" s="206">
        <f t="shared" si="116"/>
        <v>0.57413388323671855</v>
      </c>
      <c r="QY10" s="206">
        <f t="shared" si="116"/>
        <v>0.5803296025215926</v>
      </c>
      <c r="QZ10" s="206">
        <f t="shared" si="116"/>
        <v>0.58988296691585551</v>
      </c>
      <c r="RA10" s="206">
        <f t="shared" si="116"/>
        <v>0.59700843187313746</v>
      </c>
      <c r="RB10" s="206">
        <f t="shared" si="116"/>
        <v>0.60408106220580615</v>
      </c>
      <c r="RC10" s="206">
        <f t="shared" si="116"/>
        <v>0.61090745059511542</v>
      </c>
      <c r="RD10" s="206">
        <f t="shared" si="116"/>
        <v>0.61660903039855075</v>
      </c>
      <c r="RE10" s="206">
        <f t="shared" si="116"/>
        <v>0.62323245968262375</v>
      </c>
      <c r="RF10" s="206">
        <f t="shared" si="116"/>
        <v>0.62974872153361661</v>
      </c>
      <c r="RG10" s="206">
        <f t="shared" si="116"/>
        <v>0.63723030282041926</v>
      </c>
      <c r="RH10" s="206">
        <f t="shared" si="116"/>
        <v>0.64732106931246447</v>
      </c>
      <c r="RI10" s="206">
        <f t="shared" si="116"/>
        <v>0.65468278854579387</v>
      </c>
      <c r="RJ10" s="206">
        <f t="shared" si="116"/>
        <v>0.66187702158363837</v>
      </c>
      <c r="RK10" s="206">
        <f t="shared" si="116"/>
        <v>0.66907575168558364</v>
      </c>
      <c r="RL10" s="206">
        <f t="shared" si="116"/>
        <v>0.67615165492834595</v>
      </c>
      <c r="RM10" s="206">
        <f t="shared" si="116"/>
        <v>0.68590553289280254</v>
      </c>
      <c r="RN10" s="206">
        <f t="shared" si="116"/>
        <v>0.69277575814059622</v>
      </c>
      <c r="RO10" s="206">
        <f t="shared" si="116"/>
        <v>0.69926487619172073</v>
      </c>
      <c r="RP10" s="206">
        <f t="shared" si="116"/>
        <v>0.70575482990550831</v>
      </c>
      <c r="RQ10" s="206">
        <f t="shared" si="116"/>
        <v>0.71347909962368516</v>
      </c>
      <c r="RR10" s="206">
        <f t="shared" si="116"/>
        <v>0.72139427309356607</v>
      </c>
      <c r="RS10" s="206">
        <f t="shared" si="116"/>
        <v>0.7292901299979262</v>
      </c>
      <c r="RT10" s="206">
        <f t="shared" si="116"/>
        <v>0.74012162905896239</v>
      </c>
      <c r="RU10" s="206">
        <f t="shared" si="116"/>
        <v>0.70256607921502712</v>
      </c>
      <c r="RV10" s="206">
        <f t="shared" si="116"/>
        <v>0.70998011323141863</v>
      </c>
      <c r="RW10" s="206">
        <f t="shared" si="116"/>
        <v>0.6718261113549423</v>
      </c>
      <c r="RX10" s="206">
        <f t="shared" si="116"/>
        <v>0.6790100698650593</v>
      </c>
      <c r="RY10" s="206">
        <f t="shared" si="116"/>
        <v>0.68599840752678254</v>
      </c>
      <c r="RZ10" s="206">
        <f t="shared" si="116"/>
        <v>0.69288189381625487</v>
      </c>
      <c r="SA10" s="206">
        <f t="shared" si="116"/>
        <v>0.70134507317452943</v>
      </c>
      <c r="SB10" s="206">
        <f t="shared" si="116"/>
        <v>0.66579728306951103</v>
      </c>
      <c r="SC10" s="206">
        <f t="shared" si="116"/>
        <v>0.67354770229476912</v>
      </c>
      <c r="SD10" s="206">
        <f t="shared" si="116"/>
        <v>0.63499577322963352</v>
      </c>
      <c r="SE10" s="206">
        <f t="shared" si="116"/>
        <v>0.64235785666486467</v>
      </c>
      <c r="SF10" s="206">
        <f t="shared" si="116"/>
        <v>0.65006472572460428</v>
      </c>
      <c r="SG10" s="206">
        <f t="shared" si="116"/>
        <v>0.65933660494279944</v>
      </c>
      <c r="SH10" s="206">
        <f t="shared" si="116"/>
        <v>0.66609381940154344</v>
      </c>
      <c r="SI10" s="206">
        <f t="shared" si="116"/>
        <v>0.6260614768448387</v>
      </c>
      <c r="SJ10" s="206">
        <f t="shared" si="116"/>
        <v>0.63229365995683684</v>
      </c>
      <c r="SK10" s="206">
        <f t="shared" si="116"/>
        <v>0.59257175617820357</v>
      </c>
      <c r="SL10" s="206">
        <f t="shared" si="116"/>
        <v>0.599017747272242</v>
      </c>
      <c r="SM10" s="206">
        <f t="shared" si="116"/>
        <v>0.60610203239268623</v>
      </c>
      <c r="SN10" s="206">
        <f t="shared" si="116"/>
        <v>0.61202141960322964</v>
      </c>
      <c r="SO10" s="206">
        <f t="shared" si="116"/>
        <v>0.61769719005002799</v>
      </c>
      <c r="SP10" s="206">
        <f t="shared" si="116"/>
        <v>0.57520798653995642</v>
      </c>
      <c r="SQ10" s="206">
        <f t="shared" si="116"/>
        <v>0.58025770897165174</v>
      </c>
      <c r="SR10" s="206">
        <f t="shared" si="116"/>
        <v>-1.0011605077305873E-4</v>
      </c>
      <c r="SS10" s="206">
        <f t="shared" si="116"/>
        <v>0.54778892568926862</v>
      </c>
      <c r="ST10" s="206">
        <f t="shared" si="116"/>
        <v>0.55373005357923211</v>
      </c>
      <c r="SU10" s="206">
        <f t="shared" ref="SU10:VF10" si="117">SU8*(100%-$AJ$19)*$AJ$20</f>
        <v>0.55947831195314701</v>
      </c>
      <c r="SV10" s="206">
        <f t="shared" si="117"/>
        <v>0.56684547778188354</v>
      </c>
      <c r="SW10" s="206">
        <f t="shared" si="117"/>
        <v>0.57413388323671855</v>
      </c>
      <c r="SX10" s="206">
        <f t="shared" si="117"/>
        <v>0.5803296025215926</v>
      </c>
      <c r="SY10" s="206">
        <f t="shared" si="117"/>
        <v>0.58988296691585551</v>
      </c>
      <c r="SZ10" s="206">
        <f t="shared" si="117"/>
        <v>0.59700843187313746</v>
      </c>
      <c r="TA10" s="206">
        <f t="shared" si="117"/>
        <v>0.60408106220580615</v>
      </c>
      <c r="TB10" s="206">
        <f t="shared" si="117"/>
        <v>0.61090745059511542</v>
      </c>
      <c r="TC10" s="206">
        <f t="shared" si="117"/>
        <v>0.61660903039855075</v>
      </c>
      <c r="TD10" s="206">
        <f t="shared" si="117"/>
        <v>0.62323245968262375</v>
      </c>
      <c r="TE10" s="206">
        <f t="shared" si="117"/>
        <v>0.62974872153361661</v>
      </c>
      <c r="TF10" s="206">
        <f t="shared" si="117"/>
        <v>0.63723030282041926</v>
      </c>
      <c r="TG10" s="206">
        <f t="shared" si="117"/>
        <v>0.64732106931246447</v>
      </c>
      <c r="TH10" s="206">
        <f t="shared" si="117"/>
        <v>0.65468278854579387</v>
      </c>
      <c r="TI10" s="206">
        <f t="shared" si="117"/>
        <v>0.66187702158363837</v>
      </c>
      <c r="TJ10" s="206">
        <f t="shared" si="117"/>
        <v>0.66907575168558364</v>
      </c>
      <c r="TK10" s="206">
        <f t="shared" si="117"/>
        <v>0.67615165492834595</v>
      </c>
      <c r="TL10" s="206">
        <f t="shared" si="117"/>
        <v>0.68590553289280254</v>
      </c>
      <c r="TM10" s="206">
        <f t="shared" si="117"/>
        <v>0.69277575814059622</v>
      </c>
      <c r="TN10" s="206">
        <f t="shared" si="117"/>
        <v>0.69926487619172073</v>
      </c>
      <c r="TO10" s="206">
        <f t="shared" si="117"/>
        <v>0.70575482990550831</v>
      </c>
      <c r="TP10" s="206">
        <f t="shared" si="117"/>
        <v>0.71347909962368516</v>
      </c>
      <c r="TQ10" s="206">
        <f t="shared" si="117"/>
        <v>0.72139427309356607</v>
      </c>
      <c r="TR10" s="206">
        <f t="shared" si="117"/>
        <v>0.7292901299979262</v>
      </c>
      <c r="TS10" s="206">
        <f t="shared" si="117"/>
        <v>0.74012162905896239</v>
      </c>
      <c r="TT10" s="206">
        <f t="shared" si="117"/>
        <v>0.70256607921502712</v>
      </c>
      <c r="TU10" s="206">
        <f t="shared" si="117"/>
        <v>0.70998011323141863</v>
      </c>
      <c r="TV10" s="206">
        <f t="shared" si="117"/>
        <v>0.6718261113549423</v>
      </c>
      <c r="TW10" s="206">
        <f t="shared" si="117"/>
        <v>0.6790100698650593</v>
      </c>
      <c r="TX10" s="206">
        <f t="shared" si="117"/>
        <v>0.68599840752678254</v>
      </c>
      <c r="TY10" s="206">
        <f t="shared" si="117"/>
        <v>0.69288189381625487</v>
      </c>
      <c r="TZ10" s="206">
        <f t="shared" si="117"/>
        <v>0.70134507317452943</v>
      </c>
      <c r="UA10" s="206">
        <f t="shared" si="117"/>
        <v>0.66579728306951103</v>
      </c>
      <c r="UB10" s="206">
        <f t="shared" si="117"/>
        <v>0.67354770229476912</v>
      </c>
      <c r="UC10" s="206">
        <f t="shared" si="117"/>
        <v>0.63499577322963352</v>
      </c>
      <c r="UD10" s="206">
        <f t="shared" si="117"/>
        <v>0.64235785666486467</v>
      </c>
      <c r="UE10" s="206">
        <f t="shared" si="117"/>
        <v>0.65006472572460428</v>
      </c>
      <c r="UF10" s="206">
        <f t="shared" si="117"/>
        <v>0.65933660494279944</v>
      </c>
      <c r="UG10" s="206">
        <f t="shared" si="117"/>
        <v>0.66609381940154344</v>
      </c>
      <c r="UH10" s="206">
        <f t="shared" si="117"/>
        <v>0.6260614768448387</v>
      </c>
      <c r="UI10" s="206">
        <f t="shared" si="117"/>
        <v>0.63229365995683684</v>
      </c>
      <c r="UJ10" s="206">
        <f t="shared" si="117"/>
        <v>0.59257175617820357</v>
      </c>
      <c r="UK10" s="206">
        <f t="shared" si="117"/>
        <v>0.599017747272242</v>
      </c>
      <c r="UL10" s="206">
        <f t="shared" si="117"/>
        <v>0.60610203239268623</v>
      </c>
      <c r="UM10" s="206">
        <f t="shared" si="117"/>
        <v>0.61202141960322964</v>
      </c>
      <c r="UN10" s="206">
        <f t="shared" si="117"/>
        <v>0.61769719005002799</v>
      </c>
      <c r="UO10" s="206">
        <f t="shared" si="117"/>
        <v>0.57520798653995642</v>
      </c>
      <c r="UP10" s="206">
        <f t="shared" si="117"/>
        <v>0.58025770897165174</v>
      </c>
      <c r="UQ10" s="206">
        <f t="shared" si="117"/>
        <v>-1.0011605077305873E-4</v>
      </c>
      <c r="UR10" s="206">
        <f t="shared" si="117"/>
        <v>0.54778892568926862</v>
      </c>
      <c r="US10" s="206">
        <f t="shared" si="117"/>
        <v>0.55373005357923211</v>
      </c>
      <c r="UT10" s="206">
        <f t="shared" si="117"/>
        <v>0.55947831195314701</v>
      </c>
      <c r="UU10" s="206">
        <f t="shared" si="117"/>
        <v>0.56684547778188354</v>
      </c>
      <c r="UV10" s="206">
        <f t="shared" si="117"/>
        <v>0.57413388323671855</v>
      </c>
      <c r="UW10" s="206">
        <f t="shared" si="117"/>
        <v>0.5803296025215926</v>
      </c>
      <c r="UX10" s="206">
        <f t="shared" si="117"/>
        <v>0.58988296691585551</v>
      </c>
      <c r="UY10" s="206">
        <f t="shared" si="117"/>
        <v>0.59700843187313746</v>
      </c>
      <c r="UZ10" s="206">
        <f t="shared" si="117"/>
        <v>0.60408106220580615</v>
      </c>
      <c r="VA10" s="206">
        <f t="shared" si="117"/>
        <v>0.61090745059511542</v>
      </c>
      <c r="VB10" s="206">
        <f t="shared" si="117"/>
        <v>0.61660903039855075</v>
      </c>
      <c r="VC10" s="206">
        <f t="shared" si="117"/>
        <v>0.62323245968262375</v>
      </c>
      <c r="VD10" s="206">
        <f t="shared" si="117"/>
        <v>0.62974872153361661</v>
      </c>
      <c r="VE10" s="206">
        <f t="shared" si="117"/>
        <v>0.63723030282041926</v>
      </c>
      <c r="VF10" s="206">
        <f t="shared" si="117"/>
        <v>0.64732106931246447</v>
      </c>
      <c r="VG10" s="206">
        <f t="shared" ref="VG10:XR10" si="118">VG8*(100%-$AJ$19)*$AJ$20</f>
        <v>0.65468278854579387</v>
      </c>
      <c r="VH10" s="206">
        <f t="shared" si="118"/>
        <v>0.66187702158363837</v>
      </c>
      <c r="VI10" s="206">
        <f t="shared" si="118"/>
        <v>0.66907575168558364</v>
      </c>
      <c r="VJ10" s="206">
        <f t="shared" si="118"/>
        <v>0.67615165492834595</v>
      </c>
      <c r="VK10" s="206">
        <f t="shared" si="118"/>
        <v>0.68590553289280254</v>
      </c>
      <c r="VL10" s="206">
        <f t="shared" si="118"/>
        <v>0.69277575814059622</v>
      </c>
      <c r="VM10" s="206">
        <f t="shared" si="118"/>
        <v>0.69926487619172073</v>
      </c>
      <c r="VN10" s="206">
        <f t="shared" si="118"/>
        <v>0.70575482990550831</v>
      </c>
      <c r="VO10" s="206">
        <f t="shared" si="118"/>
        <v>0.71347909962368516</v>
      </c>
      <c r="VP10" s="206">
        <f t="shared" si="118"/>
        <v>0.72139427309356607</v>
      </c>
      <c r="VQ10" s="206">
        <f t="shared" si="118"/>
        <v>0.7292901299979262</v>
      </c>
      <c r="VR10" s="206">
        <f t="shared" si="118"/>
        <v>0.74012162905896239</v>
      </c>
      <c r="VS10" s="206">
        <f t="shared" si="118"/>
        <v>0.70256607921502712</v>
      </c>
      <c r="VT10" s="206">
        <f t="shared" si="118"/>
        <v>0.70998011323141863</v>
      </c>
      <c r="VU10" s="206">
        <f t="shared" si="118"/>
        <v>0.6718261113549423</v>
      </c>
      <c r="VV10" s="206">
        <f t="shared" si="118"/>
        <v>0.6790100698650593</v>
      </c>
      <c r="VW10" s="206">
        <f t="shared" si="118"/>
        <v>0.68599840752678254</v>
      </c>
      <c r="VX10" s="206">
        <f t="shared" si="118"/>
        <v>0.69288189381625487</v>
      </c>
      <c r="VY10" s="206">
        <f t="shared" si="118"/>
        <v>0.70134507317452943</v>
      </c>
      <c r="VZ10" s="206">
        <f t="shared" si="118"/>
        <v>0.66579728306951103</v>
      </c>
      <c r="WA10" s="206">
        <f t="shared" si="118"/>
        <v>0.67354770229476912</v>
      </c>
      <c r="WB10" s="206">
        <f t="shared" si="118"/>
        <v>0.63499577322963352</v>
      </c>
      <c r="WC10" s="206">
        <f t="shared" si="118"/>
        <v>0.64235785666486467</v>
      </c>
      <c r="WD10" s="206">
        <f t="shared" si="118"/>
        <v>0.65006472572460428</v>
      </c>
      <c r="WE10" s="206">
        <f t="shared" si="118"/>
        <v>0.65933660494279944</v>
      </c>
      <c r="WF10" s="206">
        <f t="shared" si="118"/>
        <v>0.66609381940154344</v>
      </c>
      <c r="WG10" s="206">
        <f t="shared" si="118"/>
        <v>0.6260614768448387</v>
      </c>
      <c r="WH10" s="206">
        <f t="shared" si="118"/>
        <v>0.63229365995683684</v>
      </c>
      <c r="WI10" s="206">
        <f t="shared" si="118"/>
        <v>0.59257175617820357</v>
      </c>
      <c r="WJ10" s="206">
        <f t="shared" si="118"/>
        <v>0.599017747272242</v>
      </c>
      <c r="WK10" s="206">
        <f t="shared" si="118"/>
        <v>0.60610203239268623</v>
      </c>
      <c r="WL10" s="206">
        <f t="shared" si="118"/>
        <v>0.61202141960322964</v>
      </c>
      <c r="WM10" s="206">
        <f t="shared" si="118"/>
        <v>0.61769719005002799</v>
      </c>
      <c r="WN10" s="206">
        <f t="shared" si="118"/>
        <v>0.57520798653995642</v>
      </c>
      <c r="WO10" s="206">
        <f t="shared" si="118"/>
        <v>0.58025770897165174</v>
      </c>
      <c r="WP10" s="206">
        <f t="shared" si="118"/>
        <v>-1.0011605077305873E-4</v>
      </c>
      <c r="WQ10" s="206">
        <f t="shared" si="118"/>
        <v>0.54778892568926862</v>
      </c>
      <c r="WR10" s="206">
        <f t="shared" si="118"/>
        <v>0.55373005357923211</v>
      </c>
      <c r="WS10" s="206">
        <f t="shared" si="118"/>
        <v>0.55947831195314701</v>
      </c>
      <c r="WT10" s="206">
        <f t="shared" si="118"/>
        <v>0.56684547778188354</v>
      </c>
      <c r="WU10" s="206">
        <f t="shared" si="118"/>
        <v>0.57413388323671855</v>
      </c>
      <c r="WV10" s="206">
        <f t="shared" si="118"/>
        <v>0.5803296025215926</v>
      </c>
      <c r="WW10" s="206">
        <f t="shared" si="118"/>
        <v>0.58988296691585551</v>
      </c>
      <c r="WX10" s="206">
        <f t="shared" si="118"/>
        <v>0.59700843187313746</v>
      </c>
      <c r="WY10" s="206">
        <f t="shared" si="118"/>
        <v>0.60408106220580615</v>
      </c>
      <c r="WZ10" s="206">
        <f t="shared" si="118"/>
        <v>0.61090745059511542</v>
      </c>
      <c r="XA10" s="206">
        <f t="shared" si="118"/>
        <v>0.61660903039855075</v>
      </c>
      <c r="XB10" s="206">
        <f t="shared" si="118"/>
        <v>0.62323245968262375</v>
      </c>
      <c r="XC10" s="206">
        <f t="shared" si="118"/>
        <v>0.62974872153361661</v>
      </c>
      <c r="XD10" s="206">
        <f t="shared" si="118"/>
        <v>0.63723030282041926</v>
      </c>
      <c r="XE10" s="206">
        <f t="shared" si="118"/>
        <v>0.64732106931246447</v>
      </c>
      <c r="XF10" s="206">
        <f t="shared" si="118"/>
        <v>0.65468278854579387</v>
      </c>
      <c r="XG10" s="206">
        <f t="shared" si="118"/>
        <v>0.66187702158363837</v>
      </c>
      <c r="XH10" s="206">
        <f t="shared" si="118"/>
        <v>0.66907575168558364</v>
      </c>
      <c r="XI10" s="206">
        <f t="shared" si="118"/>
        <v>0.67615165492834595</v>
      </c>
      <c r="XJ10" s="206">
        <f t="shared" si="118"/>
        <v>0.68590553289280254</v>
      </c>
      <c r="XK10" s="206">
        <f t="shared" si="118"/>
        <v>0.69277575814059622</v>
      </c>
      <c r="XL10" s="206">
        <f t="shared" si="118"/>
        <v>0.69926487619172073</v>
      </c>
      <c r="XM10" s="206">
        <f t="shared" si="118"/>
        <v>0.70575482990550831</v>
      </c>
      <c r="XN10" s="206">
        <f t="shared" si="118"/>
        <v>0.71347909962368516</v>
      </c>
      <c r="XO10" s="206">
        <f t="shared" si="118"/>
        <v>0.72139427309356607</v>
      </c>
      <c r="XP10" s="206">
        <f t="shared" si="118"/>
        <v>0.7292901299979262</v>
      </c>
      <c r="XQ10" s="206">
        <f t="shared" si="118"/>
        <v>0.74012162905896239</v>
      </c>
      <c r="XR10" s="206">
        <f t="shared" si="118"/>
        <v>0.70256607921502712</v>
      </c>
      <c r="XS10" s="206">
        <f t="shared" ref="XS10:AAD10" si="119">XS8*(100%-$AJ$19)*$AJ$20</f>
        <v>0.70998011323141863</v>
      </c>
      <c r="XT10" s="206">
        <f t="shared" si="119"/>
        <v>0.6718261113549423</v>
      </c>
      <c r="XU10" s="206">
        <f t="shared" si="119"/>
        <v>0.6790100698650593</v>
      </c>
      <c r="XV10" s="206">
        <f t="shared" si="119"/>
        <v>0.68599840752678254</v>
      </c>
      <c r="XW10" s="206">
        <f t="shared" si="119"/>
        <v>0.69288189381625487</v>
      </c>
      <c r="XX10" s="206">
        <f t="shared" si="119"/>
        <v>0.70134507317452943</v>
      </c>
      <c r="XY10" s="206">
        <f t="shared" si="119"/>
        <v>0.66579728306951103</v>
      </c>
      <c r="XZ10" s="206">
        <f t="shared" si="119"/>
        <v>0.67354770229476912</v>
      </c>
      <c r="YA10" s="206">
        <f t="shared" si="119"/>
        <v>0.63499577322963352</v>
      </c>
      <c r="YB10" s="206">
        <f t="shared" si="119"/>
        <v>0.64235785666486467</v>
      </c>
      <c r="YC10" s="206">
        <f t="shared" si="119"/>
        <v>0.65006472572460428</v>
      </c>
      <c r="YD10" s="206">
        <f t="shared" si="119"/>
        <v>0.65933660494279944</v>
      </c>
      <c r="YE10" s="206">
        <f t="shared" si="119"/>
        <v>0.66609381940154344</v>
      </c>
      <c r="YF10" s="206">
        <f t="shared" si="119"/>
        <v>0.6260614768448387</v>
      </c>
      <c r="YG10" s="206">
        <f t="shared" si="119"/>
        <v>0.63229365995683684</v>
      </c>
      <c r="YH10" s="206">
        <f t="shared" si="119"/>
        <v>0.59257175617820357</v>
      </c>
      <c r="YI10" s="206">
        <f t="shared" si="119"/>
        <v>0.599017747272242</v>
      </c>
      <c r="YJ10" s="206">
        <f t="shared" si="119"/>
        <v>0.60610203239268623</v>
      </c>
      <c r="YK10" s="206">
        <f t="shared" si="119"/>
        <v>0.61202141960322964</v>
      </c>
      <c r="YL10" s="206">
        <f t="shared" si="119"/>
        <v>0.61769719005002799</v>
      </c>
      <c r="YM10" s="206">
        <f t="shared" si="119"/>
        <v>0.57520798653995642</v>
      </c>
      <c r="YN10" s="206">
        <f t="shared" si="119"/>
        <v>0.58025770897165174</v>
      </c>
      <c r="YO10" s="206">
        <f t="shared" si="119"/>
        <v>-1.0011605077305873E-4</v>
      </c>
      <c r="YP10" s="206">
        <f t="shared" si="119"/>
        <v>0.5272408006892686</v>
      </c>
      <c r="YQ10" s="206">
        <f t="shared" si="119"/>
        <v>0.53128134976226782</v>
      </c>
      <c r="YR10" s="206">
        <f t="shared" si="119"/>
        <v>0.53492181798478999</v>
      </c>
      <c r="YS10" s="206">
        <f t="shared" si="119"/>
        <v>0.54003506753448438</v>
      </c>
      <c r="YT10" s="206">
        <f t="shared" si="119"/>
        <v>0.54497826254483162</v>
      </c>
      <c r="YU10" s="206">
        <f t="shared" si="119"/>
        <v>0.54864560922538586</v>
      </c>
      <c r="YV10" s="206">
        <f t="shared" si="119"/>
        <v>0.55546402362200797</v>
      </c>
      <c r="YW10" s="206">
        <f t="shared" si="119"/>
        <v>0.55970637846367421</v>
      </c>
      <c r="YX10" s="206">
        <f t="shared" si="119"/>
        <v>0.56374057507036435</v>
      </c>
      <c r="YY10" s="206">
        <f t="shared" si="119"/>
        <v>0.56747450743440919</v>
      </c>
      <c r="YZ10" s="206">
        <f t="shared" si="119"/>
        <v>0.56989622915899851</v>
      </c>
      <c r="ZA10" s="206">
        <f t="shared" si="119"/>
        <v>0.5731140218499019</v>
      </c>
      <c r="ZB10" s="206">
        <f t="shared" si="119"/>
        <v>0.57603310861588153</v>
      </c>
      <c r="ZC10" s="206">
        <f t="shared" si="119"/>
        <v>0.57979458788700455</v>
      </c>
      <c r="ZD10" s="206">
        <f t="shared" si="119"/>
        <v>0.58609477210944283</v>
      </c>
      <c r="ZE10" s="206">
        <f t="shared" si="119"/>
        <v>0.58957750915868401</v>
      </c>
      <c r="ZF10" s="206">
        <f t="shared" si="119"/>
        <v>0.59287604580670306</v>
      </c>
      <c r="ZG10" s="206">
        <f t="shared" si="119"/>
        <v>0.59598437036644325</v>
      </c>
      <c r="ZH10" s="206">
        <f t="shared" si="119"/>
        <v>0.59882408190124492</v>
      </c>
      <c r="ZI10" s="206">
        <f t="shared" si="119"/>
        <v>0.60428783228391114</v>
      </c>
      <c r="ZJ10" s="206">
        <f t="shared" si="119"/>
        <v>0.60673752475903941</v>
      </c>
      <c r="ZK10" s="206">
        <f t="shared" si="119"/>
        <v>0.60897512330476722</v>
      </c>
      <c r="ZL10" s="206">
        <f t="shared" si="119"/>
        <v>0.61092779989331025</v>
      </c>
      <c r="ZM10" s="206">
        <f t="shared" si="119"/>
        <v>0.61410830863228782</v>
      </c>
      <c r="ZN10" s="206">
        <f t="shared" si="119"/>
        <v>0.61714922060789779</v>
      </c>
      <c r="ZO10" s="206">
        <f t="shared" si="119"/>
        <v>0.62004665862208763</v>
      </c>
      <c r="ZP10" s="206">
        <f t="shared" si="119"/>
        <v>0.62586388466521869</v>
      </c>
      <c r="ZQ10" s="206">
        <f t="shared" si="119"/>
        <v>0.58318961082893661</v>
      </c>
      <c r="ZR10" s="206">
        <f t="shared" si="119"/>
        <v>0.58549350989359972</v>
      </c>
      <c r="ZS10" s="206">
        <f t="shared" si="119"/>
        <v>0.5421474668766294</v>
      </c>
      <c r="ZT10" s="206">
        <f t="shared" si="119"/>
        <v>0.54406623475979898</v>
      </c>
      <c r="ZU10" s="206">
        <f t="shared" si="119"/>
        <v>0.54583676408698723</v>
      </c>
      <c r="ZV10" s="206">
        <f t="shared" si="119"/>
        <v>0.54745584767196775</v>
      </c>
      <c r="ZW10" s="206">
        <f t="shared" si="119"/>
        <v>0.55061897422387607</v>
      </c>
      <c r="ZX10" s="206">
        <f t="shared" si="119"/>
        <v>0.50986197959897406</v>
      </c>
      <c r="ZY10" s="206">
        <f t="shared" si="119"/>
        <v>0.51284269140899252</v>
      </c>
      <c r="ZZ10" s="206">
        <f t="shared" si="119"/>
        <v>0.46924257723736174</v>
      </c>
      <c r="AAA10" s="206">
        <f t="shared" si="119"/>
        <v>0.47207376204186335</v>
      </c>
      <c r="AAB10" s="206">
        <f t="shared" si="119"/>
        <v>0.47484884313916814</v>
      </c>
      <c r="AAC10" s="206">
        <f t="shared" si="119"/>
        <v>0.4793622278618852</v>
      </c>
      <c r="AAD10" s="206">
        <f t="shared" si="119"/>
        <v>0.48199752915665089</v>
      </c>
      <c r="AAE10" s="206">
        <f t="shared" ref="AAE10:ACP10" si="120">AAE8*(100%-$AJ$19)*$AJ$20</f>
        <v>0.43742527944371185</v>
      </c>
      <c r="AAF10" s="206">
        <f t="shared" si="120"/>
        <v>0.43994902803821118</v>
      </c>
      <c r="AAG10" s="206">
        <f t="shared" si="120"/>
        <v>0.3960885628495513</v>
      </c>
      <c r="AAH10" s="206">
        <f t="shared" si="120"/>
        <v>0.39854050124088219</v>
      </c>
      <c r="AAI10" s="206">
        <f t="shared" si="120"/>
        <v>0.40190134214778467</v>
      </c>
      <c r="AAJ10" s="206">
        <f t="shared" si="120"/>
        <v>0.40427468232743985</v>
      </c>
      <c r="AAK10" s="206">
        <f t="shared" si="120"/>
        <v>0.40659704662892654</v>
      </c>
      <c r="AAL10" s="206">
        <f t="shared" si="120"/>
        <v>0.36106878837347328</v>
      </c>
      <c r="AAM10" s="206">
        <f t="shared" si="120"/>
        <v>0.36330309020451307</v>
      </c>
      <c r="AAN10" s="206">
        <f t="shared" si="120"/>
        <v>-1.0011605077305873E-4</v>
      </c>
      <c r="AAO10" s="206">
        <f t="shared" si="120"/>
        <v>0.31315255950725324</v>
      </c>
      <c r="AAP10" s="206">
        <f t="shared" si="120"/>
        <v>0.31530287025634079</v>
      </c>
      <c r="AAQ10" s="206">
        <f t="shared" si="120"/>
        <v>0.31741487876442126</v>
      </c>
      <c r="AAR10" s="206">
        <f t="shared" si="120"/>
        <v>0.31948737000475302</v>
      </c>
      <c r="AAS10" s="206">
        <f t="shared" si="120"/>
        <v>0.32151913048534075</v>
      </c>
      <c r="AAT10" s="206">
        <f t="shared" si="120"/>
        <v>0.32345136601587943</v>
      </c>
      <c r="AAU10" s="206">
        <f t="shared" si="120"/>
        <v>0.3277863578868509</v>
      </c>
      <c r="AAV10" s="206">
        <f t="shared" si="120"/>
        <v>0.32970049750532932</v>
      </c>
      <c r="AAW10" s="206">
        <f t="shared" si="120"/>
        <v>0.33156945567941698</v>
      </c>
      <c r="AAX10" s="206">
        <f t="shared" si="120"/>
        <v>0.33339204828297142</v>
      </c>
      <c r="AAY10" s="206">
        <f t="shared" si="120"/>
        <v>0.33516709693523178</v>
      </c>
      <c r="AAZ10" s="206">
        <f t="shared" si="120"/>
        <v>0.33689342974379632</v>
      </c>
      <c r="ABA10" s="206">
        <f t="shared" si="120"/>
        <v>0.33851355713250081</v>
      </c>
      <c r="ABB10" s="206">
        <f t="shared" si="120"/>
        <v>0.34008254823608502</v>
      </c>
      <c r="ABC10" s="206">
        <f t="shared" si="120"/>
        <v>0.34431039264256552</v>
      </c>
      <c r="ABD10" s="206">
        <f t="shared" si="120"/>
        <v>0.3458459874180555</v>
      </c>
      <c r="ABE10" s="206">
        <f t="shared" si="120"/>
        <v>0.34732756068666648</v>
      </c>
      <c r="ABF10" s="206">
        <f t="shared" si="120"/>
        <v>0.34875400340317375</v>
      </c>
      <c r="ABG10" s="206">
        <f t="shared" si="120"/>
        <v>0.3501242179957233</v>
      </c>
      <c r="ABH10" s="206">
        <f t="shared" si="120"/>
        <v>0.35426276493203229</v>
      </c>
      <c r="ABI10" s="206">
        <f t="shared" si="120"/>
        <v>0.35553600090750376</v>
      </c>
      <c r="ABJ10" s="206">
        <f t="shared" si="120"/>
        <v>0.35675021954681602</v>
      </c>
      <c r="ABK10" s="206">
        <f t="shared" si="120"/>
        <v>0.35790438220342397</v>
      </c>
      <c r="ABL10" s="206">
        <f t="shared" si="120"/>
        <v>0.35899746508158042</v>
      </c>
      <c r="ABM10" s="206">
        <f t="shared" si="120"/>
        <v>0.36002845997327354</v>
      </c>
      <c r="ABN10" s="206">
        <f t="shared" si="120"/>
        <v>0.3609963749931635</v>
      </c>
      <c r="ABO10" s="206">
        <f t="shared" si="120"/>
        <v>0.36496733511808832</v>
      </c>
      <c r="ABP10" s="206">
        <f t="shared" si="120"/>
        <v>0.32059728918031322</v>
      </c>
      <c r="ABQ10" s="206">
        <f t="shared" si="120"/>
        <v>0.32129437332441219</v>
      </c>
      <c r="ABR10" s="206">
        <f t="shared" si="120"/>
        <v>0.27643316417482822</v>
      </c>
      <c r="ABS10" s="206">
        <f t="shared" si="120"/>
        <v>0.27693106718398525</v>
      </c>
      <c r="ABT10" s="206">
        <f t="shared" si="120"/>
        <v>0.27737764235623874</v>
      </c>
      <c r="ABU10" s="206">
        <f t="shared" si="120"/>
        <v>0.27777224507363829</v>
      </c>
      <c r="ABV10" s="206">
        <f t="shared" si="120"/>
        <v>0.27807693930939875</v>
      </c>
      <c r="ABW10" s="206">
        <f t="shared" si="120"/>
        <v>0.23453599847526113</v>
      </c>
      <c r="ABX10" s="206">
        <f t="shared" si="120"/>
        <v>0.23474832267288179</v>
      </c>
      <c r="ABY10" s="206">
        <f t="shared" si="120"/>
        <v>0.18839656938177834</v>
      </c>
      <c r="ABZ10" s="206">
        <f t="shared" si="120"/>
        <v>0.18849406479812714</v>
      </c>
      <c r="ACA10" s="206">
        <f t="shared" si="120"/>
        <v>0.18855461829865999</v>
      </c>
      <c r="ACB10" s="206">
        <f t="shared" si="120"/>
        <v>0.19037385956092617</v>
      </c>
      <c r="ACC10" s="206">
        <f t="shared" si="120"/>
        <v>0.19039734545071238</v>
      </c>
      <c r="ACD10" s="206">
        <f t="shared" si="120"/>
        <v>0.14323682963659684</v>
      </c>
      <c r="ACE10" s="206">
        <f t="shared" si="120"/>
        <v>0.14319708535145045</v>
      </c>
      <c r="ACF10" s="206">
        <f t="shared" si="120"/>
        <v>9.6799131571787794E-2</v>
      </c>
      <c r="ACG10" s="206">
        <f t="shared" si="120"/>
        <v>9.6740823272609702E-2</v>
      </c>
      <c r="ACH10" s="206">
        <f t="shared" si="120"/>
        <v>9.7619902927565158E-2</v>
      </c>
      <c r="ACI10" s="206">
        <f t="shared" si="120"/>
        <v>9.7541216126015282E-2</v>
      </c>
      <c r="ACJ10" s="206">
        <f t="shared" si="120"/>
        <v>9.7442541197949775E-2</v>
      </c>
      <c r="ACK10" s="206">
        <f t="shared" si="120"/>
        <v>4.9585543573078449E-2</v>
      </c>
      <c r="ACL10" s="206">
        <f t="shared" si="120"/>
        <v>4.9525092327783259E-2</v>
      </c>
      <c r="ACM10" s="206">
        <f t="shared" si="120"/>
        <v>-1.0011605077305873E-4</v>
      </c>
      <c r="ACN10" s="206">
        <f t="shared" si="120"/>
        <v>0</v>
      </c>
      <c r="ACO10" s="206">
        <f t="shared" si="120"/>
        <v>0</v>
      </c>
      <c r="ACP10" s="206">
        <f t="shared" si="120"/>
        <v>0</v>
      </c>
      <c r="ACQ10" s="206">
        <f t="shared" ref="ACQ10:AFB10" si="121">ACQ8*(100%-$AJ$19)*$AJ$20</f>
        <v>0</v>
      </c>
      <c r="ACR10" s="206">
        <f t="shared" si="121"/>
        <v>0</v>
      </c>
      <c r="ACS10" s="206">
        <f t="shared" si="121"/>
        <v>0</v>
      </c>
      <c r="ACT10" s="206">
        <f t="shared" si="121"/>
        <v>0</v>
      </c>
      <c r="ACU10" s="206">
        <f t="shared" si="121"/>
        <v>0</v>
      </c>
      <c r="ACV10" s="206">
        <f t="shared" si="121"/>
        <v>0</v>
      </c>
      <c r="ACW10" s="206">
        <f t="shared" si="121"/>
        <v>0</v>
      </c>
      <c r="ACX10" s="206">
        <f t="shared" si="121"/>
        <v>0</v>
      </c>
      <c r="ACY10" s="206">
        <f t="shared" si="121"/>
        <v>0</v>
      </c>
      <c r="ACZ10" s="206">
        <f t="shared" si="121"/>
        <v>0</v>
      </c>
      <c r="ADA10" s="206">
        <f t="shared" si="121"/>
        <v>0</v>
      </c>
      <c r="ADB10" s="206">
        <f t="shared" si="121"/>
        <v>0</v>
      </c>
      <c r="ADC10" s="206">
        <f t="shared" si="121"/>
        <v>0</v>
      </c>
      <c r="ADD10" s="206">
        <f t="shared" si="121"/>
        <v>0</v>
      </c>
      <c r="ADE10" s="206">
        <f t="shared" si="121"/>
        <v>0</v>
      </c>
      <c r="ADF10" s="206">
        <f t="shared" si="121"/>
        <v>0</v>
      </c>
      <c r="ADG10" s="206">
        <f t="shared" si="121"/>
        <v>0</v>
      </c>
      <c r="ADH10" s="206">
        <f t="shared" si="121"/>
        <v>0</v>
      </c>
      <c r="ADI10" s="206">
        <f t="shared" si="121"/>
        <v>0</v>
      </c>
      <c r="ADJ10" s="206">
        <f t="shared" si="121"/>
        <v>0</v>
      </c>
      <c r="ADK10" s="206">
        <f t="shared" si="121"/>
        <v>0</v>
      </c>
      <c r="ADL10" s="206">
        <f t="shared" si="121"/>
        <v>0</v>
      </c>
      <c r="ADM10" s="206">
        <f t="shared" si="121"/>
        <v>0</v>
      </c>
      <c r="ADN10" s="206">
        <f t="shared" si="121"/>
        <v>0</v>
      </c>
      <c r="ADO10" s="206">
        <f t="shared" si="121"/>
        <v>0</v>
      </c>
      <c r="ADP10" s="206">
        <f t="shared" si="121"/>
        <v>0</v>
      </c>
      <c r="ADQ10" s="206">
        <f t="shared" si="121"/>
        <v>0</v>
      </c>
      <c r="ADR10" s="206">
        <f t="shared" si="121"/>
        <v>0</v>
      </c>
      <c r="ADS10" s="206">
        <f t="shared" si="121"/>
        <v>0</v>
      </c>
      <c r="ADT10" s="206">
        <f t="shared" si="121"/>
        <v>0</v>
      </c>
      <c r="ADU10" s="206">
        <f t="shared" si="121"/>
        <v>0</v>
      </c>
      <c r="ADV10" s="206">
        <f t="shared" si="121"/>
        <v>0</v>
      </c>
      <c r="ADW10" s="206">
        <f t="shared" si="121"/>
        <v>0</v>
      </c>
      <c r="ADX10" s="206">
        <f t="shared" si="121"/>
        <v>0</v>
      </c>
      <c r="ADY10" s="206">
        <f t="shared" si="121"/>
        <v>0</v>
      </c>
      <c r="ADZ10" s="206">
        <f t="shared" si="121"/>
        <v>0</v>
      </c>
      <c r="AEA10" s="206">
        <f t="shared" si="121"/>
        <v>0</v>
      </c>
      <c r="AEB10" s="206">
        <f t="shared" si="121"/>
        <v>0</v>
      </c>
      <c r="AEC10" s="206">
        <f t="shared" si="121"/>
        <v>0</v>
      </c>
      <c r="AED10" s="206">
        <f t="shared" si="121"/>
        <v>0</v>
      </c>
      <c r="AEE10" s="206">
        <f t="shared" si="121"/>
        <v>0</v>
      </c>
      <c r="AEF10" s="206">
        <f t="shared" si="121"/>
        <v>0</v>
      </c>
      <c r="AEG10" s="206">
        <f t="shared" si="121"/>
        <v>0</v>
      </c>
      <c r="AEH10" s="206">
        <f t="shared" si="121"/>
        <v>0</v>
      </c>
      <c r="AEI10" s="206">
        <f t="shared" si="121"/>
        <v>0</v>
      </c>
      <c r="AEJ10" s="206">
        <f t="shared" si="121"/>
        <v>0</v>
      </c>
      <c r="AEK10" s="206">
        <f t="shared" si="121"/>
        <v>0</v>
      </c>
      <c r="AEL10" s="206">
        <f t="shared" si="121"/>
        <v>0</v>
      </c>
      <c r="AEM10" s="206">
        <f t="shared" si="121"/>
        <v>0</v>
      </c>
      <c r="AEN10" s="206">
        <f t="shared" si="121"/>
        <v>0</v>
      </c>
      <c r="AEO10" s="206">
        <f t="shared" si="121"/>
        <v>0</v>
      </c>
      <c r="AEP10" s="206">
        <f t="shared" si="121"/>
        <v>0</v>
      </c>
      <c r="AEQ10" s="206">
        <f t="shared" si="121"/>
        <v>0</v>
      </c>
      <c r="AER10" s="206">
        <f t="shared" si="121"/>
        <v>0</v>
      </c>
      <c r="AES10" s="206">
        <f t="shared" si="121"/>
        <v>0</v>
      </c>
      <c r="AET10" s="206">
        <f t="shared" si="121"/>
        <v>0</v>
      </c>
      <c r="AEU10" s="206">
        <f t="shared" si="121"/>
        <v>0</v>
      </c>
      <c r="AEV10" s="206">
        <f t="shared" si="121"/>
        <v>0</v>
      </c>
      <c r="AEW10" s="206">
        <f t="shared" si="121"/>
        <v>0</v>
      </c>
      <c r="AEX10" s="206">
        <f t="shared" si="121"/>
        <v>0</v>
      </c>
      <c r="AEY10" s="206">
        <f t="shared" si="121"/>
        <v>0</v>
      </c>
      <c r="AEZ10" s="206">
        <f t="shared" si="121"/>
        <v>0</v>
      </c>
      <c r="AFA10" s="206">
        <f t="shared" si="121"/>
        <v>0</v>
      </c>
      <c r="AFB10" s="206">
        <f t="shared" si="121"/>
        <v>0</v>
      </c>
      <c r="AFC10" s="206">
        <f t="shared" ref="AFC10:AHN10" si="122">AFC8*(100%-$AJ$19)*$AJ$20</f>
        <v>0</v>
      </c>
      <c r="AFD10" s="206">
        <f t="shared" si="122"/>
        <v>0</v>
      </c>
      <c r="AFE10" s="206">
        <f t="shared" si="122"/>
        <v>0</v>
      </c>
      <c r="AFF10" s="206">
        <f t="shared" si="122"/>
        <v>0</v>
      </c>
      <c r="AFG10" s="206">
        <f t="shared" si="122"/>
        <v>0</v>
      </c>
      <c r="AFH10" s="206">
        <f t="shared" si="122"/>
        <v>0</v>
      </c>
      <c r="AFI10" s="206">
        <f t="shared" si="122"/>
        <v>0</v>
      </c>
      <c r="AFJ10" s="206">
        <f t="shared" si="122"/>
        <v>0</v>
      </c>
      <c r="AFK10" s="206">
        <f t="shared" si="122"/>
        <v>0</v>
      </c>
      <c r="AFL10" s="206">
        <f t="shared" si="122"/>
        <v>0</v>
      </c>
      <c r="AFM10" s="206">
        <f t="shared" si="122"/>
        <v>0</v>
      </c>
      <c r="AFN10" s="206">
        <f t="shared" si="122"/>
        <v>0</v>
      </c>
      <c r="AFO10" s="206">
        <f t="shared" si="122"/>
        <v>0</v>
      </c>
      <c r="AFP10" s="206">
        <f t="shared" si="122"/>
        <v>0</v>
      </c>
      <c r="AFQ10" s="206">
        <f t="shared" si="122"/>
        <v>0</v>
      </c>
      <c r="AFR10" s="206">
        <f t="shared" si="122"/>
        <v>0</v>
      </c>
      <c r="AFS10" s="206">
        <f t="shared" si="122"/>
        <v>0</v>
      </c>
      <c r="AFT10" s="206">
        <f t="shared" si="122"/>
        <v>0</v>
      </c>
      <c r="AFU10" s="206">
        <f t="shared" si="122"/>
        <v>0</v>
      </c>
      <c r="AFV10" s="206">
        <f t="shared" si="122"/>
        <v>0</v>
      </c>
      <c r="AFW10" s="206">
        <f t="shared" si="122"/>
        <v>0</v>
      </c>
      <c r="AFX10" s="206">
        <f t="shared" si="122"/>
        <v>0</v>
      </c>
      <c r="AFY10" s="206">
        <f t="shared" si="122"/>
        <v>0</v>
      </c>
      <c r="AFZ10" s="206">
        <f t="shared" si="122"/>
        <v>0</v>
      </c>
      <c r="AGA10" s="206">
        <f t="shared" si="122"/>
        <v>0</v>
      </c>
      <c r="AGB10" s="206">
        <f t="shared" si="122"/>
        <v>0</v>
      </c>
      <c r="AGC10" s="206">
        <f t="shared" si="122"/>
        <v>0</v>
      </c>
      <c r="AGD10" s="206">
        <f t="shared" si="122"/>
        <v>0</v>
      </c>
      <c r="AGE10" s="206">
        <f t="shared" si="122"/>
        <v>0</v>
      </c>
      <c r="AGF10" s="206">
        <f t="shared" si="122"/>
        <v>0</v>
      </c>
      <c r="AGG10" s="206">
        <f t="shared" si="122"/>
        <v>0</v>
      </c>
      <c r="AGH10" s="206">
        <f t="shared" si="122"/>
        <v>0</v>
      </c>
      <c r="AGI10" s="206">
        <f t="shared" si="122"/>
        <v>0</v>
      </c>
      <c r="AGJ10" s="206">
        <f t="shared" si="122"/>
        <v>0</v>
      </c>
      <c r="AGK10" s="206">
        <f t="shared" si="122"/>
        <v>0</v>
      </c>
      <c r="AGL10" s="206">
        <f t="shared" si="122"/>
        <v>0</v>
      </c>
      <c r="AGM10" s="206">
        <f t="shared" si="122"/>
        <v>0</v>
      </c>
      <c r="AGN10" s="206">
        <f t="shared" si="122"/>
        <v>0</v>
      </c>
      <c r="AGO10" s="206">
        <f t="shared" si="122"/>
        <v>0</v>
      </c>
      <c r="AGP10" s="206">
        <f t="shared" si="122"/>
        <v>0</v>
      </c>
      <c r="AGQ10" s="206">
        <f t="shared" si="122"/>
        <v>0</v>
      </c>
      <c r="AGR10" s="206">
        <f t="shared" si="122"/>
        <v>0</v>
      </c>
      <c r="AGS10" s="206">
        <f t="shared" si="122"/>
        <v>0</v>
      </c>
      <c r="AGT10" s="206">
        <f t="shared" si="122"/>
        <v>0</v>
      </c>
      <c r="AGU10" s="206">
        <f t="shared" si="122"/>
        <v>0</v>
      </c>
      <c r="AGV10" s="206">
        <f t="shared" si="122"/>
        <v>0</v>
      </c>
      <c r="AGW10" s="206">
        <f t="shared" si="122"/>
        <v>0</v>
      </c>
      <c r="AGX10" s="206">
        <f t="shared" si="122"/>
        <v>0</v>
      </c>
      <c r="AGY10" s="206">
        <f t="shared" si="122"/>
        <v>0</v>
      </c>
      <c r="AGZ10" s="206">
        <f t="shared" si="122"/>
        <v>0</v>
      </c>
      <c r="AHA10" s="206">
        <f t="shared" si="122"/>
        <v>0</v>
      </c>
      <c r="AHB10" s="206">
        <f t="shared" si="122"/>
        <v>0</v>
      </c>
      <c r="AHC10" s="206">
        <f t="shared" si="122"/>
        <v>0</v>
      </c>
      <c r="AHD10" s="206">
        <f t="shared" si="122"/>
        <v>0</v>
      </c>
      <c r="AHE10" s="206">
        <f t="shared" si="122"/>
        <v>0</v>
      </c>
      <c r="AHF10" s="206">
        <f t="shared" si="122"/>
        <v>0</v>
      </c>
      <c r="AHG10" s="206">
        <f t="shared" si="122"/>
        <v>0</v>
      </c>
      <c r="AHH10" s="206">
        <f t="shared" si="122"/>
        <v>0</v>
      </c>
      <c r="AHI10" s="206">
        <f t="shared" si="122"/>
        <v>0</v>
      </c>
      <c r="AHJ10" s="206">
        <f t="shared" si="122"/>
        <v>0</v>
      </c>
      <c r="AHK10" s="206">
        <f t="shared" si="122"/>
        <v>0</v>
      </c>
      <c r="AHL10" s="206">
        <f t="shared" si="122"/>
        <v>0</v>
      </c>
      <c r="AHM10" s="206">
        <f t="shared" si="122"/>
        <v>0</v>
      </c>
      <c r="AHN10" s="206">
        <f t="shared" si="122"/>
        <v>0</v>
      </c>
      <c r="AHO10" s="206">
        <f t="shared" ref="AHO10:AJA10" si="123">AHO8*(100%-$AJ$19)*$AJ$20</f>
        <v>0</v>
      </c>
      <c r="AHP10" s="206">
        <f t="shared" si="123"/>
        <v>0</v>
      </c>
      <c r="AHQ10" s="206">
        <f t="shared" si="123"/>
        <v>0</v>
      </c>
      <c r="AHR10" s="206">
        <f t="shared" si="123"/>
        <v>0</v>
      </c>
      <c r="AHS10" s="206">
        <f t="shared" si="123"/>
        <v>0</v>
      </c>
      <c r="AHT10" s="206">
        <f t="shared" si="123"/>
        <v>0</v>
      </c>
      <c r="AHU10" s="206">
        <f t="shared" si="123"/>
        <v>0</v>
      </c>
      <c r="AHV10" s="206">
        <f t="shared" si="123"/>
        <v>0</v>
      </c>
      <c r="AHW10" s="206">
        <f t="shared" si="123"/>
        <v>0</v>
      </c>
      <c r="AHX10" s="206">
        <f t="shared" si="123"/>
        <v>0</v>
      </c>
      <c r="AHY10" s="206">
        <f t="shared" si="123"/>
        <v>0</v>
      </c>
      <c r="AHZ10" s="206">
        <f t="shared" si="123"/>
        <v>0</v>
      </c>
      <c r="AIA10" s="206">
        <f t="shared" si="123"/>
        <v>0</v>
      </c>
      <c r="AIB10" s="206">
        <f t="shared" si="123"/>
        <v>0</v>
      </c>
      <c r="AIC10" s="206">
        <f t="shared" si="123"/>
        <v>0</v>
      </c>
      <c r="AID10" s="206">
        <f t="shared" si="123"/>
        <v>0</v>
      </c>
      <c r="AIE10" s="206">
        <f t="shared" si="123"/>
        <v>0</v>
      </c>
      <c r="AIF10" s="206">
        <f t="shared" si="123"/>
        <v>0</v>
      </c>
      <c r="AIG10" s="206">
        <f t="shared" si="123"/>
        <v>0</v>
      </c>
      <c r="AIH10" s="206">
        <f t="shared" si="123"/>
        <v>0</v>
      </c>
      <c r="AII10" s="206">
        <f t="shared" si="123"/>
        <v>0</v>
      </c>
      <c r="AIJ10" s="206">
        <f t="shared" si="123"/>
        <v>0</v>
      </c>
      <c r="AIK10" s="206">
        <f t="shared" si="123"/>
        <v>0</v>
      </c>
      <c r="AIL10" s="206">
        <f t="shared" si="123"/>
        <v>0</v>
      </c>
      <c r="AIM10" s="206">
        <f t="shared" si="123"/>
        <v>0</v>
      </c>
      <c r="AIN10" s="206">
        <f t="shared" si="123"/>
        <v>0</v>
      </c>
      <c r="AIO10" s="206">
        <f t="shared" si="123"/>
        <v>0</v>
      </c>
      <c r="AIP10" s="206">
        <f t="shared" si="123"/>
        <v>0</v>
      </c>
      <c r="AIQ10" s="206">
        <f t="shared" si="123"/>
        <v>0</v>
      </c>
      <c r="AIR10" s="206">
        <f t="shared" si="123"/>
        <v>0</v>
      </c>
      <c r="AIS10" s="206">
        <f t="shared" si="123"/>
        <v>0</v>
      </c>
      <c r="AIT10" s="206">
        <f t="shared" si="123"/>
        <v>0</v>
      </c>
      <c r="AIU10" s="206">
        <f t="shared" si="123"/>
        <v>0</v>
      </c>
      <c r="AIV10" s="206">
        <f t="shared" si="123"/>
        <v>0</v>
      </c>
      <c r="AIW10" s="206">
        <f t="shared" si="123"/>
        <v>0</v>
      </c>
      <c r="AIX10" s="206">
        <f t="shared" si="123"/>
        <v>0</v>
      </c>
      <c r="AIY10" s="206">
        <f t="shared" si="123"/>
        <v>0</v>
      </c>
      <c r="AIZ10" s="206">
        <f t="shared" si="123"/>
        <v>0</v>
      </c>
      <c r="AJA10" s="206">
        <f t="shared" si="123"/>
        <v>0</v>
      </c>
    </row>
    <row r="11" spans="1:1024" s="204" customFormat="1" ht="22.15" customHeight="1" x14ac:dyDescent="0.25">
      <c r="A11" s="286" t="s">
        <v>76</v>
      </c>
      <c r="B11" s="286"/>
      <c r="C11" s="206">
        <f t="shared" ref="C11:BN11" si="124">C4*$AJ$17</f>
        <v>0.13347500000000001</v>
      </c>
      <c r="D11" s="206">
        <f t="shared" si="124"/>
        <v>0.14582064017857141</v>
      </c>
      <c r="E11" s="206">
        <f t="shared" si="124"/>
        <v>0.15951226851240433</v>
      </c>
      <c r="F11" s="206">
        <f t="shared" si="124"/>
        <v>0.17415309220532779</v>
      </c>
      <c r="G11" s="206">
        <f t="shared" si="124"/>
        <v>0.18938693782764171</v>
      </c>
      <c r="H11" s="206">
        <f t="shared" si="124"/>
        <v>0.20581055474459078</v>
      </c>
      <c r="I11" s="206">
        <f t="shared" si="124"/>
        <v>0.22357604190875338</v>
      </c>
      <c r="J11" s="206">
        <f t="shared" si="124"/>
        <v>0.24230393667685554</v>
      </c>
      <c r="K11" s="206">
        <f t="shared" si="124"/>
        <v>0.26204077113620311</v>
      </c>
      <c r="L11" s="206">
        <f t="shared" si="124"/>
        <v>0.28212851967638308</v>
      </c>
      <c r="M11" s="206">
        <f t="shared" si="124"/>
        <v>0.30343358070136489</v>
      </c>
      <c r="N11" s="206">
        <f t="shared" si="124"/>
        <v>0.32555566455443236</v>
      </c>
      <c r="O11" s="206">
        <f t="shared" si="124"/>
        <v>0.34892193006391964</v>
      </c>
      <c r="P11" s="206">
        <f t="shared" si="124"/>
        <v>0.37308669529397526</v>
      </c>
      <c r="Q11" s="206">
        <f t="shared" si="124"/>
        <v>0.3977092809768929</v>
      </c>
      <c r="R11" s="206">
        <f t="shared" si="124"/>
        <v>0.42290608832652571</v>
      </c>
      <c r="S11" s="206">
        <f t="shared" si="124"/>
        <v>0.44821146658522065</v>
      </c>
      <c r="T11" s="206">
        <f t="shared" si="124"/>
        <v>0.47478162224398929</v>
      </c>
      <c r="U11" s="206">
        <f t="shared" si="124"/>
        <v>0.50229876496236525</v>
      </c>
      <c r="V11" s="206">
        <f t="shared" si="124"/>
        <v>0.53016626036544812</v>
      </c>
      <c r="W11" s="206">
        <f t="shared" si="124"/>
        <v>0.55888083222207718</v>
      </c>
      <c r="X11" s="206">
        <f t="shared" si="124"/>
        <v>0.58649754012038169</v>
      </c>
      <c r="Y11" s="206">
        <f t="shared" si="124"/>
        <v>0.6159704513612867</v>
      </c>
      <c r="Z11" s="206">
        <f t="shared" si="124"/>
        <v>0.6454854799441192</v>
      </c>
      <c r="AA11" s="206">
        <f t="shared" si="124"/>
        <v>0.67714734947955457</v>
      </c>
      <c r="AB11" s="206">
        <f t="shared" si="124"/>
        <v>0.70961571150117286</v>
      </c>
      <c r="AC11" s="206">
        <f t="shared" si="124"/>
        <v>0.74218705760038572</v>
      </c>
      <c r="AD11" s="206">
        <f t="shared" si="124"/>
        <v>0.77543688866178417</v>
      </c>
      <c r="AE11" s="206">
        <f t="shared" si="124"/>
        <v>0.80863092766446487</v>
      </c>
      <c r="AF11" s="206">
        <f t="shared" si="124"/>
        <v>0.84235700686767268</v>
      </c>
      <c r="AG11" s="206">
        <f t="shared" si="124"/>
        <v>0.87655824512818559</v>
      </c>
      <c r="AH11" s="206">
        <f t="shared" si="124"/>
        <v>0.91045170097644801</v>
      </c>
      <c r="AI11" s="206">
        <f t="shared" si="124"/>
        <v>0.94464782110818946</v>
      </c>
      <c r="AJ11" s="206">
        <f t="shared" si="124"/>
        <v>0.97907551455125341</v>
      </c>
      <c r="AK11" s="206">
        <f t="shared" si="124"/>
        <v>1.012913082372719</v>
      </c>
      <c r="AL11" s="206">
        <f t="shared" si="124"/>
        <v>1.0438957972067546</v>
      </c>
      <c r="AM11" s="206">
        <f t="shared" si="124"/>
        <v>1.0766874269583462</v>
      </c>
      <c r="AN11" s="206">
        <f t="shared" si="124"/>
        <v>1.1061189052434273</v>
      </c>
      <c r="AO11" s="206">
        <f t="shared" si="124"/>
        <v>1.1381544509823205</v>
      </c>
      <c r="AP11" s="206">
        <f t="shared" si="124"/>
        <v>1.1690643297563663</v>
      </c>
      <c r="AQ11" s="206">
        <f t="shared" si="124"/>
        <v>1.1958391503087034</v>
      </c>
      <c r="AR11" s="206">
        <f t="shared" si="124"/>
        <v>1.2253291455115924</v>
      </c>
      <c r="AS11" s="206">
        <f t="shared" si="124"/>
        <v>1.2494181218645772</v>
      </c>
      <c r="AT11" s="206">
        <f t="shared" si="124"/>
        <v>1.276301084869877</v>
      </c>
      <c r="AU11" s="206">
        <f t="shared" si="124"/>
        <v>1.3022453588361831</v>
      </c>
      <c r="AV11" s="206">
        <f t="shared" si="124"/>
        <v>1.3264318340694468</v>
      </c>
      <c r="AW11" s="206">
        <f t="shared" si="124"/>
        <v>1.3494659857230789</v>
      </c>
      <c r="AX11" s="206">
        <f t="shared" si="124"/>
        <v>1.3712487948721128</v>
      </c>
      <c r="AY11" s="206">
        <f t="shared" si="124"/>
        <v>1.3909896633036511</v>
      </c>
      <c r="AZ11" s="206">
        <f t="shared" si="124"/>
        <v>1.4092778654959437</v>
      </c>
      <c r="BA11" s="206">
        <f t="shared" si="124"/>
        <v>0</v>
      </c>
      <c r="BB11" s="206">
        <f t="shared" si="124"/>
        <v>1.5241336606695017</v>
      </c>
      <c r="BC11" s="206">
        <f t="shared" si="124"/>
        <v>1.5487577720119432</v>
      </c>
      <c r="BD11" s="206">
        <f t="shared" si="124"/>
        <v>1.5723778566105264</v>
      </c>
      <c r="BE11" s="206">
        <f t="shared" si="124"/>
        <v>1.6067706146206764</v>
      </c>
      <c r="BF11" s="206">
        <f t="shared" si="124"/>
        <v>1.6409163426585223</v>
      </c>
      <c r="BG11" s="206">
        <f t="shared" si="124"/>
        <v>1.6686107670456582</v>
      </c>
      <c r="BH11" s="206">
        <f t="shared" si="124"/>
        <v>1.7025078877097732</v>
      </c>
      <c r="BI11" s="206">
        <f t="shared" si="124"/>
        <v>1.7363592317908907</v>
      </c>
      <c r="BJ11" s="206">
        <f t="shared" si="124"/>
        <v>1.7701608629064594</v>
      </c>
      <c r="BK11" s="206">
        <f t="shared" si="124"/>
        <v>1.8026641517711919</v>
      </c>
      <c r="BL11" s="206">
        <f t="shared" si="124"/>
        <v>1.8281698242061741</v>
      </c>
      <c r="BM11" s="206">
        <f t="shared" si="124"/>
        <v>1.8599800235342632</v>
      </c>
      <c r="BN11" s="206">
        <f t="shared" si="124"/>
        <v>1.891783973887589</v>
      </c>
      <c r="BO11" s="206">
        <f t="shared" ref="BO11:DZ11" si="125">BO4*$AJ$17</f>
        <v>1.9301905425990937</v>
      </c>
      <c r="BP11" s="206">
        <f t="shared" si="125"/>
        <v>1.9682744809326773</v>
      </c>
      <c r="BQ11" s="206">
        <f t="shared" si="125"/>
        <v>2.0061193919408651</v>
      </c>
      <c r="BR11" s="206">
        <f t="shared" si="125"/>
        <v>2.0432272673649461</v>
      </c>
      <c r="BS11" s="206">
        <f t="shared" si="125"/>
        <v>2.0807224674754834</v>
      </c>
      <c r="BT11" s="206">
        <f t="shared" si="125"/>
        <v>2.1177850604170358</v>
      </c>
      <c r="BU11" s="206">
        <f t="shared" si="125"/>
        <v>2.1542607149588484</v>
      </c>
      <c r="BV11" s="206">
        <f t="shared" si="125"/>
        <v>2.1906172264713684</v>
      </c>
      <c r="BW11" s="206">
        <f t="shared" si="125"/>
        <v>2.2248815303429708</v>
      </c>
      <c r="BX11" s="206">
        <f t="shared" si="125"/>
        <v>2.259541369688753</v>
      </c>
      <c r="BY11" s="206">
        <f t="shared" si="125"/>
        <v>2.3026157457435859</v>
      </c>
      <c r="BZ11" s="206">
        <f t="shared" si="125"/>
        <v>2.3473334869352334</v>
      </c>
      <c r="CA11" s="206">
        <f t="shared" si="125"/>
        <v>2.392335502595039</v>
      </c>
      <c r="CB11" s="206">
        <f t="shared" si="125"/>
        <v>2.4368996871373008</v>
      </c>
      <c r="CC11" s="206">
        <f t="shared" si="125"/>
        <v>2.481164789969081</v>
      </c>
      <c r="CD11" s="206">
        <f t="shared" si="125"/>
        <v>2.5247962592249991</v>
      </c>
      <c r="CE11" s="206">
        <f t="shared" si="125"/>
        <v>2.5683644432212529</v>
      </c>
      <c r="CF11" s="206">
        <f t="shared" si="125"/>
        <v>2.6117952310907362</v>
      </c>
      <c r="CG11" s="206">
        <f t="shared" si="125"/>
        <v>2.6542887310223353</v>
      </c>
      <c r="CH11" s="206">
        <f t="shared" si="125"/>
        <v>2.6964387439691326</v>
      </c>
      <c r="CI11" s="206">
        <f t="shared" si="125"/>
        <v>2.749434031944439</v>
      </c>
      <c r="CJ11" s="206">
        <f t="shared" si="125"/>
        <v>2.8013553529199138</v>
      </c>
      <c r="CK11" s="206">
        <f t="shared" si="125"/>
        <v>2.8503207565182427</v>
      </c>
      <c r="CL11" s="206">
        <f t="shared" si="125"/>
        <v>2.9009862814048706</v>
      </c>
      <c r="CM11" s="206">
        <f t="shared" si="125"/>
        <v>2.948175058279662</v>
      </c>
      <c r="CN11" s="206">
        <f t="shared" si="125"/>
        <v>2.9978434328522878</v>
      </c>
      <c r="CO11" s="206">
        <f t="shared" si="125"/>
        <v>3.0462537306856725</v>
      </c>
      <c r="CP11" s="206">
        <f t="shared" si="125"/>
        <v>3.0899941897660814</v>
      </c>
      <c r="CQ11" s="206">
        <f t="shared" si="125"/>
        <v>3.1362968536603741</v>
      </c>
      <c r="CR11" s="206">
        <f t="shared" si="125"/>
        <v>3.1770375786332794</v>
      </c>
      <c r="CS11" s="206">
        <f t="shared" si="125"/>
        <v>3.2204033735117594</v>
      </c>
      <c r="CT11" s="206">
        <f t="shared" si="125"/>
        <v>3.262653523416414</v>
      </c>
      <c r="CU11" s="206">
        <f t="shared" si="125"/>
        <v>3.3029608409700173</v>
      </c>
      <c r="CV11" s="206">
        <f t="shared" si="125"/>
        <v>3.3419226892536997</v>
      </c>
      <c r="CW11" s="206">
        <f t="shared" si="125"/>
        <v>3.3794319070733292</v>
      </c>
      <c r="CX11" s="206">
        <f t="shared" si="125"/>
        <v>3.4142996295284385</v>
      </c>
      <c r="CY11" s="206">
        <f t="shared" si="125"/>
        <v>3.4474939200798294</v>
      </c>
      <c r="CZ11" s="206">
        <f t="shared" si="125"/>
        <v>0</v>
      </c>
      <c r="DA11" s="206">
        <f t="shared" si="125"/>
        <v>3.558287038665334</v>
      </c>
      <c r="DB11" s="206">
        <f t="shared" si="125"/>
        <v>3.5968789805146697</v>
      </c>
      <c r="DC11" s="206">
        <f t="shared" si="125"/>
        <v>3.6342180947383906</v>
      </c>
      <c r="DD11" s="206">
        <f t="shared" si="125"/>
        <v>3.6820731890105254</v>
      </c>
      <c r="DE11" s="206">
        <f t="shared" si="125"/>
        <v>3.7294166774350948</v>
      </c>
      <c r="DF11" s="206">
        <f t="shared" si="125"/>
        <v>3.7696623753539349</v>
      </c>
      <c r="DG11" s="206">
        <f t="shared" si="125"/>
        <v>3.8317184175730783</v>
      </c>
      <c r="DH11" s="206">
        <f t="shared" si="125"/>
        <v>3.8780034890904651</v>
      </c>
      <c r="DI11" s="206">
        <f t="shared" si="125"/>
        <v>3.9239453613368598</v>
      </c>
      <c r="DJ11" s="206">
        <f t="shared" si="125"/>
        <v>3.9682877132674164</v>
      </c>
      <c r="DK11" s="206">
        <f t="shared" si="125"/>
        <v>4.0053236162640902</v>
      </c>
      <c r="DL11" s="206">
        <f t="shared" si="125"/>
        <v>4.0483476013572135</v>
      </c>
      <c r="DM11" s="206">
        <f t="shared" si="125"/>
        <v>4.0906754561157994</v>
      </c>
      <c r="DN11" s="206">
        <f t="shared" si="125"/>
        <v>4.139273761910415</v>
      </c>
      <c r="DO11" s="206">
        <f t="shared" si="125"/>
        <v>4.2048206211749823</v>
      </c>
      <c r="DP11" s="206">
        <f t="shared" si="125"/>
        <v>4.2526403358530196</v>
      </c>
      <c r="DQ11" s="206">
        <f t="shared" si="125"/>
        <v>4.2993721060133767</v>
      </c>
      <c r="DR11" s="206">
        <f t="shared" si="125"/>
        <v>4.3461330878721673</v>
      </c>
      <c r="DS11" s="206">
        <f t="shared" si="125"/>
        <v>4.3920962200473745</v>
      </c>
      <c r="DT11" s="206">
        <f t="shared" si="125"/>
        <v>4.4554547435771781</v>
      </c>
      <c r="DU11" s="206">
        <f t="shared" si="125"/>
        <v>4.5000818477508808</v>
      </c>
      <c r="DV11" s="206">
        <f t="shared" si="125"/>
        <v>4.5422333838094673</v>
      </c>
      <c r="DW11" s="206">
        <f t="shared" si="125"/>
        <v>4.5843903481041561</v>
      </c>
      <c r="DX11" s="206">
        <f t="shared" si="125"/>
        <v>4.6345650915726555</v>
      </c>
      <c r="DY11" s="206">
        <f t="shared" si="125"/>
        <v>4.6859798935992316</v>
      </c>
      <c r="DZ11" s="206">
        <f t="shared" si="125"/>
        <v>4.737269220499349</v>
      </c>
      <c r="EA11" s="206">
        <f t="shared" ref="EA11:GL11" si="126">EA4*$AJ$17</f>
        <v>4.8076276759385577</v>
      </c>
      <c r="EB11" s="206">
        <f t="shared" si="126"/>
        <v>4.5636770957557307</v>
      </c>
      <c r="EC11" s="206">
        <f t="shared" si="126"/>
        <v>4.6118366329562237</v>
      </c>
      <c r="ED11" s="206">
        <f t="shared" si="126"/>
        <v>4.3639986720491972</v>
      </c>
      <c r="EE11" s="206">
        <f t="shared" si="126"/>
        <v>4.4106637016875636</v>
      </c>
      <c r="EF11" s="206">
        <f t="shared" si="126"/>
        <v>4.4560580317979035</v>
      </c>
      <c r="EG11" s="206">
        <f t="shared" si="126"/>
        <v>4.5007712760713989</v>
      </c>
      <c r="EH11" s="206">
        <f t="shared" si="126"/>
        <v>4.5557457744670282</v>
      </c>
      <c r="EI11" s="206">
        <f t="shared" si="126"/>
        <v>4.3248370524173358</v>
      </c>
      <c r="EJ11" s="206">
        <f t="shared" si="126"/>
        <v>4.3751816559318337</v>
      </c>
      <c r="EK11" s="206">
        <f t="shared" si="126"/>
        <v>4.1247588688420631</v>
      </c>
      <c r="EL11" s="206">
        <f t="shared" si="126"/>
        <v>4.1725809492760435</v>
      </c>
      <c r="EM11" s="206">
        <f t="shared" si="126"/>
        <v>4.2226426628264893</v>
      </c>
      <c r="EN11" s="206">
        <f t="shared" si="126"/>
        <v>4.2828702543292954</v>
      </c>
      <c r="EO11" s="206">
        <f t="shared" si="126"/>
        <v>4.3267632713262643</v>
      </c>
      <c r="EP11" s="206">
        <f t="shared" si="126"/>
        <v>4.0667241230946782</v>
      </c>
      <c r="EQ11" s="206">
        <f t="shared" si="126"/>
        <v>4.1072066800615037</v>
      </c>
      <c r="ER11" s="206">
        <f t="shared" si="126"/>
        <v>3.849184057225937</v>
      </c>
      <c r="ES11" s="206">
        <f t="shared" si="126"/>
        <v>3.8910554523666994</v>
      </c>
      <c r="ET11" s="206">
        <f t="shared" si="126"/>
        <v>3.9370730309268507</v>
      </c>
      <c r="EU11" s="206">
        <f t="shared" si="126"/>
        <v>3.9755237512688413</v>
      </c>
      <c r="EV11" s="206">
        <f t="shared" si="126"/>
        <v>4.0123920037437717</v>
      </c>
      <c r="EW11" s="206">
        <f t="shared" si="126"/>
        <v>3.7363937587210843</v>
      </c>
      <c r="EX11" s="206">
        <f t="shared" si="126"/>
        <v>3.7691953745167122</v>
      </c>
      <c r="EY11" s="206">
        <f t="shared" si="126"/>
        <v>-6.503264836540567E-4</v>
      </c>
      <c r="EZ11" s="206">
        <f t="shared" si="126"/>
        <v>3.558287038665334</v>
      </c>
      <c r="FA11" s="206">
        <f t="shared" si="126"/>
        <v>3.5968789805146697</v>
      </c>
      <c r="FB11" s="206">
        <f t="shared" si="126"/>
        <v>3.6342180947383906</v>
      </c>
      <c r="FC11" s="206">
        <f t="shared" si="126"/>
        <v>3.6820731890105254</v>
      </c>
      <c r="FD11" s="206">
        <f t="shared" si="126"/>
        <v>3.7294166774350948</v>
      </c>
      <c r="FE11" s="206">
        <f t="shared" si="126"/>
        <v>3.7696623753539349</v>
      </c>
      <c r="FF11" s="206">
        <f t="shared" si="126"/>
        <v>3.8317184175730783</v>
      </c>
      <c r="FG11" s="206">
        <f t="shared" si="126"/>
        <v>3.8780034890904651</v>
      </c>
      <c r="FH11" s="206">
        <f t="shared" si="126"/>
        <v>3.9239453613368598</v>
      </c>
      <c r="FI11" s="206">
        <f t="shared" si="126"/>
        <v>3.9682877132674164</v>
      </c>
      <c r="FJ11" s="206">
        <f t="shared" si="126"/>
        <v>4.0053236162640902</v>
      </c>
      <c r="FK11" s="206">
        <f t="shared" si="126"/>
        <v>4.0483476013572135</v>
      </c>
      <c r="FL11" s="206">
        <f t="shared" si="126"/>
        <v>4.0906754561157994</v>
      </c>
      <c r="FM11" s="206">
        <f t="shared" si="126"/>
        <v>4.139273761910415</v>
      </c>
      <c r="FN11" s="206">
        <f t="shared" si="126"/>
        <v>4.2048206211749823</v>
      </c>
      <c r="FO11" s="206">
        <f t="shared" si="126"/>
        <v>4.2526403358530196</v>
      </c>
      <c r="FP11" s="206">
        <f t="shared" si="126"/>
        <v>4.2993721060133767</v>
      </c>
      <c r="FQ11" s="206">
        <f t="shared" si="126"/>
        <v>4.3461330878721673</v>
      </c>
      <c r="FR11" s="206">
        <f t="shared" si="126"/>
        <v>4.3920962200473745</v>
      </c>
      <c r="FS11" s="206">
        <f t="shared" si="126"/>
        <v>4.4554547435771781</v>
      </c>
      <c r="FT11" s="206">
        <f t="shared" si="126"/>
        <v>4.5000818477508808</v>
      </c>
      <c r="FU11" s="206">
        <f t="shared" si="126"/>
        <v>4.5422333838094673</v>
      </c>
      <c r="FV11" s="206">
        <f t="shared" si="126"/>
        <v>4.5843903481041561</v>
      </c>
      <c r="FW11" s="206">
        <f t="shared" si="126"/>
        <v>4.6345650915726555</v>
      </c>
      <c r="FX11" s="206">
        <f t="shared" si="126"/>
        <v>4.6859798935992316</v>
      </c>
      <c r="FY11" s="206">
        <f t="shared" si="126"/>
        <v>4.737269220499349</v>
      </c>
      <c r="FZ11" s="206">
        <f t="shared" si="126"/>
        <v>4.8076276759385577</v>
      </c>
      <c r="GA11" s="206">
        <f t="shared" si="126"/>
        <v>4.5636770957557307</v>
      </c>
      <c r="GB11" s="206">
        <f t="shared" si="126"/>
        <v>4.6118366329562237</v>
      </c>
      <c r="GC11" s="206">
        <f t="shared" si="126"/>
        <v>4.3639986720491972</v>
      </c>
      <c r="GD11" s="206">
        <f t="shared" si="126"/>
        <v>4.4106637016875636</v>
      </c>
      <c r="GE11" s="206">
        <f t="shared" si="126"/>
        <v>4.4560580317979035</v>
      </c>
      <c r="GF11" s="206">
        <f t="shared" si="126"/>
        <v>4.5007712760713989</v>
      </c>
      <c r="GG11" s="206">
        <f t="shared" si="126"/>
        <v>4.5557457744670282</v>
      </c>
      <c r="GH11" s="206">
        <f t="shared" si="126"/>
        <v>4.3248370524173358</v>
      </c>
      <c r="GI11" s="206">
        <f t="shared" si="126"/>
        <v>4.3751816559318337</v>
      </c>
      <c r="GJ11" s="206">
        <f t="shared" si="126"/>
        <v>4.1247588688420631</v>
      </c>
      <c r="GK11" s="206">
        <f t="shared" si="126"/>
        <v>4.1725809492760435</v>
      </c>
      <c r="GL11" s="206">
        <f t="shared" si="126"/>
        <v>4.2226426628264893</v>
      </c>
      <c r="GM11" s="206">
        <f t="shared" ref="GM11:IX11" si="127">GM4*$AJ$17</f>
        <v>4.2828702543292954</v>
      </c>
      <c r="GN11" s="206">
        <f t="shared" si="127"/>
        <v>4.3267632713262643</v>
      </c>
      <c r="GO11" s="206">
        <f t="shared" si="127"/>
        <v>4.0667241230946782</v>
      </c>
      <c r="GP11" s="206">
        <f t="shared" si="127"/>
        <v>4.1072066800615037</v>
      </c>
      <c r="GQ11" s="206">
        <f t="shared" si="127"/>
        <v>3.849184057225937</v>
      </c>
      <c r="GR11" s="206">
        <f t="shared" si="127"/>
        <v>3.8910554523666994</v>
      </c>
      <c r="GS11" s="206">
        <f t="shared" si="127"/>
        <v>3.9370730309268507</v>
      </c>
      <c r="GT11" s="206">
        <f t="shared" si="127"/>
        <v>3.9755237512688413</v>
      </c>
      <c r="GU11" s="206">
        <f t="shared" si="127"/>
        <v>4.0123920037437717</v>
      </c>
      <c r="GV11" s="206">
        <f t="shared" si="127"/>
        <v>3.7363937587210843</v>
      </c>
      <c r="GW11" s="206">
        <f t="shared" si="127"/>
        <v>3.7691953745167122</v>
      </c>
      <c r="GX11" s="206">
        <f t="shared" si="127"/>
        <v>-6.503264836540567E-4</v>
      </c>
      <c r="GY11" s="206">
        <f t="shared" si="127"/>
        <v>3.558287038665334</v>
      </c>
      <c r="GZ11" s="206">
        <f t="shared" si="127"/>
        <v>3.5968789805146697</v>
      </c>
      <c r="HA11" s="206">
        <f t="shared" si="127"/>
        <v>3.6342180947383906</v>
      </c>
      <c r="HB11" s="206">
        <f t="shared" si="127"/>
        <v>3.6820731890105254</v>
      </c>
      <c r="HC11" s="206">
        <f t="shared" si="127"/>
        <v>3.7294166774350948</v>
      </c>
      <c r="HD11" s="206">
        <f t="shared" si="127"/>
        <v>3.7696623753539349</v>
      </c>
      <c r="HE11" s="206">
        <f t="shared" si="127"/>
        <v>3.8317184175730783</v>
      </c>
      <c r="HF11" s="206">
        <f t="shared" si="127"/>
        <v>3.8780034890904651</v>
      </c>
      <c r="HG11" s="206">
        <f t="shared" si="127"/>
        <v>3.9239453613368598</v>
      </c>
      <c r="HH11" s="206">
        <f t="shared" si="127"/>
        <v>3.9682877132674164</v>
      </c>
      <c r="HI11" s="206">
        <f t="shared" si="127"/>
        <v>4.0053236162640902</v>
      </c>
      <c r="HJ11" s="206">
        <f t="shared" si="127"/>
        <v>4.0483476013572135</v>
      </c>
      <c r="HK11" s="206">
        <f t="shared" si="127"/>
        <v>4.0906754561157994</v>
      </c>
      <c r="HL11" s="206">
        <f t="shared" si="127"/>
        <v>4.139273761910415</v>
      </c>
      <c r="HM11" s="206">
        <f t="shared" si="127"/>
        <v>4.2048206211749823</v>
      </c>
      <c r="HN11" s="206">
        <f t="shared" si="127"/>
        <v>4.2526403358530196</v>
      </c>
      <c r="HO11" s="206">
        <f t="shared" si="127"/>
        <v>4.2993721060133767</v>
      </c>
      <c r="HP11" s="206">
        <f t="shared" si="127"/>
        <v>4.3461330878721673</v>
      </c>
      <c r="HQ11" s="206">
        <f t="shared" si="127"/>
        <v>4.3920962200473745</v>
      </c>
      <c r="HR11" s="206">
        <f t="shared" si="127"/>
        <v>4.4554547435771781</v>
      </c>
      <c r="HS11" s="206">
        <f t="shared" si="127"/>
        <v>4.5000818477508808</v>
      </c>
      <c r="HT11" s="206">
        <f t="shared" si="127"/>
        <v>4.5422333838094673</v>
      </c>
      <c r="HU11" s="206">
        <f t="shared" si="127"/>
        <v>4.5843903481041561</v>
      </c>
      <c r="HV11" s="206">
        <f t="shared" si="127"/>
        <v>4.6345650915726555</v>
      </c>
      <c r="HW11" s="206">
        <f t="shared" si="127"/>
        <v>4.6859798935992316</v>
      </c>
      <c r="HX11" s="206">
        <f t="shared" si="127"/>
        <v>4.737269220499349</v>
      </c>
      <c r="HY11" s="206">
        <f t="shared" si="127"/>
        <v>4.8076276759385577</v>
      </c>
      <c r="HZ11" s="206">
        <f t="shared" si="127"/>
        <v>4.5636770957557307</v>
      </c>
      <c r="IA11" s="206">
        <f t="shared" si="127"/>
        <v>4.6118366329562237</v>
      </c>
      <c r="IB11" s="206">
        <f t="shared" si="127"/>
        <v>4.3639986720491972</v>
      </c>
      <c r="IC11" s="206">
        <f t="shared" si="127"/>
        <v>4.4106637016875636</v>
      </c>
      <c r="ID11" s="206">
        <f t="shared" si="127"/>
        <v>4.4560580317979035</v>
      </c>
      <c r="IE11" s="206">
        <f t="shared" si="127"/>
        <v>4.5007712760713989</v>
      </c>
      <c r="IF11" s="206">
        <f t="shared" si="127"/>
        <v>4.5557457744670282</v>
      </c>
      <c r="IG11" s="206">
        <f t="shared" si="127"/>
        <v>4.3248370524173358</v>
      </c>
      <c r="IH11" s="206">
        <f t="shared" si="127"/>
        <v>4.3751816559318337</v>
      </c>
      <c r="II11" s="206">
        <f t="shared" si="127"/>
        <v>4.1247588688420631</v>
      </c>
      <c r="IJ11" s="206">
        <f t="shared" si="127"/>
        <v>4.1725809492760435</v>
      </c>
      <c r="IK11" s="206">
        <f t="shared" si="127"/>
        <v>4.2226426628264893</v>
      </c>
      <c r="IL11" s="206">
        <f t="shared" si="127"/>
        <v>4.2828702543292954</v>
      </c>
      <c r="IM11" s="206">
        <f t="shared" si="127"/>
        <v>4.3267632713262643</v>
      </c>
      <c r="IN11" s="206">
        <f t="shared" si="127"/>
        <v>4.0667241230946782</v>
      </c>
      <c r="IO11" s="206">
        <f t="shared" si="127"/>
        <v>4.1072066800615037</v>
      </c>
      <c r="IP11" s="206">
        <f t="shared" si="127"/>
        <v>3.849184057225937</v>
      </c>
      <c r="IQ11" s="206">
        <f t="shared" si="127"/>
        <v>3.8910554523666994</v>
      </c>
      <c r="IR11" s="206">
        <f t="shared" si="127"/>
        <v>3.9370730309268507</v>
      </c>
      <c r="IS11" s="206">
        <f t="shared" si="127"/>
        <v>3.9755237512688413</v>
      </c>
      <c r="IT11" s="206">
        <f t="shared" si="127"/>
        <v>4.0123920037437717</v>
      </c>
      <c r="IU11" s="206">
        <f t="shared" si="127"/>
        <v>3.7363937587210843</v>
      </c>
      <c r="IV11" s="206">
        <f t="shared" si="127"/>
        <v>3.7691953745167122</v>
      </c>
      <c r="IW11" s="206">
        <f t="shared" si="127"/>
        <v>-6.503264836540567E-4</v>
      </c>
      <c r="IX11" s="206">
        <f t="shared" si="127"/>
        <v>3.558287038665334</v>
      </c>
      <c r="IY11" s="206">
        <f t="shared" ref="IY11:LJ11" si="128">IY4*$AJ$17</f>
        <v>3.5968789805146697</v>
      </c>
      <c r="IZ11" s="206">
        <f t="shared" si="128"/>
        <v>3.6342180947383906</v>
      </c>
      <c r="JA11" s="206">
        <f t="shared" si="128"/>
        <v>3.6820731890105254</v>
      </c>
      <c r="JB11" s="206">
        <f t="shared" si="128"/>
        <v>3.7294166774350948</v>
      </c>
      <c r="JC11" s="206">
        <f t="shared" si="128"/>
        <v>3.7696623753539349</v>
      </c>
      <c r="JD11" s="206">
        <f t="shared" si="128"/>
        <v>3.8317184175730783</v>
      </c>
      <c r="JE11" s="206">
        <f t="shared" si="128"/>
        <v>3.8780034890904651</v>
      </c>
      <c r="JF11" s="206">
        <f t="shared" si="128"/>
        <v>3.9239453613368598</v>
      </c>
      <c r="JG11" s="206">
        <f t="shared" si="128"/>
        <v>3.9682877132674164</v>
      </c>
      <c r="JH11" s="206">
        <f t="shared" si="128"/>
        <v>4.0053236162640902</v>
      </c>
      <c r="JI11" s="206">
        <f t="shared" si="128"/>
        <v>4.0483476013572135</v>
      </c>
      <c r="JJ11" s="206">
        <f t="shared" si="128"/>
        <v>4.0906754561157994</v>
      </c>
      <c r="JK11" s="206">
        <f t="shared" si="128"/>
        <v>4.139273761910415</v>
      </c>
      <c r="JL11" s="206">
        <f t="shared" si="128"/>
        <v>4.2048206211749823</v>
      </c>
      <c r="JM11" s="206">
        <f t="shared" si="128"/>
        <v>4.2526403358530196</v>
      </c>
      <c r="JN11" s="206">
        <f t="shared" si="128"/>
        <v>4.2993721060133767</v>
      </c>
      <c r="JO11" s="206">
        <f t="shared" si="128"/>
        <v>4.3461330878721673</v>
      </c>
      <c r="JP11" s="206">
        <f t="shared" si="128"/>
        <v>4.3920962200473745</v>
      </c>
      <c r="JQ11" s="206">
        <f t="shared" si="128"/>
        <v>4.4554547435771781</v>
      </c>
      <c r="JR11" s="206">
        <f t="shared" si="128"/>
        <v>4.5000818477508808</v>
      </c>
      <c r="JS11" s="206">
        <f t="shared" si="128"/>
        <v>4.5422333838094673</v>
      </c>
      <c r="JT11" s="206">
        <f t="shared" si="128"/>
        <v>4.5843903481041561</v>
      </c>
      <c r="JU11" s="206">
        <f t="shared" si="128"/>
        <v>4.6345650915726555</v>
      </c>
      <c r="JV11" s="206">
        <f t="shared" si="128"/>
        <v>4.6859798935992316</v>
      </c>
      <c r="JW11" s="206">
        <f t="shared" si="128"/>
        <v>4.737269220499349</v>
      </c>
      <c r="JX11" s="206">
        <f t="shared" si="128"/>
        <v>4.8076276759385577</v>
      </c>
      <c r="JY11" s="206">
        <f t="shared" si="128"/>
        <v>4.5636770957557307</v>
      </c>
      <c r="JZ11" s="206">
        <f t="shared" si="128"/>
        <v>4.6118366329562237</v>
      </c>
      <c r="KA11" s="206">
        <f t="shared" si="128"/>
        <v>4.3639986720491972</v>
      </c>
      <c r="KB11" s="206">
        <f t="shared" si="128"/>
        <v>4.4106637016875636</v>
      </c>
      <c r="KC11" s="206">
        <f t="shared" si="128"/>
        <v>4.4560580317979035</v>
      </c>
      <c r="KD11" s="206">
        <f t="shared" si="128"/>
        <v>4.5007712760713989</v>
      </c>
      <c r="KE11" s="206">
        <f t="shared" si="128"/>
        <v>4.5557457744670282</v>
      </c>
      <c r="KF11" s="206">
        <f t="shared" si="128"/>
        <v>4.3248370524173358</v>
      </c>
      <c r="KG11" s="206">
        <f t="shared" si="128"/>
        <v>4.3751816559318337</v>
      </c>
      <c r="KH11" s="206">
        <f t="shared" si="128"/>
        <v>4.1247588688420631</v>
      </c>
      <c r="KI11" s="206">
        <f t="shared" si="128"/>
        <v>4.1725809492760435</v>
      </c>
      <c r="KJ11" s="206">
        <f t="shared" si="128"/>
        <v>4.2226426628264893</v>
      </c>
      <c r="KK11" s="206">
        <f t="shared" si="128"/>
        <v>4.2828702543292954</v>
      </c>
      <c r="KL11" s="206">
        <f t="shared" si="128"/>
        <v>4.3267632713262643</v>
      </c>
      <c r="KM11" s="206">
        <f t="shared" si="128"/>
        <v>4.0667241230946782</v>
      </c>
      <c r="KN11" s="206">
        <f t="shared" si="128"/>
        <v>4.1072066800615037</v>
      </c>
      <c r="KO11" s="206">
        <f t="shared" si="128"/>
        <v>3.849184057225937</v>
      </c>
      <c r="KP11" s="206">
        <f t="shared" si="128"/>
        <v>3.8910554523666994</v>
      </c>
      <c r="KQ11" s="206">
        <f t="shared" si="128"/>
        <v>3.9370730309268507</v>
      </c>
      <c r="KR11" s="206">
        <f t="shared" si="128"/>
        <v>3.9755237512688413</v>
      </c>
      <c r="KS11" s="206">
        <f t="shared" si="128"/>
        <v>4.0123920037437717</v>
      </c>
      <c r="KT11" s="206">
        <f t="shared" si="128"/>
        <v>3.7363937587210843</v>
      </c>
      <c r="KU11" s="206">
        <f t="shared" si="128"/>
        <v>3.7691953745167122</v>
      </c>
      <c r="KV11" s="206">
        <f t="shared" si="128"/>
        <v>-6.503264836540567E-4</v>
      </c>
      <c r="KW11" s="206">
        <f t="shared" si="128"/>
        <v>3.558287038665334</v>
      </c>
      <c r="KX11" s="206">
        <f t="shared" si="128"/>
        <v>3.5968789805146697</v>
      </c>
      <c r="KY11" s="206">
        <f t="shared" si="128"/>
        <v>3.6342180947383906</v>
      </c>
      <c r="KZ11" s="206">
        <f t="shared" si="128"/>
        <v>3.6820731890105254</v>
      </c>
      <c r="LA11" s="206">
        <f t="shared" si="128"/>
        <v>3.7294166774350948</v>
      </c>
      <c r="LB11" s="206">
        <f t="shared" si="128"/>
        <v>3.7696623753539349</v>
      </c>
      <c r="LC11" s="206">
        <f t="shared" si="128"/>
        <v>3.8317184175730783</v>
      </c>
      <c r="LD11" s="206">
        <f t="shared" si="128"/>
        <v>3.8780034890904651</v>
      </c>
      <c r="LE11" s="206">
        <f t="shared" si="128"/>
        <v>3.9239453613368598</v>
      </c>
      <c r="LF11" s="206">
        <f t="shared" si="128"/>
        <v>3.9682877132674164</v>
      </c>
      <c r="LG11" s="206">
        <f t="shared" si="128"/>
        <v>4.0053236162640902</v>
      </c>
      <c r="LH11" s="206">
        <f t="shared" si="128"/>
        <v>4.0483476013572135</v>
      </c>
      <c r="LI11" s="206">
        <f t="shared" si="128"/>
        <v>4.0906754561157994</v>
      </c>
      <c r="LJ11" s="206">
        <f t="shared" si="128"/>
        <v>4.139273761910415</v>
      </c>
      <c r="LK11" s="206">
        <f t="shared" ref="LK11:NV11" si="129">LK4*$AJ$17</f>
        <v>4.2048206211749823</v>
      </c>
      <c r="LL11" s="206">
        <f t="shared" si="129"/>
        <v>4.2526403358530196</v>
      </c>
      <c r="LM11" s="206">
        <f t="shared" si="129"/>
        <v>4.2993721060133767</v>
      </c>
      <c r="LN11" s="206">
        <f t="shared" si="129"/>
        <v>4.3461330878721673</v>
      </c>
      <c r="LO11" s="206">
        <f t="shared" si="129"/>
        <v>4.3920962200473745</v>
      </c>
      <c r="LP11" s="206">
        <f t="shared" si="129"/>
        <v>4.4554547435771781</v>
      </c>
      <c r="LQ11" s="206">
        <f t="shared" si="129"/>
        <v>4.5000818477508808</v>
      </c>
      <c r="LR11" s="206">
        <f t="shared" si="129"/>
        <v>4.5422333838094673</v>
      </c>
      <c r="LS11" s="206">
        <f t="shared" si="129"/>
        <v>4.5843903481041561</v>
      </c>
      <c r="LT11" s="206">
        <f t="shared" si="129"/>
        <v>4.6345650915726555</v>
      </c>
      <c r="LU11" s="206">
        <f t="shared" si="129"/>
        <v>4.6859798935992316</v>
      </c>
      <c r="LV11" s="206">
        <f t="shared" si="129"/>
        <v>4.737269220499349</v>
      </c>
      <c r="LW11" s="206">
        <f t="shared" si="129"/>
        <v>4.8076276759385577</v>
      </c>
      <c r="LX11" s="206">
        <f t="shared" si="129"/>
        <v>4.5636770957557307</v>
      </c>
      <c r="LY11" s="206">
        <f t="shared" si="129"/>
        <v>4.6118366329562237</v>
      </c>
      <c r="LZ11" s="206">
        <f t="shared" si="129"/>
        <v>4.3639986720491972</v>
      </c>
      <c r="MA11" s="206">
        <f t="shared" si="129"/>
        <v>4.4106637016875636</v>
      </c>
      <c r="MB11" s="206">
        <f t="shared" si="129"/>
        <v>4.4560580317979035</v>
      </c>
      <c r="MC11" s="206">
        <f t="shared" si="129"/>
        <v>4.5007712760713989</v>
      </c>
      <c r="MD11" s="206">
        <f t="shared" si="129"/>
        <v>4.5557457744670282</v>
      </c>
      <c r="ME11" s="206">
        <f t="shared" si="129"/>
        <v>4.3248370524173358</v>
      </c>
      <c r="MF11" s="206">
        <f t="shared" si="129"/>
        <v>4.3751816559318337</v>
      </c>
      <c r="MG11" s="206">
        <f t="shared" si="129"/>
        <v>4.1247588688420631</v>
      </c>
      <c r="MH11" s="206">
        <f t="shared" si="129"/>
        <v>4.1725809492760435</v>
      </c>
      <c r="MI11" s="206">
        <f t="shared" si="129"/>
        <v>4.2226426628264893</v>
      </c>
      <c r="MJ11" s="206">
        <f t="shared" si="129"/>
        <v>4.2828702543292954</v>
      </c>
      <c r="MK11" s="206">
        <f t="shared" si="129"/>
        <v>4.3267632713262643</v>
      </c>
      <c r="ML11" s="206">
        <f t="shared" si="129"/>
        <v>4.0667241230946782</v>
      </c>
      <c r="MM11" s="206">
        <f t="shared" si="129"/>
        <v>4.1072066800615037</v>
      </c>
      <c r="MN11" s="206">
        <f t="shared" si="129"/>
        <v>3.849184057225937</v>
      </c>
      <c r="MO11" s="206">
        <f t="shared" si="129"/>
        <v>3.8910554523666994</v>
      </c>
      <c r="MP11" s="206">
        <f t="shared" si="129"/>
        <v>3.9370730309268507</v>
      </c>
      <c r="MQ11" s="206">
        <f t="shared" si="129"/>
        <v>3.9755237512688413</v>
      </c>
      <c r="MR11" s="206">
        <f t="shared" si="129"/>
        <v>4.0123920037437717</v>
      </c>
      <c r="MS11" s="206">
        <f t="shared" si="129"/>
        <v>3.7363937587210843</v>
      </c>
      <c r="MT11" s="206">
        <f t="shared" si="129"/>
        <v>3.7691953745167122</v>
      </c>
      <c r="MU11" s="206">
        <f t="shared" si="129"/>
        <v>-6.503264836540567E-4</v>
      </c>
      <c r="MV11" s="206">
        <f t="shared" si="129"/>
        <v>3.558287038665334</v>
      </c>
      <c r="MW11" s="206">
        <f t="shared" si="129"/>
        <v>3.5968789805146697</v>
      </c>
      <c r="MX11" s="206">
        <f t="shared" si="129"/>
        <v>3.6342180947383906</v>
      </c>
      <c r="MY11" s="206">
        <f t="shared" si="129"/>
        <v>3.6820731890105254</v>
      </c>
      <c r="MZ11" s="206">
        <f t="shared" si="129"/>
        <v>3.7294166774350948</v>
      </c>
      <c r="NA11" s="206">
        <f t="shared" si="129"/>
        <v>3.7696623753539349</v>
      </c>
      <c r="NB11" s="206">
        <f t="shared" si="129"/>
        <v>3.8317184175730783</v>
      </c>
      <c r="NC11" s="206">
        <f t="shared" si="129"/>
        <v>3.8780034890904651</v>
      </c>
      <c r="ND11" s="206">
        <f t="shared" si="129"/>
        <v>3.9239453613368598</v>
      </c>
      <c r="NE11" s="206">
        <f t="shared" si="129"/>
        <v>3.9682877132674164</v>
      </c>
      <c r="NF11" s="206">
        <f t="shared" si="129"/>
        <v>4.0053236162640902</v>
      </c>
      <c r="NG11" s="206">
        <f t="shared" si="129"/>
        <v>4.0483476013572135</v>
      </c>
      <c r="NH11" s="206">
        <f t="shared" si="129"/>
        <v>4.0906754561157994</v>
      </c>
      <c r="NI11" s="206">
        <f t="shared" si="129"/>
        <v>4.139273761910415</v>
      </c>
      <c r="NJ11" s="206">
        <f t="shared" si="129"/>
        <v>4.2048206211749823</v>
      </c>
      <c r="NK11" s="206">
        <f t="shared" si="129"/>
        <v>4.2526403358530196</v>
      </c>
      <c r="NL11" s="206">
        <f t="shared" si="129"/>
        <v>4.2993721060133767</v>
      </c>
      <c r="NM11" s="206">
        <f t="shared" si="129"/>
        <v>4.3461330878721673</v>
      </c>
      <c r="NN11" s="206">
        <f t="shared" si="129"/>
        <v>4.3920962200473745</v>
      </c>
      <c r="NO11" s="206">
        <f t="shared" si="129"/>
        <v>4.4554547435771781</v>
      </c>
      <c r="NP11" s="206">
        <f t="shared" si="129"/>
        <v>4.5000818477508808</v>
      </c>
      <c r="NQ11" s="206">
        <f t="shared" si="129"/>
        <v>4.5422333838094673</v>
      </c>
      <c r="NR11" s="206">
        <f t="shared" si="129"/>
        <v>4.5843903481041561</v>
      </c>
      <c r="NS11" s="206">
        <f t="shared" si="129"/>
        <v>4.6345650915726555</v>
      </c>
      <c r="NT11" s="206">
        <f t="shared" si="129"/>
        <v>4.6859798935992316</v>
      </c>
      <c r="NU11" s="206">
        <f t="shared" si="129"/>
        <v>4.737269220499349</v>
      </c>
      <c r="NV11" s="206">
        <f t="shared" si="129"/>
        <v>4.8076276759385577</v>
      </c>
      <c r="NW11" s="206">
        <f t="shared" ref="NW11:QH11" si="130">NW4*$AJ$17</f>
        <v>4.5636770957557307</v>
      </c>
      <c r="NX11" s="206">
        <f t="shared" si="130"/>
        <v>4.6118366329562237</v>
      </c>
      <c r="NY11" s="206">
        <f t="shared" si="130"/>
        <v>4.3639986720491972</v>
      </c>
      <c r="NZ11" s="206">
        <f t="shared" si="130"/>
        <v>4.4106637016875636</v>
      </c>
      <c r="OA11" s="206">
        <f t="shared" si="130"/>
        <v>4.4560580317979035</v>
      </c>
      <c r="OB11" s="206">
        <f t="shared" si="130"/>
        <v>4.5007712760713989</v>
      </c>
      <c r="OC11" s="206">
        <f t="shared" si="130"/>
        <v>4.5557457744670282</v>
      </c>
      <c r="OD11" s="206">
        <f t="shared" si="130"/>
        <v>4.3248370524173358</v>
      </c>
      <c r="OE11" s="206">
        <f t="shared" si="130"/>
        <v>4.3751816559318337</v>
      </c>
      <c r="OF11" s="206">
        <f t="shared" si="130"/>
        <v>4.1247588688420631</v>
      </c>
      <c r="OG11" s="206">
        <f t="shared" si="130"/>
        <v>4.1725809492760435</v>
      </c>
      <c r="OH11" s="206">
        <f t="shared" si="130"/>
        <v>4.2226426628264893</v>
      </c>
      <c r="OI11" s="206">
        <f t="shared" si="130"/>
        <v>4.2828702543292954</v>
      </c>
      <c r="OJ11" s="206">
        <f t="shared" si="130"/>
        <v>4.3267632713262643</v>
      </c>
      <c r="OK11" s="206">
        <f t="shared" si="130"/>
        <v>4.0667241230946782</v>
      </c>
      <c r="OL11" s="206">
        <f t="shared" si="130"/>
        <v>4.1072066800615037</v>
      </c>
      <c r="OM11" s="206">
        <f t="shared" si="130"/>
        <v>3.849184057225937</v>
      </c>
      <c r="ON11" s="206">
        <f t="shared" si="130"/>
        <v>3.8910554523666994</v>
      </c>
      <c r="OO11" s="206">
        <f t="shared" si="130"/>
        <v>3.9370730309268507</v>
      </c>
      <c r="OP11" s="206">
        <f t="shared" si="130"/>
        <v>3.9755237512688413</v>
      </c>
      <c r="OQ11" s="206">
        <f t="shared" si="130"/>
        <v>4.0123920037437717</v>
      </c>
      <c r="OR11" s="206">
        <f t="shared" si="130"/>
        <v>3.7363937587210843</v>
      </c>
      <c r="OS11" s="206">
        <f t="shared" si="130"/>
        <v>3.7691953745167122</v>
      </c>
      <c r="OT11" s="206">
        <f t="shared" si="130"/>
        <v>-6.503264836540567E-4</v>
      </c>
      <c r="OU11" s="206">
        <f t="shared" si="130"/>
        <v>3.558287038665334</v>
      </c>
      <c r="OV11" s="206">
        <f t="shared" si="130"/>
        <v>3.5968789805146697</v>
      </c>
      <c r="OW11" s="206">
        <f t="shared" si="130"/>
        <v>3.6342180947383906</v>
      </c>
      <c r="OX11" s="206">
        <f t="shared" si="130"/>
        <v>3.6820731890105254</v>
      </c>
      <c r="OY11" s="206">
        <f t="shared" si="130"/>
        <v>3.7294166774350948</v>
      </c>
      <c r="OZ11" s="206">
        <f t="shared" si="130"/>
        <v>3.7696623753539349</v>
      </c>
      <c r="PA11" s="206">
        <f t="shared" si="130"/>
        <v>3.8317184175730783</v>
      </c>
      <c r="PB11" s="206">
        <f t="shared" si="130"/>
        <v>3.8780034890904651</v>
      </c>
      <c r="PC11" s="206">
        <f t="shared" si="130"/>
        <v>3.9239453613368598</v>
      </c>
      <c r="PD11" s="206">
        <f t="shared" si="130"/>
        <v>3.9682877132674164</v>
      </c>
      <c r="PE11" s="206">
        <f t="shared" si="130"/>
        <v>4.0053236162640902</v>
      </c>
      <c r="PF11" s="206">
        <f t="shared" si="130"/>
        <v>4.0483476013572135</v>
      </c>
      <c r="PG11" s="206">
        <f t="shared" si="130"/>
        <v>4.0906754561157994</v>
      </c>
      <c r="PH11" s="206">
        <f t="shared" si="130"/>
        <v>4.139273761910415</v>
      </c>
      <c r="PI11" s="206">
        <f t="shared" si="130"/>
        <v>4.2048206211749823</v>
      </c>
      <c r="PJ11" s="206">
        <f t="shared" si="130"/>
        <v>4.2526403358530196</v>
      </c>
      <c r="PK11" s="206">
        <f t="shared" si="130"/>
        <v>4.2993721060133767</v>
      </c>
      <c r="PL11" s="206">
        <f t="shared" si="130"/>
        <v>4.3461330878721673</v>
      </c>
      <c r="PM11" s="206">
        <f t="shared" si="130"/>
        <v>4.3920962200473745</v>
      </c>
      <c r="PN11" s="206">
        <f t="shared" si="130"/>
        <v>4.4554547435771781</v>
      </c>
      <c r="PO11" s="206">
        <f t="shared" si="130"/>
        <v>4.5000818477508808</v>
      </c>
      <c r="PP11" s="206">
        <f t="shared" si="130"/>
        <v>4.5422333838094673</v>
      </c>
      <c r="PQ11" s="206">
        <f t="shared" si="130"/>
        <v>4.5843903481041561</v>
      </c>
      <c r="PR11" s="206">
        <f t="shared" si="130"/>
        <v>4.6345650915726555</v>
      </c>
      <c r="PS11" s="206">
        <f t="shared" si="130"/>
        <v>4.6859798935992316</v>
      </c>
      <c r="PT11" s="206">
        <f t="shared" si="130"/>
        <v>4.737269220499349</v>
      </c>
      <c r="PU11" s="206">
        <f t="shared" si="130"/>
        <v>4.8076276759385577</v>
      </c>
      <c r="PV11" s="206">
        <f t="shared" si="130"/>
        <v>4.5636770957557307</v>
      </c>
      <c r="PW11" s="206">
        <f t="shared" si="130"/>
        <v>4.6118366329562237</v>
      </c>
      <c r="PX11" s="206">
        <f t="shared" si="130"/>
        <v>4.3639986720491972</v>
      </c>
      <c r="PY11" s="206">
        <f t="shared" si="130"/>
        <v>4.4106637016875636</v>
      </c>
      <c r="PZ11" s="206">
        <f t="shared" si="130"/>
        <v>4.4560580317979035</v>
      </c>
      <c r="QA11" s="206">
        <f t="shared" si="130"/>
        <v>4.5007712760713989</v>
      </c>
      <c r="QB11" s="206">
        <f t="shared" si="130"/>
        <v>4.5557457744670282</v>
      </c>
      <c r="QC11" s="206">
        <f t="shared" si="130"/>
        <v>4.3248370524173358</v>
      </c>
      <c r="QD11" s="206">
        <f t="shared" si="130"/>
        <v>4.3751816559318337</v>
      </c>
      <c r="QE11" s="206">
        <f t="shared" si="130"/>
        <v>4.1247588688420631</v>
      </c>
      <c r="QF11" s="206">
        <f t="shared" si="130"/>
        <v>4.1725809492760435</v>
      </c>
      <c r="QG11" s="206">
        <f t="shared" si="130"/>
        <v>4.2226426628264893</v>
      </c>
      <c r="QH11" s="206">
        <f t="shared" si="130"/>
        <v>4.2828702543292954</v>
      </c>
      <c r="QI11" s="206">
        <f t="shared" ref="QI11:ST11" si="131">QI4*$AJ$17</f>
        <v>4.3267632713262643</v>
      </c>
      <c r="QJ11" s="206">
        <f t="shared" si="131"/>
        <v>4.0667241230946782</v>
      </c>
      <c r="QK11" s="206">
        <f t="shared" si="131"/>
        <v>4.1072066800615037</v>
      </c>
      <c r="QL11" s="206">
        <f t="shared" si="131"/>
        <v>3.849184057225937</v>
      </c>
      <c r="QM11" s="206">
        <f t="shared" si="131"/>
        <v>3.8910554523666994</v>
      </c>
      <c r="QN11" s="206">
        <f t="shared" si="131"/>
        <v>3.9370730309268507</v>
      </c>
      <c r="QO11" s="206">
        <f t="shared" si="131"/>
        <v>3.9755237512688413</v>
      </c>
      <c r="QP11" s="206">
        <f t="shared" si="131"/>
        <v>4.0123920037437717</v>
      </c>
      <c r="QQ11" s="206">
        <f t="shared" si="131"/>
        <v>3.7363937587210843</v>
      </c>
      <c r="QR11" s="206">
        <f t="shared" si="131"/>
        <v>3.7691953745167122</v>
      </c>
      <c r="QS11" s="206">
        <f t="shared" si="131"/>
        <v>-6.503264836540567E-4</v>
      </c>
      <c r="QT11" s="206">
        <f t="shared" si="131"/>
        <v>3.558287038665334</v>
      </c>
      <c r="QU11" s="206">
        <f t="shared" si="131"/>
        <v>3.5968789805146697</v>
      </c>
      <c r="QV11" s="206">
        <f t="shared" si="131"/>
        <v>3.6342180947383906</v>
      </c>
      <c r="QW11" s="206">
        <f t="shared" si="131"/>
        <v>3.6820731890105254</v>
      </c>
      <c r="QX11" s="206">
        <f t="shared" si="131"/>
        <v>3.7294166774350948</v>
      </c>
      <c r="QY11" s="206">
        <f t="shared" si="131"/>
        <v>3.7696623753539349</v>
      </c>
      <c r="QZ11" s="206">
        <f t="shared" si="131"/>
        <v>3.8317184175730783</v>
      </c>
      <c r="RA11" s="206">
        <f t="shared" si="131"/>
        <v>3.8780034890904651</v>
      </c>
      <c r="RB11" s="206">
        <f t="shared" si="131"/>
        <v>3.9239453613368598</v>
      </c>
      <c r="RC11" s="206">
        <f t="shared" si="131"/>
        <v>3.9682877132674164</v>
      </c>
      <c r="RD11" s="206">
        <f t="shared" si="131"/>
        <v>4.0053236162640902</v>
      </c>
      <c r="RE11" s="206">
        <f t="shared" si="131"/>
        <v>4.0483476013572135</v>
      </c>
      <c r="RF11" s="206">
        <f t="shared" si="131"/>
        <v>4.0906754561157994</v>
      </c>
      <c r="RG11" s="206">
        <f t="shared" si="131"/>
        <v>4.139273761910415</v>
      </c>
      <c r="RH11" s="206">
        <f t="shared" si="131"/>
        <v>4.2048206211749823</v>
      </c>
      <c r="RI11" s="206">
        <f t="shared" si="131"/>
        <v>4.2526403358530196</v>
      </c>
      <c r="RJ11" s="206">
        <f t="shared" si="131"/>
        <v>4.2993721060133767</v>
      </c>
      <c r="RK11" s="206">
        <f t="shared" si="131"/>
        <v>4.3461330878721673</v>
      </c>
      <c r="RL11" s="206">
        <f t="shared" si="131"/>
        <v>4.3920962200473745</v>
      </c>
      <c r="RM11" s="206">
        <f t="shared" si="131"/>
        <v>4.4554547435771781</v>
      </c>
      <c r="RN11" s="206">
        <f t="shared" si="131"/>
        <v>4.5000818477508808</v>
      </c>
      <c r="RO11" s="206">
        <f t="shared" si="131"/>
        <v>4.5422333838094673</v>
      </c>
      <c r="RP11" s="206">
        <f t="shared" si="131"/>
        <v>4.5843903481041561</v>
      </c>
      <c r="RQ11" s="206">
        <f t="shared" si="131"/>
        <v>4.6345650915726555</v>
      </c>
      <c r="RR11" s="206">
        <f t="shared" si="131"/>
        <v>4.6859798935992316</v>
      </c>
      <c r="RS11" s="206">
        <f t="shared" si="131"/>
        <v>4.737269220499349</v>
      </c>
      <c r="RT11" s="206">
        <f t="shared" si="131"/>
        <v>4.8076276759385577</v>
      </c>
      <c r="RU11" s="206">
        <f t="shared" si="131"/>
        <v>4.5636770957557307</v>
      </c>
      <c r="RV11" s="206">
        <f t="shared" si="131"/>
        <v>4.6118366329562237</v>
      </c>
      <c r="RW11" s="206">
        <f t="shared" si="131"/>
        <v>4.3639986720491972</v>
      </c>
      <c r="RX11" s="206">
        <f t="shared" si="131"/>
        <v>4.4106637016875636</v>
      </c>
      <c r="RY11" s="206">
        <f t="shared" si="131"/>
        <v>4.4560580317979035</v>
      </c>
      <c r="RZ11" s="206">
        <f t="shared" si="131"/>
        <v>4.5007712760713989</v>
      </c>
      <c r="SA11" s="206">
        <f t="shared" si="131"/>
        <v>4.5557457744670282</v>
      </c>
      <c r="SB11" s="206">
        <f t="shared" si="131"/>
        <v>4.3248370524173358</v>
      </c>
      <c r="SC11" s="206">
        <f t="shared" si="131"/>
        <v>4.3751816559318337</v>
      </c>
      <c r="SD11" s="206">
        <f t="shared" si="131"/>
        <v>4.1247588688420631</v>
      </c>
      <c r="SE11" s="206">
        <f t="shared" si="131"/>
        <v>4.1725809492760435</v>
      </c>
      <c r="SF11" s="206">
        <f t="shared" si="131"/>
        <v>4.2226426628264893</v>
      </c>
      <c r="SG11" s="206">
        <f t="shared" si="131"/>
        <v>4.2828702543292954</v>
      </c>
      <c r="SH11" s="206">
        <f t="shared" si="131"/>
        <v>4.3267632713262643</v>
      </c>
      <c r="SI11" s="206">
        <f t="shared" si="131"/>
        <v>4.0667241230946782</v>
      </c>
      <c r="SJ11" s="206">
        <f t="shared" si="131"/>
        <v>4.1072066800615037</v>
      </c>
      <c r="SK11" s="206">
        <f t="shared" si="131"/>
        <v>3.849184057225937</v>
      </c>
      <c r="SL11" s="206">
        <f t="shared" si="131"/>
        <v>3.8910554523666994</v>
      </c>
      <c r="SM11" s="206">
        <f t="shared" si="131"/>
        <v>3.9370730309268507</v>
      </c>
      <c r="SN11" s="206">
        <f t="shared" si="131"/>
        <v>3.9755237512688413</v>
      </c>
      <c r="SO11" s="206">
        <f t="shared" si="131"/>
        <v>4.0123920037437717</v>
      </c>
      <c r="SP11" s="206">
        <f t="shared" si="131"/>
        <v>3.7363937587210843</v>
      </c>
      <c r="SQ11" s="206">
        <f t="shared" si="131"/>
        <v>3.7691953745167122</v>
      </c>
      <c r="SR11" s="206">
        <f t="shared" si="131"/>
        <v>-6.503264836540567E-4</v>
      </c>
      <c r="SS11" s="206">
        <f t="shared" si="131"/>
        <v>3.558287038665334</v>
      </c>
      <c r="ST11" s="206">
        <f t="shared" si="131"/>
        <v>3.5968789805146697</v>
      </c>
      <c r="SU11" s="206">
        <f t="shared" ref="SU11:VF11" si="132">SU4*$AJ$17</f>
        <v>3.6342180947383906</v>
      </c>
      <c r="SV11" s="206">
        <f t="shared" si="132"/>
        <v>3.6820731890105254</v>
      </c>
      <c r="SW11" s="206">
        <f t="shared" si="132"/>
        <v>3.7294166774350948</v>
      </c>
      <c r="SX11" s="206">
        <f t="shared" si="132"/>
        <v>3.7696623753539349</v>
      </c>
      <c r="SY11" s="206">
        <f t="shared" si="132"/>
        <v>3.8317184175730783</v>
      </c>
      <c r="SZ11" s="206">
        <f t="shared" si="132"/>
        <v>3.8780034890904651</v>
      </c>
      <c r="TA11" s="206">
        <f t="shared" si="132"/>
        <v>3.9239453613368598</v>
      </c>
      <c r="TB11" s="206">
        <f t="shared" si="132"/>
        <v>3.9682877132674164</v>
      </c>
      <c r="TC11" s="206">
        <f t="shared" si="132"/>
        <v>4.0053236162640902</v>
      </c>
      <c r="TD11" s="206">
        <f t="shared" si="132"/>
        <v>4.0483476013572135</v>
      </c>
      <c r="TE11" s="206">
        <f t="shared" si="132"/>
        <v>4.0906754561157994</v>
      </c>
      <c r="TF11" s="206">
        <f t="shared" si="132"/>
        <v>4.139273761910415</v>
      </c>
      <c r="TG11" s="206">
        <f t="shared" si="132"/>
        <v>4.2048206211749823</v>
      </c>
      <c r="TH11" s="206">
        <f t="shared" si="132"/>
        <v>4.2526403358530196</v>
      </c>
      <c r="TI11" s="206">
        <f t="shared" si="132"/>
        <v>4.2993721060133767</v>
      </c>
      <c r="TJ11" s="206">
        <f t="shared" si="132"/>
        <v>4.3461330878721673</v>
      </c>
      <c r="TK11" s="206">
        <f t="shared" si="132"/>
        <v>4.3920962200473745</v>
      </c>
      <c r="TL11" s="206">
        <f t="shared" si="132"/>
        <v>4.4554547435771781</v>
      </c>
      <c r="TM11" s="206">
        <f t="shared" si="132"/>
        <v>4.5000818477508808</v>
      </c>
      <c r="TN11" s="206">
        <f t="shared" si="132"/>
        <v>4.5422333838094673</v>
      </c>
      <c r="TO11" s="206">
        <f t="shared" si="132"/>
        <v>4.5843903481041561</v>
      </c>
      <c r="TP11" s="206">
        <f t="shared" si="132"/>
        <v>4.6345650915726555</v>
      </c>
      <c r="TQ11" s="206">
        <f t="shared" si="132"/>
        <v>4.6859798935992316</v>
      </c>
      <c r="TR11" s="206">
        <f t="shared" si="132"/>
        <v>4.737269220499349</v>
      </c>
      <c r="TS11" s="206">
        <f t="shared" si="132"/>
        <v>4.8076276759385577</v>
      </c>
      <c r="TT11" s="206">
        <f t="shared" si="132"/>
        <v>4.5636770957557307</v>
      </c>
      <c r="TU11" s="206">
        <f t="shared" si="132"/>
        <v>4.6118366329562237</v>
      </c>
      <c r="TV11" s="206">
        <f t="shared" si="132"/>
        <v>4.3639986720491972</v>
      </c>
      <c r="TW11" s="206">
        <f t="shared" si="132"/>
        <v>4.4106637016875636</v>
      </c>
      <c r="TX11" s="206">
        <f t="shared" si="132"/>
        <v>4.4560580317979035</v>
      </c>
      <c r="TY11" s="206">
        <f t="shared" si="132"/>
        <v>4.5007712760713989</v>
      </c>
      <c r="TZ11" s="206">
        <f t="shared" si="132"/>
        <v>4.5557457744670282</v>
      </c>
      <c r="UA11" s="206">
        <f t="shared" si="132"/>
        <v>4.3248370524173358</v>
      </c>
      <c r="UB11" s="206">
        <f t="shared" si="132"/>
        <v>4.3751816559318337</v>
      </c>
      <c r="UC11" s="206">
        <f t="shared" si="132"/>
        <v>4.1247588688420631</v>
      </c>
      <c r="UD11" s="206">
        <f t="shared" si="132"/>
        <v>4.1725809492760435</v>
      </c>
      <c r="UE11" s="206">
        <f t="shared" si="132"/>
        <v>4.2226426628264893</v>
      </c>
      <c r="UF11" s="206">
        <f t="shared" si="132"/>
        <v>4.2828702543292954</v>
      </c>
      <c r="UG11" s="206">
        <f t="shared" si="132"/>
        <v>4.3267632713262643</v>
      </c>
      <c r="UH11" s="206">
        <f t="shared" si="132"/>
        <v>4.0667241230946782</v>
      </c>
      <c r="UI11" s="206">
        <f t="shared" si="132"/>
        <v>4.1072066800615037</v>
      </c>
      <c r="UJ11" s="206">
        <f t="shared" si="132"/>
        <v>3.849184057225937</v>
      </c>
      <c r="UK11" s="206">
        <f t="shared" si="132"/>
        <v>3.8910554523666994</v>
      </c>
      <c r="UL11" s="206">
        <f t="shared" si="132"/>
        <v>3.9370730309268507</v>
      </c>
      <c r="UM11" s="206">
        <f t="shared" si="132"/>
        <v>3.9755237512688413</v>
      </c>
      <c r="UN11" s="206">
        <f t="shared" si="132"/>
        <v>4.0123920037437717</v>
      </c>
      <c r="UO11" s="206">
        <f t="shared" si="132"/>
        <v>3.7363937587210843</v>
      </c>
      <c r="UP11" s="206">
        <f t="shared" si="132"/>
        <v>3.7691953745167122</v>
      </c>
      <c r="UQ11" s="206">
        <f t="shared" si="132"/>
        <v>-6.503264836540567E-4</v>
      </c>
      <c r="UR11" s="206">
        <f t="shared" si="132"/>
        <v>3.558287038665334</v>
      </c>
      <c r="US11" s="206">
        <f t="shared" si="132"/>
        <v>3.5968789805146697</v>
      </c>
      <c r="UT11" s="206">
        <f t="shared" si="132"/>
        <v>3.6342180947383906</v>
      </c>
      <c r="UU11" s="206">
        <f t="shared" si="132"/>
        <v>3.6820731890105254</v>
      </c>
      <c r="UV11" s="206">
        <f t="shared" si="132"/>
        <v>3.7294166774350948</v>
      </c>
      <c r="UW11" s="206">
        <f t="shared" si="132"/>
        <v>3.7696623753539349</v>
      </c>
      <c r="UX11" s="206">
        <f t="shared" si="132"/>
        <v>3.8317184175730783</v>
      </c>
      <c r="UY11" s="206">
        <f t="shared" si="132"/>
        <v>3.8780034890904651</v>
      </c>
      <c r="UZ11" s="206">
        <f t="shared" si="132"/>
        <v>3.9239453613368598</v>
      </c>
      <c r="VA11" s="206">
        <f t="shared" si="132"/>
        <v>3.9682877132674164</v>
      </c>
      <c r="VB11" s="206">
        <f t="shared" si="132"/>
        <v>4.0053236162640902</v>
      </c>
      <c r="VC11" s="206">
        <f t="shared" si="132"/>
        <v>4.0483476013572135</v>
      </c>
      <c r="VD11" s="206">
        <f t="shared" si="132"/>
        <v>4.0906754561157994</v>
      </c>
      <c r="VE11" s="206">
        <f t="shared" si="132"/>
        <v>4.139273761910415</v>
      </c>
      <c r="VF11" s="206">
        <f t="shared" si="132"/>
        <v>4.2048206211749823</v>
      </c>
      <c r="VG11" s="206">
        <f t="shared" ref="VG11:XR11" si="133">VG4*$AJ$17</f>
        <v>4.2526403358530196</v>
      </c>
      <c r="VH11" s="206">
        <f t="shared" si="133"/>
        <v>4.2993721060133767</v>
      </c>
      <c r="VI11" s="206">
        <f t="shared" si="133"/>
        <v>4.3461330878721673</v>
      </c>
      <c r="VJ11" s="206">
        <f t="shared" si="133"/>
        <v>4.3920962200473745</v>
      </c>
      <c r="VK11" s="206">
        <f t="shared" si="133"/>
        <v>4.4554547435771781</v>
      </c>
      <c r="VL11" s="206">
        <f t="shared" si="133"/>
        <v>4.5000818477508808</v>
      </c>
      <c r="VM11" s="206">
        <f t="shared" si="133"/>
        <v>4.5422333838094673</v>
      </c>
      <c r="VN11" s="206">
        <f t="shared" si="133"/>
        <v>4.5843903481041561</v>
      </c>
      <c r="VO11" s="206">
        <f t="shared" si="133"/>
        <v>4.6345650915726555</v>
      </c>
      <c r="VP11" s="206">
        <f t="shared" si="133"/>
        <v>4.6859798935992316</v>
      </c>
      <c r="VQ11" s="206">
        <f t="shared" si="133"/>
        <v>4.737269220499349</v>
      </c>
      <c r="VR11" s="206">
        <f t="shared" si="133"/>
        <v>4.8076276759385577</v>
      </c>
      <c r="VS11" s="206">
        <f t="shared" si="133"/>
        <v>4.5636770957557307</v>
      </c>
      <c r="VT11" s="206">
        <f t="shared" si="133"/>
        <v>4.6118366329562237</v>
      </c>
      <c r="VU11" s="206">
        <f t="shared" si="133"/>
        <v>4.3639986720491972</v>
      </c>
      <c r="VV11" s="206">
        <f t="shared" si="133"/>
        <v>4.4106637016875636</v>
      </c>
      <c r="VW11" s="206">
        <f t="shared" si="133"/>
        <v>4.4560580317979035</v>
      </c>
      <c r="VX11" s="206">
        <f t="shared" si="133"/>
        <v>4.5007712760713989</v>
      </c>
      <c r="VY11" s="206">
        <f t="shared" si="133"/>
        <v>4.5557457744670282</v>
      </c>
      <c r="VZ11" s="206">
        <f t="shared" si="133"/>
        <v>4.3248370524173358</v>
      </c>
      <c r="WA11" s="206">
        <f t="shared" si="133"/>
        <v>4.3751816559318337</v>
      </c>
      <c r="WB11" s="206">
        <f t="shared" si="133"/>
        <v>4.1247588688420631</v>
      </c>
      <c r="WC11" s="206">
        <f t="shared" si="133"/>
        <v>4.1725809492760435</v>
      </c>
      <c r="WD11" s="206">
        <f t="shared" si="133"/>
        <v>4.2226426628264893</v>
      </c>
      <c r="WE11" s="206">
        <f t="shared" si="133"/>
        <v>4.2828702543292954</v>
      </c>
      <c r="WF11" s="206">
        <f t="shared" si="133"/>
        <v>4.3267632713262643</v>
      </c>
      <c r="WG11" s="206">
        <f t="shared" si="133"/>
        <v>4.0667241230946782</v>
      </c>
      <c r="WH11" s="206">
        <f t="shared" si="133"/>
        <v>4.1072066800615037</v>
      </c>
      <c r="WI11" s="206">
        <f t="shared" si="133"/>
        <v>3.849184057225937</v>
      </c>
      <c r="WJ11" s="206">
        <f t="shared" si="133"/>
        <v>3.8910554523666994</v>
      </c>
      <c r="WK11" s="206">
        <f t="shared" si="133"/>
        <v>3.9370730309268507</v>
      </c>
      <c r="WL11" s="206">
        <f t="shared" si="133"/>
        <v>3.9755237512688413</v>
      </c>
      <c r="WM11" s="206">
        <f t="shared" si="133"/>
        <v>4.0123920037437717</v>
      </c>
      <c r="WN11" s="206">
        <f t="shared" si="133"/>
        <v>3.7363937587210843</v>
      </c>
      <c r="WO11" s="206">
        <f t="shared" si="133"/>
        <v>3.7691953745167122</v>
      </c>
      <c r="WP11" s="206">
        <f t="shared" si="133"/>
        <v>-6.503264836540567E-4</v>
      </c>
      <c r="WQ11" s="206">
        <f t="shared" si="133"/>
        <v>3.558287038665334</v>
      </c>
      <c r="WR11" s="206">
        <f t="shared" si="133"/>
        <v>3.5968789805146697</v>
      </c>
      <c r="WS11" s="206">
        <f t="shared" si="133"/>
        <v>3.6342180947383906</v>
      </c>
      <c r="WT11" s="206">
        <f t="shared" si="133"/>
        <v>3.6820731890105254</v>
      </c>
      <c r="WU11" s="206">
        <f t="shared" si="133"/>
        <v>3.7294166774350948</v>
      </c>
      <c r="WV11" s="206">
        <f t="shared" si="133"/>
        <v>3.7696623753539349</v>
      </c>
      <c r="WW11" s="206">
        <f t="shared" si="133"/>
        <v>3.8317184175730783</v>
      </c>
      <c r="WX11" s="206">
        <f t="shared" si="133"/>
        <v>3.8780034890904651</v>
      </c>
      <c r="WY11" s="206">
        <f t="shared" si="133"/>
        <v>3.9239453613368598</v>
      </c>
      <c r="WZ11" s="206">
        <f t="shared" si="133"/>
        <v>3.9682877132674164</v>
      </c>
      <c r="XA11" s="206">
        <f t="shared" si="133"/>
        <v>4.0053236162640902</v>
      </c>
      <c r="XB11" s="206">
        <f t="shared" si="133"/>
        <v>4.0483476013572135</v>
      </c>
      <c r="XC11" s="206">
        <f t="shared" si="133"/>
        <v>4.0906754561157994</v>
      </c>
      <c r="XD11" s="206">
        <f t="shared" si="133"/>
        <v>4.139273761910415</v>
      </c>
      <c r="XE11" s="206">
        <f t="shared" si="133"/>
        <v>4.2048206211749823</v>
      </c>
      <c r="XF11" s="206">
        <f t="shared" si="133"/>
        <v>4.2526403358530196</v>
      </c>
      <c r="XG11" s="206">
        <f t="shared" si="133"/>
        <v>4.2993721060133767</v>
      </c>
      <c r="XH11" s="206">
        <f t="shared" si="133"/>
        <v>4.3461330878721673</v>
      </c>
      <c r="XI11" s="206">
        <f t="shared" si="133"/>
        <v>4.3920962200473745</v>
      </c>
      <c r="XJ11" s="206">
        <f t="shared" si="133"/>
        <v>4.4554547435771781</v>
      </c>
      <c r="XK11" s="206">
        <f t="shared" si="133"/>
        <v>4.5000818477508808</v>
      </c>
      <c r="XL11" s="206">
        <f t="shared" si="133"/>
        <v>4.5422333838094673</v>
      </c>
      <c r="XM11" s="206">
        <f t="shared" si="133"/>
        <v>4.5843903481041561</v>
      </c>
      <c r="XN11" s="206">
        <f t="shared" si="133"/>
        <v>4.6345650915726555</v>
      </c>
      <c r="XO11" s="206">
        <f t="shared" si="133"/>
        <v>4.6859798935992316</v>
      </c>
      <c r="XP11" s="206">
        <f t="shared" si="133"/>
        <v>4.737269220499349</v>
      </c>
      <c r="XQ11" s="206">
        <f t="shared" si="133"/>
        <v>4.8076276759385577</v>
      </c>
      <c r="XR11" s="206">
        <f t="shared" si="133"/>
        <v>4.5636770957557307</v>
      </c>
      <c r="XS11" s="206">
        <f t="shared" ref="XS11:AAD11" si="134">XS4*$AJ$17</f>
        <v>4.6118366329562237</v>
      </c>
      <c r="XT11" s="206">
        <f t="shared" si="134"/>
        <v>4.3639986720491972</v>
      </c>
      <c r="XU11" s="206">
        <f t="shared" si="134"/>
        <v>4.4106637016875636</v>
      </c>
      <c r="XV11" s="206">
        <f t="shared" si="134"/>
        <v>4.4560580317979035</v>
      </c>
      <c r="XW11" s="206">
        <f t="shared" si="134"/>
        <v>4.5007712760713989</v>
      </c>
      <c r="XX11" s="206">
        <f t="shared" si="134"/>
        <v>4.5557457744670282</v>
      </c>
      <c r="XY11" s="206">
        <f t="shared" si="134"/>
        <v>4.3248370524173358</v>
      </c>
      <c r="XZ11" s="206">
        <f t="shared" si="134"/>
        <v>4.3751816559318337</v>
      </c>
      <c r="YA11" s="206">
        <f t="shared" si="134"/>
        <v>4.1247588688420631</v>
      </c>
      <c r="YB11" s="206">
        <f t="shared" si="134"/>
        <v>4.1725809492760435</v>
      </c>
      <c r="YC11" s="206">
        <f t="shared" si="134"/>
        <v>4.2226426628264893</v>
      </c>
      <c r="YD11" s="206">
        <f t="shared" si="134"/>
        <v>4.2828702543292954</v>
      </c>
      <c r="YE11" s="206">
        <f t="shared" si="134"/>
        <v>4.3267632713262643</v>
      </c>
      <c r="YF11" s="206">
        <f t="shared" si="134"/>
        <v>4.0667241230946782</v>
      </c>
      <c r="YG11" s="206">
        <f t="shared" si="134"/>
        <v>4.1072066800615037</v>
      </c>
      <c r="YH11" s="206">
        <f t="shared" si="134"/>
        <v>3.849184057225937</v>
      </c>
      <c r="YI11" s="206">
        <f t="shared" si="134"/>
        <v>3.8910554523666994</v>
      </c>
      <c r="YJ11" s="206">
        <f t="shared" si="134"/>
        <v>3.9370730309268507</v>
      </c>
      <c r="YK11" s="206">
        <f t="shared" si="134"/>
        <v>3.9755237512688413</v>
      </c>
      <c r="YL11" s="206">
        <f t="shared" si="134"/>
        <v>4.0123920037437717</v>
      </c>
      <c r="YM11" s="206">
        <f t="shared" si="134"/>
        <v>3.7363937587210843</v>
      </c>
      <c r="YN11" s="206">
        <f t="shared" si="134"/>
        <v>3.7691953745167122</v>
      </c>
      <c r="YO11" s="206">
        <f t="shared" si="134"/>
        <v>-6.503264836540567E-4</v>
      </c>
      <c r="YP11" s="206">
        <f t="shared" si="134"/>
        <v>3.4248120386653342</v>
      </c>
      <c r="YQ11" s="206">
        <f t="shared" si="134"/>
        <v>3.4510583403360982</v>
      </c>
      <c r="YR11" s="206">
        <f t="shared" si="134"/>
        <v>3.4747058262259864</v>
      </c>
      <c r="YS11" s="206">
        <f t="shared" si="134"/>
        <v>3.5079200968051971</v>
      </c>
      <c r="YT11" s="206">
        <f t="shared" si="134"/>
        <v>3.5400297396074527</v>
      </c>
      <c r="YU11" s="206">
        <f t="shared" si="134"/>
        <v>3.5638518206093437</v>
      </c>
      <c r="YV11" s="206">
        <f t="shared" si="134"/>
        <v>3.6081423756643249</v>
      </c>
      <c r="YW11" s="206">
        <f t="shared" si="134"/>
        <v>3.6356995524136098</v>
      </c>
      <c r="YX11" s="206">
        <f t="shared" si="134"/>
        <v>3.6619045902006571</v>
      </c>
      <c r="YY11" s="206">
        <f t="shared" si="134"/>
        <v>3.6861591935910334</v>
      </c>
      <c r="YZ11" s="206">
        <f t="shared" si="134"/>
        <v>3.7018900355627253</v>
      </c>
      <c r="ZA11" s="206">
        <f t="shared" si="134"/>
        <v>3.7227919368027811</v>
      </c>
      <c r="ZB11" s="206">
        <f t="shared" si="134"/>
        <v>3.7417535260518799</v>
      </c>
      <c r="ZC11" s="206">
        <f t="shared" si="134"/>
        <v>3.7661870666164399</v>
      </c>
      <c r="ZD11" s="206">
        <f t="shared" si="134"/>
        <v>3.8071113401980896</v>
      </c>
      <c r="ZE11" s="206">
        <f t="shared" si="134"/>
        <v>3.8297342475264942</v>
      </c>
      <c r="ZF11" s="206">
        <f t="shared" si="134"/>
        <v>3.8511606394281563</v>
      </c>
      <c r="ZG11" s="206">
        <f t="shared" si="134"/>
        <v>3.871351465628178</v>
      </c>
      <c r="ZH11" s="206">
        <f t="shared" si="134"/>
        <v>3.8897974550850094</v>
      </c>
      <c r="ZI11" s="206">
        <f t="shared" si="134"/>
        <v>3.9252884832117299</v>
      </c>
      <c r="ZJ11" s="206">
        <f t="shared" si="134"/>
        <v>3.9412010155288031</v>
      </c>
      <c r="ZK11" s="206">
        <f t="shared" si="134"/>
        <v>3.9557358436890859</v>
      </c>
      <c r="ZL11" s="206">
        <f t="shared" si="134"/>
        <v>3.9684198967428697</v>
      </c>
      <c r="ZM11" s="206">
        <f t="shared" si="134"/>
        <v>3.9890796116285361</v>
      </c>
      <c r="ZN11" s="206">
        <f t="shared" si="134"/>
        <v>4.0088325441196773</v>
      </c>
      <c r="ZO11" s="206">
        <f t="shared" si="134"/>
        <v>4.027653508998176</v>
      </c>
      <c r="ZP11" s="206">
        <f t="shared" si="134"/>
        <v>4.0654406183381724</v>
      </c>
      <c r="ZQ11" s="206">
        <f t="shared" si="134"/>
        <v>3.7882402070939469</v>
      </c>
      <c r="ZR11" s="206">
        <f t="shared" si="134"/>
        <v>3.8032057052917585</v>
      </c>
      <c r="ZS11" s="206">
        <f t="shared" si="134"/>
        <v>3.5216416651815239</v>
      </c>
      <c r="ZT11" s="206">
        <f t="shared" si="134"/>
        <v>3.5341054565593781</v>
      </c>
      <c r="ZU11" s="206">
        <f t="shared" si="134"/>
        <v>3.5456063308214549</v>
      </c>
      <c r="ZV11" s="206">
        <f t="shared" si="134"/>
        <v>3.5561234549632093</v>
      </c>
      <c r="ZW11" s="206">
        <f t="shared" si="134"/>
        <v>3.5766702599157751</v>
      </c>
      <c r="ZX11" s="206">
        <f t="shared" si="134"/>
        <v>3.3119239700446172</v>
      </c>
      <c r="ZY11" s="206">
        <f t="shared" si="134"/>
        <v>3.3312858587250789</v>
      </c>
      <c r="ZZ11" s="206">
        <f t="shared" si="134"/>
        <v>3.0480714418837169</v>
      </c>
      <c r="AAA11" s="206">
        <f t="shared" si="134"/>
        <v>3.0664620440326162</v>
      </c>
      <c r="AAB11" s="206">
        <f t="shared" si="134"/>
        <v>3.0844882118441688</v>
      </c>
      <c r="AAC11" s="206">
        <f t="shared" si="134"/>
        <v>3.113805924572929</v>
      </c>
      <c r="AAD11" s="206">
        <f t="shared" si="134"/>
        <v>3.1309241210175607</v>
      </c>
      <c r="AAE11" s="206">
        <f t="shared" ref="AAE11:ACP11" si="135">AAE4*$AJ$17</f>
        <v>2.8413949775830853</v>
      </c>
      <c r="AAF11" s="206">
        <f t="shared" si="135"/>
        <v>2.8577885581969271</v>
      </c>
      <c r="AAG11" s="206">
        <f t="shared" si="135"/>
        <v>2.5728829723560596</v>
      </c>
      <c r="AAH11" s="206">
        <f t="shared" si="135"/>
        <v>2.5888100935305167</v>
      </c>
      <c r="AAI11" s="206">
        <f t="shared" si="135"/>
        <v>2.6106411968574044</v>
      </c>
      <c r="AAJ11" s="206">
        <f t="shared" si="135"/>
        <v>2.6260577655457626</v>
      </c>
      <c r="AAK11" s="206">
        <f t="shared" si="135"/>
        <v>2.6411432088716591</v>
      </c>
      <c r="AAL11" s="206">
        <f t="shared" si="135"/>
        <v>2.3454040954174333</v>
      </c>
      <c r="AAM11" s="206">
        <f t="shared" si="135"/>
        <v>2.3599175090207685</v>
      </c>
      <c r="AAN11" s="206">
        <f t="shared" si="135"/>
        <v>-6.503264836540567E-4</v>
      </c>
      <c r="AAO11" s="206">
        <f t="shared" si="135"/>
        <v>2.0341533779958327</v>
      </c>
      <c r="AAP11" s="206">
        <f t="shared" si="135"/>
        <v>2.0481212085027267</v>
      </c>
      <c r="AAQ11" s="206">
        <f t="shared" si="135"/>
        <v>2.0618402381278642</v>
      </c>
      <c r="AAR11" s="206">
        <f t="shared" si="135"/>
        <v>2.0753025743898488</v>
      </c>
      <c r="AAS11" s="206">
        <f t="shared" si="135"/>
        <v>2.088500334776572</v>
      </c>
      <c r="AAT11" s="206">
        <f t="shared" si="135"/>
        <v>2.1010516083082766</v>
      </c>
      <c r="AAU11" s="206">
        <f t="shared" si="135"/>
        <v>2.1292105298633048</v>
      </c>
      <c r="AAV11" s="206">
        <f t="shared" si="135"/>
        <v>2.1416442572995749</v>
      </c>
      <c r="AAW11" s="206">
        <f t="shared" si="135"/>
        <v>2.1537844984304009</v>
      </c>
      <c r="AAX11" s="206">
        <f t="shared" si="135"/>
        <v>2.1656235614962243</v>
      </c>
      <c r="AAY11" s="206">
        <f t="shared" si="135"/>
        <v>2.1771537920579158</v>
      </c>
      <c r="AAZ11" s="206">
        <f t="shared" si="135"/>
        <v>2.1883675778229503</v>
      </c>
      <c r="ABA11" s="206">
        <f t="shared" si="135"/>
        <v>2.1988914822282104</v>
      </c>
      <c r="ABB11" s="206">
        <f t="shared" si="135"/>
        <v>2.2090832193113212</v>
      </c>
      <c r="ABC11" s="206">
        <f t="shared" si="135"/>
        <v>2.2365461402423059</v>
      </c>
      <c r="ABD11" s="206">
        <f t="shared" si="135"/>
        <v>2.2465209439121554</v>
      </c>
      <c r="ABE11" s="206">
        <f t="shared" si="135"/>
        <v>2.2561448386484315</v>
      </c>
      <c r="ABF11" s="206">
        <f t="shared" si="135"/>
        <v>2.2654106203966839</v>
      </c>
      <c r="ABG11" s="206">
        <f t="shared" si="135"/>
        <v>2.2743111596303391</v>
      </c>
      <c r="ABH11" s="206">
        <f t="shared" si="135"/>
        <v>2.3011940286183292</v>
      </c>
      <c r="ABI11" s="206">
        <f t="shared" si="135"/>
        <v>2.3094646212795116</v>
      </c>
      <c r="ABJ11" s="206">
        <f t="shared" si="135"/>
        <v>2.317351853466497</v>
      </c>
      <c r="ABK11" s="206">
        <f t="shared" si="135"/>
        <v>2.3248489784154032</v>
      </c>
      <c r="ABL11" s="206">
        <f t="shared" si="135"/>
        <v>2.3319493458290692</v>
      </c>
      <c r="ABM11" s="206">
        <f t="shared" si="135"/>
        <v>2.3386464066639983</v>
      </c>
      <c r="ABN11" s="206">
        <f t="shared" si="135"/>
        <v>2.3449337179043099</v>
      </c>
      <c r="ABO11" s="206">
        <f t="shared" si="135"/>
        <v>2.3707279888012573</v>
      </c>
      <c r="ABP11" s="206">
        <f t="shared" si="135"/>
        <v>2.0825123057866501</v>
      </c>
      <c r="ABQ11" s="206">
        <f t="shared" si="135"/>
        <v>2.0870403737312242</v>
      </c>
      <c r="ABR11" s="206">
        <f t="shared" si="135"/>
        <v>1.7956342288279437</v>
      </c>
      <c r="ABS11" s="206">
        <f t="shared" si="135"/>
        <v>1.7988684705968272</v>
      </c>
      <c r="ABT11" s="206">
        <f t="shared" si="135"/>
        <v>1.8017693007755677</v>
      </c>
      <c r="ABU11" s="206">
        <f t="shared" si="135"/>
        <v>1.8043325321022659</v>
      </c>
      <c r="ABV11" s="206">
        <f t="shared" si="135"/>
        <v>1.8063117425225901</v>
      </c>
      <c r="ABW11" s="206">
        <f t="shared" si="135"/>
        <v>1.5234816994974225</v>
      </c>
      <c r="ABX11" s="206">
        <f t="shared" si="135"/>
        <v>1.524860899413591</v>
      </c>
      <c r="ABY11" s="206">
        <f t="shared" si="135"/>
        <v>1.2237725874371925</v>
      </c>
      <c r="ABZ11" s="206">
        <f t="shared" si="135"/>
        <v>1.2244058909963813</v>
      </c>
      <c r="ACA11" s="206">
        <f t="shared" si="135"/>
        <v>1.2247992299742014</v>
      </c>
      <c r="ACB11" s="206">
        <f t="shared" si="135"/>
        <v>1.2366165236436228</v>
      </c>
      <c r="ACC11" s="206">
        <f t="shared" si="135"/>
        <v>1.2367690815601828</v>
      </c>
      <c r="ACD11" s="206">
        <f t="shared" si="135"/>
        <v>0.9304272694343042</v>
      </c>
      <c r="ACE11" s="206">
        <f t="shared" si="135"/>
        <v>0.93016910142822506</v>
      </c>
      <c r="ACF11" s="206">
        <f t="shared" si="135"/>
        <v>0.62878068371417706</v>
      </c>
      <c r="ACG11" s="206">
        <f t="shared" si="135"/>
        <v>0.62840192895028513</v>
      </c>
      <c r="ACH11" s="206">
        <f t="shared" si="135"/>
        <v>0.63411218995683338</v>
      </c>
      <c r="ACI11" s="206">
        <f t="shared" si="135"/>
        <v>0.63360106201514188</v>
      </c>
      <c r="ACJ11" s="206">
        <f t="shared" si="135"/>
        <v>0.63296009667044295</v>
      </c>
      <c r="ACK11" s="206">
        <f t="shared" si="135"/>
        <v>0.32209412919264624</v>
      </c>
      <c r="ACL11" s="206">
        <f t="shared" si="135"/>
        <v>0.32170145443688264</v>
      </c>
      <c r="ACM11" s="206">
        <f t="shared" si="135"/>
        <v>-6.503264836540567E-4</v>
      </c>
      <c r="ACN11" s="206">
        <f t="shared" si="135"/>
        <v>0</v>
      </c>
      <c r="ACO11" s="206">
        <f t="shared" si="135"/>
        <v>0</v>
      </c>
      <c r="ACP11" s="206">
        <f t="shared" si="135"/>
        <v>0</v>
      </c>
      <c r="ACQ11" s="206">
        <f t="shared" ref="ACQ11:AFB11" si="136">ACQ4*$AJ$17</f>
        <v>0</v>
      </c>
      <c r="ACR11" s="206">
        <f t="shared" si="136"/>
        <v>0</v>
      </c>
      <c r="ACS11" s="206">
        <f t="shared" si="136"/>
        <v>0</v>
      </c>
      <c r="ACT11" s="206">
        <f t="shared" si="136"/>
        <v>0</v>
      </c>
      <c r="ACU11" s="206">
        <f t="shared" si="136"/>
        <v>0</v>
      </c>
      <c r="ACV11" s="206">
        <f t="shared" si="136"/>
        <v>0</v>
      </c>
      <c r="ACW11" s="206">
        <f t="shared" si="136"/>
        <v>0</v>
      </c>
      <c r="ACX11" s="206">
        <f t="shared" si="136"/>
        <v>0</v>
      </c>
      <c r="ACY11" s="206">
        <f t="shared" si="136"/>
        <v>0</v>
      </c>
      <c r="ACZ11" s="206">
        <f t="shared" si="136"/>
        <v>0</v>
      </c>
      <c r="ADA11" s="206">
        <f t="shared" si="136"/>
        <v>0</v>
      </c>
      <c r="ADB11" s="206">
        <f t="shared" si="136"/>
        <v>0</v>
      </c>
      <c r="ADC11" s="206">
        <f t="shared" si="136"/>
        <v>0</v>
      </c>
      <c r="ADD11" s="206">
        <f t="shared" si="136"/>
        <v>0</v>
      </c>
      <c r="ADE11" s="206">
        <f t="shared" si="136"/>
        <v>0</v>
      </c>
      <c r="ADF11" s="206">
        <f t="shared" si="136"/>
        <v>0</v>
      </c>
      <c r="ADG11" s="206">
        <f t="shared" si="136"/>
        <v>0</v>
      </c>
      <c r="ADH11" s="206">
        <f t="shared" si="136"/>
        <v>0</v>
      </c>
      <c r="ADI11" s="206">
        <f t="shared" si="136"/>
        <v>0</v>
      </c>
      <c r="ADJ11" s="206">
        <f t="shared" si="136"/>
        <v>0</v>
      </c>
      <c r="ADK11" s="206">
        <f t="shared" si="136"/>
        <v>0</v>
      </c>
      <c r="ADL11" s="206">
        <f t="shared" si="136"/>
        <v>0</v>
      </c>
      <c r="ADM11" s="206">
        <f t="shared" si="136"/>
        <v>0</v>
      </c>
      <c r="ADN11" s="206">
        <f t="shared" si="136"/>
        <v>0</v>
      </c>
      <c r="ADO11" s="206">
        <f t="shared" si="136"/>
        <v>0</v>
      </c>
      <c r="ADP11" s="206">
        <f t="shared" si="136"/>
        <v>0</v>
      </c>
      <c r="ADQ11" s="206">
        <f t="shared" si="136"/>
        <v>0</v>
      </c>
      <c r="ADR11" s="206">
        <f t="shared" si="136"/>
        <v>0</v>
      </c>
      <c r="ADS11" s="206">
        <f t="shared" si="136"/>
        <v>0</v>
      </c>
      <c r="ADT11" s="206">
        <f t="shared" si="136"/>
        <v>0</v>
      </c>
      <c r="ADU11" s="206">
        <f t="shared" si="136"/>
        <v>0</v>
      </c>
      <c r="ADV11" s="206">
        <f t="shared" si="136"/>
        <v>0</v>
      </c>
      <c r="ADW11" s="206">
        <f t="shared" si="136"/>
        <v>0</v>
      </c>
      <c r="ADX11" s="206">
        <f t="shared" si="136"/>
        <v>0</v>
      </c>
      <c r="ADY11" s="206">
        <f t="shared" si="136"/>
        <v>0</v>
      </c>
      <c r="ADZ11" s="206">
        <f t="shared" si="136"/>
        <v>0</v>
      </c>
      <c r="AEA11" s="206">
        <f t="shared" si="136"/>
        <v>0</v>
      </c>
      <c r="AEB11" s="206">
        <f t="shared" si="136"/>
        <v>0</v>
      </c>
      <c r="AEC11" s="206">
        <f t="shared" si="136"/>
        <v>0</v>
      </c>
      <c r="AED11" s="206">
        <f t="shared" si="136"/>
        <v>0</v>
      </c>
      <c r="AEE11" s="206">
        <f t="shared" si="136"/>
        <v>0</v>
      </c>
      <c r="AEF11" s="206">
        <f t="shared" si="136"/>
        <v>0</v>
      </c>
      <c r="AEG11" s="206">
        <f t="shared" si="136"/>
        <v>0</v>
      </c>
      <c r="AEH11" s="206">
        <f t="shared" si="136"/>
        <v>0</v>
      </c>
      <c r="AEI11" s="206">
        <f t="shared" si="136"/>
        <v>0</v>
      </c>
      <c r="AEJ11" s="206">
        <f t="shared" si="136"/>
        <v>0</v>
      </c>
      <c r="AEK11" s="206">
        <f t="shared" si="136"/>
        <v>0</v>
      </c>
      <c r="AEL11" s="206">
        <f t="shared" si="136"/>
        <v>0</v>
      </c>
      <c r="AEM11" s="206">
        <f t="shared" si="136"/>
        <v>0</v>
      </c>
      <c r="AEN11" s="206">
        <f t="shared" si="136"/>
        <v>0</v>
      </c>
      <c r="AEO11" s="206">
        <f t="shared" si="136"/>
        <v>0</v>
      </c>
      <c r="AEP11" s="206">
        <f t="shared" si="136"/>
        <v>0</v>
      </c>
      <c r="AEQ11" s="206">
        <f t="shared" si="136"/>
        <v>0</v>
      </c>
      <c r="AER11" s="206">
        <f t="shared" si="136"/>
        <v>0</v>
      </c>
      <c r="AES11" s="206">
        <f t="shared" si="136"/>
        <v>0</v>
      </c>
      <c r="AET11" s="206">
        <f t="shared" si="136"/>
        <v>0</v>
      </c>
      <c r="AEU11" s="206">
        <f t="shared" si="136"/>
        <v>0</v>
      </c>
      <c r="AEV11" s="206">
        <f t="shared" si="136"/>
        <v>0</v>
      </c>
      <c r="AEW11" s="206">
        <f t="shared" si="136"/>
        <v>0</v>
      </c>
      <c r="AEX11" s="206">
        <f t="shared" si="136"/>
        <v>0</v>
      </c>
      <c r="AEY11" s="206">
        <f t="shared" si="136"/>
        <v>0</v>
      </c>
      <c r="AEZ11" s="206">
        <f t="shared" si="136"/>
        <v>0</v>
      </c>
      <c r="AFA11" s="206">
        <f t="shared" si="136"/>
        <v>0</v>
      </c>
      <c r="AFB11" s="206">
        <f t="shared" si="136"/>
        <v>0</v>
      </c>
      <c r="AFC11" s="206">
        <f t="shared" ref="AFC11:AHN11" si="137">AFC4*$AJ$17</f>
        <v>0</v>
      </c>
      <c r="AFD11" s="206">
        <f t="shared" si="137"/>
        <v>0</v>
      </c>
      <c r="AFE11" s="206">
        <f t="shared" si="137"/>
        <v>0</v>
      </c>
      <c r="AFF11" s="206">
        <f t="shared" si="137"/>
        <v>0</v>
      </c>
      <c r="AFG11" s="206">
        <f t="shared" si="137"/>
        <v>0</v>
      </c>
      <c r="AFH11" s="206">
        <f t="shared" si="137"/>
        <v>0</v>
      </c>
      <c r="AFI11" s="206">
        <f t="shared" si="137"/>
        <v>0</v>
      </c>
      <c r="AFJ11" s="206">
        <f t="shared" si="137"/>
        <v>0</v>
      </c>
      <c r="AFK11" s="206">
        <f t="shared" si="137"/>
        <v>0</v>
      </c>
      <c r="AFL11" s="206">
        <f t="shared" si="137"/>
        <v>0</v>
      </c>
      <c r="AFM11" s="206">
        <f t="shared" si="137"/>
        <v>0</v>
      </c>
      <c r="AFN11" s="206">
        <f t="shared" si="137"/>
        <v>0</v>
      </c>
      <c r="AFO11" s="206">
        <f t="shared" si="137"/>
        <v>0</v>
      </c>
      <c r="AFP11" s="206">
        <f t="shared" si="137"/>
        <v>0</v>
      </c>
      <c r="AFQ11" s="206">
        <f t="shared" si="137"/>
        <v>0</v>
      </c>
      <c r="AFR11" s="206">
        <f t="shared" si="137"/>
        <v>0</v>
      </c>
      <c r="AFS11" s="206">
        <f t="shared" si="137"/>
        <v>0</v>
      </c>
      <c r="AFT11" s="206">
        <f t="shared" si="137"/>
        <v>0</v>
      </c>
      <c r="AFU11" s="206">
        <f t="shared" si="137"/>
        <v>0</v>
      </c>
      <c r="AFV11" s="206">
        <f t="shared" si="137"/>
        <v>0</v>
      </c>
      <c r="AFW11" s="206">
        <f t="shared" si="137"/>
        <v>0</v>
      </c>
      <c r="AFX11" s="206">
        <f t="shared" si="137"/>
        <v>0</v>
      </c>
      <c r="AFY11" s="206">
        <f t="shared" si="137"/>
        <v>0</v>
      </c>
      <c r="AFZ11" s="206">
        <f t="shared" si="137"/>
        <v>0</v>
      </c>
      <c r="AGA11" s="206">
        <f t="shared" si="137"/>
        <v>0</v>
      </c>
      <c r="AGB11" s="206">
        <f t="shared" si="137"/>
        <v>0</v>
      </c>
      <c r="AGC11" s="206">
        <f t="shared" si="137"/>
        <v>0</v>
      </c>
      <c r="AGD11" s="206">
        <f t="shared" si="137"/>
        <v>0</v>
      </c>
      <c r="AGE11" s="206">
        <f t="shared" si="137"/>
        <v>0</v>
      </c>
      <c r="AGF11" s="206">
        <f t="shared" si="137"/>
        <v>0</v>
      </c>
      <c r="AGG11" s="206">
        <f t="shared" si="137"/>
        <v>0</v>
      </c>
      <c r="AGH11" s="206">
        <f t="shared" si="137"/>
        <v>0</v>
      </c>
      <c r="AGI11" s="206">
        <f t="shared" si="137"/>
        <v>0</v>
      </c>
      <c r="AGJ11" s="206">
        <f t="shared" si="137"/>
        <v>0</v>
      </c>
      <c r="AGK11" s="206">
        <f t="shared" si="137"/>
        <v>0</v>
      </c>
      <c r="AGL11" s="206">
        <f t="shared" si="137"/>
        <v>0</v>
      </c>
      <c r="AGM11" s="206">
        <f t="shared" si="137"/>
        <v>0</v>
      </c>
      <c r="AGN11" s="206">
        <f t="shared" si="137"/>
        <v>0</v>
      </c>
      <c r="AGO11" s="206">
        <f t="shared" si="137"/>
        <v>0</v>
      </c>
      <c r="AGP11" s="206">
        <f t="shared" si="137"/>
        <v>0</v>
      </c>
      <c r="AGQ11" s="206">
        <f t="shared" si="137"/>
        <v>0</v>
      </c>
      <c r="AGR11" s="206">
        <f t="shared" si="137"/>
        <v>0</v>
      </c>
      <c r="AGS11" s="206">
        <f t="shared" si="137"/>
        <v>0</v>
      </c>
      <c r="AGT11" s="206">
        <f t="shared" si="137"/>
        <v>0</v>
      </c>
      <c r="AGU11" s="206">
        <f t="shared" si="137"/>
        <v>0</v>
      </c>
      <c r="AGV11" s="206">
        <f t="shared" si="137"/>
        <v>0</v>
      </c>
      <c r="AGW11" s="206">
        <f t="shared" si="137"/>
        <v>0</v>
      </c>
      <c r="AGX11" s="206">
        <f t="shared" si="137"/>
        <v>0</v>
      </c>
      <c r="AGY11" s="206">
        <f t="shared" si="137"/>
        <v>0</v>
      </c>
      <c r="AGZ11" s="206">
        <f t="shared" si="137"/>
        <v>0</v>
      </c>
      <c r="AHA11" s="206">
        <f t="shared" si="137"/>
        <v>0</v>
      </c>
      <c r="AHB11" s="206">
        <f t="shared" si="137"/>
        <v>0</v>
      </c>
      <c r="AHC11" s="206">
        <f t="shared" si="137"/>
        <v>0</v>
      </c>
      <c r="AHD11" s="206">
        <f t="shared" si="137"/>
        <v>0</v>
      </c>
      <c r="AHE11" s="206">
        <f t="shared" si="137"/>
        <v>0</v>
      </c>
      <c r="AHF11" s="206">
        <f t="shared" si="137"/>
        <v>0</v>
      </c>
      <c r="AHG11" s="206">
        <f t="shared" si="137"/>
        <v>0</v>
      </c>
      <c r="AHH11" s="206">
        <f t="shared" si="137"/>
        <v>0</v>
      </c>
      <c r="AHI11" s="206">
        <f t="shared" si="137"/>
        <v>0</v>
      </c>
      <c r="AHJ11" s="206">
        <f t="shared" si="137"/>
        <v>0</v>
      </c>
      <c r="AHK11" s="206">
        <f t="shared" si="137"/>
        <v>0</v>
      </c>
      <c r="AHL11" s="206">
        <f t="shared" si="137"/>
        <v>0</v>
      </c>
      <c r="AHM11" s="206">
        <f t="shared" si="137"/>
        <v>0</v>
      </c>
      <c r="AHN11" s="206">
        <f t="shared" si="137"/>
        <v>0</v>
      </c>
      <c r="AHO11" s="206">
        <f t="shared" ref="AHO11:AJA11" si="138">AHO4*$AJ$17</f>
        <v>0</v>
      </c>
      <c r="AHP11" s="206">
        <f t="shared" si="138"/>
        <v>0</v>
      </c>
      <c r="AHQ11" s="206">
        <f t="shared" si="138"/>
        <v>0</v>
      </c>
      <c r="AHR11" s="206">
        <f t="shared" si="138"/>
        <v>0</v>
      </c>
      <c r="AHS11" s="206">
        <f t="shared" si="138"/>
        <v>0</v>
      </c>
      <c r="AHT11" s="206">
        <f t="shared" si="138"/>
        <v>0</v>
      </c>
      <c r="AHU11" s="206">
        <f t="shared" si="138"/>
        <v>0</v>
      </c>
      <c r="AHV11" s="206">
        <f t="shared" si="138"/>
        <v>0</v>
      </c>
      <c r="AHW11" s="206">
        <f t="shared" si="138"/>
        <v>0</v>
      </c>
      <c r="AHX11" s="206">
        <f t="shared" si="138"/>
        <v>0</v>
      </c>
      <c r="AHY11" s="206">
        <f t="shared" si="138"/>
        <v>0</v>
      </c>
      <c r="AHZ11" s="206">
        <f t="shared" si="138"/>
        <v>0</v>
      </c>
      <c r="AIA11" s="206">
        <f t="shared" si="138"/>
        <v>0</v>
      </c>
      <c r="AIB11" s="206">
        <f t="shared" si="138"/>
        <v>0</v>
      </c>
      <c r="AIC11" s="206">
        <f t="shared" si="138"/>
        <v>0</v>
      </c>
      <c r="AID11" s="206">
        <f t="shared" si="138"/>
        <v>0</v>
      </c>
      <c r="AIE11" s="206">
        <f t="shared" si="138"/>
        <v>0</v>
      </c>
      <c r="AIF11" s="206">
        <f t="shared" si="138"/>
        <v>0</v>
      </c>
      <c r="AIG11" s="206">
        <f t="shared" si="138"/>
        <v>0</v>
      </c>
      <c r="AIH11" s="206">
        <f t="shared" si="138"/>
        <v>0</v>
      </c>
      <c r="AII11" s="206">
        <f t="shared" si="138"/>
        <v>0</v>
      </c>
      <c r="AIJ11" s="206">
        <f t="shared" si="138"/>
        <v>0</v>
      </c>
      <c r="AIK11" s="206">
        <f t="shared" si="138"/>
        <v>0</v>
      </c>
      <c r="AIL11" s="206">
        <f t="shared" si="138"/>
        <v>0</v>
      </c>
      <c r="AIM11" s="206">
        <f t="shared" si="138"/>
        <v>0</v>
      </c>
      <c r="AIN11" s="206">
        <f t="shared" si="138"/>
        <v>0</v>
      </c>
      <c r="AIO11" s="206">
        <f t="shared" si="138"/>
        <v>0</v>
      </c>
      <c r="AIP11" s="206">
        <f t="shared" si="138"/>
        <v>0</v>
      </c>
      <c r="AIQ11" s="206">
        <f t="shared" si="138"/>
        <v>0</v>
      </c>
      <c r="AIR11" s="206">
        <f t="shared" si="138"/>
        <v>0</v>
      </c>
      <c r="AIS11" s="206">
        <f t="shared" si="138"/>
        <v>0</v>
      </c>
      <c r="AIT11" s="206">
        <f t="shared" si="138"/>
        <v>0</v>
      </c>
      <c r="AIU11" s="206">
        <f t="shared" si="138"/>
        <v>0</v>
      </c>
      <c r="AIV11" s="206">
        <f t="shared" si="138"/>
        <v>0</v>
      </c>
      <c r="AIW11" s="206">
        <f t="shared" si="138"/>
        <v>0</v>
      </c>
      <c r="AIX11" s="206">
        <f t="shared" si="138"/>
        <v>0</v>
      </c>
      <c r="AIY11" s="206">
        <f t="shared" si="138"/>
        <v>0</v>
      </c>
      <c r="AIZ11" s="206">
        <f t="shared" si="138"/>
        <v>0</v>
      </c>
      <c r="AJA11" s="206">
        <f t="shared" si="138"/>
        <v>0</v>
      </c>
    </row>
    <row r="12" spans="1:1024" s="204" customFormat="1" ht="22.15" customHeight="1" x14ac:dyDescent="0.25">
      <c r="A12" s="286" t="s">
        <v>69</v>
      </c>
      <c r="B12" s="286"/>
      <c r="C12" s="206">
        <f t="shared" ref="C12:BN12" si="139">C11*(100%-$AJ$18)*$AJ$20</f>
        <v>3.0365562500000002E-2</v>
      </c>
      <c r="D12" s="206">
        <f t="shared" si="139"/>
        <v>3.3174195640624994E-2</v>
      </c>
      <c r="E12" s="206">
        <f t="shared" si="139"/>
        <v>3.6289041086571987E-2</v>
      </c>
      <c r="F12" s="206">
        <f t="shared" si="139"/>
        <v>3.9619828476712075E-2</v>
      </c>
      <c r="G12" s="206">
        <f t="shared" si="139"/>
        <v>4.3085528355788487E-2</v>
      </c>
      <c r="H12" s="206">
        <f t="shared" si="139"/>
        <v>4.6821901204394403E-2</v>
      </c>
      <c r="I12" s="206">
        <f t="shared" si="139"/>
        <v>5.0863549534241395E-2</v>
      </c>
      <c r="J12" s="206">
        <f t="shared" si="139"/>
        <v>5.5124145593984639E-2</v>
      </c>
      <c r="K12" s="206">
        <f t="shared" si="139"/>
        <v>5.96142754334862E-2</v>
      </c>
      <c r="L12" s="206">
        <f t="shared" si="139"/>
        <v>6.4184238226377144E-2</v>
      </c>
      <c r="M12" s="206">
        <f t="shared" si="139"/>
        <v>6.9031139609560505E-2</v>
      </c>
      <c r="N12" s="206">
        <f t="shared" si="139"/>
        <v>7.4063913686133367E-2</v>
      </c>
      <c r="O12" s="206">
        <f t="shared" si="139"/>
        <v>7.9379739089541712E-2</v>
      </c>
      <c r="P12" s="206">
        <f t="shared" si="139"/>
        <v>8.4877223179379374E-2</v>
      </c>
      <c r="Q12" s="206">
        <f t="shared" si="139"/>
        <v>9.0478861422243123E-2</v>
      </c>
      <c r="R12" s="206">
        <f t="shared" si="139"/>
        <v>9.6211135094284583E-2</v>
      </c>
      <c r="S12" s="206">
        <f t="shared" si="139"/>
        <v>0.1019681086481377</v>
      </c>
      <c r="T12" s="206">
        <f t="shared" si="139"/>
        <v>0.10801281906050757</v>
      </c>
      <c r="U12" s="206">
        <f t="shared" si="139"/>
        <v>0.11427296902893809</v>
      </c>
      <c r="V12" s="206">
        <f t="shared" si="139"/>
        <v>0.12061282423313945</v>
      </c>
      <c r="W12" s="206">
        <f t="shared" si="139"/>
        <v>0.12714538933052255</v>
      </c>
      <c r="X12" s="206">
        <f t="shared" si="139"/>
        <v>0.13342819037738682</v>
      </c>
      <c r="Y12" s="206">
        <f t="shared" si="139"/>
        <v>0.14013327768469272</v>
      </c>
      <c r="Z12" s="206">
        <f t="shared" si="139"/>
        <v>0.1468479466872871</v>
      </c>
      <c r="AA12" s="206">
        <f t="shared" si="139"/>
        <v>0.15405102200659865</v>
      </c>
      <c r="AB12" s="206">
        <f t="shared" si="139"/>
        <v>0.16143757436651682</v>
      </c>
      <c r="AC12" s="206">
        <f t="shared" si="139"/>
        <v>0.16884755560408776</v>
      </c>
      <c r="AD12" s="206">
        <f t="shared" si="139"/>
        <v>0.17641189217055589</v>
      </c>
      <c r="AE12" s="206">
        <f t="shared" si="139"/>
        <v>0.18396353604366575</v>
      </c>
      <c r="AF12" s="206">
        <f t="shared" si="139"/>
        <v>0.1916362190623955</v>
      </c>
      <c r="AG12" s="206">
        <f t="shared" si="139"/>
        <v>0.19941700076666222</v>
      </c>
      <c r="AH12" s="206">
        <f t="shared" si="139"/>
        <v>0.20712776197214192</v>
      </c>
      <c r="AI12" s="206">
        <f t="shared" si="139"/>
        <v>0.21490737930211309</v>
      </c>
      <c r="AJ12" s="206">
        <f t="shared" si="139"/>
        <v>0.22273967956041016</v>
      </c>
      <c r="AK12" s="206">
        <f t="shared" si="139"/>
        <v>0.23043772623979358</v>
      </c>
      <c r="AL12" s="206">
        <f t="shared" si="139"/>
        <v>0.23748629386453665</v>
      </c>
      <c r="AM12" s="206">
        <f t="shared" si="139"/>
        <v>0.24494638963302376</v>
      </c>
      <c r="AN12" s="206">
        <f t="shared" si="139"/>
        <v>0.25164205094287972</v>
      </c>
      <c r="AO12" s="206">
        <f t="shared" si="139"/>
        <v>0.25893013759847794</v>
      </c>
      <c r="AP12" s="206">
        <f t="shared" si="139"/>
        <v>0.26596213501957333</v>
      </c>
      <c r="AQ12" s="206">
        <f t="shared" si="139"/>
        <v>0.27205340669522998</v>
      </c>
      <c r="AR12" s="206">
        <f t="shared" si="139"/>
        <v>0.27876238060388725</v>
      </c>
      <c r="AS12" s="206">
        <f t="shared" si="139"/>
        <v>0.28424262272419132</v>
      </c>
      <c r="AT12" s="206">
        <f t="shared" si="139"/>
        <v>0.29035849680789705</v>
      </c>
      <c r="AU12" s="206">
        <f t="shared" si="139"/>
        <v>0.29626081913523161</v>
      </c>
      <c r="AV12" s="206">
        <f t="shared" si="139"/>
        <v>0.30176324225079915</v>
      </c>
      <c r="AW12" s="206">
        <f t="shared" si="139"/>
        <v>0.30700351175200041</v>
      </c>
      <c r="AX12" s="206">
        <f t="shared" si="139"/>
        <v>0.31195910083340567</v>
      </c>
      <c r="AY12" s="206">
        <f t="shared" si="139"/>
        <v>0.31645014840158059</v>
      </c>
      <c r="AZ12" s="206">
        <f t="shared" si="139"/>
        <v>0.32061071440032718</v>
      </c>
      <c r="BA12" s="206">
        <f t="shared" si="139"/>
        <v>0</v>
      </c>
      <c r="BB12" s="206">
        <f t="shared" si="139"/>
        <v>0.34674040780231163</v>
      </c>
      <c r="BC12" s="206">
        <f t="shared" si="139"/>
        <v>0.35234239313271709</v>
      </c>
      <c r="BD12" s="206">
        <f t="shared" si="139"/>
        <v>0.35771596237889475</v>
      </c>
      <c r="BE12" s="206">
        <f t="shared" si="139"/>
        <v>0.36554031482620386</v>
      </c>
      <c r="BF12" s="206">
        <f t="shared" si="139"/>
        <v>0.37330846795481376</v>
      </c>
      <c r="BG12" s="206">
        <f t="shared" si="139"/>
        <v>0.37960894950288721</v>
      </c>
      <c r="BH12" s="206">
        <f t="shared" si="139"/>
        <v>0.3873205444539734</v>
      </c>
      <c r="BI12" s="206">
        <f t="shared" si="139"/>
        <v>0.39502172523242762</v>
      </c>
      <c r="BJ12" s="206">
        <f t="shared" si="139"/>
        <v>0.4027115963112195</v>
      </c>
      <c r="BK12" s="206">
        <f t="shared" si="139"/>
        <v>0.41010609452794611</v>
      </c>
      <c r="BL12" s="206">
        <f t="shared" si="139"/>
        <v>0.41590863500690456</v>
      </c>
      <c r="BM12" s="206">
        <f t="shared" si="139"/>
        <v>0.42314545535404485</v>
      </c>
      <c r="BN12" s="206">
        <f t="shared" si="139"/>
        <v>0.4303808540594265</v>
      </c>
      <c r="BO12" s="206">
        <f t="shared" ref="BO12:DZ12" si="140">BO11*(100%-$AJ$18)*$AJ$20</f>
        <v>0.43911834844129377</v>
      </c>
      <c r="BP12" s="206">
        <f t="shared" si="140"/>
        <v>0.44778244441218407</v>
      </c>
      <c r="BQ12" s="206">
        <f t="shared" si="140"/>
        <v>0.45639216166654678</v>
      </c>
      <c r="BR12" s="206">
        <f t="shared" si="140"/>
        <v>0.46483420332552522</v>
      </c>
      <c r="BS12" s="206">
        <f t="shared" si="140"/>
        <v>0.47336436135067245</v>
      </c>
      <c r="BT12" s="206">
        <f t="shared" si="140"/>
        <v>0.48179610124487565</v>
      </c>
      <c r="BU12" s="206">
        <f t="shared" si="140"/>
        <v>0.49009431265313796</v>
      </c>
      <c r="BV12" s="206">
        <f t="shared" si="140"/>
        <v>0.49836541902223624</v>
      </c>
      <c r="BW12" s="206">
        <f t="shared" si="140"/>
        <v>0.5061605481530258</v>
      </c>
      <c r="BX12" s="206">
        <f t="shared" si="140"/>
        <v>0.5140456616041913</v>
      </c>
      <c r="BY12" s="206">
        <f t="shared" si="140"/>
        <v>0.52384508215666581</v>
      </c>
      <c r="BZ12" s="206">
        <f t="shared" si="140"/>
        <v>0.5340183682777655</v>
      </c>
      <c r="CA12" s="206">
        <f t="shared" si="140"/>
        <v>0.5442563268403714</v>
      </c>
      <c r="CB12" s="206">
        <f t="shared" si="140"/>
        <v>0.55439467882373594</v>
      </c>
      <c r="CC12" s="206">
        <f t="shared" si="140"/>
        <v>0.56446498971796588</v>
      </c>
      <c r="CD12" s="206">
        <f t="shared" si="140"/>
        <v>0.57439114897368726</v>
      </c>
      <c r="CE12" s="206">
        <f t="shared" si="140"/>
        <v>0.58430291083283503</v>
      </c>
      <c r="CF12" s="206">
        <f t="shared" si="140"/>
        <v>0.59418341507314243</v>
      </c>
      <c r="CG12" s="206">
        <f t="shared" si="140"/>
        <v>0.60385068630758132</v>
      </c>
      <c r="CH12" s="206">
        <f t="shared" si="140"/>
        <v>0.61343981425297767</v>
      </c>
      <c r="CI12" s="206">
        <f t="shared" si="140"/>
        <v>0.62549624226735989</v>
      </c>
      <c r="CJ12" s="206">
        <f t="shared" si="140"/>
        <v>0.63730834278928039</v>
      </c>
      <c r="CK12" s="206">
        <f t="shared" si="140"/>
        <v>0.64844797210790017</v>
      </c>
      <c r="CL12" s="206">
        <f t="shared" si="140"/>
        <v>0.65997437901960798</v>
      </c>
      <c r="CM12" s="206">
        <f t="shared" si="140"/>
        <v>0.67070982575862303</v>
      </c>
      <c r="CN12" s="206">
        <f t="shared" si="140"/>
        <v>0.68200938097389552</v>
      </c>
      <c r="CO12" s="206">
        <f t="shared" si="140"/>
        <v>0.6930227237309905</v>
      </c>
      <c r="CP12" s="206">
        <f t="shared" si="140"/>
        <v>0.70297367817178347</v>
      </c>
      <c r="CQ12" s="206">
        <f t="shared" si="140"/>
        <v>0.71350753420773516</v>
      </c>
      <c r="CR12" s="206">
        <f t="shared" si="140"/>
        <v>0.72277604913907112</v>
      </c>
      <c r="CS12" s="206">
        <f t="shared" si="140"/>
        <v>0.73264176747392518</v>
      </c>
      <c r="CT12" s="206">
        <f t="shared" si="140"/>
        <v>0.74225367657723418</v>
      </c>
      <c r="CU12" s="206">
        <f t="shared" si="140"/>
        <v>0.75142359132067893</v>
      </c>
      <c r="CV12" s="206">
        <f t="shared" si="140"/>
        <v>0.76028741180521664</v>
      </c>
      <c r="CW12" s="206">
        <f t="shared" si="140"/>
        <v>0.76882075885918233</v>
      </c>
      <c r="CX12" s="206">
        <f t="shared" si="140"/>
        <v>0.77675316571771968</v>
      </c>
      <c r="CY12" s="206">
        <f t="shared" si="140"/>
        <v>0.78430486681816114</v>
      </c>
      <c r="CZ12" s="206">
        <f t="shared" si="140"/>
        <v>0</v>
      </c>
      <c r="DA12" s="206">
        <f t="shared" si="140"/>
        <v>0.80951030129636348</v>
      </c>
      <c r="DB12" s="206">
        <f t="shared" si="140"/>
        <v>0.81828996806708731</v>
      </c>
      <c r="DC12" s="206">
        <f t="shared" si="140"/>
        <v>0.82678461655298385</v>
      </c>
      <c r="DD12" s="206">
        <f t="shared" si="140"/>
        <v>0.83767165049989445</v>
      </c>
      <c r="DE12" s="206">
        <f t="shared" si="140"/>
        <v>0.84844229411648409</v>
      </c>
      <c r="DF12" s="206">
        <f t="shared" si="140"/>
        <v>0.85759819039302021</v>
      </c>
      <c r="DG12" s="206">
        <f t="shared" si="140"/>
        <v>0.87171593999787522</v>
      </c>
      <c r="DH12" s="206">
        <f t="shared" si="140"/>
        <v>0.88224579376808077</v>
      </c>
      <c r="DI12" s="206">
        <f t="shared" si="140"/>
        <v>0.8926975697041355</v>
      </c>
      <c r="DJ12" s="206">
        <f t="shared" si="140"/>
        <v>0.90278545476833727</v>
      </c>
      <c r="DK12" s="206">
        <f t="shared" si="140"/>
        <v>0.91121112270008053</v>
      </c>
      <c r="DL12" s="206">
        <f t="shared" si="140"/>
        <v>0.92099907930876601</v>
      </c>
      <c r="DM12" s="206">
        <f t="shared" si="140"/>
        <v>0.93062866626634433</v>
      </c>
      <c r="DN12" s="206">
        <f t="shared" si="140"/>
        <v>0.94168478083461937</v>
      </c>
      <c r="DO12" s="206">
        <f t="shared" si="140"/>
        <v>0.9565966913173084</v>
      </c>
      <c r="DP12" s="206">
        <f t="shared" si="140"/>
        <v>0.96747567640656196</v>
      </c>
      <c r="DQ12" s="206">
        <f t="shared" si="140"/>
        <v>0.97810715411804316</v>
      </c>
      <c r="DR12" s="206">
        <f t="shared" si="140"/>
        <v>0.98874527749091801</v>
      </c>
      <c r="DS12" s="206">
        <f t="shared" si="140"/>
        <v>0.99920189006077775</v>
      </c>
      <c r="DT12" s="206">
        <f t="shared" si="140"/>
        <v>1.0136159541638079</v>
      </c>
      <c r="DU12" s="206">
        <f t="shared" si="140"/>
        <v>1.0237686203633254</v>
      </c>
      <c r="DV12" s="206">
        <f t="shared" si="140"/>
        <v>1.0333580948166539</v>
      </c>
      <c r="DW12" s="206">
        <f t="shared" si="140"/>
        <v>1.0429488041936954</v>
      </c>
      <c r="DX12" s="206">
        <f t="shared" si="140"/>
        <v>1.0543635583327791</v>
      </c>
      <c r="DY12" s="206">
        <f t="shared" si="140"/>
        <v>1.0660604257938251</v>
      </c>
      <c r="DZ12" s="206">
        <f t="shared" si="140"/>
        <v>1.0777287476636017</v>
      </c>
      <c r="EA12" s="206">
        <f t="shared" ref="EA12:GL12" si="141">EA11*(100%-$AJ$18)*$AJ$20</f>
        <v>1.0937352962760218</v>
      </c>
      <c r="EB12" s="206">
        <f t="shared" si="141"/>
        <v>1.0382365392844286</v>
      </c>
      <c r="EC12" s="206">
        <f t="shared" si="141"/>
        <v>1.0491928339975409</v>
      </c>
      <c r="ED12" s="206">
        <f t="shared" si="141"/>
        <v>0.99280969789119233</v>
      </c>
      <c r="EE12" s="206">
        <f t="shared" si="141"/>
        <v>1.0034259921339208</v>
      </c>
      <c r="EF12" s="206">
        <f t="shared" si="141"/>
        <v>1.013753202234023</v>
      </c>
      <c r="EG12" s="206">
        <f t="shared" si="141"/>
        <v>1.0239254653062433</v>
      </c>
      <c r="EH12" s="206">
        <f t="shared" si="141"/>
        <v>1.036432163691249</v>
      </c>
      <c r="EI12" s="206">
        <f t="shared" si="141"/>
        <v>0.98390042942494382</v>
      </c>
      <c r="EJ12" s="206">
        <f t="shared" si="141"/>
        <v>0.99535382672449213</v>
      </c>
      <c r="EK12" s="206">
        <f t="shared" si="141"/>
        <v>0.93838264266156934</v>
      </c>
      <c r="EL12" s="206">
        <f t="shared" si="141"/>
        <v>0.94926216596029989</v>
      </c>
      <c r="EM12" s="206">
        <f t="shared" si="141"/>
        <v>0.96065120579302621</v>
      </c>
      <c r="EN12" s="206">
        <f t="shared" si="141"/>
        <v>0.97435298285991467</v>
      </c>
      <c r="EO12" s="206">
        <f t="shared" si="141"/>
        <v>0.98433864422672512</v>
      </c>
      <c r="EP12" s="206">
        <f t="shared" si="141"/>
        <v>0.9251797380040393</v>
      </c>
      <c r="EQ12" s="206">
        <f t="shared" si="141"/>
        <v>0.93438951971399209</v>
      </c>
      <c r="ER12" s="206">
        <f t="shared" si="141"/>
        <v>0.8756893730189006</v>
      </c>
      <c r="ES12" s="206">
        <f t="shared" si="141"/>
        <v>0.88521511541342413</v>
      </c>
      <c r="ET12" s="206">
        <f t="shared" si="141"/>
        <v>0.89568411453585861</v>
      </c>
      <c r="EU12" s="206">
        <f t="shared" si="141"/>
        <v>0.90443165341366138</v>
      </c>
      <c r="EV12" s="206">
        <f t="shared" si="141"/>
        <v>0.91281918085170799</v>
      </c>
      <c r="EW12" s="206">
        <f t="shared" si="141"/>
        <v>0.85002958010904661</v>
      </c>
      <c r="EX12" s="206">
        <f t="shared" si="141"/>
        <v>0.85749194770255199</v>
      </c>
      <c r="EY12" s="206">
        <f t="shared" si="141"/>
        <v>-1.479492750312979E-4</v>
      </c>
      <c r="EZ12" s="206">
        <f t="shared" si="141"/>
        <v>0.80951030129636348</v>
      </c>
      <c r="FA12" s="206">
        <f t="shared" si="141"/>
        <v>0.81828996806708731</v>
      </c>
      <c r="FB12" s="206">
        <f t="shared" si="141"/>
        <v>0.82678461655298385</v>
      </c>
      <c r="FC12" s="206">
        <f t="shared" si="141"/>
        <v>0.83767165049989445</v>
      </c>
      <c r="FD12" s="206">
        <f t="shared" si="141"/>
        <v>0.84844229411648409</v>
      </c>
      <c r="FE12" s="206">
        <f t="shared" si="141"/>
        <v>0.85759819039302021</v>
      </c>
      <c r="FF12" s="206">
        <f t="shared" si="141"/>
        <v>0.87171593999787522</v>
      </c>
      <c r="FG12" s="206">
        <f t="shared" si="141"/>
        <v>0.88224579376808077</v>
      </c>
      <c r="FH12" s="206">
        <f t="shared" si="141"/>
        <v>0.8926975697041355</v>
      </c>
      <c r="FI12" s="206">
        <f t="shared" si="141"/>
        <v>0.90278545476833727</v>
      </c>
      <c r="FJ12" s="206">
        <f t="shared" si="141"/>
        <v>0.91121112270008053</v>
      </c>
      <c r="FK12" s="206">
        <f t="shared" si="141"/>
        <v>0.92099907930876601</v>
      </c>
      <c r="FL12" s="206">
        <f t="shared" si="141"/>
        <v>0.93062866626634433</v>
      </c>
      <c r="FM12" s="206">
        <f t="shared" si="141"/>
        <v>0.94168478083461937</v>
      </c>
      <c r="FN12" s="206">
        <f t="shared" si="141"/>
        <v>0.9565966913173084</v>
      </c>
      <c r="FO12" s="206">
        <f t="shared" si="141"/>
        <v>0.96747567640656196</v>
      </c>
      <c r="FP12" s="206">
        <f t="shared" si="141"/>
        <v>0.97810715411804316</v>
      </c>
      <c r="FQ12" s="206">
        <f t="shared" si="141"/>
        <v>0.98874527749091801</v>
      </c>
      <c r="FR12" s="206">
        <f t="shared" si="141"/>
        <v>0.99920189006077775</v>
      </c>
      <c r="FS12" s="206">
        <f t="shared" si="141"/>
        <v>1.0136159541638079</v>
      </c>
      <c r="FT12" s="206">
        <f t="shared" si="141"/>
        <v>1.0237686203633254</v>
      </c>
      <c r="FU12" s="206">
        <f t="shared" si="141"/>
        <v>1.0333580948166539</v>
      </c>
      <c r="FV12" s="206">
        <f t="shared" si="141"/>
        <v>1.0429488041936954</v>
      </c>
      <c r="FW12" s="206">
        <f t="shared" si="141"/>
        <v>1.0543635583327791</v>
      </c>
      <c r="FX12" s="206">
        <f t="shared" si="141"/>
        <v>1.0660604257938251</v>
      </c>
      <c r="FY12" s="206">
        <f t="shared" si="141"/>
        <v>1.0777287476636017</v>
      </c>
      <c r="FZ12" s="206">
        <f t="shared" si="141"/>
        <v>1.0937352962760218</v>
      </c>
      <c r="GA12" s="206">
        <f t="shared" si="141"/>
        <v>1.0382365392844286</v>
      </c>
      <c r="GB12" s="206">
        <f t="shared" si="141"/>
        <v>1.0491928339975409</v>
      </c>
      <c r="GC12" s="206">
        <f t="shared" si="141"/>
        <v>0.99280969789119233</v>
      </c>
      <c r="GD12" s="206">
        <f t="shared" si="141"/>
        <v>1.0034259921339208</v>
      </c>
      <c r="GE12" s="206">
        <f t="shared" si="141"/>
        <v>1.013753202234023</v>
      </c>
      <c r="GF12" s="206">
        <f t="shared" si="141"/>
        <v>1.0239254653062433</v>
      </c>
      <c r="GG12" s="206">
        <f t="shared" si="141"/>
        <v>1.036432163691249</v>
      </c>
      <c r="GH12" s="206">
        <f t="shared" si="141"/>
        <v>0.98390042942494382</v>
      </c>
      <c r="GI12" s="206">
        <f t="shared" si="141"/>
        <v>0.99535382672449213</v>
      </c>
      <c r="GJ12" s="206">
        <f t="shared" si="141"/>
        <v>0.93838264266156934</v>
      </c>
      <c r="GK12" s="206">
        <f t="shared" si="141"/>
        <v>0.94926216596029989</v>
      </c>
      <c r="GL12" s="206">
        <f t="shared" si="141"/>
        <v>0.96065120579302621</v>
      </c>
      <c r="GM12" s="206">
        <f t="shared" ref="GM12:IX12" si="142">GM11*(100%-$AJ$18)*$AJ$20</f>
        <v>0.97435298285991467</v>
      </c>
      <c r="GN12" s="206">
        <f t="shared" si="142"/>
        <v>0.98433864422672512</v>
      </c>
      <c r="GO12" s="206">
        <f t="shared" si="142"/>
        <v>0.9251797380040393</v>
      </c>
      <c r="GP12" s="206">
        <f t="shared" si="142"/>
        <v>0.93438951971399209</v>
      </c>
      <c r="GQ12" s="206">
        <f t="shared" si="142"/>
        <v>0.8756893730189006</v>
      </c>
      <c r="GR12" s="206">
        <f t="shared" si="142"/>
        <v>0.88521511541342413</v>
      </c>
      <c r="GS12" s="206">
        <f t="shared" si="142"/>
        <v>0.89568411453585861</v>
      </c>
      <c r="GT12" s="206">
        <f t="shared" si="142"/>
        <v>0.90443165341366138</v>
      </c>
      <c r="GU12" s="206">
        <f t="shared" si="142"/>
        <v>0.91281918085170799</v>
      </c>
      <c r="GV12" s="206">
        <f t="shared" si="142"/>
        <v>0.85002958010904661</v>
      </c>
      <c r="GW12" s="206">
        <f t="shared" si="142"/>
        <v>0.85749194770255199</v>
      </c>
      <c r="GX12" s="206">
        <f t="shared" si="142"/>
        <v>-1.479492750312979E-4</v>
      </c>
      <c r="GY12" s="206">
        <f t="shared" si="142"/>
        <v>0.80951030129636348</v>
      </c>
      <c r="GZ12" s="206">
        <f t="shared" si="142"/>
        <v>0.81828996806708731</v>
      </c>
      <c r="HA12" s="206">
        <f t="shared" si="142"/>
        <v>0.82678461655298385</v>
      </c>
      <c r="HB12" s="206">
        <f t="shared" si="142"/>
        <v>0.83767165049989445</v>
      </c>
      <c r="HC12" s="206">
        <f t="shared" si="142"/>
        <v>0.84844229411648409</v>
      </c>
      <c r="HD12" s="206">
        <f t="shared" si="142"/>
        <v>0.85759819039302021</v>
      </c>
      <c r="HE12" s="206">
        <f t="shared" si="142"/>
        <v>0.87171593999787522</v>
      </c>
      <c r="HF12" s="206">
        <f t="shared" si="142"/>
        <v>0.88224579376808077</v>
      </c>
      <c r="HG12" s="206">
        <f t="shared" si="142"/>
        <v>0.8926975697041355</v>
      </c>
      <c r="HH12" s="206">
        <f t="shared" si="142"/>
        <v>0.90278545476833727</v>
      </c>
      <c r="HI12" s="206">
        <f t="shared" si="142"/>
        <v>0.91121112270008053</v>
      </c>
      <c r="HJ12" s="206">
        <f t="shared" si="142"/>
        <v>0.92099907930876601</v>
      </c>
      <c r="HK12" s="206">
        <f t="shared" si="142"/>
        <v>0.93062866626634433</v>
      </c>
      <c r="HL12" s="206">
        <f t="shared" si="142"/>
        <v>0.94168478083461937</v>
      </c>
      <c r="HM12" s="206">
        <f t="shared" si="142"/>
        <v>0.9565966913173084</v>
      </c>
      <c r="HN12" s="206">
        <f t="shared" si="142"/>
        <v>0.96747567640656196</v>
      </c>
      <c r="HO12" s="206">
        <f t="shared" si="142"/>
        <v>0.97810715411804316</v>
      </c>
      <c r="HP12" s="206">
        <f t="shared" si="142"/>
        <v>0.98874527749091801</v>
      </c>
      <c r="HQ12" s="206">
        <f t="shared" si="142"/>
        <v>0.99920189006077775</v>
      </c>
      <c r="HR12" s="206">
        <f t="shared" si="142"/>
        <v>1.0136159541638079</v>
      </c>
      <c r="HS12" s="206">
        <f t="shared" si="142"/>
        <v>1.0237686203633254</v>
      </c>
      <c r="HT12" s="206">
        <f t="shared" si="142"/>
        <v>1.0333580948166539</v>
      </c>
      <c r="HU12" s="206">
        <f t="shared" si="142"/>
        <v>1.0429488041936954</v>
      </c>
      <c r="HV12" s="206">
        <f t="shared" si="142"/>
        <v>1.0543635583327791</v>
      </c>
      <c r="HW12" s="206">
        <f t="shared" si="142"/>
        <v>1.0660604257938251</v>
      </c>
      <c r="HX12" s="206">
        <f t="shared" si="142"/>
        <v>1.0777287476636017</v>
      </c>
      <c r="HY12" s="206">
        <f t="shared" si="142"/>
        <v>1.0937352962760218</v>
      </c>
      <c r="HZ12" s="206">
        <f t="shared" si="142"/>
        <v>1.0382365392844286</v>
      </c>
      <c r="IA12" s="206">
        <f t="shared" si="142"/>
        <v>1.0491928339975409</v>
      </c>
      <c r="IB12" s="206">
        <f t="shared" si="142"/>
        <v>0.99280969789119233</v>
      </c>
      <c r="IC12" s="206">
        <f t="shared" si="142"/>
        <v>1.0034259921339208</v>
      </c>
      <c r="ID12" s="206">
        <f t="shared" si="142"/>
        <v>1.013753202234023</v>
      </c>
      <c r="IE12" s="206">
        <f t="shared" si="142"/>
        <v>1.0239254653062433</v>
      </c>
      <c r="IF12" s="206">
        <f t="shared" si="142"/>
        <v>1.036432163691249</v>
      </c>
      <c r="IG12" s="206">
        <f t="shared" si="142"/>
        <v>0.98390042942494382</v>
      </c>
      <c r="IH12" s="206">
        <f t="shared" si="142"/>
        <v>0.99535382672449213</v>
      </c>
      <c r="II12" s="206">
        <f t="shared" si="142"/>
        <v>0.93838264266156934</v>
      </c>
      <c r="IJ12" s="206">
        <f t="shared" si="142"/>
        <v>0.94926216596029989</v>
      </c>
      <c r="IK12" s="206">
        <f t="shared" si="142"/>
        <v>0.96065120579302621</v>
      </c>
      <c r="IL12" s="206">
        <f t="shared" si="142"/>
        <v>0.97435298285991467</v>
      </c>
      <c r="IM12" s="206">
        <f t="shared" si="142"/>
        <v>0.98433864422672512</v>
      </c>
      <c r="IN12" s="206">
        <f t="shared" si="142"/>
        <v>0.9251797380040393</v>
      </c>
      <c r="IO12" s="206">
        <f t="shared" si="142"/>
        <v>0.93438951971399209</v>
      </c>
      <c r="IP12" s="206">
        <f t="shared" si="142"/>
        <v>0.8756893730189006</v>
      </c>
      <c r="IQ12" s="206">
        <f t="shared" si="142"/>
        <v>0.88521511541342413</v>
      </c>
      <c r="IR12" s="206">
        <f t="shared" si="142"/>
        <v>0.89568411453585861</v>
      </c>
      <c r="IS12" s="206">
        <f t="shared" si="142"/>
        <v>0.90443165341366138</v>
      </c>
      <c r="IT12" s="206">
        <f t="shared" si="142"/>
        <v>0.91281918085170799</v>
      </c>
      <c r="IU12" s="206">
        <f t="shared" si="142"/>
        <v>0.85002958010904661</v>
      </c>
      <c r="IV12" s="206">
        <f t="shared" si="142"/>
        <v>0.85749194770255199</v>
      </c>
      <c r="IW12" s="206">
        <f t="shared" si="142"/>
        <v>-1.479492750312979E-4</v>
      </c>
      <c r="IX12" s="206">
        <f t="shared" si="142"/>
        <v>0.80951030129636348</v>
      </c>
      <c r="IY12" s="206">
        <f t="shared" ref="IY12:LJ12" si="143">IY11*(100%-$AJ$18)*$AJ$20</f>
        <v>0.81828996806708731</v>
      </c>
      <c r="IZ12" s="206">
        <f t="shared" si="143"/>
        <v>0.82678461655298385</v>
      </c>
      <c r="JA12" s="206">
        <f t="shared" si="143"/>
        <v>0.83767165049989445</v>
      </c>
      <c r="JB12" s="206">
        <f t="shared" si="143"/>
        <v>0.84844229411648409</v>
      </c>
      <c r="JC12" s="206">
        <f t="shared" si="143"/>
        <v>0.85759819039302021</v>
      </c>
      <c r="JD12" s="206">
        <f t="shared" si="143"/>
        <v>0.87171593999787522</v>
      </c>
      <c r="JE12" s="206">
        <f t="shared" si="143"/>
        <v>0.88224579376808077</v>
      </c>
      <c r="JF12" s="206">
        <f t="shared" si="143"/>
        <v>0.8926975697041355</v>
      </c>
      <c r="JG12" s="206">
        <f t="shared" si="143"/>
        <v>0.90278545476833727</v>
      </c>
      <c r="JH12" s="206">
        <f t="shared" si="143"/>
        <v>0.91121112270008053</v>
      </c>
      <c r="JI12" s="206">
        <f t="shared" si="143"/>
        <v>0.92099907930876601</v>
      </c>
      <c r="JJ12" s="206">
        <f t="shared" si="143"/>
        <v>0.93062866626634433</v>
      </c>
      <c r="JK12" s="206">
        <f t="shared" si="143"/>
        <v>0.94168478083461937</v>
      </c>
      <c r="JL12" s="206">
        <f t="shared" si="143"/>
        <v>0.9565966913173084</v>
      </c>
      <c r="JM12" s="206">
        <f t="shared" si="143"/>
        <v>0.96747567640656196</v>
      </c>
      <c r="JN12" s="206">
        <f t="shared" si="143"/>
        <v>0.97810715411804316</v>
      </c>
      <c r="JO12" s="206">
        <f t="shared" si="143"/>
        <v>0.98874527749091801</v>
      </c>
      <c r="JP12" s="206">
        <f t="shared" si="143"/>
        <v>0.99920189006077775</v>
      </c>
      <c r="JQ12" s="206">
        <f t="shared" si="143"/>
        <v>1.0136159541638079</v>
      </c>
      <c r="JR12" s="206">
        <f t="shared" si="143"/>
        <v>1.0237686203633254</v>
      </c>
      <c r="JS12" s="206">
        <f t="shared" si="143"/>
        <v>1.0333580948166539</v>
      </c>
      <c r="JT12" s="206">
        <f t="shared" si="143"/>
        <v>1.0429488041936954</v>
      </c>
      <c r="JU12" s="206">
        <f t="shared" si="143"/>
        <v>1.0543635583327791</v>
      </c>
      <c r="JV12" s="206">
        <f t="shared" si="143"/>
        <v>1.0660604257938251</v>
      </c>
      <c r="JW12" s="206">
        <f t="shared" si="143"/>
        <v>1.0777287476636017</v>
      </c>
      <c r="JX12" s="206">
        <f t="shared" si="143"/>
        <v>1.0937352962760218</v>
      </c>
      <c r="JY12" s="206">
        <f t="shared" si="143"/>
        <v>1.0382365392844286</v>
      </c>
      <c r="JZ12" s="206">
        <f t="shared" si="143"/>
        <v>1.0491928339975409</v>
      </c>
      <c r="KA12" s="206">
        <f t="shared" si="143"/>
        <v>0.99280969789119233</v>
      </c>
      <c r="KB12" s="206">
        <f t="shared" si="143"/>
        <v>1.0034259921339208</v>
      </c>
      <c r="KC12" s="206">
        <f t="shared" si="143"/>
        <v>1.013753202234023</v>
      </c>
      <c r="KD12" s="206">
        <f t="shared" si="143"/>
        <v>1.0239254653062433</v>
      </c>
      <c r="KE12" s="206">
        <f t="shared" si="143"/>
        <v>1.036432163691249</v>
      </c>
      <c r="KF12" s="206">
        <f t="shared" si="143"/>
        <v>0.98390042942494382</v>
      </c>
      <c r="KG12" s="206">
        <f t="shared" si="143"/>
        <v>0.99535382672449213</v>
      </c>
      <c r="KH12" s="206">
        <f t="shared" si="143"/>
        <v>0.93838264266156934</v>
      </c>
      <c r="KI12" s="206">
        <f t="shared" si="143"/>
        <v>0.94926216596029989</v>
      </c>
      <c r="KJ12" s="206">
        <f t="shared" si="143"/>
        <v>0.96065120579302621</v>
      </c>
      <c r="KK12" s="206">
        <f t="shared" si="143"/>
        <v>0.97435298285991467</v>
      </c>
      <c r="KL12" s="206">
        <f t="shared" si="143"/>
        <v>0.98433864422672512</v>
      </c>
      <c r="KM12" s="206">
        <f t="shared" si="143"/>
        <v>0.9251797380040393</v>
      </c>
      <c r="KN12" s="206">
        <f t="shared" si="143"/>
        <v>0.93438951971399209</v>
      </c>
      <c r="KO12" s="206">
        <f t="shared" si="143"/>
        <v>0.8756893730189006</v>
      </c>
      <c r="KP12" s="206">
        <f t="shared" si="143"/>
        <v>0.88521511541342413</v>
      </c>
      <c r="KQ12" s="206">
        <f t="shared" si="143"/>
        <v>0.89568411453585861</v>
      </c>
      <c r="KR12" s="206">
        <f t="shared" si="143"/>
        <v>0.90443165341366138</v>
      </c>
      <c r="KS12" s="206">
        <f t="shared" si="143"/>
        <v>0.91281918085170799</v>
      </c>
      <c r="KT12" s="206">
        <f t="shared" si="143"/>
        <v>0.85002958010904661</v>
      </c>
      <c r="KU12" s="206">
        <f t="shared" si="143"/>
        <v>0.85749194770255199</v>
      </c>
      <c r="KV12" s="206">
        <f t="shared" si="143"/>
        <v>-1.479492750312979E-4</v>
      </c>
      <c r="KW12" s="206">
        <f t="shared" si="143"/>
        <v>0.80951030129636348</v>
      </c>
      <c r="KX12" s="206">
        <f t="shared" si="143"/>
        <v>0.81828996806708731</v>
      </c>
      <c r="KY12" s="206">
        <f t="shared" si="143"/>
        <v>0.82678461655298385</v>
      </c>
      <c r="KZ12" s="206">
        <f t="shared" si="143"/>
        <v>0.83767165049989445</v>
      </c>
      <c r="LA12" s="206">
        <f t="shared" si="143"/>
        <v>0.84844229411648409</v>
      </c>
      <c r="LB12" s="206">
        <f t="shared" si="143"/>
        <v>0.85759819039302021</v>
      </c>
      <c r="LC12" s="206">
        <f t="shared" si="143"/>
        <v>0.87171593999787522</v>
      </c>
      <c r="LD12" s="206">
        <f t="shared" si="143"/>
        <v>0.88224579376808077</v>
      </c>
      <c r="LE12" s="206">
        <f t="shared" si="143"/>
        <v>0.8926975697041355</v>
      </c>
      <c r="LF12" s="206">
        <f t="shared" si="143"/>
        <v>0.90278545476833727</v>
      </c>
      <c r="LG12" s="206">
        <f t="shared" si="143"/>
        <v>0.91121112270008053</v>
      </c>
      <c r="LH12" s="206">
        <f t="shared" si="143"/>
        <v>0.92099907930876601</v>
      </c>
      <c r="LI12" s="206">
        <f t="shared" si="143"/>
        <v>0.93062866626634433</v>
      </c>
      <c r="LJ12" s="206">
        <f t="shared" si="143"/>
        <v>0.94168478083461937</v>
      </c>
      <c r="LK12" s="206">
        <f t="shared" ref="LK12:NV12" si="144">LK11*(100%-$AJ$18)*$AJ$20</f>
        <v>0.9565966913173084</v>
      </c>
      <c r="LL12" s="206">
        <f t="shared" si="144"/>
        <v>0.96747567640656196</v>
      </c>
      <c r="LM12" s="206">
        <f t="shared" si="144"/>
        <v>0.97810715411804316</v>
      </c>
      <c r="LN12" s="206">
        <f t="shared" si="144"/>
        <v>0.98874527749091801</v>
      </c>
      <c r="LO12" s="206">
        <f t="shared" si="144"/>
        <v>0.99920189006077775</v>
      </c>
      <c r="LP12" s="206">
        <f t="shared" si="144"/>
        <v>1.0136159541638079</v>
      </c>
      <c r="LQ12" s="206">
        <f t="shared" si="144"/>
        <v>1.0237686203633254</v>
      </c>
      <c r="LR12" s="206">
        <f t="shared" si="144"/>
        <v>1.0333580948166539</v>
      </c>
      <c r="LS12" s="206">
        <f t="shared" si="144"/>
        <v>1.0429488041936954</v>
      </c>
      <c r="LT12" s="206">
        <f t="shared" si="144"/>
        <v>1.0543635583327791</v>
      </c>
      <c r="LU12" s="206">
        <f t="shared" si="144"/>
        <v>1.0660604257938251</v>
      </c>
      <c r="LV12" s="206">
        <f t="shared" si="144"/>
        <v>1.0777287476636017</v>
      </c>
      <c r="LW12" s="206">
        <f t="shared" si="144"/>
        <v>1.0937352962760218</v>
      </c>
      <c r="LX12" s="206">
        <f t="shared" si="144"/>
        <v>1.0382365392844286</v>
      </c>
      <c r="LY12" s="206">
        <f t="shared" si="144"/>
        <v>1.0491928339975409</v>
      </c>
      <c r="LZ12" s="206">
        <f t="shared" si="144"/>
        <v>0.99280969789119233</v>
      </c>
      <c r="MA12" s="206">
        <f t="shared" si="144"/>
        <v>1.0034259921339208</v>
      </c>
      <c r="MB12" s="206">
        <f t="shared" si="144"/>
        <v>1.013753202234023</v>
      </c>
      <c r="MC12" s="206">
        <f t="shared" si="144"/>
        <v>1.0239254653062433</v>
      </c>
      <c r="MD12" s="206">
        <f t="shared" si="144"/>
        <v>1.036432163691249</v>
      </c>
      <c r="ME12" s="206">
        <f t="shared" si="144"/>
        <v>0.98390042942494382</v>
      </c>
      <c r="MF12" s="206">
        <f t="shared" si="144"/>
        <v>0.99535382672449213</v>
      </c>
      <c r="MG12" s="206">
        <f t="shared" si="144"/>
        <v>0.93838264266156934</v>
      </c>
      <c r="MH12" s="206">
        <f t="shared" si="144"/>
        <v>0.94926216596029989</v>
      </c>
      <c r="MI12" s="206">
        <f t="shared" si="144"/>
        <v>0.96065120579302621</v>
      </c>
      <c r="MJ12" s="206">
        <f t="shared" si="144"/>
        <v>0.97435298285991467</v>
      </c>
      <c r="MK12" s="206">
        <f t="shared" si="144"/>
        <v>0.98433864422672512</v>
      </c>
      <c r="ML12" s="206">
        <f t="shared" si="144"/>
        <v>0.9251797380040393</v>
      </c>
      <c r="MM12" s="206">
        <f t="shared" si="144"/>
        <v>0.93438951971399209</v>
      </c>
      <c r="MN12" s="206">
        <f t="shared" si="144"/>
        <v>0.8756893730189006</v>
      </c>
      <c r="MO12" s="206">
        <f t="shared" si="144"/>
        <v>0.88521511541342413</v>
      </c>
      <c r="MP12" s="206">
        <f t="shared" si="144"/>
        <v>0.89568411453585861</v>
      </c>
      <c r="MQ12" s="206">
        <f t="shared" si="144"/>
        <v>0.90443165341366138</v>
      </c>
      <c r="MR12" s="206">
        <f t="shared" si="144"/>
        <v>0.91281918085170799</v>
      </c>
      <c r="MS12" s="206">
        <f t="shared" si="144"/>
        <v>0.85002958010904661</v>
      </c>
      <c r="MT12" s="206">
        <f t="shared" si="144"/>
        <v>0.85749194770255199</v>
      </c>
      <c r="MU12" s="206">
        <f t="shared" si="144"/>
        <v>-1.479492750312979E-4</v>
      </c>
      <c r="MV12" s="206">
        <f t="shared" si="144"/>
        <v>0.80951030129636348</v>
      </c>
      <c r="MW12" s="206">
        <f t="shared" si="144"/>
        <v>0.81828996806708731</v>
      </c>
      <c r="MX12" s="206">
        <f t="shared" si="144"/>
        <v>0.82678461655298385</v>
      </c>
      <c r="MY12" s="206">
        <f t="shared" si="144"/>
        <v>0.83767165049989445</v>
      </c>
      <c r="MZ12" s="206">
        <f t="shared" si="144"/>
        <v>0.84844229411648409</v>
      </c>
      <c r="NA12" s="206">
        <f t="shared" si="144"/>
        <v>0.85759819039302021</v>
      </c>
      <c r="NB12" s="206">
        <f t="shared" si="144"/>
        <v>0.87171593999787522</v>
      </c>
      <c r="NC12" s="206">
        <f t="shared" si="144"/>
        <v>0.88224579376808077</v>
      </c>
      <c r="ND12" s="206">
        <f t="shared" si="144"/>
        <v>0.8926975697041355</v>
      </c>
      <c r="NE12" s="206">
        <f t="shared" si="144"/>
        <v>0.90278545476833727</v>
      </c>
      <c r="NF12" s="206">
        <f t="shared" si="144"/>
        <v>0.91121112270008053</v>
      </c>
      <c r="NG12" s="206">
        <f t="shared" si="144"/>
        <v>0.92099907930876601</v>
      </c>
      <c r="NH12" s="206">
        <f t="shared" si="144"/>
        <v>0.93062866626634433</v>
      </c>
      <c r="NI12" s="206">
        <f t="shared" si="144"/>
        <v>0.94168478083461937</v>
      </c>
      <c r="NJ12" s="206">
        <f t="shared" si="144"/>
        <v>0.9565966913173084</v>
      </c>
      <c r="NK12" s="206">
        <f t="shared" si="144"/>
        <v>0.96747567640656196</v>
      </c>
      <c r="NL12" s="206">
        <f t="shared" si="144"/>
        <v>0.97810715411804316</v>
      </c>
      <c r="NM12" s="206">
        <f t="shared" si="144"/>
        <v>0.98874527749091801</v>
      </c>
      <c r="NN12" s="206">
        <f t="shared" si="144"/>
        <v>0.99920189006077775</v>
      </c>
      <c r="NO12" s="206">
        <f t="shared" si="144"/>
        <v>1.0136159541638079</v>
      </c>
      <c r="NP12" s="206">
        <f t="shared" si="144"/>
        <v>1.0237686203633254</v>
      </c>
      <c r="NQ12" s="206">
        <f t="shared" si="144"/>
        <v>1.0333580948166539</v>
      </c>
      <c r="NR12" s="206">
        <f t="shared" si="144"/>
        <v>1.0429488041936954</v>
      </c>
      <c r="NS12" s="206">
        <f t="shared" si="144"/>
        <v>1.0543635583327791</v>
      </c>
      <c r="NT12" s="206">
        <f t="shared" si="144"/>
        <v>1.0660604257938251</v>
      </c>
      <c r="NU12" s="206">
        <f t="shared" si="144"/>
        <v>1.0777287476636017</v>
      </c>
      <c r="NV12" s="206">
        <f t="shared" si="144"/>
        <v>1.0937352962760218</v>
      </c>
      <c r="NW12" s="206">
        <f t="shared" ref="NW12:QH12" si="145">NW11*(100%-$AJ$18)*$AJ$20</f>
        <v>1.0382365392844286</v>
      </c>
      <c r="NX12" s="206">
        <f t="shared" si="145"/>
        <v>1.0491928339975409</v>
      </c>
      <c r="NY12" s="206">
        <f t="shared" si="145"/>
        <v>0.99280969789119233</v>
      </c>
      <c r="NZ12" s="206">
        <f t="shared" si="145"/>
        <v>1.0034259921339208</v>
      </c>
      <c r="OA12" s="206">
        <f t="shared" si="145"/>
        <v>1.013753202234023</v>
      </c>
      <c r="OB12" s="206">
        <f t="shared" si="145"/>
        <v>1.0239254653062433</v>
      </c>
      <c r="OC12" s="206">
        <f t="shared" si="145"/>
        <v>1.036432163691249</v>
      </c>
      <c r="OD12" s="206">
        <f t="shared" si="145"/>
        <v>0.98390042942494382</v>
      </c>
      <c r="OE12" s="206">
        <f t="shared" si="145"/>
        <v>0.99535382672449213</v>
      </c>
      <c r="OF12" s="206">
        <f t="shared" si="145"/>
        <v>0.93838264266156934</v>
      </c>
      <c r="OG12" s="206">
        <f t="shared" si="145"/>
        <v>0.94926216596029989</v>
      </c>
      <c r="OH12" s="206">
        <f t="shared" si="145"/>
        <v>0.96065120579302621</v>
      </c>
      <c r="OI12" s="206">
        <f t="shared" si="145"/>
        <v>0.97435298285991467</v>
      </c>
      <c r="OJ12" s="206">
        <f t="shared" si="145"/>
        <v>0.98433864422672512</v>
      </c>
      <c r="OK12" s="206">
        <f t="shared" si="145"/>
        <v>0.9251797380040393</v>
      </c>
      <c r="OL12" s="206">
        <f t="shared" si="145"/>
        <v>0.93438951971399209</v>
      </c>
      <c r="OM12" s="206">
        <f t="shared" si="145"/>
        <v>0.8756893730189006</v>
      </c>
      <c r="ON12" s="206">
        <f t="shared" si="145"/>
        <v>0.88521511541342413</v>
      </c>
      <c r="OO12" s="206">
        <f t="shared" si="145"/>
        <v>0.89568411453585861</v>
      </c>
      <c r="OP12" s="206">
        <f t="shared" si="145"/>
        <v>0.90443165341366138</v>
      </c>
      <c r="OQ12" s="206">
        <f t="shared" si="145"/>
        <v>0.91281918085170799</v>
      </c>
      <c r="OR12" s="206">
        <f t="shared" si="145"/>
        <v>0.85002958010904661</v>
      </c>
      <c r="OS12" s="206">
        <f t="shared" si="145"/>
        <v>0.85749194770255199</v>
      </c>
      <c r="OT12" s="206">
        <f t="shared" si="145"/>
        <v>-1.479492750312979E-4</v>
      </c>
      <c r="OU12" s="206">
        <f t="shared" si="145"/>
        <v>0.80951030129636348</v>
      </c>
      <c r="OV12" s="206">
        <f t="shared" si="145"/>
        <v>0.81828996806708731</v>
      </c>
      <c r="OW12" s="206">
        <f t="shared" si="145"/>
        <v>0.82678461655298385</v>
      </c>
      <c r="OX12" s="206">
        <f t="shared" si="145"/>
        <v>0.83767165049989445</v>
      </c>
      <c r="OY12" s="206">
        <f t="shared" si="145"/>
        <v>0.84844229411648409</v>
      </c>
      <c r="OZ12" s="206">
        <f t="shared" si="145"/>
        <v>0.85759819039302021</v>
      </c>
      <c r="PA12" s="206">
        <f t="shared" si="145"/>
        <v>0.87171593999787522</v>
      </c>
      <c r="PB12" s="206">
        <f t="shared" si="145"/>
        <v>0.88224579376808077</v>
      </c>
      <c r="PC12" s="206">
        <f t="shared" si="145"/>
        <v>0.8926975697041355</v>
      </c>
      <c r="PD12" s="206">
        <f t="shared" si="145"/>
        <v>0.90278545476833727</v>
      </c>
      <c r="PE12" s="206">
        <f t="shared" si="145"/>
        <v>0.91121112270008053</v>
      </c>
      <c r="PF12" s="206">
        <f t="shared" si="145"/>
        <v>0.92099907930876601</v>
      </c>
      <c r="PG12" s="206">
        <f t="shared" si="145"/>
        <v>0.93062866626634433</v>
      </c>
      <c r="PH12" s="206">
        <f t="shared" si="145"/>
        <v>0.94168478083461937</v>
      </c>
      <c r="PI12" s="206">
        <f t="shared" si="145"/>
        <v>0.9565966913173084</v>
      </c>
      <c r="PJ12" s="206">
        <f t="shared" si="145"/>
        <v>0.96747567640656196</v>
      </c>
      <c r="PK12" s="206">
        <f t="shared" si="145"/>
        <v>0.97810715411804316</v>
      </c>
      <c r="PL12" s="206">
        <f t="shared" si="145"/>
        <v>0.98874527749091801</v>
      </c>
      <c r="PM12" s="206">
        <f t="shared" si="145"/>
        <v>0.99920189006077775</v>
      </c>
      <c r="PN12" s="206">
        <f t="shared" si="145"/>
        <v>1.0136159541638079</v>
      </c>
      <c r="PO12" s="206">
        <f t="shared" si="145"/>
        <v>1.0237686203633254</v>
      </c>
      <c r="PP12" s="206">
        <f t="shared" si="145"/>
        <v>1.0333580948166539</v>
      </c>
      <c r="PQ12" s="206">
        <f t="shared" si="145"/>
        <v>1.0429488041936954</v>
      </c>
      <c r="PR12" s="206">
        <f t="shared" si="145"/>
        <v>1.0543635583327791</v>
      </c>
      <c r="PS12" s="206">
        <f t="shared" si="145"/>
        <v>1.0660604257938251</v>
      </c>
      <c r="PT12" s="206">
        <f t="shared" si="145"/>
        <v>1.0777287476636017</v>
      </c>
      <c r="PU12" s="206">
        <f t="shared" si="145"/>
        <v>1.0937352962760218</v>
      </c>
      <c r="PV12" s="206">
        <f t="shared" si="145"/>
        <v>1.0382365392844286</v>
      </c>
      <c r="PW12" s="206">
        <f t="shared" si="145"/>
        <v>1.0491928339975409</v>
      </c>
      <c r="PX12" s="206">
        <f t="shared" si="145"/>
        <v>0.99280969789119233</v>
      </c>
      <c r="PY12" s="206">
        <f t="shared" si="145"/>
        <v>1.0034259921339208</v>
      </c>
      <c r="PZ12" s="206">
        <f t="shared" si="145"/>
        <v>1.013753202234023</v>
      </c>
      <c r="QA12" s="206">
        <f t="shared" si="145"/>
        <v>1.0239254653062433</v>
      </c>
      <c r="QB12" s="206">
        <f t="shared" si="145"/>
        <v>1.036432163691249</v>
      </c>
      <c r="QC12" s="206">
        <f t="shared" si="145"/>
        <v>0.98390042942494382</v>
      </c>
      <c r="QD12" s="206">
        <f t="shared" si="145"/>
        <v>0.99535382672449213</v>
      </c>
      <c r="QE12" s="206">
        <f t="shared" si="145"/>
        <v>0.93838264266156934</v>
      </c>
      <c r="QF12" s="206">
        <f t="shared" si="145"/>
        <v>0.94926216596029989</v>
      </c>
      <c r="QG12" s="206">
        <f t="shared" si="145"/>
        <v>0.96065120579302621</v>
      </c>
      <c r="QH12" s="206">
        <f t="shared" si="145"/>
        <v>0.97435298285991467</v>
      </c>
      <c r="QI12" s="206">
        <f t="shared" ref="QI12:ST12" si="146">QI11*(100%-$AJ$18)*$AJ$20</f>
        <v>0.98433864422672512</v>
      </c>
      <c r="QJ12" s="206">
        <f t="shared" si="146"/>
        <v>0.9251797380040393</v>
      </c>
      <c r="QK12" s="206">
        <f t="shared" si="146"/>
        <v>0.93438951971399209</v>
      </c>
      <c r="QL12" s="206">
        <f t="shared" si="146"/>
        <v>0.8756893730189006</v>
      </c>
      <c r="QM12" s="206">
        <f t="shared" si="146"/>
        <v>0.88521511541342413</v>
      </c>
      <c r="QN12" s="206">
        <f t="shared" si="146"/>
        <v>0.89568411453585861</v>
      </c>
      <c r="QO12" s="206">
        <f t="shared" si="146"/>
        <v>0.90443165341366138</v>
      </c>
      <c r="QP12" s="206">
        <f t="shared" si="146"/>
        <v>0.91281918085170799</v>
      </c>
      <c r="QQ12" s="206">
        <f t="shared" si="146"/>
        <v>0.85002958010904661</v>
      </c>
      <c r="QR12" s="206">
        <f t="shared" si="146"/>
        <v>0.85749194770255199</v>
      </c>
      <c r="QS12" s="206">
        <f t="shared" si="146"/>
        <v>-1.479492750312979E-4</v>
      </c>
      <c r="QT12" s="206">
        <f t="shared" si="146"/>
        <v>0.80951030129636348</v>
      </c>
      <c r="QU12" s="206">
        <f t="shared" si="146"/>
        <v>0.81828996806708731</v>
      </c>
      <c r="QV12" s="206">
        <f t="shared" si="146"/>
        <v>0.82678461655298385</v>
      </c>
      <c r="QW12" s="206">
        <f t="shared" si="146"/>
        <v>0.83767165049989445</v>
      </c>
      <c r="QX12" s="206">
        <f t="shared" si="146"/>
        <v>0.84844229411648409</v>
      </c>
      <c r="QY12" s="206">
        <f t="shared" si="146"/>
        <v>0.85759819039302021</v>
      </c>
      <c r="QZ12" s="206">
        <f t="shared" si="146"/>
        <v>0.87171593999787522</v>
      </c>
      <c r="RA12" s="206">
        <f t="shared" si="146"/>
        <v>0.88224579376808077</v>
      </c>
      <c r="RB12" s="206">
        <f t="shared" si="146"/>
        <v>0.8926975697041355</v>
      </c>
      <c r="RC12" s="206">
        <f t="shared" si="146"/>
        <v>0.90278545476833727</v>
      </c>
      <c r="RD12" s="206">
        <f t="shared" si="146"/>
        <v>0.91121112270008053</v>
      </c>
      <c r="RE12" s="206">
        <f t="shared" si="146"/>
        <v>0.92099907930876601</v>
      </c>
      <c r="RF12" s="206">
        <f t="shared" si="146"/>
        <v>0.93062866626634433</v>
      </c>
      <c r="RG12" s="206">
        <f t="shared" si="146"/>
        <v>0.94168478083461937</v>
      </c>
      <c r="RH12" s="206">
        <f t="shared" si="146"/>
        <v>0.9565966913173084</v>
      </c>
      <c r="RI12" s="206">
        <f t="shared" si="146"/>
        <v>0.96747567640656196</v>
      </c>
      <c r="RJ12" s="206">
        <f t="shared" si="146"/>
        <v>0.97810715411804316</v>
      </c>
      <c r="RK12" s="206">
        <f t="shared" si="146"/>
        <v>0.98874527749091801</v>
      </c>
      <c r="RL12" s="206">
        <f t="shared" si="146"/>
        <v>0.99920189006077775</v>
      </c>
      <c r="RM12" s="206">
        <f t="shared" si="146"/>
        <v>1.0136159541638079</v>
      </c>
      <c r="RN12" s="206">
        <f t="shared" si="146"/>
        <v>1.0237686203633254</v>
      </c>
      <c r="RO12" s="206">
        <f t="shared" si="146"/>
        <v>1.0333580948166539</v>
      </c>
      <c r="RP12" s="206">
        <f t="shared" si="146"/>
        <v>1.0429488041936954</v>
      </c>
      <c r="RQ12" s="206">
        <f t="shared" si="146"/>
        <v>1.0543635583327791</v>
      </c>
      <c r="RR12" s="206">
        <f t="shared" si="146"/>
        <v>1.0660604257938251</v>
      </c>
      <c r="RS12" s="206">
        <f t="shared" si="146"/>
        <v>1.0777287476636017</v>
      </c>
      <c r="RT12" s="206">
        <f t="shared" si="146"/>
        <v>1.0937352962760218</v>
      </c>
      <c r="RU12" s="206">
        <f t="shared" si="146"/>
        <v>1.0382365392844286</v>
      </c>
      <c r="RV12" s="206">
        <f t="shared" si="146"/>
        <v>1.0491928339975409</v>
      </c>
      <c r="RW12" s="206">
        <f t="shared" si="146"/>
        <v>0.99280969789119233</v>
      </c>
      <c r="RX12" s="206">
        <f t="shared" si="146"/>
        <v>1.0034259921339208</v>
      </c>
      <c r="RY12" s="206">
        <f t="shared" si="146"/>
        <v>1.013753202234023</v>
      </c>
      <c r="RZ12" s="206">
        <f t="shared" si="146"/>
        <v>1.0239254653062433</v>
      </c>
      <c r="SA12" s="206">
        <f t="shared" si="146"/>
        <v>1.036432163691249</v>
      </c>
      <c r="SB12" s="206">
        <f t="shared" si="146"/>
        <v>0.98390042942494382</v>
      </c>
      <c r="SC12" s="206">
        <f t="shared" si="146"/>
        <v>0.99535382672449213</v>
      </c>
      <c r="SD12" s="206">
        <f t="shared" si="146"/>
        <v>0.93838264266156934</v>
      </c>
      <c r="SE12" s="206">
        <f t="shared" si="146"/>
        <v>0.94926216596029989</v>
      </c>
      <c r="SF12" s="206">
        <f t="shared" si="146"/>
        <v>0.96065120579302621</v>
      </c>
      <c r="SG12" s="206">
        <f t="shared" si="146"/>
        <v>0.97435298285991467</v>
      </c>
      <c r="SH12" s="206">
        <f t="shared" si="146"/>
        <v>0.98433864422672512</v>
      </c>
      <c r="SI12" s="206">
        <f t="shared" si="146"/>
        <v>0.9251797380040393</v>
      </c>
      <c r="SJ12" s="206">
        <f t="shared" si="146"/>
        <v>0.93438951971399209</v>
      </c>
      <c r="SK12" s="206">
        <f t="shared" si="146"/>
        <v>0.8756893730189006</v>
      </c>
      <c r="SL12" s="206">
        <f t="shared" si="146"/>
        <v>0.88521511541342413</v>
      </c>
      <c r="SM12" s="206">
        <f t="shared" si="146"/>
        <v>0.89568411453585861</v>
      </c>
      <c r="SN12" s="206">
        <f t="shared" si="146"/>
        <v>0.90443165341366138</v>
      </c>
      <c r="SO12" s="206">
        <f t="shared" si="146"/>
        <v>0.91281918085170799</v>
      </c>
      <c r="SP12" s="206">
        <f t="shared" si="146"/>
        <v>0.85002958010904661</v>
      </c>
      <c r="SQ12" s="206">
        <f t="shared" si="146"/>
        <v>0.85749194770255199</v>
      </c>
      <c r="SR12" s="206">
        <f t="shared" si="146"/>
        <v>-1.479492750312979E-4</v>
      </c>
      <c r="SS12" s="206">
        <f t="shared" si="146"/>
        <v>0.80951030129636348</v>
      </c>
      <c r="ST12" s="206">
        <f t="shared" si="146"/>
        <v>0.81828996806708731</v>
      </c>
      <c r="SU12" s="206">
        <f t="shared" ref="SU12:VF12" si="147">SU11*(100%-$AJ$18)*$AJ$20</f>
        <v>0.82678461655298385</v>
      </c>
      <c r="SV12" s="206">
        <f t="shared" si="147"/>
        <v>0.83767165049989445</v>
      </c>
      <c r="SW12" s="206">
        <f t="shared" si="147"/>
        <v>0.84844229411648409</v>
      </c>
      <c r="SX12" s="206">
        <f t="shared" si="147"/>
        <v>0.85759819039302021</v>
      </c>
      <c r="SY12" s="206">
        <f t="shared" si="147"/>
        <v>0.87171593999787522</v>
      </c>
      <c r="SZ12" s="206">
        <f t="shared" si="147"/>
        <v>0.88224579376808077</v>
      </c>
      <c r="TA12" s="206">
        <f t="shared" si="147"/>
        <v>0.8926975697041355</v>
      </c>
      <c r="TB12" s="206">
        <f t="shared" si="147"/>
        <v>0.90278545476833727</v>
      </c>
      <c r="TC12" s="206">
        <f t="shared" si="147"/>
        <v>0.91121112270008053</v>
      </c>
      <c r="TD12" s="206">
        <f t="shared" si="147"/>
        <v>0.92099907930876601</v>
      </c>
      <c r="TE12" s="206">
        <f t="shared" si="147"/>
        <v>0.93062866626634433</v>
      </c>
      <c r="TF12" s="206">
        <f t="shared" si="147"/>
        <v>0.94168478083461937</v>
      </c>
      <c r="TG12" s="206">
        <f t="shared" si="147"/>
        <v>0.9565966913173084</v>
      </c>
      <c r="TH12" s="206">
        <f t="shared" si="147"/>
        <v>0.96747567640656196</v>
      </c>
      <c r="TI12" s="206">
        <f t="shared" si="147"/>
        <v>0.97810715411804316</v>
      </c>
      <c r="TJ12" s="206">
        <f t="shared" si="147"/>
        <v>0.98874527749091801</v>
      </c>
      <c r="TK12" s="206">
        <f t="shared" si="147"/>
        <v>0.99920189006077775</v>
      </c>
      <c r="TL12" s="206">
        <f t="shared" si="147"/>
        <v>1.0136159541638079</v>
      </c>
      <c r="TM12" s="206">
        <f t="shared" si="147"/>
        <v>1.0237686203633254</v>
      </c>
      <c r="TN12" s="206">
        <f t="shared" si="147"/>
        <v>1.0333580948166539</v>
      </c>
      <c r="TO12" s="206">
        <f t="shared" si="147"/>
        <v>1.0429488041936954</v>
      </c>
      <c r="TP12" s="206">
        <f t="shared" si="147"/>
        <v>1.0543635583327791</v>
      </c>
      <c r="TQ12" s="206">
        <f t="shared" si="147"/>
        <v>1.0660604257938251</v>
      </c>
      <c r="TR12" s="206">
        <f t="shared" si="147"/>
        <v>1.0777287476636017</v>
      </c>
      <c r="TS12" s="206">
        <f t="shared" si="147"/>
        <v>1.0937352962760218</v>
      </c>
      <c r="TT12" s="206">
        <f t="shared" si="147"/>
        <v>1.0382365392844286</v>
      </c>
      <c r="TU12" s="206">
        <f t="shared" si="147"/>
        <v>1.0491928339975409</v>
      </c>
      <c r="TV12" s="206">
        <f t="shared" si="147"/>
        <v>0.99280969789119233</v>
      </c>
      <c r="TW12" s="206">
        <f t="shared" si="147"/>
        <v>1.0034259921339208</v>
      </c>
      <c r="TX12" s="206">
        <f t="shared" si="147"/>
        <v>1.013753202234023</v>
      </c>
      <c r="TY12" s="206">
        <f t="shared" si="147"/>
        <v>1.0239254653062433</v>
      </c>
      <c r="TZ12" s="206">
        <f t="shared" si="147"/>
        <v>1.036432163691249</v>
      </c>
      <c r="UA12" s="206">
        <f t="shared" si="147"/>
        <v>0.98390042942494382</v>
      </c>
      <c r="UB12" s="206">
        <f t="shared" si="147"/>
        <v>0.99535382672449213</v>
      </c>
      <c r="UC12" s="206">
        <f t="shared" si="147"/>
        <v>0.93838264266156934</v>
      </c>
      <c r="UD12" s="206">
        <f t="shared" si="147"/>
        <v>0.94926216596029989</v>
      </c>
      <c r="UE12" s="206">
        <f t="shared" si="147"/>
        <v>0.96065120579302621</v>
      </c>
      <c r="UF12" s="206">
        <f t="shared" si="147"/>
        <v>0.97435298285991467</v>
      </c>
      <c r="UG12" s="206">
        <f t="shared" si="147"/>
        <v>0.98433864422672512</v>
      </c>
      <c r="UH12" s="206">
        <f t="shared" si="147"/>
        <v>0.9251797380040393</v>
      </c>
      <c r="UI12" s="206">
        <f t="shared" si="147"/>
        <v>0.93438951971399209</v>
      </c>
      <c r="UJ12" s="206">
        <f t="shared" si="147"/>
        <v>0.8756893730189006</v>
      </c>
      <c r="UK12" s="206">
        <f t="shared" si="147"/>
        <v>0.88521511541342413</v>
      </c>
      <c r="UL12" s="206">
        <f t="shared" si="147"/>
        <v>0.89568411453585861</v>
      </c>
      <c r="UM12" s="206">
        <f t="shared" si="147"/>
        <v>0.90443165341366138</v>
      </c>
      <c r="UN12" s="206">
        <f t="shared" si="147"/>
        <v>0.91281918085170799</v>
      </c>
      <c r="UO12" s="206">
        <f t="shared" si="147"/>
        <v>0.85002958010904661</v>
      </c>
      <c r="UP12" s="206">
        <f t="shared" si="147"/>
        <v>0.85749194770255199</v>
      </c>
      <c r="UQ12" s="206">
        <f t="shared" si="147"/>
        <v>-1.479492750312979E-4</v>
      </c>
      <c r="UR12" s="206">
        <f t="shared" si="147"/>
        <v>0.80951030129636348</v>
      </c>
      <c r="US12" s="206">
        <f t="shared" si="147"/>
        <v>0.81828996806708731</v>
      </c>
      <c r="UT12" s="206">
        <f t="shared" si="147"/>
        <v>0.82678461655298385</v>
      </c>
      <c r="UU12" s="206">
        <f t="shared" si="147"/>
        <v>0.83767165049989445</v>
      </c>
      <c r="UV12" s="206">
        <f t="shared" si="147"/>
        <v>0.84844229411648409</v>
      </c>
      <c r="UW12" s="206">
        <f t="shared" si="147"/>
        <v>0.85759819039302021</v>
      </c>
      <c r="UX12" s="206">
        <f t="shared" si="147"/>
        <v>0.87171593999787522</v>
      </c>
      <c r="UY12" s="206">
        <f t="shared" si="147"/>
        <v>0.88224579376808077</v>
      </c>
      <c r="UZ12" s="206">
        <f t="shared" si="147"/>
        <v>0.8926975697041355</v>
      </c>
      <c r="VA12" s="206">
        <f t="shared" si="147"/>
        <v>0.90278545476833727</v>
      </c>
      <c r="VB12" s="206">
        <f t="shared" si="147"/>
        <v>0.91121112270008053</v>
      </c>
      <c r="VC12" s="206">
        <f t="shared" si="147"/>
        <v>0.92099907930876601</v>
      </c>
      <c r="VD12" s="206">
        <f t="shared" si="147"/>
        <v>0.93062866626634433</v>
      </c>
      <c r="VE12" s="206">
        <f t="shared" si="147"/>
        <v>0.94168478083461937</v>
      </c>
      <c r="VF12" s="206">
        <f t="shared" si="147"/>
        <v>0.9565966913173084</v>
      </c>
      <c r="VG12" s="206">
        <f t="shared" ref="VG12:XR12" si="148">VG11*(100%-$AJ$18)*$AJ$20</f>
        <v>0.96747567640656196</v>
      </c>
      <c r="VH12" s="206">
        <f t="shared" si="148"/>
        <v>0.97810715411804316</v>
      </c>
      <c r="VI12" s="206">
        <f t="shared" si="148"/>
        <v>0.98874527749091801</v>
      </c>
      <c r="VJ12" s="206">
        <f t="shared" si="148"/>
        <v>0.99920189006077775</v>
      </c>
      <c r="VK12" s="206">
        <f t="shared" si="148"/>
        <v>1.0136159541638079</v>
      </c>
      <c r="VL12" s="206">
        <f t="shared" si="148"/>
        <v>1.0237686203633254</v>
      </c>
      <c r="VM12" s="206">
        <f t="shared" si="148"/>
        <v>1.0333580948166539</v>
      </c>
      <c r="VN12" s="206">
        <f t="shared" si="148"/>
        <v>1.0429488041936954</v>
      </c>
      <c r="VO12" s="206">
        <f t="shared" si="148"/>
        <v>1.0543635583327791</v>
      </c>
      <c r="VP12" s="206">
        <f t="shared" si="148"/>
        <v>1.0660604257938251</v>
      </c>
      <c r="VQ12" s="206">
        <f t="shared" si="148"/>
        <v>1.0777287476636017</v>
      </c>
      <c r="VR12" s="206">
        <f t="shared" si="148"/>
        <v>1.0937352962760218</v>
      </c>
      <c r="VS12" s="206">
        <f t="shared" si="148"/>
        <v>1.0382365392844286</v>
      </c>
      <c r="VT12" s="206">
        <f t="shared" si="148"/>
        <v>1.0491928339975409</v>
      </c>
      <c r="VU12" s="206">
        <f t="shared" si="148"/>
        <v>0.99280969789119233</v>
      </c>
      <c r="VV12" s="206">
        <f t="shared" si="148"/>
        <v>1.0034259921339208</v>
      </c>
      <c r="VW12" s="206">
        <f t="shared" si="148"/>
        <v>1.013753202234023</v>
      </c>
      <c r="VX12" s="206">
        <f t="shared" si="148"/>
        <v>1.0239254653062433</v>
      </c>
      <c r="VY12" s="206">
        <f t="shared" si="148"/>
        <v>1.036432163691249</v>
      </c>
      <c r="VZ12" s="206">
        <f t="shared" si="148"/>
        <v>0.98390042942494382</v>
      </c>
      <c r="WA12" s="206">
        <f t="shared" si="148"/>
        <v>0.99535382672449213</v>
      </c>
      <c r="WB12" s="206">
        <f t="shared" si="148"/>
        <v>0.93838264266156934</v>
      </c>
      <c r="WC12" s="206">
        <f t="shared" si="148"/>
        <v>0.94926216596029989</v>
      </c>
      <c r="WD12" s="206">
        <f t="shared" si="148"/>
        <v>0.96065120579302621</v>
      </c>
      <c r="WE12" s="206">
        <f t="shared" si="148"/>
        <v>0.97435298285991467</v>
      </c>
      <c r="WF12" s="206">
        <f t="shared" si="148"/>
        <v>0.98433864422672512</v>
      </c>
      <c r="WG12" s="206">
        <f t="shared" si="148"/>
        <v>0.9251797380040393</v>
      </c>
      <c r="WH12" s="206">
        <f t="shared" si="148"/>
        <v>0.93438951971399209</v>
      </c>
      <c r="WI12" s="206">
        <f t="shared" si="148"/>
        <v>0.8756893730189006</v>
      </c>
      <c r="WJ12" s="206">
        <f t="shared" si="148"/>
        <v>0.88521511541342413</v>
      </c>
      <c r="WK12" s="206">
        <f t="shared" si="148"/>
        <v>0.89568411453585861</v>
      </c>
      <c r="WL12" s="206">
        <f t="shared" si="148"/>
        <v>0.90443165341366138</v>
      </c>
      <c r="WM12" s="206">
        <f t="shared" si="148"/>
        <v>0.91281918085170799</v>
      </c>
      <c r="WN12" s="206">
        <f t="shared" si="148"/>
        <v>0.85002958010904661</v>
      </c>
      <c r="WO12" s="206">
        <f t="shared" si="148"/>
        <v>0.85749194770255199</v>
      </c>
      <c r="WP12" s="206">
        <f t="shared" si="148"/>
        <v>-1.479492750312979E-4</v>
      </c>
      <c r="WQ12" s="206">
        <f t="shared" si="148"/>
        <v>0.80951030129636348</v>
      </c>
      <c r="WR12" s="206">
        <f t="shared" si="148"/>
        <v>0.81828996806708731</v>
      </c>
      <c r="WS12" s="206">
        <f t="shared" si="148"/>
        <v>0.82678461655298385</v>
      </c>
      <c r="WT12" s="206">
        <f t="shared" si="148"/>
        <v>0.83767165049989445</v>
      </c>
      <c r="WU12" s="206">
        <f t="shared" si="148"/>
        <v>0.84844229411648409</v>
      </c>
      <c r="WV12" s="206">
        <f t="shared" si="148"/>
        <v>0.85759819039302021</v>
      </c>
      <c r="WW12" s="206">
        <f t="shared" si="148"/>
        <v>0.87171593999787522</v>
      </c>
      <c r="WX12" s="206">
        <f t="shared" si="148"/>
        <v>0.88224579376808077</v>
      </c>
      <c r="WY12" s="206">
        <f t="shared" si="148"/>
        <v>0.8926975697041355</v>
      </c>
      <c r="WZ12" s="206">
        <f t="shared" si="148"/>
        <v>0.90278545476833727</v>
      </c>
      <c r="XA12" s="206">
        <f t="shared" si="148"/>
        <v>0.91121112270008053</v>
      </c>
      <c r="XB12" s="206">
        <f t="shared" si="148"/>
        <v>0.92099907930876601</v>
      </c>
      <c r="XC12" s="206">
        <f t="shared" si="148"/>
        <v>0.93062866626634433</v>
      </c>
      <c r="XD12" s="206">
        <f t="shared" si="148"/>
        <v>0.94168478083461937</v>
      </c>
      <c r="XE12" s="206">
        <f t="shared" si="148"/>
        <v>0.9565966913173084</v>
      </c>
      <c r="XF12" s="206">
        <f t="shared" si="148"/>
        <v>0.96747567640656196</v>
      </c>
      <c r="XG12" s="206">
        <f t="shared" si="148"/>
        <v>0.97810715411804316</v>
      </c>
      <c r="XH12" s="206">
        <f t="shared" si="148"/>
        <v>0.98874527749091801</v>
      </c>
      <c r="XI12" s="206">
        <f t="shared" si="148"/>
        <v>0.99920189006077775</v>
      </c>
      <c r="XJ12" s="206">
        <f t="shared" si="148"/>
        <v>1.0136159541638079</v>
      </c>
      <c r="XK12" s="206">
        <f t="shared" si="148"/>
        <v>1.0237686203633254</v>
      </c>
      <c r="XL12" s="206">
        <f t="shared" si="148"/>
        <v>1.0333580948166539</v>
      </c>
      <c r="XM12" s="206">
        <f t="shared" si="148"/>
        <v>1.0429488041936954</v>
      </c>
      <c r="XN12" s="206">
        <f t="shared" si="148"/>
        <v>1.0543635583327791</v>
      </c>
      <c r="XO12" s="206">
        <f t="shared" si="148"/>
        <v>1.0660604257938251</v>
      </c>
      <c r="XP12" s="206">
        <f t="shared" si="148"/>
        <v>1.0777287476636017</v>
      </c>
      <c r="XQ12" s="206">
        <f t="shared" si="148"/>
        <v>1.0937352962760218</v>
      </c>
      <c r="XR12" s="206">
        <f t="shared" si="148"/>
        <v>1.0382365392844286</v>
      </c>
      <c r="XS12" s="206">
        <f t="shared" ref="XS12:AAD12" si="149">XS11*(100%-$AJ$18)*$AJ$20</f>
        <v>1.0491928339975409</v>
      </c>
      <c r="XT12" s="206">
        <f t="shared" si="149"/>
        <v>0.99280969789119233</v>
      </c>
      <c r="XU12" s="206">
        <f t="shared" si="149"/>
        <v>1.0034259921339208</v>
      </c>
      <c r="XV12" s="206">
        <f t="shared" si="149"/>
        <v>1.013753202234023</v>
      </c>
      <c r="XW12" s="206">
        <f t="shared" si="149"/>
        <v>1.0239254653062433</v>
      </c>
      <c r="XX12" s="206">
        <f t="shared" si="149"/>
        <v>1.036432163691249</v>
      </c>
      <c r="XY12" s="206">
        <f t="shared" si="149"/>
        <v>0.98390042942494382</v>
      </c>
      <c r="XZ12" s="206">
        <f t="shared" si="149"/>
        <v>0.99535382672449213</v>
      </c>
      <c r="YA12" s="206">
        <f t="shared" si="149"/>
        <v>0.93838264266156934</v>
      </c>
      <c r="YB12" s="206">
        <f t="shared" si="149"/>
        <v>0.94926216596029989</v>
      </c>
      <c r="YC12" s="206">
        <f t="shared" si="149"/>
        <v>0.96065120579302621</v>
      </c>
      <c r="YD12" s="206">
        <f t="shared" si="149"/>
        <v>0.97435298285991467</v>
      </c>
      <c r="YE12" s="206">
        <f t="shared" si="149"/>
        <v>0.98433864422672512</v>
      </c>
      <c r="YF12" s="206">
        <f t="shared" si="149"/>
        <v>0.9251797380040393</v>
      </c>
      <c r="YG12" s="206">
        <f t="shared" si="149"/>
        <v>0.93438951971399209</v>
      </c>
      <c r="YH12" s="206">
        <f t="shared" si="149"/>
        <v>0.8756893730189006</v>
      </c>
      <c r="YI12" s="206">
        <f t="shared" si="149"/>
        <v>0.88521511541342413</v>
      </c>
      <c r="YJ12" s="206">
        <f t="shared" si="149"/>
        <v>0.89568411453585861</v>
      </c>
      <c r="YK12" s="206">
        <f t="shared" si="149"/>
        <v>0.90443165341366138</v>
      </c>
      <c r="YL12" s="206">
        <f t="shared" si="149"/>
        <v>0.91281918085170799</v>
      </c>
      <c r="YM12" s="206">
        <f t="shared" si="149"/>
        <v>0.85002958010904661</v>
      </c>
      <c r="YN12" s="206">
        <f t="shared" si="149"/>
        <v>0.85749194770255199</v>
      </c>
      <c r="YO12" s="206">
        <f t="shared" si="149"/>
        <v>-1.479492750312979E-4</v>
      </c>
      <c r="YP12" s="206">
        <f t="shared" si="149"/>
        <v>0.77914473879636348</v>
      </c>
      <c r="YQ12" s="206">
        <f t="shared" si="149"/>
        <v>0.78511577242646235</v>
      </c>
      <c r="YR12" s="206">
        <f t="shared" si="149"/>
        <v>0.79049557546641191</v>
      </c>
      <c r="YS12" s="206">
        <f t="shared" si="149"/>
        <v>0.79805182202318237</v>
      </c>
      <c r="YT12" s="206">
        <f t="shared" si="149"/>
        <v>0.80535676576069548</v>
      </c>
      <c r="YU12" s="206">
        <f t="shared" si="149"/>
        <v>0.81077628918862565</v>
      </c>
      <c r="YV12" s="206">
        <f t="shared" si="149"/>
        <v>0.8208523904636339</v>
      </c>
      <c r="YW12" s="206">
        <f t="shared" si="149"/>
        <v>0.82712164817409617</v>
      </c>
      <c r="YX12" s="206">
        <f t="shared" si="149"/>
        <v>0.83308329427064942</v>
      </c>
      <c r="YY12" s="206">
        <f t="shared" si="149"/>
        <v>0.83860121654196007</v>
      </c>
      <c r="YZ12" s="206">
        <f t="shared" si="149"/>
        <v>0.84217998309051989</v>
      </c>
      <c r="ZA12" s="206">
        <f t="shared" si="149"/>
        <v>0.84693516562263271</v>
      </c>
      <c r="ZB12" s="206">
        <f t="shared" si="149"/>
        <v>0.85124892717680267</v>
      </c>
      <c r="ZC12" s="206">
        <f t="shared" si="149"/>
        <v>0.85680755765524008</v>
      </c>
      <c r="ZD12" s="206">
        <f t="shared" si="149"/>
        <v>0.86611782989506536</v>
      </c>
      <c r="ZE12" s="206">
        <f t="shared" si="149"/>
        <v>0.87126454131227749</v>
      </c>
      <c r="ZF12" s="206">
        <f t="shared" si="149"/>
        <v>0.87613904546990562</v>
      </c>
      <c r="ZG12" s="206">
        <f t="shared" si="149"/>
        <v>0.88073245843041048</v>
      </c>
      <c r="ZH12" s="206">
        <f t="shared" si="149"/>
        <v>0.88492892103183962</v>
      </c>
      <c r="ZI12" s="206">
        <f t="shared" si="149"/>
        <v>0.89300312993066855</v>
      </c>
      <c r="ZJ12" s="206">
        <f t="shared" si="149"/>
        <v>0.89662323103280273</v>
      </c>
      <c r="ZK12" s="206">
        <f t="shared" si="149"/>
        <v>0.89992990443926701</v>
      </c>
      <c r="ZL12" s="206">
        <f t="shared" si="149"/>
        <v>0.90281552650900276</v>
      </c>
      <c r="ZM12" s="206">
        <f t="shared" si="149"/>
        <v>0.90751561164549199</v>
      </c>
      <c r="ZN12" s="206">
        <f t="shared" si="149"/>
        <v>0.9120094037872265</v>
      </c>
      <c r="ZO12" s="206">
        <f t="shared" si="149"/>
        <v>0.91629117329708498</v>
      </c>
      <c r="ZP12" s="206">
        <f t="shared" si="149"/>
        <v>0.92488774067193424</v>
      </c>
      <c r="ZQ12" s="206">
        <f t="shared" si="149"/>
        <v>0.86182464711387285</v>
      </c>
      <c r="ZR12" s="206">
        <f t="shared" si="149"/>
        <v>0.86522929795387493</v>
      </c>
      <c r="ZS12" s="206">
        <f t="shared" si="149"/>
        <v>0.80117347882879664</v>
      </c>
      <c r="ZT12" s="206">
        <f t="shared" si="149"/>
        <v>0.80400899136725856</v>
      </c>
      <c r="ZU12" s="206">
        <f t="shared" si="149"/>
        <v>0.80662544026188099</v>
      </c>
      <c r="ZV12" s="206">
        <f t="shared" si="149"/>
        <v>0.80901808600413005</v>
      </c>
      <c r="ZW12" s="206">
        <f t="shared" si="149"/>
        <v>0.81369248413083883</v>
      </c>
      <c r="ZX12" s="206">
        <f t="shared" si="149"/>
        <v>0.75346270318515041</v>
      </c>
      <c r="ZY12" s="206">
        <f t="shared" si="149"/>
        <v>0.75786753285995534</v>
      </c>
      <c r="ZZ12" s="206">
        <f t="shared" si="149"/>
        <v>0.69343625302854561</v>
      </c>
      <c r="AAA12" s="206">
        <f t="shared" si="149"/>
        <v>0.69762011501742027</v>
      </c>
      <c r="AAB12" s="206">
        <f t="shared" si="149"/>
        <v>0.70172106819454838</v>
      </c>
      <c r="AAC12" s="206">
        <f t="shared" si="149"/>
        <v>0.70839084784034134</v>
      </c>
      <c r="AAD12" s="206">
        <f t="shared" si="149"/>
        <v>0.71228523753149497</v>
      </c>
      <c r="AAE12" s="206">
        <f t="shared" ref="AAE12:ACP12" si="150">AAE11*(100%-$AJ$18)*$AJ$20</f>
        <v>0.64641735740015194</v>
      </c>
      <c r="AAF12" s="206">
        <f t="shared" si="150"/>
        <v>0.65014689698980099</v>
      </c>
      <c r="AAG12" s="206">
        <f t="shared" si="150"/>
        <v>0.58533087621100355</v>
      </c>
      <c r="AAH12" s="206">
        <f t="shared" si="150"/>
        <v>0.58895429627819251</v>
      </c>
      <c r="AAI12" s="206">
        <f t="shared" si="150"/>
        <v>0.59392087228505952</v>
      </c>
      <c r="AAJ12" s="206">
        <f t="shared" si="150"/>
        <v>0.59742814166166092</v>
      </c>
      <c r="AAK12" s="206">
        <f t="shared" si="150"/>
        <v>0.60086008001830238</v>
      </c>
      <c r="AAL12" s="206">
        <f t="shared" si="150"/>
        <v>0.53357943170746602</v>
      </c>
      <c r="AAM12" s="206">
        <f t="shared" si="150"/>
        <v>0.53688123330222481</v>
      </c>
      <c r="AAN12" s="206">
        <f t="shared" si="150"/>
        <v>-1.479492750312979E-4</v>
      </c>
      <c r="AAO12" s="206">
        <f t="shared" si="150"/>
        <v>0.4627698934940519</v>
      </c>
      <c r="AAP12" s="206">
        <f t="shared" si="150"/>
        <v>0.46594757493437033</v>
      </c>
      <c r="AAQ12" s="206">
        <f t="shared" si="150"/>
        <v>0.46906865417408905</v>
      </c>
      <c r="AAR12" s="206">
        <f t="shared" si="150"/>
        <v>0.47213133567369053</v>
      </c>
      <c r="AAS12" s="206">
        <f t="shared" si="150"/>
        <v>0.47513382616167016</v>
      </c>
      <c r="AAT12" s="206">
        <f t="shared" si="150"/>
        <v>0.47798924089013295</v>
      </c>
      <c r="AAU12" s="206">
        <f t="shared" si="150"/>
        <v>0.48439539554390187</v>
      </c>
      <c r="AAV12" s="206">
        <f t="shared" si="150"/>
        <v>0.48722406853565325</v>
      </c>
      <c r="AAW12" s="206">
        <f t="shared" si="150"/>
        <v>0.48998597339291616</v>
      </c>
      <c r="AAX12" s="206">
        <f t="shared" si="150"/>
        <v>0.492679360240391</v>
      </c>
      <c r="AAY12" s="206">
        <f t="shared" si="150"/>
        <v>0.49530248769317586</v>
      </c>
      <c r="AAZ12" s="206">
        <f t="shared" si="150"/>
        <v>0.49785362395472116</v>
      </c>
      <c r="ABA12" s="206">
        <f t="shared" si="150"/>
        <v>0.50024781220691783</v>
      </c>
      <c r="ABB12" s="206">
        <f t="shared" si="150"/>
        <v>0.50256643239332555</v>
      </c>
      <c r="ABC12" s="206">
        <f t="shared" si="150"/>
        <v>0.50881424690512467</v>
      </c>
      <c r="ABD12" s="206">
        <f t="shared" si="150"/>
        <v>0.51108351474001534</v>
      </c>
      <c r="ABE12" s="206">
        <f t="shared" si="150"/>
        <v>0.51327295079251811</v>
      </c>
      <c r="ABF12" s="206">
        <f t="shared" si="150"/>
        <v>0.51538091614024562</v>
      </c>
      <c r="ABG12" s="206">
        <f t="shared" si="150"/>
        <v>0.51740578881590216</v>
      </c>
      <c r="ABH12" s="206">
        <f t="shared" si="150"/>
        <v>0.52352164151066982</v>
      </c>
      <c r="ABI12" s="206">
        <f t="shared" si="150"/>
        <v>0.52540320134108887</v>
      </c>
      <c r="ABJ12" s="206">
        <f t="shared" si="150"/>
        <v>0.52719754666362806</v>
      </c>
      <c r="ABK12" s="206">
        <f t="shared" si="150"/>
        <v>0.52890314258950422</v>
      </c>
      <c r="ABL12" s="206">
        <f t="shared" si="150"/>
        <v>0.53051847617611325</v>
      </c>
      <c r="ABM12" s="206">
        <f t="shared" si="150"/>
        <v>0.5320420575160596</v>
      </c>
      <c r="ABN12" s="206">
        <f t="shared" si="150"/>
        <v>0.53347242082323054</v>
      </c>
      <c r="ABO12" s="206">
        <f t="shared" si="150"/>
        <v>0.53934061745228601</v>
      </c>
      <c r="ABP12" s="206">
        <f t="shared" si="150"/>
        <v>0.47377154956646295</v>
      </c>
      <c r="ABQ12" s="206">
        <f t="shared" si="150"/>
        <v>0.4748016850238535</v>
      </c>
      <c r="ABR12" s="206">
        <f t="shared" si="150"/>
        <v>0.40850678705835713</v>
      </c>
      <c r="ABS12" s="206">
        <f t="shared" si="150"/>
        <v>0.40924257706077816</v>
      </c>
      <c r="ABT12" s="206">
        <f t="shared" si="150"/>
        <v>0.40990251592644167</v>
      </c>
      <c r="ABU12" s="206">
        <f t="shared" si="150"/>
        <v>0.41048565105326545</v>
      </c>
      <c r="ABV12" s="206">
        <f t="shared" si="150"/>
        <v>0.41093592142388924</v>
      </c>
      <c r="ABW12" s="206">
        <f t="shared" si="150"/>
        <v>0.3465920866356636</v>
      </c>
      <c r="ABX12" s="206">
        <f t="shared" si="150"/>
        <v>0.34690585461659196</v>
      </c>
      <c r="ABY12" s="206">
        <f t="shared" si="150"/>
        <v>0.27840826364196131</v>
      </c>
      <c r="ABZ12" s="206">
        <f t="shared" si="150"/>
        <v>0.27855234020167674</v>
      </c>
      <c r="ACA12" s="206">
        <f t="shared" si="150"/>
        <v>0.2786418248191308</v>
      </c>
      <c r="ACB12" s="206">
        <f t="shared" si="150"/>
        <v>0.28133025912892418</v>
      </c>
      <c r="ACC12" s="206">
        <f t="shared" si="150"/>
        <v>0.2813649660549416</v>
      </c>
      <c r="ACD12" s="206">
        <f t="shared" si="150"/>
        <v>0.21167220379630419</v>
      </c>
      <c r="ACE12" s="206">
        <f t="shared" si="150"/>
        <v>0.21161347057492122</v>
      </c>
      <c r="ACF12" s="206">
        <f t="shared" si="150"/>
        <v>0.14304760554497528</v>
      </c>
      <c r="ACG12" s="206">
        <f t="shared" si="150"/>
        <v>0.14296143883618986</v>
      </c>
      <c r="ACH12" s="206">
        <f t="shared" si="150"/>
        <v>0.1442605232151796</v>
      </c>
      <c r="ACI12" s="206">
        <f t="shared" si="150"/>
        <v>0.14414424160844477</v>
      </c>
      <c r="ACJ12" s="206">
        <f t="shared" si="150"/>
        <v>0.14399842199252577</v>
      </c>
      <c r="ACK12" s="206">
        <f t="shared" si="150"/>
        <v>7.3276414391327011E-2</v>
      </c>
      <c r="ACL12" s="206">
        <f t="shared" si="150"/>
        <v>7.3187080884390798E-2</v>
      </c>
      <c r="ACM12" s="206">
        <f t="shared" si="150"/>
        <v>-1.479492750312979E-4</v>
      </c>
      <c r="ACN12" s="206">
        <f t="shared" si="150"/>
        <v>0</v>
      </c>
      <c r="ACO12" s="206">
        <f t="shared" si="150"/>
        <v>0</v>
      </c>
      <c r="ACP12" s="206">
        <f t="shared" si="150"/>
        <v>0</v>
      </c>
      <c r="ACQ12" s="206">
        <f t="shared" ref="ACQ12:AFB12" si="151">ACQ11*(100%-$AJ$18)*$AJ$20</f>
        <v>0</v>
      </c>
      <c r="ACR12" s="206">
        <f t="shared" si="151"/>
        <v>0</v>
      </c>
      <c r="ACS12" s="206">
        <f t="shared" si="151"/>
        <v>0</v>
      </c>
      <c r="ACT12" s="206">
        <f t="shared" si="151"/>
        <v>0</v>
      </c>
      <c r="ACU12" s="206">
        <f t="shared" si="151"/>
        <v>0</v>
      </c>
      <c r="ACV12" s="206">
        <f t="shared" si="151"/>
        <v>0</v>
      </c>
      <c r="ACW12" s="206">
        <f t="shared" si="151"/>
        <v>0</v>
      </c>
      <c r="ACX12" s="206">
        <f t="shared" si="151"/>
        <v>0</v>
      </c>
      <c r="ACY12" s="206">
        <f t="shared" si="151"/>
        <v>0</v>
      </c>
      <c r="ACZ12" s="206">
        <f t="shared" si="151"/>
        <v>0</v>
      </c>
      <c r="ADA12" s="206">
        <f t="shared" si="151"/>
        <v>0</v>
      </c>
      <c r="ADB12" s="206">
        <f t="shared" si="151"/>
        <v>0</v>
      </c>
      <c r="ADC12" s="206">
        <f t="shared" si="151"/>
        <v>0</v>
      </c>
      <c r="ADD12" s="206">
        <f t="shared" si="151"/>
        <v>0</v>
      </c>
      <c r="ADE12" s="206">
        <f t="shared" si="151"/>
        <v>0</v>
      </c>
      <c r="ADF12" s="206">
        <f t="shared" si="151"/>
        <v>0</v>
      </c>
      <c r="ADG12" s="206">
        <f t="shared" si="151"/>
        <v>0</v>
      </c>
      <c r="ADH12" s="206">
        <f t="shared" si="151"/>
        <v>0</v>
      </c>
      <c r="ADI12" s="206">
        <f t="shared" si="151"/>
        <v>0</v>
      </c>
      <c r="ADJ12" s="206">
        <f t="shared" si="151"/>
        <v>0</v>
      </c>
      <c r="ADK12" s="206">
        <f t="shared" si="151"/>
        <v>0</v>
      </c>
      <c r="ADL12" s="206">
        <f t="shared" si="151"/>
        <v>0</v>
      </c>
      <c r="ADM12" s="206">
        <f t="shared" si="151"/>
        <v>0</v>
      </c>
      <c r="ADN12" s="206">
        <f t="shared" si="151"/>
        <v>0</v>
      </c>
      <c r="ADO12" s="206">
        <f t="shared" si="151"/>
        <v>0</v>
      </c>
      <c r="ADP12" s="206">
        <f t="shared" si="151"/>
        <v>0</v>
      </c>
      <c r="ADQ12" s="206">
        <f t="shared" si="151"/>
        <v>0</v>
      </c>
      <c r="ADR12" s="206">
        <f t="shared" si="151"/>
        <v>0</v>
      </c>
      <c r="ADS12" s="206">
        <f t="shared" si="151"/>
        <v>0</v>
      </c>
      <c r="ADT12" s="206">
        <f t="shared" si="151"/>
        <v>0</v>
      </c>
      <c r="ADU12" s="206">
        <f t="shared" si="151"/>
        <v>0</v>
      </c>
      <c r="ADV12" s="206">
        <f t="shared" si="151"/>
        <v>0</v>
      </c>
      <c r="ADW12" s="206">
        <f t="shared" si="151"/>
        <v>0</v>
      </c>
      <c r="ADX12" s="206">
        <f t="shared" si="151"/>
        <v>0</v>
      </c>
      <c r="ADY12" s="206">
        <f t="shared" si="151"/>
        <v>0</v>
      </c>
      <c r="ADZ12" s="206">
        <f t="shared" si="151"/>
        <v>0</v>
      </c>
      <c r="AEA12" s="206">
        <f t="shared" si="151"/>
        <v>0</v>
      </c>
      <c r="AEB12" s="206">
        <f t="shared" si="151"/>
        <v>0</v>
      </c>
      <c r="AEC12" s="206">
        <f t="shared" si="151"/>
        <v>0</v>
      </c>
      <c r="AED12" s="206">
        <f t="shared" si="151"/>
        <v>0</v>
      </c>
      <c r="AEE12" s="206">
        <f t="shared" si="151"/>
        <v>0</v>
      </c>
      <c r="AEF12" s="206">
        <f t="shared" si="151"/>
        <v>0</v>
      </c>
      <c r="AEG12" s="206">
        <f t="shared" si="151"/>
        <v>0</v>
      </c>
      <c r="AEH12" s="206">
        <f t="shared" si="151"/>
        <v>0</v>
      </c>
      <c r="AEI12" s="206">
        <f t="shared" si="151"/>
        <v>0</v>
      </c>
      <c r="AEJ12" s="206">
        <f t="shared" si="151"/>
        <v>0</v>
      </c>
      <c r="AEK12" s="206">
        <f t="shared" si="151"/>
        <v>0</v>
      </c>
      <c r="AEL12" s="206">
        <f t="shared" si="151"/>
        <v>0</v>
      </c>
      <c r="AEM12" s="206">
        <f t="shared" si="151"/>
        <v>0</v>
      </c>
      <c r="AEN12" s="206">
        <f t="shared" si="151"/>
        <v>0</v>
      </c>
      <c r="AEO12" s="206">
        <f t="shared" si="151"/>
        <v>0</v>
      </c>
      <c r="AEP12" s="206">
        <f t="shared" si="151"/>
        <v>0</v>
      </c>
      <c r="AEQ12" s="206">
        <f t="shared" si="151"/>
        <v>0</v>
      </c>
      <c r="AER12" s="206">
        <f t="shared" si="151"/>
        <v>0</v>
      </c>
      <c r="AES12" s="206">
        <f t="shared" si="151"/>
        <v>0</v>
      </c>
      <c r="AET12" s="206">
        <f t="shared" si="151"/>
        <v>0</v>
      </c>
      <c r="AEU12" s="206">
        <f t="shared" si="151"/>
        <v>0</v>
      </c>
      <c r="AEV12" s="206">
        <f t="shared" si="151"/>
        <v>0</v>
      </c>
      <c r="AEW12" s="206">
        <f t="shared" si="151"/>
        <v>0</v>
      </c>
      <c r="AEX12" s="206">
        <f t="shared" si="151"/>
        <v>0</v>
      </c>
      <c r="AEY12" s="206">
        <f t="shared" si="151"/>
        <v>0</v>
      </c>
      <c r="AEZ12" s="206">
        <f t="shared" si="151"/>
        <v>0</v>
      </c>
      <c r="AFA12" s="206">
        <f t="shared" si="151"/>
        <v>0</v>
      </c>
      <c r="AFB12" s="206">
        <f t="shared" si="151"/>
        <v>0</v>
      </c>
      <c r="AFC12" s="206">
        <f t="shared" ref="AFC12:AHN12" si="152">AFC11*(100%-$AJ$18)*$AJ$20</f>
        <v>0</v>
      </c>
      <c r="AFD12" s="206">
        <f t="shared" si="152"/>
        <v>0</v>
      </c>
      <c r="AFE12" s="206">
        <f t="shared" si="152"/>
        <v>0</v>
      </c>
      <c r="AFF12" s="206">
        <f t="shared" si="152"/>
        <v>0</v>
      </c>
      <c r="AFG12" s="206">
        <f t="shared" si="152"/>
        <v>0</v>
      </c>
      <c r="AFH12" s="206">
        <f t="shared" si="152"/>
        <v>0</v>
      </c>
      <c r="AFI12" s="206">
        <f t="shared" si="152"/>
        <v>0</v>
      </c>
      <c r="AFJ12" s="206">
        <f t="shared" si="152"/>
        <v>0</v>
      </c>
      <c r="AFK12" s="206">
        <f t="shared" si="152"/>
        <v>0</v>
      </c>
      <c r="AFL12" s="206">
        <f t="shared" si="152"/>
        <v>0</v>
      </c>
      <c r="AFM12" s="206">
        <f t="shared" si="152"/>
        <v>0</v>
      </c>
      <c r="AFN12" s="206">
        <f t="shared" si="152"/>
        <v>0</v>
      </c>
      <c r="AFO12" s="206">
        <f t="shared" si="152"/>
        <v>0</v>
      </c>
      <c r="AFP12" s="206">
        <f t="shared" si="152"/>
        <v>0</v>
      </c>
      <c r="AFQ12" s="206">
        <f t="shared" si="152"/>
        <v>0</v>
      </c>
      <c r="AFR12" s="206">
        <f t="shared" si="152"/>
        <v>0</v>
      </c>
      <c r="AFS12" s="206">
        <f t="shared" si="152"/>
        <v>0</v>
      </c>
      <c r="AFT12" s="206">
        <f t="shared" si="152"/>
        <v>0</v>
      </c>
      <c r="AFU12" s="206">
        <f t="shared" si="152"/>
        <v>0</v>
      </c>
      <c r="AFV12" s="206">
        <f t="shared" si="152"/>
        <v>0</v>
      </c>
      <c r="AFW12" s="206">
        <f t="shared" si="152"/>
        <v>0</v>
      </c>
      <c r="AFX12" s="206">
        <f t="shared" si="152"/>
        <v>0</v>
      </c>
      <c r="AFY12" s="206">
        <f t="shared" si="152"/>
        <v>0</v>
      </c>
      <c r="AFZ12" s="206">
        <f t="shared" si="152"/>
        <v>0</v>
      </c>
      <c r="AGA12" s="206">
        <f t="shared" si="152"/>
        <v>0</v>
      </c>
      <c r="AGB12" s="206">
        <f t="shared" si="152"/>
        <v>0</v>
      </c>
      <c r="AGC12" s="206">
        <f t="shared" si="152"/>
        <v>0</v>
      </c>
      <c r="AGD12" s="206">
        <f t="shared" si="152"/>
        <v>0</v>
      </c>
      <c r="AGE12" s="206">
        <f t="shared" si="152"/>
        <v>0</v>
      </c>
      <c r="AGF12" s="206">
        <f t="shared" si="152"/>
        <v>0</v>
      </c>
      <c r="AGG12" s="206">
        <f t="shared" si="152"/>
        <v>0</v>
      </c>
      <c r="AGH12" s="206">
        <f t="shared" si="152"/>
        <v>0</v>
      </c>
      <c r="AGI12" s="206">
        <f t="shared" si="152"/>
        <v>0</v>
      </c>
      <c r="AGJ12" s="206">
        <f t="shared" si="152"/>
        <v>0</v>
      </c>
      <c r="AGK12" s="206">
        <f t="shared" si="152"/>
        <v>0</v>
      </c>
      <c r="AGL12" s="206">
        <f t="shared" si="152"/>
        <v>0</v>
      </c>
      <c r="AGM12" s="206">
        <f t="shared" si="152"/>
        <v>0</v>
      </c>
      <c r="AGN12" s="206">
        <f t="shared" si="152"/>
        <v>0</v>
      </c>
      <c r="AGO12" s="206">
        <f t="shared" si="152"/>
        <v>0</v>
      </c>
      <c r="AGP12" s="206">
        <f t="shared" si="152"/>
        <v>0</v>
      </c>
      <c r="AGQ12" s="206">
        <f t="shared" si="152"/>
        <v>0</v>
      </c>
      <c r="AGR12" s="206">
        <f t="shared" si="152"/>
        <v>0</v>
      </c>
      <c r="AGS12" s="206">
        <f t="shared" si="152"/>
        <v>0</v>
      </c>
      <c r="AGT12" s="206">
        <f t="shared" si="152"/>
        <v>0</v>
      </c>
      <c r="AGU12" s="206">
        <f t="shared" si="152"/>
        <v>0</v>
      </c>
      <c r="AGV12" s="206">
        <f t="shared" si="152"/>
        <v>0</v>
      </c>
      <c r="AGW12" s="206">
        <f t="shared" si="152"/>
        <v>0</v>
      </c>
      <c r="AGX12" s="206">
        <f t="shared" si="152"/>
        <v>0</v>
      </c>
      <c r="AGY12" s="206">
        <f t="shared" si="152"/>
        <v>0</v>
      </c>
      <c r="AGZ12" s="206">
        <f t="shared" si="152"/>
        <v>0</v>
      </c>
      <c r="AHA12" s="206">
        <f t="shared" si="152"/>
        <v>0</v>
      </c>
      <c r="AHB12" s="206">
        <f t="shared" si="152"/>
        <v>0</v>
      </c>
      <c r="AHC12" s="206">
        <f t="shared" si="152"/>
        <v>0</v>
      </c>
      <c r="AHD12" s="206">
        <f t="shared" si="152"/>
        <v>0</v>
      </c>
      <c r="AHE12" s="206">
        <f t="shared" si="152"/>
        <v>0</v>
      </c>
      <c r="AHF12" s="206">
        <f t="shared" si="152"/>
        <v>0</v>
      </c>
      <c r="AHG12" s="206">
        <f t="shared" si="152"/>
        <v>0</v>
      </c>
      <c r="AHH12" s="206">
        <f t="shared" si="152"/>
        <v>0</v>
      </c>
      <c r="AHI12" s="206">
        <f t="shared" si="152"/>
        <v>0</v>
      </c>
      <c r="AHJ12" s="206">
        <f t="shared" si="152"/>
        <v>0</v>
      </c>
      <c r="AHK12" s="206">
        <f t="shared" si="152"/>
        <v>0</v>
      </c>
      <c r="AHL12" s="206">
        <f t="shared" si="152"/>
        <v>0</v>
      </c>
      <c r="AHM12" s="206">
        <f t="shared" si="152"/>
        <v>0</v>
      </c>
      <c r="AHN12" s="206">
        <f t="shared" si="152"/>
        <v>0</v>
      </c>
      <c r="AHO12" s="206">
        <f t="shared" ref="AHO12:AJA12" si="153">AHO11*(100%-$AJ$18)*$AJ$20</f>
        <v>0</v>
      </c>
      <c r="AHP12" s="206">
        <f t="shared" si="153"/>
        <v>0</v>
      </c>
      <c r="AHQ12" s="206">
        <f t="shared" si="153"/>
        <v>0</v>
      </c>
      <c r="AHR12" s="206">
        <f t="shared" si="153"/>
        <v>0</v>
      </c>
      <c r="AHS12" s="206">
        <f t="shared" si="153"/>
        <v>0</v>
      </c>
      <c r="AHT12" s="206">
        <f t="shared" si="153"/>
        <v>0</v>
      </c>
      <c r="AHU12" s="206">
        <f t="shared" si="153"/>
        <v>0</v>
      </c>
      <c r="AHV12" s="206">
        <f t="shared" si="153"/>
        <v>0</v>
      </c>
      <c r="AHW12" s="206">
        <f t="shared" si="153"/>
        <v>0</v>
      </c>
      <c r="AHX12" s="206">
        <f t="shared" si="153"/>
        <v>0</v>
      </c>
      <c r="AHY12" s="206">
        <f t="shared" si="153"/>
        <v>0</v>
      </c>
      <c r="AHZ12" s="206">
        <f t="shared" si="153"/>
        <v>0</v>
      </c>
      <c r="AIA12" s="206">
        <f t="shared" si="153"/>
        <v>0</v>
      </c>
      <c r="AIB12" s="206">
        <f t="shared" si="153"/>
        <v>0</v>
      </c>
      <c r="AIC12" s="206">
        <f t="shared" si="153"/>
        <v>0</v>
      </c>
      <c r="AID12" s="206">
        <f t="shared" si="153"/>
        <v>0</v>
      </c>
      <c r="AIE12" s="206">
        <f t="shared" si="153"/>
        <v>0</v>
      </c>
      <c r="AIF12" s="206">
        <f t="shared" si="153"/>
        <v>0</v>
      </c>
      <c r="AIG12" s="206">
        <f t="shared" si="153"/>
        <v>0</v>
      </c>
      <c r="AIH12" s="206">
        <f t="shared" si="153"/>
        <v>0</v>
      </c>
      <c r="AII12" s="206">
        <f t="shared" si="153"/>
        <v>0</v>
      </c>
      <c r="AIJ12" s="206">
        <f t="shared" si="153"/>
        <v>0</v>
      </c>
      <c r="AIK12" s="206">
        <f t="shared" si="153"/>
        <v>0</v>
      </c>
      <c r="AIL12" s="206">
        <f t="shared" si="153"/>
        <v>0</v>
      </c>
      <c r="AIM12" s="206">
        <f t="shared" si="153"/>
        <v>0</v>
      </c>
      <c r="AIN12" s="206">
        <f t="shared" si="153"/>
        <v>0</v>
      </c>
      <c r="AIO12" s="206">
        <f t="shared" si="153"/>
        <v>0</v>
      </c>
      <c r="AIP12" s="206">
        <f t="shared" si="153"/>
        <v>0</v>
      </c>
      <c r="AIQ12" s="206">
        <f t="shared" si="153"/>
        <v>0</v>
      </c>
      <c r="AIR12" s="206">
        <f t="shared" si="153"/>
        <v>0</v>
      </c>
      <c r="AIS12" s="206">
        <f t="shared" si="153"/>
        <v>0</v>
      </c>
      <c r="AIT12" s="206">
        <f t="shared" si="153"/>
        <v>0</v>
      </c>
      <c r="AIU12" s="206">
        <f t="shared" si="153"/>
        <v>0</v>
      </c>
      <c r="AIV12" s="206">
        <f t="shared" si="153"/>
        <v>0</v>
      </c>
      <c r="AIW12" s="206">
        <f t="shared" si="153"/>
        <v>0</v>
      </c>
      <c r="AIX12" s="206">
        <f t="shared" si="153"/>
        <v>0</v>
      </c>
      <c r="AIY12" s="206">
        <f t="shared" si="153"/>
        <v>0</v>
      </c>
      <c r="AIZ12" s="206">
        <f t="shared" si="153"/>
        <v>0</v>
      </c>
      <c r="AJA12" s="206">
        <f t="shared" si="153"/>
        <v>0</v>
      </c>
    </row>
    <row r="13" spans="1:1024" s="208" customFormat="1" ht="22.15" customHeight="1" thickBot="1" x14ac:dyDescent="0.3">
      <c r="A13" s="285" t="s">
        <v>70</v>
      </c>
      <c r="B13" s="285"/>
      <c r="C13" s="209">
        <f t="shared" ref="C13:BN13" si="154">C11*(100%-$AJ$19)*$AJ$20</f>
        <v>2.1689687500000002E-2</v>
      </c>
      <c r="D13" s="209">
        <f t="shared" si="154"/>
        <v>2.3695854029017856E-2</v>
      </c>
      <c r="E13" s="209">
        <f t="shared" si="154"/>
        <v>2.5920743633265703E-2</v>
      </c>
      <c r="F13" s="209">
        <f t="shared" si="154"/>
        <v>2.8299877483365769E-2</v>
      </c>
      <c r="G13" s="209">
        <f t="shared" si="154"/>
        <v>3.0775377396991779E-2</v>
      </c>
      <c r="H13" s="209">
        <f t="shared" si="154"/>
        <v>3.3444215145996006E-2</v>
      </c>
      <c r="I13" s="209">
        <f t="shared" si="154"/>
        <v>3.6331106810172424E-2</v>
      </c>
      <c r="J13" s="209">
        <f t="shared" si="154"/>
        <v>3.9374389709989029E-2</v>
      </c>
      <c r="K13" s="209">
        <f t="shared" si="154"/>
        <v>4.2581625309633005E-2</v>
      </c>
      <c r="L13" s="209">
        <f t="shared" si="154"/>
        <v>4.584588444741225E-2</v>
      </c>
      <c r="M13" s="209">
        <f t="shared" si="154"/>
        <v>4.9307956863971797E-2</v>
      </c>
      <c r="N13" s="209">
        <f t="shared" si="154"/>
        <v>5.2902795490095259E-2</v>
      </c>
      <c r="O13" s="209">
        <f t="shared" si="154"/>
        <v>5.6699813635386946E-2</v>
      </c>
      <c r="P13" s="209">
        <f t="shared" si="154"/>
        <v>6.0626587985270979E-2</v>
      </c>
      <c r="Q13" s="209">
        <f t="shared" si="154"/>
        <v>6.4627758158745094E-2</v>
      </c>
      <c r="R13" s="209">
        <f t="shared" si="154"/>
        <v>6.8722239353060433E-2</v>
      </c>
      <c r="S13" s="209">
        <f t="shared" si="154"/>
        <v>7.2834363320098364E-2</v>
      </c>
      <c r="T13" s="209">
        <f t="shared" si="154"/>
        <v>7.7152013614648268E-2</v>
      </c>
      <c r="U13" s="209">
        <f t="shared" si="154"/>
        <v>8.1623549306384352E-2</v>
      </c>
      <c r="V13" s="209">
        <f t="shared" si="154"/>
        <v>8.615201730938532E-2</v>
      </c>
      <c r="W13" s="209">
        <f t="shared" si="154"/>
        <v>9.0818135236087547E-2</v>
      </c>
      <c r="X13" s="209">
        <f t="shared" si="154"/>
        <v>9.5305850269562023E-2</v>
      </c>
      <c r="Y13" s="209">
        <f t="shared" si="154"/>
        <v>0.10009519834620909</v>
      </c>
      <c r="Z13" s="209">
        <f t="shared" si="154"/>
        <v>0.10489139049091938</v>
      </c>
      <c r="AA13" s="209">
        <f t="shared" si="154"/>
        <v>0.11003644429042762</v>
      </c>
      <c r="AB13" s="209">
        <f t="shared" si="154"/>
        <v>0.11531255311894059</v>
      </c>
      <c r="AC13" s="209">
        <f t="shared" si="154"/>
        <v>0.12060539686006268</v>
      </c>
      <c r="AD13" s="209">
        <f t="shared" si="154"/>
        <v>0.12600849440753994</v>
      </c>
      <c r="AE13" s="209">
        <f t="shared" si="154"/>
        <v>0.13140252574547553</v>
      </c>
      <c r="AF13" s="209">
        <f t="shared" si="154"/>
        <v>0.13688301361599681</v>
      </c>
      <c r="AG13" s="209">
        <f t="shared" si="154"/>
        <v>0.14244071483333015</v>
      </c>
      <c r="AH13" s="209">
        <f t="shared" si="154"/>
        <v>0.1479484014086728</v>
      </c>
      <c r="AI13" s="209">
        <f t="shared" si="154"/>
        <v>0.15350527093008079</v>
      </c>
      <c r="AJ13" s="209">
        <f t="shared" si="154"/>
        <v>0.15909977111457868</v>
      </c>
      <c r="AK13" s="209">
        <f t="shared" si="154"/>
        <v>0.16459837588556686</v>
      </c>
      <c r="AL13" s="209">
        <f t="shared" si="154"/>
        <v>0.16963306704609762</v>
      </c>
      <c r="AM13" s="209">
        <f t="shared" si="154"/>
        <v>0.17496170688073126</v>
      </c>
      <c r="AN13" s="209">
        <f t="shared" si="154"/>
        <v>0.17974432210205693</v>
      </c>
      <c r="AO13" s="209">
        <f t="shared" si="154"/>
        <v>0.18495009828462708</v>
      </c>
      <c r="AP13" s="209">
        <f t="shared" si="154"/>
        <v>0.18997295358540953</v>
      </c>
      <c r="AQ13" s="209">
        <f t="shared" si="154"/>
        <v>0.19432386192516429</v>
      </c>
      <c r="AR13" s="209">
        <f t="shared" si="154"/>
        <v>0.19911598614563378</v>
      </c>
      <c r="AS13" s="209">
        <f t="shared" si="154"/>
        <v>0.20303044480299381</v>
      </c>
      <c r="AT13" s="209">
        <f t="shared" si="154"/>
        <v>0.20739892629135503</v>
      </c>
      <c r="AU13" s="209">
        <f t="shared" si="154"/>
        <v>0.21161487081087976</v>
      </c>
      <c r="AV13" s="209">
        <f t="shared" si="154"/>
        <v>0.21554517303628509</v>
      </c>
      <c r="AW13" s="209">
        <f t="shared" si="154"/>
        <v>0.21928822268000031</v>
      </c>
      <c r="AX13" s="209">
        <f t="shared" si="154"/>
        <v>0.22282792916671834</v>
      </c>
      <c r="AY13" s="209">
        <f t="shared" si="154"/>
        <v>0.22603582028684333</v>
      </c>
      <c r="AZ13" s="209">
        <f t="shared" si="154"/>
        <v>0.22900765314309085</v>
      </c>
      <c r="BA13" s="209">
        <f t="shared" si="154"/>
        <v>0</v>
      </c>
      <c r="BB13" s="209">
        <f t="shared" si="154"/>
        <v>0.24767171985879405</v>
      </c>
      <c r="BC13" s="209">
        <f t="shared" si="154"/>
        <v>0.2516731379519408</v>
      </c>
      <c r="BD13" s="209">
        <f t="shared" si="154"/>
        <v>0.25551140169921055</v>
      </c>
      <c r="BE13" s="209">
        <f t="shared" si="154"/>
        <v>0.26110022487585993</v>
      </c>
      <c r="BF13" s="209">
        <f t="shared" si="154"/>
        <v>0.26664890568200988</v>
      </c>
      <c r="BG13" s="209">
        <f t="shared" si="154"/>
        <v>0.27114924964491949</v>
      </c>
      <c r="BH13" s="209">
        <f t="shared" si="154"/>
        <v>0.27665753175283814</v>
      </c>
      <c r="BI13" s="209">
        <f t="shared" si="154"/>
        <v>0.28215837516601977</v>
      </c>
      <c r="BJ13" s="209">
        <f t="shared" si="154"/>
        <v>0.28765114022229965</v>
      </c>
      <c r="BK13" s="209">
        <f t="shared" si="154"/>
        <v>0.29293292466281867</v>
      </c>
      <c r="BL13" s="209">
        <f t="shared" si="154"/>
        <v>0.29707759643350329</v>
      </c>
      <c r="BM13" s="209">
        <f t="shared" si="154"/>
        <v>0.30224675382431776</v>
      </c>
      <c r="BN13" s="209">
        <f t="shared" si="154"/>
        <v>0.3074148957567332</v>
      </c>
      <c r="BO13" s="209">
        <f t="shared" ref="BO13:DZ13" si="155">BO11*(100%-$AJ$19)*$AJ$20</f>
        <v>0.31365596317235273</v>
      </c>
      <c r="BP13" s="209">
        <f t="shared" si="155"/>
        <v>0.31984460315156005</v>
      </c>
      <c r="BQ13" s="209">
        <f t="shared" si="155"/>
        <v>0.32599440119039058</v>
      </c>
      <c r="BR13" s="209">
        <f t="shared" si="155"/>
        <v>0.33202443094680373</v>
      </c>
      <c r="BS13" s="209">
        <f t="shared" si="155"/>
        <v>0.33811740096476606</v>
      </c>
      <c r="BT13" s="209">
        <f t="shared" si="155"/>
        <v>0.34414007231776833</v>
      </c>
      <c r="BU13" s="209">
        <f t="shared" si="155"/>
        <v>0.35006736618081286</v>
      </c>
      <c r="BV13" s="209">
        <f t="shared" si="155"/>
        <v>0.35597529930159738</v>
      </c>
      <c r="BW13" s="209">
        <f t="shared" si="155"/>
        <v>0.36154324868073279</v>
      </c>
      <c r="BX13" s="209">
        <f t="shared" si="155"/>
        <v>0.36717547257442235</v>
      </c>
      <c r="BY13" s="209">
        <f t="shared" si="155"/>
        <v>0.37417505868333273</v>
      </c>
      <c r="BZ13" s="209">
        <f t="shared" si="155"/>
        <v>0.38144169162697544</v>
      </c>
      <c r="CA13" s="209">
        <f t="shared" si="155"/>
        <v>0.38875451917169385</v>
      </c>
      <c r="CB13" s="209">
        <f t="shared" si="155"/>
        <v>0.39599619915981138</v>
      </c>
      <c r="CC13" s="209">
        <f t="shared" si="155"/>
        <v>0.40318927836997565</v>
      </c>
      <c r="CD13" s="209">
        <f t="shared" si="155"/>
        <v>0.41027939212406234</v>
      </c>
      <c r="CE13" s="209">
        <f t="shared" si="155"/>
        <v>0.4173592220234536</v>
      </c>
      <c r="CF13" s="209">
        <f t="shared" si="155"/>
        <v>0.42441672505224465</v>
      </c>
      <c r="CG13" s="209">
        <f t="shared" si="155"/>
        <v>0.43132191879112952</v>
      </c>
      <c r="CH13" s="209">
        <f t="shared" si="155"/>
        <v>0.43817129589498405</v>
      </c>
      <c r="CI13" s="209">
        <f t="shared" si="155"/>
        <v>0.44678303019097138</v>
      </c>
      <c r="CJ13" s="209">
        <f t="shared" si="155"/>
        <v>0.45522024484948598</v>
      </c>
      <c r="CK13" s="209">
        <f t="shared" si="155"/>
        <v>0.46317712293421442</v>
      </c>
      <c r="CL13" s="209">
        <f t="shared" si="155"/>
        <v>0.4714102707282915</v>
      </c>
      <c r="CM13" s="209">
        <f t="shared" si="155"/>
        <v>0.4790784469704451</v>
      </c>
      <c r="CN13" s="209">
        <f t="shared" si="155"/>
        <v>0.48714955783849678</v>
      </c>
      <c r="CO13" s="209">
        <f t="shared" si="155"/>
        <v>0.4950162312364218</v>
      </c>
      <c r="CP13" s="209">
        <f t="shared" si="155"/>
        <v>0.50212405583698827</v>
      </c>
      <c r="CQ13" s="209">
        <f t="shared" si="155"/>
        <v>0.5096482387198108</v>
      </c>
      <c r="CR13" s="209">
        <f t="shared" si="155"/>
        <v>0.51626860652790796</v>
      </c>
      <c r="CS13" s="209">
        <f t="shared" si="155"/>
        <v>0.52331554819566095</v>
      </c>
      <c r="CT13" s="209">
        <f t="shared" si="155"/>
        <v>0.53018119755516735</v>
      </c>
      <c r="CU13" s="209">
        <f t="shared" si="155"/>
        <v>0.53673113665762784</v>
      </c>
      <c r="CV13" s="209">
        <f t="shared" si="155"/>
        <v>0.54306243700372625</v>
      </c>
      <c r="CW13" s="209">
        <f t="shared" si="155"/>
        <v>0.54915768489941597</v>
      </c>
      <c r="CX13" s="209">
        <f t="shared" si="155"/>
        <v>0.55482368979837127</v>
      </c>
      <c r="CY13" s="209">
        <f t="shared" si="155"/>
        <v>0.56021776201297224</v>
      </c>
      <c r="CZ13" s="209">
        <f t="shared" si="155"/>
        <v>0</v>
      </c>
      <c r="DA13" s="209">
        <f t="shared" si="155"/>
        <v>0.5782216437831168</v>
      </c>
      <c r="DB13" s="209">
        <f t="shared" si="155"/>
        <v>0.58449283433363386</v>
      </c>
      <c r="DC13" s="209">
        <f t="shared" si="155"/>
        <v>0.59056044039498845</v>
      </c>
      <c r="DD13" s="209">
        <f t="shared" si="155"/>
        <v>0.59833689321421035</v>
      </c>
      <c r="DE13" s="209">
        <f t="shared" si="155"/>
        <v>0.6060302100832029</v>
      </c>
      <c r="DF13" s="209">
        <f t="shared" si="155"/>
        <v>0.61257013599501442</v>
      </c>
      <c r="DG13" s="209">
        <f t="shared" si="155"/>
        <v>0.62265424285562521</v>
      </c>
      <c r="DH13" s="209">
        <f t="shared" si="155"/>
        <v>0.63017556697720056</v>
      </c>
      <c r="DI13" s="209">
        <f t="shared" si="155"/>
        <v>0.6376411212172397</v>
      </c>
      <c r="DJ13" s="209">
        <f t="shared" si="155"/>
        <v>0.64484675340595521</v>
      </c>
      <c r="DK13" s="209">
        <f t="shared" si="155"/>
        <v>0.65086508764291473</v>
      </c>
      <c r="DL13" s="209">
        <f t="shared" si="155"/>
        <v>0.65785648522054718</v>
      </c>
      <c r="DM13" s="209">
        <f t="shared" si="155"/>
        <v>0.66473476161881739</v>
      </c>
      <c r="DN13" s="209">
        <f t="shared" si="155"/>
        <v>0.67263198631044241</v>
      </c>
      <c r="DO13" s="209">
        <f t="shared" si="155"/>
        <v>0.68328335094093462</v>
      </c>
      <c r="DP13" s="209">
        <f t="shared" si="155"/>
        <v>0.69105405457611568</v>
      </c>
      <c r="DQ13" s="209">
        <f t="shared" si="155"/>
        <v>0.69864796722717371</v>
      </c>
      <c r="DR13" s="209">
        <f t="shared" si="155"/>
        <v>0.70624662677922723</v>
      </c>
      <c r="DS13" s="209">
        <f t="shared" si="155"/>
        <v>0.71371563575769836</v>
      </c>
      <c r="DT13" s="209">
        <f t="shared" si="155"/>
        <v>0.72401139583129148</v>
      </c>
      <c r="DU13" s="209">
        <f t="shared" si="155"/>
        <v>0.73126330025951813</v>
      </c>
      <c r="DV13" s="209">
        <f t="shared" si="155"/>
        <v>0.73811292486903846</v>
      </c>
      <c r="DW13" s="209">
        <f t="shared" si="155"/>
        <v>0.74496343156692535</v>
      </c>
      <c r="DX13" s="209">
        <f t="shared" si="155"/>
        <v>0.75311682738055652</v>
      </c>
      <c r="DY13" s="209">
        <f t="shared" si="155"/>
        <v>0.76147173270987512</v>
      </c>
      <c r="DZ13" s="209">
        <f t="shared" si="155"/>
        <v>0.76980624833114419</v>
      </c>
      <c r="EA13" s="209">
        <f t="shared" ref="EA13:GL13" si="156">EA11*(100%-$AJ$19)*$AJ$20</f>
        <v>0.78123949734001563</v>
      </c>
      <c r="EB13" s="209">
        <f t="shared" si="156"/>
        <v>0.74159752806030621</v>
      </c>
      <c r="EC13" s="209">
        <f t="shared" si="156"/>
        <v>0.74942345285538636</v>
      </c>
      <c r="ED13" s="209">
        <f t="shared" si="156"/>
        <v>0.70914978420799457</v>
      </c>
      <c r="EE13" s="209">
        <f t="shared" si="156"/>
        <v>0.71673285152422916</v>
      </c>
      <c r="EF13" s="209">
        <f t="shared" si="156"/>
        <v>0.72410943016715934</v>
      </c>
      <c r="EG13" s="209">
        <f t="shared" si="156"/>
        <v>0.73137533236160235</v>
      </c>
      <c r="EH13" s="209">
        <f t="shared" si="156"/>
        <v>0.74030868835089214</v>
      </c>
      <c r="EI13" s="209">
        <f t="shared" si="156"/>
        <v>0.70278602101781706</v>
      </c>
      <c r="EJ13" s="209">
        <f t="shared" si="156"/>
        <v>0.71096701908892301</v>
      </c>
      <c r="EK13" s="209">
        <f t="shared" si="156"/>
        <v>0.67027331618683528</v>
      </c>
      <c r="EL13" s="209">
        <f t="shared" si="156"/>
        <v>0.67804440425735713</v>
      </c>
      <c r="EM13" s="209">
        <f t="shared" si="156"/>
        <v>0.68617943270930448</v>
      </c>
      <c r="EN13" s="209">
        <f t="shared" si="156"/>
        <v>0.69596641632851053</v>
      </c>
      <c r="EO13" s="209">
        <f t="shared" si="156"/>
        <v>0.70309903159051801</v>
      </c>
      <c r="EP13" s="209">
        <f t="shared" si="156"/>
        <v>0.66084267000288521</v>
      </c>
      <c r="EQ13" s="209">
        <f t="shared" si="156"/>
        <v>0.66742108550999435</v>
      </c>
      <c r="ER13" s="209">
        <f t="shared" si="156"/>
        <v>0.62549240929921479</v>
      </c>
      <c r="ES13" s="209">
        <f t="shared" si="156"/>
        <v>0.63229651100958861</v>
      </c>
      <c r="ET13" s="209">
        <f t="shared" si="156"/>
        <v>0.63977436752561323</v>
      </c>
      <c r="EU13" s="209">
        <f t="shared" si="156"/>
        <v>0.64602260958118674</v>
      </c>
      <c r="EV13" s="209">
        <f t="shared" si="156"/>
        <v>0.65201370060836294</v>
      </c>
      <c r="EW13" s="209">
        <f t="shared" si="156"/>
        <v>0.60716398579217623</v>
      </c>
      <c r="EX13" s="209">
        <f t="shared" si="156"/>
        <v>0.61249424835896571</v>
      </c>
      <c r="EY13" s="209">
        <f t="shared" si="156"/>
        <v>-1.0567805359378422E-4</v>
      </c>
      <c r="EZ13" s="209">
        <f t="shared" si="156"/>
        <v>0.5782216437831168</v>
      </c>
      <c r="FA13" s="209">
        <f t="shared" si="156"/>
        <v>0.58449283433363386</v>
      </c>
      <c r="FB13" s="209">
        <f t="shared" si="156"/>
        <v>0.59056044039498845</v>
      </c>
      <c r="FC13" s="209">
        <f t="shared" si="156"/>
        <v>0.59833689321421035</v>
      </c>
      <c r="FD13" s="209">
        <f t="shared" si="156"/>
        <v>0.6060302100832029</v>
      </c>
      <c r="FE13" s="209">
        <f t="shared" si="156"/>
        <v>0.61257013599501442</v>
      </c>
      <c r="FF13" s="209">
        <f t="shared" si="156"/>
        <v>0.62265424285562521</v>
      </c>
      <c r="FG13" s="209">
        <f t="shared" si="156"/>
        <v>0.63017556697720056</v>
      </c>
      <c r="FH13" s="209">
        <f t="shared" si="156"/>
        <v>0.6376411212172397</v>
      </c>
      <c r="FI13" s="209">
        <f t="shared" si="156"/>
        <v>0.64484675340595521</v>
      </c>
      <c r="FJ13" s="209">
        <f t="shared" si="156"/>
        <v>0.65086508764291473</v>
      </c>
      <c r="FK13" s="209">
        <f t="shared" si="156"/>
        <v>0.65785648522054718</v>
      </c>
      <c r="FL13" s="209">
        <f t="shared" si="156"/>
        <v>0.66473476161881739</v>
      </c>
      <c r="FM13" s="209">
        <f t="shared" si="156"/>
        <v>0.67263198631044241</v>
      </c>
      <c r="FN13" s="209">
        <f t="shared" si="156"/>
        <v>0.68328335094093462</v>
      </c>
      <c r="FO13" s="209">
        <f t="shared" si="156"/>
        <v>0.69105405457611568</v>
      </c>
      <c r="FP13" s="209">
        <f t="shared" si="156"/>
        <v>0.69864796722717371</v>
      </c>
      <c r="FQ13" s="209">
        <f t="shared" si="156"/>
        <v>0.70624662677922723</v>
      </c>
      <c r="FR13" s="209">
        <f t="shared" si="156"/>
        <v>0.71371563575769836</v>
      </c>
      <c r="FS13" s="209">
        <f t="shared" si="156"/>
        <v>0.72401139583129148</v>
      </c>
      <c r="FT13" s="209">
        <f t="shared" si="156"/>
        <v>0.73126330025951813</v>
      </c>
      <c r="FU13" s="209">
        <f t="shared" si="156"/>
        <v>0.73811292486903846</v>
      </c>
      <c r="FV13" s="209">
        <f t="shared" si="156"/>
        <v>0.74496343156692535</v>
      </c>
      <c r="FW13" s="209">
        <f t="shared" si="156"/>
        <v>0.75311682738055652</v>
      </c>
      <c r="FX13" s="209">
        <f t="shared" si="156"/>
        <v>0.76147173270987512</v>
      </c>
      <c r="FY13" s="209">
        <f t="shared" si="156"/>
        <v>0.76980624833114419</v>
      </c>
      <c r="FZ13" s="209">
        <f t="shared" si="156"/>
        <v>0.78123949734001563</v>
      </c>
      <c r="GA13" s="209">
        <f t="shared" si="156"/>
        <v>0.74159752806030621</v>
      </c>
      <c r="GB13" s="209">
        <f t="shared" si="156"/>
        <v>0.74942345285538636</v>
      </c>
      <c r="GC13" s="209">
        <f t="shared" si="156"/>
        <v>0.70914978420799457</v>
      </c>
      <c r="GD13" s="209">
        <f t="shared" si="156"/>
        <v>0.71673285152422916</v>
      </c>
      <c r="GE13" s="209">
        <f t="shared" si="156"/>
        <v>0.72410943016715934</v>
      </c>
      <c r="GF13" s="209">
        <f t="shared" si="156"/>
        <v>0.73137533236160235</v>
      </c>
      <c r="GG13" s="209">
        <f t="shared" si="156"/>
        <v>0.74030868835089214</v>
      </c>
      <c r="GH13" s="209">
        <f t="shared" si="156"/>
        <v>0.70278602101781706</v>
      </c>
      <c r="GI13" s="209">
        <f t="shared" si="156"/>
        <v>0.71096701908892301</v>
      </c>
      <c r="GJ13" s="209">
        <f t="shared" si="156"/>
        <v>0.67027331618683528</v>
      </c>
      <c r="GK13" s="209">
        <f t="shared" si="156"/>
        <v>0.67804440425735713</v>
      </c>
      <c r="GL13" s="209">
        <f t="shared" si="156"/>
        <v>0.68617943270930448</v>
      </c>
      <c r="GM13" s="209">
        <f t="shared" ref="GM13:IX13" si="157">GM11*(100%-$AJ$19)*$AJ$20</f>
        <v>0.69596641632851053</v>
      </c>
      <c r="GN13" s="209">
        <f t="shared" si="157"/>
        <v>0.70309903159051801</v>
      </c>
      <c r="GO13" s="209">
        <f t="shared" si="157"/>
        <v>0.66084267000288521</v>
      </c>
      <c r="GP13" s="209">
        <f t="shared" si="157"/>
        <v>0.66742108550999435</v>
      </c>
      <c r="GQ13" s="209">
        <f t="shared" si="157"/>
        <v>0.62549240929921479</v>
      </c>
      <c r="GR13" s="209">
        <f t="shared" si="157"/>
        <v>0.63229651100958861</v>
      </c>
      <c r="GS13" s="209">
        <f t="shared" si="157"/>
        <v>0.63977436752561323</v>
      </c>
      <c r="GT13" s="209">
        <f t="shared" si="157"/>
        <v>0.64602260958118674</v>
      </c>
      <c r="GU13" s="209">
        <f t="shared" si="157"/>
        <v>0.65201370060836294</v>
      </c>
      <c r="GV13" s="209">
        <f t="shared" si="157"/>
        <v>0.60716398579217623</v>
      </c>
      <c r="GW13" s="209">
        <f t="shared" si="157"/>
        <v>0.61249424835896571</v>
      </c>
      <c r="GX13" s="209">
        <f t="shared" si="157"/>
        <v>-1.0567805359378422E-4</v>
      </c>
      <c r="GY13" s="209">
        <f t="shared" si="157"/>
        <v>0.5782216437831168</v>
      </c>
      <c r="GZ13" s="209">
        <f t="shared" si="157"/>
        <v>0.58449283433363386</v>
      </c>
      <c r="HA13" s="209">
        <f t="shared" si="157"/>
        <v>0.59056044039498845</v>
      </c>
      <c r="HB13" s="209">
        <f t="shared" si="157"/>
        <v>0.59833689321421035</v>
      </c>
      <c r="HC13" s="209">
        <f t="shared" si="157"/>
        <v>0.6060302100832029</v>
      </c>
      <c r="HD13" s="209">
        <f t="shared" si="157"/>
        <v>0.61257013599501442</v>
      </c>
      <c r="HE13" s="209">
        <f t="shared" si="157"/>
        <v>0.62265424285562521</v>
      </c>
      <c r="HF13" s="209">
        <f t="shared" si="157"/>
        <v>0.63017556697720056</v>
      </c>
      <c r="HG13" s="209">
        <f t="shared" si="157"/>
        <v>0.6376411212172397</v>
      </c>
      <c r="HH13" s="209">
        <f t="shared" si="157"/>
        <v>0.64484675340595521</v>
      </c>
      <c r="HI13" s="209">
        <f t="shared" si="157"/>
        <v>0.65086508764291473</v>
      </c>
      <c r="HJ13" s="209">
        <f t="shared" si="157"/>
        <v>0.65785648522054718</v>
      </c>
      <c r="HK13" s="209">
        <f t="shared" si="157"/>
        <v>0.66473476161881739</v>
      </c>
      <c r="HL13" s="209">
        <f t="shared" si="157"/>
        <v>0.67263198631044241</v>
      </c>
      <c r="HM13" s="209">
        <f t="shared" si="157"/>
        <v>0.68328335094093462</v>
      </c>
      <c r="HN13" s="209">
        <f t="shared" si="157"/>
        <v>0.69105405457611568</v>
      </c>
      <c r="HO13" s="209">
        <f t="shared" si="157"/>
        <v>0.69864796722717371</v>
      </c>
      <c r="HP13" s="209">
        <f t="shared" si="157"/>
        <v>0.70624662677922723</v>
      </c>
      <c r="HQ13" s="209">
        <f t="shared" si="157"/>
        <v>0.71371563575769836</v>
      </c>
      <c r="HR13" s="209">
        <f t="shared" si="157"/>
        <v>0.72401139583129148</v>
      </c>
      <c r="HS13" s="209">
        <f t="shared" si="157"/>
        <v>0.73126330025951813</v>
      </c>
      <c r="HT13" s="209">
        <f t="shared" si="157"/>
        <v>0.73811292486903846</v>
      </c>
      <c r="HU13" s="209">
        <f t="shared" si="157"/>
        <v>0.74496343156692535</v>
      </c>
      <c r="HV13" s="209">
        <f t="shared" si="157"/>
        <v>0.75311682738055652</v>
      </c>
      <c r="HW13" s="209">
        <f t="shared" si="157"/>
        <v>0.76147173270987512</v>
      </c>
      <c r="HX13" s="209">
        <f t="shared" si="157"/>
        <v>0.76980624833114419</v>
      </c>
      <c r="HY13" s="209">
        <f t="shared" si="157"/>
        <v>0.78123949734001563</v>
      </c>
      <c r="HZ13" s="209">
        <f t="shared" si="157"/>
        <v>0.74159752806030621</v>
      </c>
      <c r="IA13" s="209">
        <f t="shared" si="157"/>
        <v>0.74942345285538636</v>
      </c>
      <c r="IB13" s="209">
        <f t="shared" si="157"/>
        <v>0.70914978420799457</v>
      </c>
      <c r="IC13" s="209">
        <f t="shared" si="157"/>
        <v>0.71673285152422916</v>
      </c>
      <c r="ID13" s="209">
        <f t="shared" si="157"/>
        <v>0.72410943016715934</v>
      </c>
      <c r="IE13" s="209">
        <f t="shared" si="157"/>
        <v>0.73137533236160235</v>
      </c>
      <c r="IF13" s="209">
        <f t="shared" si="157"/>
        <v>0.74030868835089214</v>
      </c>
      <c r="IG13" s="209">
        <f t="shared" si="157"/>
        <v>0.70278602101781706</v>
      </c>
      <c r="IH13" s="209">
        <f t="shared" si="157"/>
        <v>0.71096701908892301</v>
      </c>
      <c r="II13" s="209">
        <f t="shared" si="157"/>
        <v>0.67027331618683528</v>
      </c>
      <c r="IJ13" s="209">
        <f t="shared" si="157"/>
        <v>0.67804440425735713</v>
      </c>
      <c r="IK13" s="209">
        <f t="shared" si="157"/>
        <v>0.68617943270930448</v>
      </c>
      <c r="IL13" s="209">
        <f t="shared" si="157"/>
        <v>0.69596641632851053</v>
      </c>
      <c r="IM13" s="209">
        <f t="shared" si="157"/>
        <v>0.70309903159051801</v>
      </c>
      <c r="IN13" s="209">
        <f t="shared" si="157"/>
        <v>0.66084267000288521</v>
      </c>
      <c r="IO13" s="209">
        <f t="shared" si="157"/>
        <v>0.66742108550999435</v>
      </c>
      <c r="IP13" s="209">
        <f t="shared" si="157"/>
        <v>0.62549240929921479</v>
      </c>
      <c r="IQ13" s="209">
        <f t="shared" si="157"/>
        <v>0.63229651100958861</v>
      </c>
      <c r="IR13" s="209">
        <f t="shared" si="157"/>
        <v>0.63977436752561323</v>
      </c>
      <c r="IS13" s="209">
        <f t="shared" si="157"/>
        <v>0.64602260958118674</v>
      </c>
      <c r="IT13" s="209">
        <f t="shared" si="157"/>
        <v>0.65201370060836294</v>
      </c>
      <c r="IU13" s="209">
        <f t="shared" si="157"/>
        <v>0.60716398579217623</v>
      </c>
      <c r="IV13" s="209">
        <f t="shared" si="157"/>
        <v>0.61249424835896571</v>
      </c>
      <c r="IW13" s="209">
        <f t="shared" si="157"/>
        <v>-1.0567805359378422E-4</v>
      </c>
      <c r="IX13" s="209">
        <f t="shared" si="157"/>
        <v>0.5782216437831168</v>
      </c>
      <c r="IY13" s="209">
        <f t="shared" ref="IY13:LJ13" si="158">IY11*(100%-$AJ$19)*$AJ$20</f>
        <v>0.58449283433363386</v>
      </c>
      <c r="IZ13" s="209">
        <f t="shared" si="158"/>
        <v>0.59056044039498845</v>
      </c>
      <c r="JA13" s="209">
        <f t="shared" si="158"/>
        <v>0.59833689321421035</v>
      </c>
      <c r="JB13" s="209">
        <f t="shared" si="158"/>
        <v>0.6060302100832029</v>
      </c>
      <c r="JC13" s="209">
        <f t="shared" si="158"/>
        <v>0.61257013599501442</v>
      </c>
      <c r="JD13" s="209">
        <f t="shared" si="158"/>
        <v>0.62265424285562521</v>
      </c>
      <c r="JE13" s="209">
        <f t="shared" si="158"/>
        <v>0.63017556697720056</v>
      </c>
      <c r="JF13" s="209">
        <f t="shared" si="158"/>
        <v>0.6376411212172397</v>
      </c>
      <c r="JG13" s="209">
        <f t="shared" si="158"/>
        <v>0.64484675340595521</v>
      </c>
      <c r="JH13" s="209">
        <f t="shared" si="158"/>
        <v>0.65086508764291473</v>
      </c>
      <c r="JI13" s="209">
        <f t="shared" si="158"/>
        <v>0.65785648522054718</v>
      </c>
      <c r="JJ13" s="209">
        <f t="shared" si="158"/>
        <v>0.66473476161881739</v>
      </c>
      <c r="JK13" s="209">
        <f t="shared" si="158"/>
        <v>0.67263198631044241</v>
      </c>
      <c r="JL13" s="209">
        <f t="shared" si="158"/>
        <v>0.68328335094093462</v>
      </c>
      <c r="JM13" s="209">
        <f t="shared" si="158"/>
        <v>0.69105405457611568</v>
      </c>
      <c r="JN13" s="209">
        <f t="shared" si="158"/>
        <v>0.69864796722717371</v>
      </c>
      <c r="JO13" s="209">
        <f t="shared" si="158"/>
        <v>0.70624662677922723</v>
      </c>
      <c r="JP13" s="209">
        <f t="shared" si="158"/>
        <v>0.71371563575769836</v>
      </c>
      <c r="JQ13" s="209">
        <f t="shared" si="158"/>
        <v>0.72401139583129148</v>
      </c>
      <c r="JR13" s="209">
        <f t="shared" si="158"/>
        <v>0.73126330025951813</v>
      </c>
      <c r="JS13" s="209">
        <f t="shared" si="158"/>
        <v>0.73811292486903846</v>
      </c>
      <c r="JT13" s="209">
        <f t="shared" si="158"/>
        <v>0.74496343156692535</v>
      </c>
      <c r="JU13" s="209">
        <f t="shared" si="158"/>
        <v>0.75311682738055652</v>
      </c>
      <c r="JV13" s="209">
        <f t="shared" si="158"/>
        <v>0.76147173270987512</v>
      </c>
      <c r="JW13" s="209">
        <f t="shared" si="158"/>
        <v>0.76980624833114419</v>
      </c>
      <c r="JX13" s="209">
        <f t="shared" si="158"/>
        <v>0.78123949734001563</v>
      </c>
      <c r="JY13" s="209">
        <f t="shared" si="158"/>
        <v>0.74159752806030621</v>
      </c>
      <c r="JZ13" s="209">
        <f t="shared" si="158"/>
        <v>0.74942345285538636</v>
      </c>
      <c r="KA13" s="209">
        <f t="shared" si="158"/>
        <v>0.70914978420799457</v>
      </c>
      <c r="KB13" s="209">
        <f t="shared" si="158"/>
        <v>0.71673285152422916</v>
      </c>
      <c r="KC13" s="209">
        <f t="shared" si="158"/>
        <v>0.72410943016715934</v>
      </c>
      <c r="KD13" s="209">
        <f t="shared" si="158"/>
        <v>0.73137533236160235</v>
      </c>
      <c r="KE13" s="209">
        <f t="shared" si="158"/>
        <v>0.74030868835089214</v>
      </c>
      <c r="KF13" s="209">
        <f t="shared" si="158"/>
        <v>0.70278602101781706</v>
      </c>
      <c r="KG13" s="209">
        <f t="shared" si="158"/>
        <v>0.71096701908892301</v>
      </c>
      <c r="KH13" s="209">
        <f t="shared" si="158"/>
        <v>0.67027331618683528</v>
      </c>
      <c r="KI13" s="209">
        <f t="shared" si="158"/>
        <v>0.67804440425735713</v>
      </c>
      <c r="KJ13" s="209">
        <f t="shared" si="158"/>
        <v>0.68617943270930448</v>
      </c>
      <c r="KK13" s="209">
        <f t="shared" si="158"/>
        <v>0.69596641632851053</v>
      </c>
      <c r="KL13" s="209">
        <f t="shared" si="158"/>
        <v>0.70309903159051801</v>
      </c>
      <c r="KM13" s="209">
        <f t="shared" si="158"/>
        <v>0.66084267000288521</v>
      </c>
      <c r="KN13" s="209">
        <f t="shared" si="158"/>
        <v>0.66742108550999435</v>
      </c>
      <c r="KO13" s="209">
        <f t="shared" si="158"/>
        <v>0.62549240929921479</v>
      </c>
      <c r="KP13" s="209">
        <f t="shared" si="158"/>
        <v>0.63229651100958861</v>
      </c>
      <c r="KQ13" s="209">
        <f t="shared" si="158"/>
        <v>0.63977436752561323</v>
      </c>
      <c r="KR13" s="209">
        <f t="shared" si="158"/>
        <v>0.64602260958118674</v>
      </c>
      <c r="KS13" s="209">
        <f t="shared" si="158"/>
        <v>0.65201370060836294</v>
      </c>
      <c r="KT13" s="209">
        <f t="shared" si="158"/>
        <v>0.60716398579217623</v>
      </c>
      <c r="KU13" s="209">
        <f t="shared" si="158"/>
        <v>0.61249424835896571</v>
      </c>
      <c r="KV13" s="209">
        <f t="shared" si="158"/>
        <v>-1.0567805359378422E-4</v>
      </c>
      <c r="KW13" s="209">
        <f t="shared" si="158"/>
        <v>0.5782216437831168</v>
      </c>
      <c r="KX13" s="209">
        <f t="shared" si="158"/>
        <v>0.58449283433363386</v>
      </c>
      <c r="KY13" s="209">
        <f t="shared" si="158"/>
        <v>0.59056044039498845</v>
      </c>
      <c r="KZ13" s="209">
        <f t="shared" si="158"/>
        <v>0.59833689321421035</v>
      </c>
      <c r="LA13" s="209">
        <f t="shared" si="158"/>
        <v>0.6060302100832029</v>
      </c>
      <c r="LB13" s="209">
        <f t="shared" si="158"/>
        <v>0.61257013599501442</v>
      </c>
      <c r="LC13" s="209">
        <f t="shared" si="158"/>
        <v>0.62265424285562521</v>
      </c>
      <c r="LD13" s="209">
        <f t="shared" si="158"/>
        <v>0.63017556697720056</v>
      </c>
      <c r="LE13" s="209">
        <f t="shared" si="158"/>
        <v>0.6376411212172397</v>
      </c>
      <c r="LF13" s="209">
        <f t="shared" si="158"/>
        <v>0.64484675340595521</v>
      </c>
      <c r="LG13" s="209">
        <f t="shared" si="158"/>
        <v>0.65086508764291473</v>
      </c>
      <c r="LH13" s="209">
        <f t="shared" si="158"/>
        <v>0.65785648522054718</v>
      </c>
      <c r="LI13" s="209">
        <f t="shared" si="158"/>
        <v>0.66473476161881739</v>
      </c>
      <c r="LJ13" s="209">
        <f t="shared" si="158"/>
        <v>0.67263198631044241</v>
      </c>
      <c r="LK13" s="209">
        <f t="shared" ref="LK13:NV13" si="159">LK11*(100%-$AJ$19)*$AJ$20</f>
        <v>0.68328335094093462</v>
      </c>
      <c r="LL13" s="209">
        <f t="shared" si="159"/>
        <v>0.69105405457611568</v>
      </c>
      <c r="LM13" s="209">
        <f t="shared" si="159"/>
        <v>0.69864796722717371</v>
      </c>
      <c r="LN13" s="209">
        <f t="shared" si="159"/>
        <v>0.70624662677922723</v>
      </c>
      <c r="LO13" s="209">
        <f t="shared" si="159"/>
        <v>0.71371563575769836</v>
      </c>
      <c r="LP13" s="209">
        <f t="shared" si="159"/>
        <v>0.72401139583129148</v>
      </c>
      <c r="LQ13" s="209">
        <f t="shared" si="159"/>
        <v>0.73126330025951813</v>
      </c>
      <c r="LR13" s="209">
        <f t="shared" si="159"/>
        <v>0.73811292486903846</v>
      </c>
      <c r="LS13" s="209">
        <f t="shared" si="159"/>
        <v>0.74496343156692535</v>
      </c>
      <c r="LT13" s="209">
        <f t="shared" si="159"/>
        <v>0.75311682738055652</v>
      </c>
      <c r="LU13" s="209">
        <f t="shared" si="159"/>
        <v>0.76147173270987512</v>
      </c>
      <c r="LV13" s="209">
        <f t="shared" si="159"/>
        <v>0.76980624833114419</v>
      </c>
      <c r="LW13" s="209">
        <f t="shared" si="159"/>
        <v>0.78123949734001563</v>
      </c>
      <c r="LX13" s="209">
        <f t="shared" si="159"/>
        <v>0.74159752806030621</v>
      </c>
      <c r="LY13" s="209">
        <f t="shared" si="159"/>
        <v>0.74942345285538636</v>
      </c>
      <c r="LZ13" s="209">
        <f t="shared" si="159"/>
        <v>0.70914978420799457</v>
      </c>
      <c r="MA13" s="209">
        <f t="shared" si="159"/>
        <v>0.71673285152422916</v>
      </c>
      <c r="MB13" s="209">
        <f t="shared" si="159"/>
        <v>0.72410943016715934</v>
      </c>
      <c r="MC13" s="209">
        <f t="shared" si="159"/>
        <v>0.73137533236160235</v>
      </c>
      <c r="MD13" s="209">
        <f t="shared" si="159"/>
        <v>0.74030868835089214</v>
      </c>
      <c r="ME13" s="209">
        <f t="shared" si="159"/>
        <v>0.70278602101781706</v>
      </c>
      <c r="MF13" s="209">
        <f t="shared" si="159"/>
        <v>0.71096701908892301</v>
      </c>
      <c r="MG13" s="209">
        <f t="shared" si="159"/>
        <v>0.67027331618683528</v>
      </c>
      <c r="MH13" s="209">
        <f t="shared" si="159"/>
        <v>0.67804440425735713</v>
      </c>
      <c r="MI13" s="209">
        <f t="shared" si="159"/>
        <v>0.68617943270930448</v>
      </c>
      <c r="MJ13" s="209">
        <f t="shared" si="159"/>
        <v>0.69596641632851053</v>
      </c>
      <c r="MK13" s="209">
        <f t="shared" si="159"/>
        <v>0.70309903159051801</v>
      </c>
      <c r="ML13" s="209">
        <f t="shared" si="159"/>
        <v>0.66084267000288521</v>
      </c>
      <c r="MM13" s="209">
        <f t="shared" si="159"/>
        <v>0.66742108550999435</v>
      </c>
      <c r="MN13" s="209">
        <f t="shared" si="159"/>
        <v>0.62549240929921479</v>
      </c>
      <c r="MO13" s="209">
        <f t="shared" si="159"/>
        <v>0.63229651100958861</v>
      </c>
      <c r="MP13" s="209">
        <f t="shared" si="159"/>
        <v>0.63977436752561323</v>
      </c>
      <c r="MQ13" s="209">
        <f t="shared" si="159"/>
        <v>0.64602260958118674</v>
      </c>
      <c r="MR13" s="209">
        <f t="shared" si="159"/>
        <v>0.65201370060836294</v>
      </c>
      <c r="MS13" s="209">
        <f t="shared" si="159"/>
        <v>0.60716398579217623</v>
      </c>
      <c r="MT13" s="209">
        <f t="shared" si="159"/>
        <v>0.61249424835896571</v>
      </c>
      <c r="MU13" s="209">
        <f t="shared" si="159"/>
        <v>-1.0567805359378422E-4</v>
      </c>
      <c r="MV13" s="209">
        <f t="shared" si="159"/>
        <v>0.5782216437831168</v>
      </c>
      <c r="MW13" s="209">
        <f t="shared" si="159"/>
        <v>0.58449283433363386</v>
      </c>
      <c r="MX13" s="209">
        <f t="shared" si="159"/>
        <v>0.59056044039498845</v>
      </c>
      <c r="MY13" s="209">
        <f t="shared" si="159"/>
        <v>0.59833689321421035</v>
      </c>
      <c r="MZ13" s="209">
        <f t="shared" si="159"/>
        <v>0.6060302100832029</v>
      </c>
      <c r="NA13" s="209">
        <f t="shared" si="159"/>
        <v>0.61257013599501442</v>
      </c>
      <c r="NB13" s="209">
        <f t="shared" si="159"/>
        <v>0.62265424285562521</v>
      </c>
      <c r="NC13" s="209">
        <f t="shared" si="159"/>
        <v>0.63017556697720056</v>
      </c>
      <c r="ND13" s="209">
        <f t="shared" si="159"/>
        <v>0.6376411212172397</v>
      </c>
      <c r="NE13" s="209">
        <f t="shared" si="159"/>
        <v>0.64484675340595521</v>
      </c>
      <c r="NF13" s="209">
        <f t="shared" si="159"/>
        <v>0.65086508764291473</v>
      </c>
      <c r="NG13" s="209">
        <f t="shared" si="159"/>
        <v>0.65785648522054718</v>
      </c>
      <c r="NH13" s="209">
        <f t="shared" si="159"/>
        <v>0.66473476161881739</v>
      </c>
      <c r="NI13" s="209">
        <f t="shared" si="159"/>
        <v>0.67263198631044241</v>
      </c>
      <c r="NJ13" s="209">
        <f t="shared" si="159"/>
        <v>0.68328335094093462</v>
      </c>
      <c r="NK13" s="209">
        <f t="shared" si="159"/>
        <v>0.69105405457611568</v>
      </c>
      <c r="NL13" s="209">
        <f t="shared" si="159"/>
        <v>0.69864796722717371</v>
      </c>
      <c r="NM13" s="209">
        <f t="shared" si="159"/>
        <v>0.70624662677922723</v>
      </c>
      <c r="NN13" s="209">
        <f t="shared" si="159"/>
        <v>0.71371563575769836</v>
      </c>
      <c r="NO13" s="209">
        <f t="shared" si="159"/>
        <v>0.72401139583129148</v>
      </c>
      <c r="NP13" s="209">
        <f t="shared" si="159"/>
        <v>0.73126330025951813</v>
      </c>
      <c r="NQ13" s="209">
        <f t="shared" si="159"/>
        <v>0.73811292486903846</v>
      </c>
      <c r="NR13" s="209">
        <f t="shared" si="159"/>
        <v>0.74496343156692535</v>
      </c>
      <c r="NS13" s="209">
        <f t="shared" si="159"/>
        <v>0.75311682738055652</v>
      </c>
      <c r="NT13" s="209">
        <f t="shared" si="159"/>
        <v>0.76147173270987512</v>
      </c>
      <c r="NU13" s="209">
        <f t="shared" si="159"/>
        <v>0.76980624833114419</v>
      </c>
      <c r="NV13" s="209">
        <f t="shared" si="159"/>
        <v>0.78123949734001563</v>
      </c>
      <c r="NW13" s="209">
        <f t="shared" ref="NW13:QH13" si="160">NW11*(100%-$AJ$19)*$AJ$20</f>
        <v>0.74159752806030621</v>
      </c>
      <c r="NX13" s="209">
        <f t="shared" si="160"/>
        <v>0.74942345285538636</v>
      </c>
      <c r="NY13" s="209">
        <f t="shared" si="160"/>
        <v>0.70914978420799457</v>
      </c>
      <c r="NZ13" s="209">
        <f t="shared" si="160"/>
        <v>0.71673285152422916</v>
      </c>
      <c r="OA13" s="209">
        <f t="shared" si="160"/>
        <v>0.72410943016715934</v>
      </c>
      <c r="OB13" s="209">
        <f t="shared" si="160"/>
        <v>0.73137533236160235</v>
      </c>
      <c r="OC13" s="209">
        <f t="shared" si="160"/>
        <v>0.74030868835089214</v>
      </c>
      <c r="OD13" s="209">
        <f t="shared" si="160"/>
        <v>0.70278602101781706</v>
      </c>
      <c r="OE13" s="209">
        <f t="shared" si="160"/>
        <v>0.71096701908892301</v>
      </c>
      <c r="OF13" s="209">
        <f t="shared" si="160"/>
        <v>0.67027331618683528</v>
      </c>
      <c r="OG13" s="209">
        <f t="shared" si="160"/>
        <v>0.67804440425735713</v>
      </c>
      <c r="OH13" s="209">
        <f t="shared" si="160"/>
        <v>0.68617943270930448</v>
      </c>
      <c r="OI13" s="209">
        <f t="shared" si="160"/>
        <v>0.69596641632851053</v>
      </c>
      <c r="OJ13" s="209">
        <f t="shared" si="160"/>
        <v>0.70309903159051801</v>
      </c>
      <c r="OK13" s="209">
        <f t="shared" si="160"/>
        <v>0.66084267000288521</v>
      </c>
      <c r="OL13" s="209">
        <f t="shared" si="160"/>
        <v>0.66742108550999435</v>
      </c>
      <c r="OM13" s="209">
        <f t="shared" si="160"/>
        <v>0.62549240929921479</v>
      </c>
      <c r="ON13" s="209">
        <f t="shared" si="160"/>
        <v>0.63229651100958861</v>
      </c>
      <c r="OO13" s="209">
        <f t="shared" si="160"/>
        <v>0.63977436752561323</v>
      </c>
      <c r="OP13" s="209">
        <f t="shared" si="160"/>
        <v>0.64602260958118674</v>
      </c>
      <c r="OQ13" s="209">
        <f t="shared" si="160"/>
        <v>0.65201370060836294</v>
      </c>
      <c r="OR13" s="209">
        <f t="shared" si="160"/>
        <v>0.60716398579217623</v>
      </c>
      <c r="OS13" s="209">
        <f t="shared" si="160"/>
        <v>0.61249424835896571</v>
      </c>
      <c r="OT13" s="209">
        <f t="shared" si="160"/>
        <v>-1.0567805359378422E-4</v>
      </c>
      <c r="OU13" s="209">
        <f t="shared" si="160"/>
        <v>0.5782216437831168</v>
      </c>
      <c r="OV13" s="209">
        <f t="shared" si="160"/>
        <v>0.58449283433363386</v>
      </c>
      <c r="OW13" s="209">
        <f t="shared" si="160"/>
        <v>0.59056044039498845</v>
      </c>
      <c r="OX13" s="209">
        <f t="shared" si="160"/>
        <v>0.59833689321421035</v>
      </c>
      <c r="OY13" s="209">
        <f t="shared" si="160"/>
        <v>0.6060302100832029</v>
      </c>
      <c r="OZ13" s="209">
        <f t="shared" si="160"/>
        <v>0.61257013599501442</v>
      </c>
      <c r="PA13" s="209">
        <f t="shared" si="160"/>
        <v>0.62265424285562521</v>
      </c>
      <c r="PB13" s="209">
        <f t="shared" si="160"/>
        <v>0.63017556697720056</v>
      </c>
      <c r="PC13" s="209">
        <f t="shared" si="160"/>
        <v>0.6376411212172397</v>
      </c>
      <c r="PD13" s="209">
        <f t="shared" si="160"/>
        <v>0.64484675340595521</v>
      </c>
      <c r="PE13" s="209">
        <f t="shared" si="160"/>
        <v>0.65086508764291473</v>
      </c>
      <c r="PF13" s="209">
        <f t="shared" si="160"/>
        <v>0.65785648522054718</v>
      </c>
      <c r="PG13" s="209">
        <f t="shared" si="160"/>
        <v>0.66473476161881739</v>
      </c>
      <c r="PH13" s="209">
        <f t="shared" si="160"/>
        <v>0.67263198631044241</v>
      </c>
      <c r="PI13" s="209">
        <f t="shared" si="160"/>
        <v>0.68328335094093462</v>
      </c>
      <c r="PJ13" s="209">
        <f t="shared" si="160"/>
        <v>0.69105405457611568</v>
      </c>
      <c r="PK13" s="209">
        <f t="shared" si="160"/>
        <v>0.69864796722717371</v>
      </c>
      <c r="PL13" s="209">
        <f t="shared" si="160"/>
        <v>0.70624662677922723</v>
      </c>
      <c r="PM13" s="209">
        <f t="shared" si="160"/>
        <v>0.71371563575769836</v>
      </c>
      <c r="PN13" s="209">
        <f t="shared" si="160"/>
        <v>0.72401139583129148</v>
      </c>
      <c r="PO13" s="209">
        <f t="shared" si="160"/>
        <v>0.73126330025951813</v>
      </c>
      <c r="PP13" s="209">
        <f t="shared" si="160"/>
        <v>0.73811292486903846</v>
      </c>
      <c r="PQ13" s="209">
        <f t="shared" si="160"/>
        <v>0.74496343156692535</v>
      </c>
      <c r="PR13" s="209">
        <f t="shared" si="160"/>
        <v>0.75311682738055652</v>
      </c>
      <c r="PS13" s="209">
        <f t="shared" si="160"/>
        <v>0.76147173270987512</v>
      </c>
      <c r="PT13" s="209">
        <f t="shared" si="160"/>
        <v>0.76980624833114419</v>
      </c>
      <c r="PU13" s="209">
        <f t="shared" si="160"/>
        <v>0.78123949734001563</v>
      </c>
      <c r="PV13" s="209">
        <f t="shared" si="160"/>
        <v>0.74159752806030621</v>
      </c>
      <c r="PW13" s="209">
        <f t="shared" si="160"/>
        <v>0.74942345285538636</v>
      </c>
      <c r="PX13" s="209">
        <f t="shared" si="160"/>
        <v>0.70914978420799457</v>
      </c>
      <c r="PY13" s="209">
        <f t="shared" si="160"/>
        <v>0.71673285152422916</v>
      </c>
      <c r="PZ13" s="209">
        <f t="shared" si="160"/>
        <v>0.72410943016715934</v>
      </c>
      <c r="QA13" s="209">
        <f t="shared" si="160"/>
        <v>0.73137533236160235</v>
      </c>
      <c r="QB13" s="209">
        <f t="shared" si="160"/>
        <v>0.74030868835089214</v>
      </c>
      <c r="QC13" s="209">
        <f t="shared" si="160"/>
        <v>0.70278602101781706</v>
      </c>
      <c r="QD13" s="209">
        <f t="shared" si="160"/>
        <v>0.71096701908892301</v>
      </c>
      <c r="QE13" s="209">
        <f t="shared" si="160"/>
        <v>0.67027331618683528</v>
      </c>
      <c r="QF13" s="209">
        <f t="shared" si="160"/>
        <v>0.67804440425735713</v>
      </c>
      <c r="QG13" s="209">
        <f t="shared" si="160"/>
        <v>0.68617943270930448</v>
      </c>
      <c r="QH13" s="209">
        <f t="shared" si="160"/>
        <v>0.69596641632851053</v>
      </c>
      <c r="QI13" s="209">
        <f t="shared" ref="QI13:ST13" si="161">QI11*(100%-$AJ$19)*$AJ$20</f>
        <v>0.70309903159051801</v>
      </c>
      <c r="QJ13" s="209">
        <f t="shared" si="161"/>
        <v>0.66084267000288521</v>
      </c>
      <c r="QK13" s="209">
        <f t="shared" si="161"/>
        <v>0.66742108550999435</v>
      </c>
      <c r="QL13" s="209">
        <f t="shared" si="161"/>
        <v>0.62549240929921479</v>
      </c>
      <c r="QM13" s="209">
        <f t="shared" si="161"/>
        <v>0.63229651100958861</v>
      </c>
      <c r="QN13" s="209">
        <f t="shared" si="161"/>
        <v>0.63977436752561323</v>
      </c>
      <c r="QO13" s="209">
        <f t="shared" si="161"/>
        <v>0.64602260958118674</v>
      </c>
      <c r="QP13" s="209">
        <f t="shared" si="161"/>
        <v>0.65201370060836294</v>
      </c>
      <c r="QQ13" s="209">
        <f t="shared" si="161"/>
        <v>0.60716398579217623</v>
      </c>
      <c r="QR13" s="209">
        <f t="shared" si="161"/>
        <v>0.61249424835896571</v>
      </c>
      <c r="QS13" s="209">
        <f t="shared" si="161"/>
        <v>-1.0567805359378422E-4</v>
      </c>
      <c r="QT13" s="209">
        <f t="shared" si="161"/>
        <v>0.5782216437831168</v>
      </c>
      <c r="QU13" s="209">
        <f t="shared" si="161"/>
        <v>0.58449283433363386</v>
      </c>
      <c r="QV13" s="209">
        <f t="shared" si="161"/>
        <v>0.59056044039498845</v>
      </c>
      <c r="QW13" s="209">
        <f t="shared" si="161"/>
        <v>0.59833689321421035</v>
      </c>
      <c r="QX13" s="209">
        <f t="shared" si="161"/>
        <v>0.6060302100832029</v>
      </c>
      <c r="QY13" s="209">
        <f t="shared" si="161"/>
        <v>0.61257013599501442</v>
      </c>
      <c r="QZ13" s="209">
        <f t="shared" si="161"/>
        <v>0.62265424285562521</v>
      </c>
      <c r="RA13" s="209">
        <f t="shared" si="161"/>
        <v>0.63017556697720056</v>
      </c>
      <c r="RB13" s="209">
        <f t="shared" si="161"/>
        <v>0.6376411212172397</v>
      </c>
      <c r="RC13" s="209">
        <f t="shared" si="161"/>
        <v>0.64484675340595521</v>
      </c>
      <c r="RD13" s="209">
        <f t="shared" si="161"/>
        <v>0.65086508764291473</v>
      </c>
      <c r="RE13" s="209">
        <f t="shared" si="161"/>
        <v>0.65785648522054718</v>
      </c>
      <c r="RF13" s="209">
        <f t="shared" si="161"/>
        <v>0.66473476161881739</v>
      </c>
      <c r="RG13" s="209">
        <f t="shared" si="161"/>
        <v>0.67263198631044241</v>
      </c>
      <c r="RH13" s="209">
        <f t="shared" si="161"/>
        <v>0.68328335094093462</v>
      </c>
      <c r="RI13" s="209">
        <f t="shared" si="161"/>
        <v>0.69105405457611568</v>
      </c>
      <c r="RJ13" s="209">
        <f t="shared" si="161"/>
        <v>0.69864796722717371</v>
      </c>
      <c r="RK13" s="209">
        <f t="shared" si="161"/>
        <v>0.70624662677922723</v>
      </c>
      <c r="RL13" s="209">
        <f t="shared" si="161"/>
        <v>0.71371563575769836</v>
      </c>
      <c r="RM13" s="209">
        <f t="shared" si="161"/>
        <v>0.72401139583129148</v>
      </c>
      <c r="RN13" s="209">
        <f t="shared" si="161"/>
        <v>0.73126330025951813</v>
      </c>
      <c r="RO13" s="209">
        <f t="shared" si="161"/>
        <v>0.73811292486903846</v>
      </c>
      <c r="RP13" s="209">
        <f t="shared" si="161"/>
        <v>0.74496343156692535</v>
      </c>
      <c r="RQ13" s="209">
        <f t="shared" si="161"/>
        <v>0.75311682738055652</v>
      </c>
      <c r="RR13" s="209">
        <f t="shared" si="161"/>
        <v>0.76147173270987512</v>
      </c>
      <c r="RS13" s="209">
        <f t="shared" si="161"/>
        <v>0.76980624833114419</v>
      </c>
      <c r="RT13" s="209">
        <f t="shared" si="161"/>
        <v>0.78123949734001563</v>
      </c>
      <c r="RU13" s="209">
        <f t="shared" si="161"/>
        <v>0.74159752806030621</v>
      </c>
      <c r="RV13" s="209">
        <f t="shared" si="161"/>
        <v>0.74942345285538636</v>
      </c>
      <c r="RW13" s="209">
        <f t="shared" si="161"/>
        <v>0.70914978420799457</v>
      </c>
      <c r="RX13" s="209">
        <f t="shared" si="161"/>
        <v>0.71673285152422916</v>
      </c>
      <c r="RY13" s="209">
        <f t="shared" si="161"/>
        <v>0.72410943016715934</v>
      </c>
      <c r="RZ13" s="209">
        <f t="shared" si="161"/>
        <v>0.73137533236160235</v>
      </c>
      <c r="SA13" s="209">
        <f t="shared" si="161"/>
        <v>0.74030868835089214</v>
      </c>
      <c r="SB13" s="209">
        <f t="shared" si="161"/>
        <v>0.70278602101781706</v>
      </c>
      <c r="SC13" s="209">
        <f t="shared" si="161"/>
        <v>0.71096701908892301</v>
      </c>
      <c r="SD13" s="209">
        <f t="shared" si="161"/>
        <v>0.67027331618683528</v>
      </c>
      <c r="SE13" s="209">
        <f t="shared" si="161"/>
        <v>0.67804440425735713</v>
      </c>
      <c r="SF13" s="209">
        <f t="shared" si="161"/>
        <v>0.68617943270930448</v>
      </c>
      <c r="SG13" s="209">
        <f t="shared" si="161"/>
        <v>0.69596641632851053</v>
      </c>
      <c r="SH13" s="209">
        <f t="shared" si="161"/>
        <v>0.70309903159051801</v>
      </c>
      <c r="SI13" s="209">
        <f t="shared" si="161"/>
        <v>0.66084267000288521</v>
      </c>
      <c r="SJ13" s="209">
        <f t="shared" si="161"/>
        <v>0.66742108550999435</v>
      </c>
      <c r="SK13" s="209">
        <f t="shared" si="161"/>
        <v>0.62549240929921479</v>
      </c>
      <c r="SL13" s="209">
        <f t="shared" si="161"/>
        <v>0.63229651100958861</v>
      </c>
      <c r="SM13" s="209">
        <f t="shared" si="161"/>
        <v>0.63977436752561323</v>
      </c>
      <c r="SN13" s="209">
        <f t="shared" si="161"/>
        <v>0.64602260958118674</v>
      </c>
      <c r="SO13" s="209">
        <f t="shared" si="161"/>
        <v>0.65201370060836294</v>
      </c>
      <c r="SP13" s="209">
        <f t="shared" si="161"/>
        <v>0.60716398579217623</v>
      </c>
      <c r="SQ13" s="209">
        <f t="shared" si="161"/>
        <v>0.61249424835896571</v>
      </c>
      <c r="SR13" s="209">
        <f t="shared" si="161"/>
        <v>-1.0567805359378422E-4</v>
      </c>
      <c r="SS13" s="209">
        <f t="shared" si="161"/>
        <v>0.5782216437831168</v>
      </c>
      <c r="ST13" s="209">
        <f t="shared" si="161"/>
        <v>0.58449283433363386</v>
      </c>
      <c r="SU13" s="209">
        <f t="shared" ref="SU13:VF13" si="162">SU11*(100%-$AJ$19)*$AJ$20</f>
        <v>0.59056044039498845</v>
      </c>
      <c r="SV13" s="209">
        <f t="shared" si="162"/>
        <v>0.59833689321421035</v>
      </c>
      <c r="SW13" s="209">
        <f t="shared" si="162"/>
        <v>0.6060302100832029</v>
      </c>
      <c r="SX13" s="209">
        <f t="shared" si="162"/>
        <v>0.61257013599501442</v>
      </c>
      <c r="SY13" s="209">
        <f t="shared" si="162"/>
        <v>0.62265424285562521</v>
      </c>
      <c r="SZ13" s="209">
        <f t="shared" si="162"/>
        <v>0.63017556697720056</v>
      </c>
      <c r="TA13" s="209">
        <f t="shared" si="162"/>
        <v>0.6376411212172397</v>
      </c>
      <c r="TB13" s="209">
        <f t="shared" si="162"/>
        <v>0.64484675340595521</v>
      </c>
      <c r="TC13" s="209">
        <f t="shared" si="162"/>
        <v>0.65086508764291473</v>
      </c>
      <c r="TD13" s="209">
        <f t="shared" si="162"/>
        <v>0.65785648522054718</v>
      </c>
      <c r="TE13" s="209">
        <f t="shared" si="162"/>
        <v>0.66473476161881739</v>
      </c>
      <c r="TF13" s="209">
        <f t="shared" si="162"/>
        <v>0.67263198631044241</v>
      </c>
      <c r="TG13" s="209">
        <f t="shared" si="162"/>
        <v>0.68328335094093462</v>
      </c>
      <c r="TH13" s="209">
        <f t="shared" si="162"/>
        <v>0.69105405457611568</v>
      </c>
      <c r="TI13" s="209">
        <f t="shared" si="162"/>
        <v>0.69864796722717371</v>
      </c>
      <c r="TJ13" s="209">
        <f t="shared" si="162"/>
        <v>0.70624662677922723</v>
      </c>
      <c r="TK13" s="209">
        <f t="shared" si="162"/>
        <v>0.71371563575769836</v>
      </c>
      <c r="TL13" s="209">
        <f t="shared" si="162"/>
        <v>0.72401139583129148</v>
      </c>
      <c r="TM13" s="209">
        <f t="shared" si="162"/>
        <v>0.73126330025951813</v>
      </c>
      <c r="TN13" s="209">
        <f t="shared" si="162"/>
        <v>0.73811292486903846</v>
      </c>
      <c r="TO13" s="209">
        <f t="shared" si="162"/>
        <v>0.74496343156692535</v>
      </c>
      <c r="TP13" s="209">
        <f t="shared" si="162"/>
        <v>0.75311682738055652</v>
      </c>
      <c r="TQ13" s="209">
        <f t="shared" si="162"/>
        <v>0.76147173270987512</v>
      </c>
      <c r="TR13" s="209">
        <f t="shared" si="162"/>
        <v>0.76980624833114419</v>
      </c>
      <c r="TS13" s="209">
        <f t="shared" si="162"/>
        <v>0.78123949734001563</v>
      </c>
      <c r="TT13" s="209">
        <f t="shared" si="162"/>
        <v>0.74159752806030621</v>
      </c>
      <c r="TU13" s="209">
        <f t="shared" si="162"/>
        <v>0.74942345285538636</v>
      </c>
      <c r="TV13" s="209">
        <f t="shared" si="162"/>
        <v>0.70914978420799457</v>
      </c>
      <c r="TW13" s="209">
        <f t="shared" si="162"/>
        <v>0.71673285152422916</v>
      </c>
      <c r="TX13" s="209">
        <f t="shared" si="162"/>
        <v>0.72410943016715934</v>
      </c>
      <c r="TY13" s="209">
        <f t="shared" si="162"/>
        <v>0.73137533236160235</v>
      </c>
      <c r="TZ13" s="209">
        <f t="shared" si="162"/>
        <v>0.74030868835089214</v>
      </c>
      <c r="UA13" s="209">
        <f t="shared" si="162"/>
        <v>0.70278602101781706</v>
      </c>
      <c r="UB13" s="209">
        <f t="shared" si="162"/>
        <v>0.71096701908892301</v>
      </c>
      <c r="UC13" s="209">
        <f t="shared" si="162"/>
        <v>0.67027331618683528</v>
      </c>
      <c r="UD13" s="209">
        <f t="shared" si="162"/>
        <v>0.67804440425735713</v>
      </c>
      <c r="UE13" s="209">
        <f t="shared" si="162"/>
        <v>0.68617943270930448</v>
      </c>
      <c r="UF13" s="209">
        <f t="shared" si="162"/>
        <v>0.69596641632851053</v>
      </c>
      <c r="UG13" s="209">
        <f t="shared" si="162"/>
        <v>0.70309903159051801</v>
      </c>
      <c r="UH13" s="209">
        <f t="shared" si="162"/>
        <v>0.66084267000288521</v>
      </c>
      <c r="UI13" s="209">
        <f t="shared" si="162"/>
        <v>0.66742108550999435</v>
      </c>
      <c r="UJ13" s="209">
        <f t="shared" si="162"/>
        <v>0.62549240929921479</v>
      </c>
      <c r="UK13" s="209">
        <f t="shared" si="162"/>
        <v>0.63229651100958861</v>
      </c>
      <c r="UL13" s="209">
        <f t="shared" si="162"/>
        <v>0.63977436752561323</v>
      </c>
      <c r="UM13" s="209">
        <f t="shared" si="162"/>
        <v>0.64602260958118674</v>
      </c>
      <c r="UN13" s="209">
        <f t="shared" si="162"/>
        <v>0.65201370060836294</v>
      </c>
      <c r="UO13" s="209">
        <f t="shared" si="162"/>
        <v>0.60716398579217623</v>
      </c>
      <c r="UP13" s="209">
        <f t="shared" si="162"/>
        <v>0.61249424835896571</v>
      </c>
      <c r="UQ13" s="209">
        <f t="shared" si="162"/>
        <v>-1.0567805359378422E-4</v>
      </c>
      <c r="UR13" s="209">
        <f t="shared" si="162"/>
        <v>0.5782216437831168</v>
      </c>
      <c r="US13" s="209">
        <f t="shared" si="162"/>
        <v>0.58449283433363386</v>
      </c>
      <c r="UT13" s="209">
        <f t="shared" si="162"/>
        <v>0.59056044039498845</v>
      </c>
      <c r="UU13" s="209">
        <f t="shared" si="162"/>
        <v>0.59833689321421035</v>
      </c>
      <c r="UV13" s="209">
        <f t="shared" si="162"/>
        <v>0.6060302100832029</v>
      </c>
      <c r="UW13" s="209">
        <f t="shared" si="162"/>
        <v>0.61257013599501442</v>
      </c>
      <c r="UX13" s="209">
        <f t="shared" si="162"/>
        <v>0.62265424285562521</v>
      </c>
      <c r="UY13" s="209">
        <f t="shared" si="162"/>
        <v>0.63017556697720056</v>
      </c>
      <c r="UZ13" s="209">
        <f t="shared" si="162"/>
        <v>0.6376411212172397</v>
      </c>
      <c r="VA13" s="209">
        <f t="shared" si="162"/>
        <v>0.64484675340595521</v>
      </c>
      <c r="VB13" s="209">
        <f t="shared" si="162"/>
        <v>0.65086508764291473</v>
      </c>
      <c r="VC13" s="209">
        <f t="shared" si="162"/>
        <v>0.65785648522054718</v>
      </c>
      <c r="VD13" s="209">
        <f t="shared" si="162"/>
        <v>0.66473476161881739</v>
      </c>
      <c r="VE13" s="209">
        <f t="shared" si="162"/>
        <v>0.67263198631044241</v>
      </c>
      <c r="VF13" s="209">
        <f t="shared" si="162"/>
        <v>0.68328335094093462</v>
      </c>
      <c r="VG13" s="209">
        <f t="shared" ref="VG13:XR13" si="163">VG11*(100%-$AJ$19)*$AJ$20</f>
        <v>0.69105405457611568</v>
      </c>
      <c r="VH13" s="209">
        <f t="shared" si="163"/>
        <v>0.69864796722717371</v>
      </c>
      <c r="VI13" s="209">
        <f t="shared" si="163"/>
        <v>0.70624662677922723</v>
      </c>
      <c r="VJ13" s="209">
        <f t="shared" si="163"/>
        <v>0.71371563575769836</v>
      </c>
      <c r="VK13" s="209">
        <f t="shared" si="163"/>
        <v>0.72401139583129148</v>
      </c>
      <c r="VL13" s="209">
        <f t="shared" si="163"/>
        <v>0.73126330025951813</v>
      </c>
      <c r="VM13" s="209">
        <f t="shared" si="163"/>
        <v>0.73811292486903846</v>
      </c>
      <c r="VN13" s="209">
        <f t="shared" si="163"/>
        <v>0.74496343156692535</v>
      </c>
      <c r="VO13" s="209">
        <f t="shared" si="163"/>
        <v>0.75311682738055652</v>
      </c>
      <c r="VP13" s="209">
        <f t="shared" si="163"/>
        <v>0.76147173270987512</v>
      </c>
      <c r="VQ13" s="209">
        <f t="shared" si="163"/>
        <v>0.76980624833114419</v>
      </c>
      <c r="VR13" s="209">
        <f t="shared" si="163"/>
        <v>0.78123949734001563</v>
      </c>
      <c r="VS13" s="209">
        <f t="shared" si="163"/>
        <v>0.74159752806030621</v>
      </c>
      <c r="VT13" s="209">
        <f t="shared" si="163"/>
        <v>0.74942345285538636</v>
      </c>
      <c r="VU13" s="209">
        <f t="shared" si="163"/>
        <v>0.70914978420799457</v>
      </c>
      <c r="VV13" s="209">
        <f t="shared" si="163"/>
        <v>0.71673285152422916</v>
      </c>
      <c r="VW13" s="209">
        <f t="shared" si="163"/>
        <v>0.72410943016715934</v>
      </c>
      <c r="VX13" s="209">
        <f t="shared" si="163"/>
        <v>0.73137533236160235</v>
      </c>
      <c r="VY13" s="209">
        <f t="shared" si="163"/>
        <v>0.74030868835089214</v>
      </c>
      <c r="VZ13" s="209">
        <f t="shared" si="163"/>
        <v>0.70278602101781706</v>
      </c>
      <c r="WA13" s="209">
        <f t="shared" si="163"/>
        <v>0.71096701908892301</v>
      </c>
      <c r="WB13" s="209">
        <f t="shared" si="163"/>
        <v>0.67027331618683528</v>
      </c>
      <c r="WC13" s="209">
        <f t="shared" si="163"/>
        <v>0.67804440425735713</v>
      </c>
      <c r="WD13" s="209">
        <f t="shared" si="163"/>
        <v>0.68617943270930448</v>
      </c>
      <c r="WE13" s="209">
        <f t="shared" si="163"/>
        <v>0.69596641632851053</v>
      </c>
      <c r="WF13" s="209">
        <f t="shared" si="163"/>
        <v>0.70309903159051801</v>
      </c>
      <c r="WG13" s="209">
        <f t="shared" si="163"/>
        <v>0.66084267000288521</v>
      </c>
      <c r="WH13" s="209">
        <f t="shared" si="163"/>
        <v>0.66742108550999435</v>
      </c>
      <c r="WI13" s="209">
        <f t="shared" si="163"/>
        <v>0.62549240929921479</v>
      </c>
      <c r="WJ13" s="209">
        <f t="shared" si="163"/>
        <v>0.63229651100958861</v>
      </c>
      <c r="WK13" s="209">
        <f t="shared" si="163"/>
        <v>0.63977436752561323</v>
      </c>
      <c r="WL13" s="209">
        <f t="shared" si="163"/>
        <v>0.64602260958118674</v>
      </c>
      <c r="WM13" s="209">
        <f t="shared" si="163"/>
        <v>0.65201370060836294</v>
      </c>
      <c r="WN13" s="209">
        <f t="shared" si="163"/>
        <v>0.60716398579217623</v>
      </c>
      <c r="WO13" s="209">
        <f t="shared" si="163"/>
        <v>0.61249424835896571</v>
      </c>
      <c r="WP13" s="209">
        <f t="shared" si="163"/>
        <v>-1.0567805359378422E-4</v>
      </c>
      <c r="WQ13" s="209">
        <f t="shared" si="163"/>
        <v>0.5782216437831168</v>
      </c>
      <c r="WR13" s="209">
        <f t="shared" si="163"/>
        <v>0.58449283433363386</v>
      </c>
      <c r="WS13" s="209">
        <f t="shared" si="163"/>
        <v>0.59056044039498845</v>
      </c>
      <c r="WT13" s="209">
        <f t="shared" si="163"/>
        <v>0.59833689321421035</v>
      </c>
      <c r="WU13" s="209">
        <f t="shared" si="163"/>
        <v>0.6060302100832029</v>
      </c>
      <c r="WV13" s="209">
        <f t="shared" si="163"/>
        <v>0.61257013599501442</v>
      </c>
      <c r="WW13" s="209">
        <f t="shared" si="163"/>
        <v>0.62265424285562521</v>
      </c>
      <c r="WX13" s="209">
        <f t="shared" si="163"/>
        <v>0.63017556697720056</v>
      </c>
      <c r="WY13" s="209">
        <f t="shared" si="163"/>
        <v>0.6376411212172397</v>
      </c>
      <c r="WZ13" s="209">
        <f t="shared" si="163"/>
        <v>0.64484675340595521</v>
      </c>
      <c r="XA13" s="209">
        <f t="shared" si="163"/>
        <v>0.65086508764291473</v>
      </c>
      <c r="XB13" s="209">
        <f t="shared" si="163"/>
        <v>0.65785648522054718</v>
      </c>
      <c r="XC13" s="209">
        <f t="shared" si="163"/>
        <v>0.66473476161881739</v>
      </c>
      <c r="XD13" s="209">
        <f t="shared" si="163"/>
        <v>0.67263198631044241</v>
      </c>
      <c r="XE13" s="209">
        <f t="shared" si="163"/>
        <v>0.68328335094093462</v>
      </c>
      <c r="XF13" s="209">
        <f t="shared" si="163"/>
        <v>0.69105405457611568</v>
      </c>
      <c r="XG13" s="209">
        <f t="shared" si="163"/>
        <v>0.69864796722717371</v>
      </c>
      <c r="XH13" s="209">
        <f t="shared" si="163"/>
        <v>0.70624662677922723</v>
      </c>
      <c r="XI13" s="209">
        <f t="shared" si="163"/>
        <v>0.71371563575769836</v>
      </c>
      <c r="XJ13" s="209">
        <f t="shared" si="163"/>
        <v>0.72401139583129148</v>
      </c>
      <c r="XK13" s="209">
        <f t="shared" si="163"/>
        <v>0.73126330025951813</v>
      </c>
      <c r="XL13" s="209">
        <f t="shared" si="163"/>
        <v>0.73811292486903846</v>
      </c>
      <c r="XM13" s="209">
        <f t="shared" si="163"/>
        <v>0.74496343156692535</v>
      </c>
      <c r="XN13" s="209">
        <f t="shared" si="163"/>
        <v>0.75311682738055652</v>
      </c>
      <c r="XO13" s="209">
        <f t="shared" si="163"/>
        <v>0.76147173270987512</v>
      </c>
      <c r="XP13" s="209">
        <f t="shared" si="163"/>
        <v>0.76980624833114419</v>
      </c>
      <c r="XQ13" s="209">
        <f t="shared" si="163"/>
        <v>0.78123949734001563</v>
      </c>
      <c r="XR13" s="209">
        <f t="shared" si="163"/>
        <v>0.74159752806030621</v>
      </c>
      <c r="XS13" s="209">
        <f t="shared" ref="XS13:AAD13" si="164">XS11*(100%-$AJ$19)*$AJ$20</f>
        <v>0.74942345285538636</v>
      </c>
      <c r="XT13" s="209">
        <f t="shared" si="164"/>
        <v>0.70914978420799457</v>
      </c>
      <c r="XU13" s="209">
        <f t="shared" si="164"/>
        <v>0.71673285152422916</v>
      </c>
      <c r="XV13" s="209">
        <f t="shared" si="164"/>
        <v>0.72410943016715934</v>
      </c>
      <c r="XW13" s="209">
        <f t="shared" si="164"/>
        <v>0.73137533236160235</v>
      </c>
      <c r="XX13" s="209">
        <f t="shared" si="164"/>
        <v>0.74030868835089214</v>
      </c>
      <c r="XY13" s="209">
        <f t="shared" si="164"/>
        <v>0.70278602101781706</v>
      </c>
      <c r="XZ13" s="209">
        <f t="shared" si="164"/>
        <v>0.71096701908892301</v>
      </c>
      <c r="YA13" s="209">
        <f t="shared" si="164"/>
        <v>0.67027331618683528</v>
      </c>
      <c r="YB13" s="209">
        <f t="shared" si="164"/>
        <v>0.67804440425735713</v>
      </c>
      <c r="YC13" s="209">
        <f t="shared" si="164"/>
        <v>0.68617943270930448</v>
      </c>
      <c r="YD13" s="209">
        <f t="shared" si="164"/>
        <v>0.69596641632851053</v>
      </c>
      <c r="YE13" s="209">
        <f t="shared" si="164"/>
        <v>0.70309903159051801</v>
      </c>
      <c r="YF13" s="209">
        <f t="shared" si="164"/>
        <v>0.66084267000288521</v>
      </c>
      <c r="YG13" s="209">
        <f t="shared" si="164"/>
        <v>0.66742108550999435</v>
      </c>
      <c r="YH13" s="209">
        <f t="shared" si="164"/>
        <v>0.62549240929921479</v>
      </c>
      <c r="YI13" s="209">
        <f t="shared" si="164"/>
        <v>0.63229651100958861</v>
      </c>
      <c r="YJ13" s="209">
        <f t="shared" si="164"/>
        <v>0.63977436752561323</v>
      </c>
      <c r="YK13" s="209">
        <f t="shared" si="164"/>
        <v>0.64602260958118674</v>
      </c>
      <c r="YL13" s="209">
        <f t="shared" si="164"/>
        <v>0.65201370060836294</v>
      </c>
      <c r="YM13" s="209">
        <f t="shared" si="164"/>
        <v>0.60716398579217623</v>
      </c>
      <c r="YN13" s="209">
        <f t="shared" si="164"/>
        <v>0.61249424835896571</v>
      </c>
      <c r="YO13" s="209">
        <f t="shared" si="164"/>
        <v>-1.0567805359378422E-4</v>
      </c>
      <c r="YP13" s="209">
        <f t="shared" si="164"/>
        <v>0.5565319562831168</v>
      </c>
      <c r="YQ13" s="209">
        <f t="shared" si="164"/>
        <v>0.560796980304616</v>
      </c>
      <c r="YR13" s="209">
        <f t="shared" si="164"/>
        <v>0.56463969676172276</v>
      </c>
      <c r="YS13" s="209">
        <f t="shared" si="164"/>
        <v>0.57003701573084453</v>
      </c>
      <c r="YT13" s="209">
        <f t="shared" si="164"/>
        <v>0.57525483268621114</v>
      </c>
      <c r="YU13" s="209">
        <f t="shared" si="164"/>
        <v>0.57912592084901837</v>
      </c>
      <c r="YV13" s="209">
        <f t="shared" si="164"/>
        <v>0.58632313604545283</v>
      </c>
      <c r="YW13" s="209">
        <f t="shared" si="164"/>
        <v>0.5908011772672116</v>
      </c>
      <c r="YX13" s="209">
        <f t="shared" si="164"/>
        <v>0.59505949590760676</v>
      </c>
      <c r="YY13" s="209">
        <f t="shared" si="164"/>
        <v>0.59900086895854299</v>
      </c>
      <c r="YZ13" s="209">
        <f t="shared" si="164"/>
        <v>0.60155713077894291</v>
      </c>
      <c r="ZA13" s="209">
        <f t="shared" si="164"/>
        <v>0.60495368973045194</v>
      </c>
      <c r="ZB13" s="209">
        <f t="shared" si="164"/>
        <v>0.6080349479834305</v>
      </c>
      <c r="ZC13" s="209">
        <f t="shared" si="164"/>
        <v>0.61200539832517153</v>
      </c>
      <c r="ZD13" s="209">
        <f t="shared" si="164"/>
        <v>0.61865559278218962</v>
      </c>
      <c r="ZE13" s="209">
        <f t="shared" si="164"/>
        <v>0.62233181522305536</v>
      </c>
      <c r="ZF13" s="209">
        <f t="shared" si="164"/>
        <v>0.62581360390707541</v>
      </c>
      <c r="ZG13" s="209">
        <f t="shared" si="164"/>
        <v>0.62909461316457893</v>
      </c>
      <c r="ZH13" s="209">
        <f t="shared" si="164"/>
        <v>0.63209208645131409</v>
      </c>
      <c r="ZI13" s="209">
        <f t="shared" si="164"/>
        <v>0.63785937852190611</v>
      </c>
      <c r="ZJ13" s="209">
        <f t="shared" si="164"/>
        <v>0.64044516502343052</v>
      </c>
      <c r="ZK13" s="209">
        <f t="shared" si="164"/>
        <v>0.6428070745994765</v>
      </c>
      <c r="ZL13" s="209">
        <f t="shared" si="164"/>
        <v>0.64486823322071629</v>
      </c>
      <c r="ZM13" s="209">
        <f t="shared" si="164"/>
        <v>0.64822543688963719</v>
      </c>
      <c r="ZN13" s="209">
        <f t="shared" si="164"/>
        <v>0.65143528841944753</v>
      </c>
      <c r="ZO13" s="209">
        <f t="shared" si="164"/>
        <v>0.65449369521220357</v>
      </c>
      <c r="ZP13" s="209">
        <f t="shared" si="164"/>
        <v>0.66063410047995308</v>
      </c>
      <c r="ZQ13" s="209">
        <f t="shared" si="164"/>
        <v>0.6155890336527664</v>
      </c>
      <c r="ZR13" s="209">
        <f t="shared" si="164"/>
        <v>0.61802092710991074</v>
      </c>
      <c r="ZS13" s="209">
        <f t="shared" si="164"/>
        <v>0.5722667705919976</v>
      </c>
      <c r="ZT13" s="209">
        <f t="shared" si="164"/>
        <v>0.57429213669089896</v>
      </c>
      <c r="ZU13" s="209">
        <f t="shared" si="164"/>
        <v>0.5761610287584864</v>
      </c>
      <c r="ZV13" s="209">
        <f t="shared" si="164"/>
        <v>0.57787006143152153</v>
      </c>
      <c r="ZW13" s="209">
        <f t="shared" si="164"/>
        <v>0.58120891723631352</v>
      </c>
      <c r="ZX13" s="209">
        <f t="shared" si="164"/>
        <v>0.53818764513225037</v>
      </c>
      <c r="ZY13" s="209">
        <f t="shared" si="164"/>
        <v>0.54133395204282531</v>
      </c>
      <c r="ZZ13" s="209">
        <f t="shared" si="164"/>
        <v>0.49531160930610402</v>
      </c>
      <c r="AAA13" s="209">
        <f t="shared" si="164"/>
        <v>0.49830008215530014</v>
      </c>
      <c r="AAB13" s="209">
        <f t="shared" si="164"/>
        <v>0.50122933442467743</v>
      </c>
      <c r="AAC13" s="209">
        <f t="shared" si="164"/>
        <v>0.50599346274310097</v>
      </c>
      <c r="AAD13" s="209">
        <f t="shared" si="164"/>
        <v>0.50877516966535363</v>
      </c>
      <c r="AAE13" s="209">
        <f t="shared" ref="AAE13:ACP13" si="165">AAE11*(100%-$AJ$19)*$AJ$20</f>
        <v>0.46172668385725141</v>
      </c>
      <c r="AAF13" s="209">
        <f t="shared" si="165"/>
        <v>0.46439064070700065</v>
      </c>
      <c r="AAG13" s="209">
        <f t="shared" si="165"/>
        <v>0.4180934830078597</v>
      </c>
      <c r="AAH13" s="209">
        <f t="shared" si="165"/>
        <v>0.42068164019870896</v>
      </c>
      <c r="AAI13" s="209">
        <f t="shared" si="165"/>
        <v>0.42422919448932822</v>
      </c>
      <c r="AAJ13" s="209">
        <f t="shared" si="165"/>
        <v>0.42673438690118642</v>
      </c>
      <c r="AAK13" s="209">
        <f t="shared" si="165"/>
        <v>0.4291857714416446</v>
      </c>
      <c r="AAL13" s="209">
        <f t="shared" si="165"/>
        <v>0.38112816550533291</v>
      </c>
      <c r="AAM13" s="209">
        <f t="shared" si="165"/>
        <v>0.38348659521587491</v>
      </c>
      <c r="AAN13" s="209">
        <f t="shared" si="165"/>
        <v>-1.0567805359378422E-4</v>
      </c>
      <c r="AAO13" s="209">
        <f t="shared" si="165"/>
        <v>0.33054992392432281</v>
      </c>
      <c r="AAP13" s="209">
        <f t="shared" si="165"/>
        <v>0.33281969638169312</v>
      </c>
      <c r="AAQ13" s="209">
        <f t="shared" si="165"/>
        <v>0.33504903869577796</v>
      </c>
      <c r="AAR13" s="209">
        <f t="shared" si="165"/>
        <v>0.33723666833835042</v>
      </c>
      <c r="AAS13" s="209">
        <f t="shared" si="165"/>
        <v>0.33938130440119296</v>
      </c>
      <c r="AAT13" s="209">
        <f t="shared" si="165"/>
        <v>0.34142088635009499</v>
      </c>
      <c r="AAU13" s="209">
        <f t="shared" si="165"/>
        <v>0.34599671110278707</v>
      </c>
      <c r="AAV13" s="209">
        <f t="shared" si="165"/>
        <v>0.3480171918111809</v>
      </c>
      <c r="AAW13" s="209">
        <f t="shared" si="165"/>
        <v>0.34998998099494016</v>
      </c>
      <c r="AAX13" s="209">
        <f t="shared" si="165"/>
        <v>0.35191382874313648</v>
      </c>
      <c r="AAY13" s="209">
        <f t="shared" si="165"/>
        <v>0.35378749120941133</v>
      </c>
      <c r="AAZ13" s="209">
        <f t="shared" si="165"/>
        <v>0.35560973139622942</v>
      </c>
      <c r="ABA13" s="209">
        <f t="shared" si="165"/>
        <v>0.3573198658620842</v>
      </c>
      <c r="ABB13" s="209">
        <f t="shared" si="165"/>
        <v>0.35897602313808974</v>
      </c>
      <c r="ABC13" s="209">
        <f t="shared" si="165"/>
        <v>0.36343874778937474</v>
      </c>
      <c r="ABD13" s="209">
        <f t="shared" si="165"/>
        <v>0.36505965338572527</v>
      </c>
      <c r="ABE13" s="209">
        <f t="shared" si="165"/>
        <v>0.36662353628037014</v>
      </c>
      <c r="ABF13" s="209">
        <f t="shared" si="165"/>
        <v>0.36812922581446117</v>
      </c>
      <c r="ABG13" s="209">
        <f t="shared" si="165"/>
        <v>0.36957556343993014</v>
      </c>
      <c r="ABH13" s="209">
        <f t="shared" si="165"/>
        <v>0.37394402965047852</v>
      </c>
      <c r="ABI13" s="209">
        <f t="shared" si="165"/>
        <v>0.37528800095792064</v>
      </c>
      <c r="ABJ13" s="209">
        <f t="shared" si="165"/>
        <v>0.37656967618830578</v>
      </c>
      <c r="ABK13" s="209">
        <f t="shared" si="165"/>
        <v>0.377787958992503</v>
      </c>
      <c r="ABL13" s="209">
        <f t="shared" si="165"/>
        <v>0.37894176869722374</v>
      </c>
      <c r="ABM13" s="209">
        <f t="shared" si="165"/>
        <v>0.38003004108289973</v>
      </c>
      <c r="ABN13" s="209">
        <f t="shared" si="165"/>
        <v>0.3810517291594504</v>
      </c>
      <c r="ABO13" s="209">
        <f t="shared" si="165"/>
        <v>0.38524329818020431</v>
      </c>
      <c r="ABP13" s="209">
        <f t="shared" si="165"/>
        <v>0.33840824969033068</v>
      </c>
      <c r="ABQ13" s="209">
        <f t="shared" si="165"/>
        <v>0.33914406073132397</v>
      </c>
      <c r="ABR13" s="209">
        <f t="shared" si="165"/>
        <v>0.29179056218454086</v>
      </c>
      <c r="ABS13" s="209">
        <f t="shared" si="165"/>
        <v>0.29231612647198441</v>
      </c>
      <c r="ABT13" s="209">
        <f t="shared" si="165"/>
        <v>0.29278751137602976</v>
      </c>
      <c r="ABU13" s="209">
        <f t="shared" si="165"/>
        <v>0.29320403646661819</v>
      </c>
      <c r="ABV13" s="209">
        <f t="shared" si="165"/>
        <v>0.29352565815992088</v>
      </c>
      <c r="ABW13" s="209">
        <f t="shared" si="165"/>
        <v>0.24756577616833117</v>
      </c>
      <c r="ABX13" s="209">
        <f t="shared" si="165"/>
        <v>0.24778989615470856</v>
      </c>
      <c r="ABY13" s="209">
        <f t="shared" si="165"/>
        <v>0.1988630454585438</v>
      </c>
      <c r="ABZ13" s="209">
        <f t="shared" si="165"/>
        <v>0.19896595728691197</v>
      </c>
      <c r="ACA13" s="209">
        <f t="shared" si="165"/>
        <v>0.19902987487080773</v>
      </c>
      <c r="ACB13" s="209">
        <f t="shared" si="165"/>
        <v>0.20095018509208873</v>
      </c>
      <c r="ACC13" s="209">
        <f t="shared" si="165"/>
        <v>0.20097497575352971</v>
      </c>
      <c r="ACD13" s="209">
        <f t="shared" si="165"/>
        <v>0.15119443128307444</v>
      </c>
      <c r="ACE13" s="209">
        <f t="shared" si="165"/>
        <v>0.15115247898208659</v>
      </c>
      <c r="ACF13" s="209">
        <f t="shared" si="165"/>
        <v>0.10217686110355377</v>
      </c>
      <c r="ACG13" s="209">
        <f t="shared" si="165"/>
        <v>0.10211531345442133</v>
      </c>
      <c r="ACH13" s="209">
        <f t="shared" si="165"/>
        <v>0.10304323086798543</v>
      </c>
      <c r="ACI13" s="209">
        <f t="shared" si="165"/>
        <v>0.10296017257746055</v>
      </c>
      <c r="ACJ13" s="209">
        <f t="shared" si="165"/>
        <v>0.10285601570894698</v>
      </c>
      <c r="ACK13" s="209">
        <f t="shared" si="165"/>
        <v>5.2340295993805012E-2</v>
      </c>
      <c r="ACL13" s="209">
        <f t="shared" si="165"/>
        <v>5.2276486345993432E-2</v>
      </c>
      <c r="ACM13" s="209">
        <f t="shared" si="165"/>
        <v>-1.0567805359378422E-4</v>
      </c>
      <c r="ACN13" s="209">
        <f t="shared" si="165"/>
        <v>0</v>
      </c>
      <c r="ACO13" s="209">
        <f t="shared" si="165"/>
        <v>0</v>
      </c>
      <c r="ACP13" s="209">
        <f t="shared" si="165"/>
        <v>0</v>
      </c>
      <c r="ACQ13" s="209">
        <f t="shared" ref="ACQ13:AFB13" si="166">ACQ11*(100%-$AJ$19)*$AJ$20</f>
        <v>0</v>
      </c>
      <c r="ACR13" s="209">
        <f t="shared" si="166"/>
        <v>0</v>
      </c>
      <c r="ACS13" s="209">
        <f t="shared" si="166"/>
        <v>0</v>
      </c>
      <c r="ACT13" s="209">
        <f t="shared" si="166"/>
        <v>0</v>
      </c>
      <c r="ACU13" s="209">
        <f t="shared" si="166"/>
        <v>0</v>
      </c>
      <c r="ACV13" s="209">
        <f t="shared" si="166"/>
        <v>0</v>
      </c>
      <c r="ACW13" s="209">
        <f t="shared" si="166"/>
        <v>0</v>
      </c>
      <c r="ACX13" s="209">
        <f t="shared" si="166"/>
        <v>0</v>
      </c>
      <c r="ACY13" s="209">
        <f t="shared" si="166"/>
        <v>0</v>
      </c>
      <c r="ACZ13" s="209">
        <f t="shared" si="166"/>
        <v>0</v>
      </c>
      <c r="ADA13" s="209">
        <f t="shared" si="166"/>
        <v>0</v>
      </c>
      <c r="ADB13" s="209">
        <f t="shared" si="166"/>
        <v>0</v>
      </c>
      <c r="ADC13" s="209">
        <f t="shared" si="166"/>
        <v>0</v>
      </c>
      <c r="ADD13" s="209">
        <f t="shared" si="166"/>
        <v>0</v>
      </c>
      <c r="ADE13" s="209">
        <f t="shared" si="166"/>
        <v>0</v>
      </c>
      <c r="ADF13" s="209">
        <f t="shared" si="166"/>
        <v>0</v>
      </c>
      <c r="ADG13" s="209">
        <f t="shared" si="166"/>
        <v>0</v>
      </c>
      <c r="ADH13" s="209">
        <f t="shared" si="166"/>
        <v>0</v>
      </c>
      <c r="ADI13" s="209">
        <f t="shared" si="166"/>
        <v>0</v>
      </c>
      <c r="ADJ13" s="209">
        <f t="shared" si="166"/>
        <v>0</v>
      </c>
      <c r="ADK13" s="209">
        <f t="shared" si="166"/>
        <v>0</v>
      </c>
      <c r="ADL13" s="209">
        <f t="shared" si="166"/>
        <v>0</v>
      </c>
      <c r="ADM13" s="209">
        <f t="shared" si="166"/>
        <v>0</v>
      </c>
      <c r="ADN13" s="209">
        <f t="shared" si="166"/>
        <v>0</v>
      </c>
      <c r="ADO13" s="209">
        <f t="shared" si="166"/>
        <v>0</v>
      </c>
      <c r="ADP13" s="209">
        <f t="shared" si="166"/>
        <v>0</v>
      </c>
      <c r="ADQ13" s="209">
        <f t="shared" si="166"/>
        <v>0</v>
      </c>
      <c r="ADR13" s="209">
        <f t="shared" si="166"/>
        <v>0</v>
      </c>
      <c r="ADS13" s="209">
        <f t="shared" si="166"/>
        <v>0</v>
      </c>
      <c r="ADT13" s="209">
        <f t="shared" si="166"/>
        <v>0</v>
      </c>
      <c r="ADU13" s="209">
        <f t="shared" si="166"/>
        <v>0</v>
      </c>
      <c r="ADV13" s="209">
        <f t="shared" si="166"/>
        <v>0</v>
      </c>
      <c r="ADW13" s="209">
        <f t="shared" si="166"/>
        <v>0</v>
      </c>
      <c r="ADX13" s="209">
        <f t="shared" si="166"/>
        <v>0</v>
      </c>
      <c r="ADY13" s="209">
        <f t="shared" si="166"/>
        <v>0</v>
      </c>
      <c r="ADZ13" s="209">
        <f t="shared" si="166"/>
        <v>0</v>
      </c>
      <c r="AEA13" s="209">
        <f t="shared" si="166"/>
        <v>0</v>
      </c>
      <c r="AEB13" s="209">
        <f t="shared" si="166"/>
        <v>0</v>
      </c>
      <c r="AEC13" s="209">
        <f t="shared" si="166"/>
        <v>0</v>
      </c>
      <c r="AED13" s="209">
        <f t="shared" si="166"/>
        <v>0</v>
      </c>
      <c r="AEE13" s="209">
        <f t="shared" si="166"/>
        <v>0</v>
      </c>
      <c r="AEF13" s="209">
        <f t="shared" si="166"/>
        <v>0</v>
      </c>
      <c r="AEG13" s="209">
        <f t="shared" si="166"/>
        <v>0</v>
      </c>
      <c r="AEH13" s="209">
        <f t="shared" si="166"/>
        <v>0</v>
      </c>
      <c r="AEI13" s="209">
        <f t="shared" si="166"/>
        <v>0</v>
      </c>
      <c r="AEJ13" s="209">
        <f t="shared" si="166"/>
        <v>0</v>
      </c>
      <c r="AEK13" s="209">
        <f t="shared" si="166"/>
        <v>0</v>
      </c>
      <c r="AEL13" s="209">
        <f t="shared" si="166"/>
        <v>0</v>
      </c>
      <c r="AEM13" s="209">
        <f t="shared" si="166"/>
        <v>0</v>
      </c>
      <c r="AEN13" s="209">
        <f t="shared" si="166"/>
        <v>0</v>
      </c>
      <c r="AEO13" s="209">
        <f t="shared" si="166"/>
        <v>0</v>
      </c>
      <c r="AEP13" s="209">
        <f t="shared" si="166"/>
        <v>0</v>
      </c>
      <c r="AEQ13" s="209">
        <f t="shared" si="166"/>
        <v>0</v>
      </c>
      <c r="AER13" s="209">
        <f t="shared" si="166"/>
        <v>0</v>
      </c>
      <c r="AES13" s="209">
        <f t="shared" si="166"/>
        <v>0</v>
      </c>
      <c r="AET13" s="209">
        <f t="shared" si="166"/>
        <v>0</v>
      </c>
      <c r="AEU13" s="209">
        <f t="shared" si="166"/>
        <v>0</v>
      </c>
      <c r="AEV13" s="209">
        <f t="shared" si="166"/>
        <v>0</v>
      </c>
      <c r="AEW13" s="209">
        <f t="shared" si="166"/>
        <v>0</v>
      </c>
      <c r="AEX13" s="209">
        <f t="shared" si="166"/>
        <v>0</v>
      </c>
      <c r="AEY13" s="209">
        <f t="shared" si="166"/>
        <v>0</v>
      </c>
      <c r="AEZ13" s="209">
        <f t="shared" si="166"/>
        <v>0</v>
      </c>
      <c r="AFA13" s="209">
        <f t="shared" si="166"/>
        <v>0</v>
      </c>
      <c r="AFB13" s="209">
        <f t="shared" si="166"/>
        <v>0</v>
      </c>
      <c r="AFC13" s="209">
        <f t="shared" ref="AFC13:AHN13" si="167">AFC11*(100%-$AJ$19)*$AJ$20</f>
        <v>0</v>
      </c>
      <c r="AFD13" s="209">
        <f t="shared" si="167"/>
        <v>0</v>
      </c>
      <c r="AFE13" s="209">
        <f t="shared" si="167"/>
        <v>0</v>
      </c>
      <c r="AFF13" s="209">
        <f t="shared" si="167"/>
        <v>0</v>
      </c>
      <c r="AFG13" s="209">
        <f t="shared" si="167"/>
        <v>0</v>
      </c>
      <c r="AFH13" s="209">
        <f t="shared" si="167"/>
        <v>0</v>
      </c>
      <c r="AFI13" s="209">
        <f t="shared" si="167"/>
        <v>0</v>
      </c>
      <c r="AFJ13" s="209">
        <f t="shared" si="167"/>
        <v>0</v>
      </c>
      <c r="AFK13" s="209">
        <f t="shared" si="167"/>
        <v>0</v>
      </c>
      <c r="AFL13" s="209">
        <f t="shared" si="167"/>
        <v>0</v>
      </c>
      <c r="AFM13" s="209">
        <f t="shared" si="167"/>
        <v>0</v>
      </c>
      <c r="AFN13" s="209">
        <f t="shared" si="167"/>
        <v>0</v>
      </c>
      <c r="AFO13" s="209">
        <f t="shared" si="167"/>
        <v>0</v>
      </c>
      <c r="AFP13" s="209">
        <f t="shared" si="167"/>
        <v>0</v>
      </c>
      <c r="AFQ13" s="209">
        <f t="shared" si="167"/>
        <v>0</v>
      </c>
      <c r="AFR13" s="209">
        <f t="shared" si="167"/>
        <v>0</v>
      </c>
      <c r="AFS13" s="209">
        <f t="shared" si="167"/>
        <v>0</v>
      </c>
      <c r="AFT13" s="209">
        <f t="shared" si="167"/>
        <v>0</v>
      </c>
      <c r="AFU13" s="209">
        <f t="shared" si="167"/>
        <v>0</v>
      </c>
      <c r="AFV13" s="209">
        <f t="shared" si="167"/>
        <v>0</v>
      </c>
      <c r="AFW13" s="209">
        <f t="shared" si="167"/>
        <v>0</v>
      </c>
      <c r="AFX13" s="209">
        <f t="shared" si="167"/>
        <v>0</v>
      </c>
      <c r="AFY13" s="209">
        <f t="shared" si="167"/>
        <v>0</v>
      </c>
      <c r="AFZ13" s="209">
        <f t="shared" si="167"/>
        <v>0</v>
      </c>
      <c r="AGA13" s="209">
        <f t="shared" si="167"/>
        <v>0</v>
      </c>
      <c r="AGB13" s="209">
        <f t="shared" si="167"/>
        <v>0</v>
      </c>
      <c r="AGC13" s="209">
        <f t="shared" si="167"/>
        <v>0</v>
      </c>
      <c r="AGD13" s="209">
        <f t="shared" si="167"/>
        <v>0</v>
      </c>
      <c r="AGE13" s="209">
        <f t="shared" si="167"/>
        <v>0</v>
      </c>
      <c r="AGF13" s="209">
        <f t="shared" si="167"/>
        <v>0</v>
      </c>
      <c r="AGG13" s="209">
        <f t="shared" si="167"/>
        <v>0</v>
      </c>
      <c r="AGH13" s="209">
        <f t="shared" si="167"/>
        <v>0</v>
      </c>
      <c r="AGI13" s="209">
        <f t="shared" si="167"/>
        <v>0</v>
      </c>
      <c r="AGJ13" s="209">
        <f t="shared" si="167"/>
        <v>0</v>
      </c>
      <c r="AGK13" s="209">
        <f t="shared" si="167"/>
        <v>0</v>
      </c>
      <c r="AGL13" s="209">
        <f t="shared" si="167"/>
        <v>0</v>
      </c>
      <c r="AGM13" s="209">
        <f t="shared" si="167"/>
        <v>0</v>
      </c>
      <c r="AGN13" s="209">
        <f t="shared" si="167"/>
        <v>0</v>
      </c>
      <c r="AGO13" s="209">
        <f t="shared" si="167"/>
        <v>0</v>
      </c>
      <c r="AGP13" s="209">
        <f t="shared" si="167"/>
        <v>0</v>
      </c>
      <c r="AGQ13" s="209">
        <f t="shared" si="167"/>
        <v>0</v>
      </c>
      <c r="AGR13" s="209">
        <f t="shared" si="167"/>
        <v>0</v>
      </c>
      <c r="AGS13" s="209">
        <f t="shared" si="167"/>
        <v>0</v>
      </c>
      <c r="AGT13" s="209">
        <f t="shared" si="167"/>
        <v>0</v>
      </c>
      <c r="AGU13" s="209">
        <f t="shared" si="167"/>
        <v>0</v>
      </c>
      <c r="AGV13" s="209">
        <f t="shared" si="167"/>
        <v>0</v>
      </c>
      <c r="AGW13" s="209">
        <f t="shared" si="167"/>
        <v>0</v>
      </c>
      <c r="AGX13" s="209">
        <f t="shared" si="167"/>
        <v>0</v>
      </c>
      <c r="AGY13" s="209">
        <f t="shared" si="167"/>
        <v>0</v>
      </c>
      <c r="AGZ13" s="209">
        <f t="shared" si="167"/>
        <v>0</v>
      </c>
      <c r="AHA13" s="209">
        <f t="shared" si="167"/>
        <v>0</v>
      </c>
      <c r="AHB13" s="209">
        <f t="shared" si="167"/>
        <v>0</v>
      </c>
      <c r="AHC13" s="209">
        <f t="shared" si="167"/>
        <v>0</v>
      </c>
      <c r="AHD13" s="209">
        <f t="shared" si="167"/>
        <v>0</v>
      </c>
      <c r="AHE13" s="209">
        <f t="shared" si="167"/>
        <v>0</v>
      </c>
      <c r="AHF13" s="209">
        <f t="shared" si="167"/>
        <v>0</v>
      </c>
      <c r="AHG13" s="209">
        <f t="shared" si="167"/>
        <v>0</v>
      </c>
      <c r="AHH13" s="209">
        <f t="shared" si="167"/>
        <v>0</v>
      </c>
      <c r="AHI13" s="209">
        <f t="shared" si="167"/>
        <v>0</v>
      </c>
      <c r="AHJ13" s="209">
        <f t="shared" si="167"/>
        <v>0</v>
      </c>
      <c r="AHK13" s="209">
        <f t="shared" si="167"/>
        <v>0</v>
      </c>
      <c r="AHL13" s="209">
        <f t="shared" si="167"/>
        <v>0</v>
      </c>
      <c r="AHM13" s="209">
        <f t="shared" si="167"/>
        <v>0</v>
      </c>
      <c r="AHN13" s="209">
        <f t="shared" si="167"/>
        <v>0</v>
      </c>
      <c r="AHO13" s="209">
        <f t="shared" ref="AHO13:AJA13" si="168">AHO11*(100%-$AJ$19)*$AJ$20</f>
        <v>0</v>
      </c>
      <c r="AHP13" s="209">
        <f t="shared" si="168"/>
        <v>0</v>
      </c>
      <c r="AHQ13" s="209">
        <f t="shared" si="168"/>
        <v>0</v>
      </c>
      <c r="AHR13" s="209">
        <f t="shared" si="168"/>
        <v>0</v>
      </c>
      <c r="AHS13" s="209">
        <f t="shared" si="168"/>
        <v>0</v>
      </c>
      <c r="AHT13" s="209">
        <f t="shared" si="168"/>
        <v>0</v>
      </c>
      <c r="AHU13" s="209">
        <f t="shared" si="168"/>
        <v>0</v>
      </c>
      <c r="AHV13" s="209">
        <f t="shared" si="168"/>
        <v>0</v>
      </c>
      <c r="AHW13" s="209">
        <f t="shared" si="168"/>
        <v>0</v>
      </c>
      <c r="AHX13" s="209">
        <f t="shared" si="168"/>
        <v>0</v>
      </c>
      <c r="AHY13" s="209">
        <f t="shared" si="168"/>
        <v>0</v>
      </c>
      <c r="AHZ13" s="209">
        <f t="shared" si="168"/>
        <v>0</v>
      </c>
      <c r="AIA13" s="209">
        <f t="shared" si="168"/>
        <v>0</v>
      </c>
      <c r="AIB13" s="209">
        <f t="shared" si="168"/>
        <v>0</v>
      </c>
      <c r="AIC13" s="209">
        <f t="shared" si="168"/>
        <v>0</v>
      </c>
      <c r="AID13" s="209">
        <f t="shared" si="168"/>
        <v>0</v>
      </c>
      <c r="AIE13" s="209">
        <f t="shared" si="168"/>
        <v>0</v>
      </c>
      <c r="AIF13" s="209">
        <f t="shared" si="168"/>
        <v>0</v>
      </c>
      <c r="AIG13" s="209">
        <f t="shared" si="168"/>
        <v>0</v>
      </c>
      <c r="AIH13" s="209">
        <f t="shared" si="168"/>
        <v>0</v>
      </c>
      <c r="AII13" s="209">
        <f t="shared" si="168"/>
        <v>0</v>
      </c>
      <c r="AIJ13" s="209">
        <f t="shared" si="168"/>
        <v>0</v>
      </c>
      <c r="AIK13" s="209">
        <f t="shared" si="168"/>
        <v>0</v>
      </c>
      <c r="AIL13" s="209">
        <f t="shared" si="168"/>
        <v>0</v>
      </c>
      <c r="AIM13" s="209">
        <f t="shared" si="168"/>
        <v>0</v>
      </c>
      <c r="AIN13" s="209">
        <f t="shared" si="168"/>
        <v>0</v>
      </c>
      <c r="AIO13" s="209">
        <f t="shared" si="168"/>
        <v>0</v>
      </c>
      <c r="AIP13" s="209">
        <f t="shared" si="168"/>
        <v>0</v>
      </c>
      <c r="AIQ13" s="209">
        <f t="shared" si="168"/>
        <v>0</v>
      </c>
      <c r="AIR13" s="209">
        <f t="shared" si="168"/>
        <v>0</v>
      </c>
      <c r="AIS13" s="209">
        <f t="shared" si="168"/>
        <v>0</v>
      </c>
      <c r="AIT13" s="209">
        <f t="shared" si="168"/>
        <v>0</v>
      </c>
      <c r="AIU13" s="209">
        <f t="shared" si="168"/>
        <v>0</v>
      </c>
      <c r="AIV13" s="209">
        <f t="shared" si="168"/>
        <v>0</v>
      </c>
      <c r="AIW13" s="209">
        <f t="shared" si="168"/>
        <v>0</v>
      </c>
      <c r="AIX13" s="209">
        <f t="shared" si="168"/>
        <v>0</v>
      </c>
      <c r="AIY13" s="209">
        <f t="shared" si="168"/>
        <v>0</v>
      </c>
      <c r="AIZ13" s="209">
        <f t="shared" si="168"/>
        <v>0</v>
      </c>
      <c r="AJA13" s="209">
        <f t="shared" si="168"/>
        <v>0</v>
      </c>
    </row>
    <row r="14" spans="1:1024" s="1" customFormat="1" ht="22.15" customHeight="1" thickBot="1" x14ac:dyDescent="0.3">
      <c r="A14" s="27"/>
      <c r="B14" s="28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14"/>
      <c r="BQ14" s="14"/>
      <c r="BR14" s="14"/>
      <c r="BS14" s="14"/>
      <c r="BT14" s="14"/>
      <c r="BU14" s="14"/>
      <c r="BV14" s="14"/>
      <c r="BW14" s="14"/>
      <c r="BX14" s="14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 s="9"/>
      <c r="GM14" s="9"/>
      <c r="GN14" s="9"/>
      <c r="GO14" s="9"/>
      <c r="GP14" s="9"/>
      <c r="GQ14" s="9"/>
      <c r="GR14" s="9"/>
      <c r="GS14" s="9"/>
      <c r="GT14" s="9"/>
      <c r="GU14" s="9"/>
      <c r="GV14" s="9"/>
      <c r="GW14" s="9"/>
      <c r="GX14" s="9"/>
      <c r="GY14" s="9"/>
      <c r="GZ14" s="9"/>
      <c r="HA14" s="9"/>
      <c r="HB14" s="9"/>
      <c r="HC14" s="9"/>
      <c r="HD14" s="9"/>
      <c r="HE14" s="9"/>
      <c r="HF14" s="9"/>
      <c r="HG14" s="9"/>
      <c r="HH14" s="9"/>
      <c r="HI14" s="9"/>
      <c r="HJ14" s="9"/>
      <c r="HK14" s="9"/>
      <c r="HL14" s="9"/>
      <c r="HM14" s="9"/>
      <c r="HN14" s="9"/>
      <c r="HO14" s="9"/>
      <c r="HP14" s="9"/>
      <c r="HQ14" s="9"/>
      <c r="HR14" s="9"/>
      <c r="HS14" s="9"/>
      <c r="HT14" s="9"/>
      <c r="HU14" s="9"/>
      <c r="HV14" s="9"/>
      <c r="HW14" s="9"/>
      <c r="HX14" s="9"/>
      <c r="HY14" s="9"/>
      <c r="HZ14" s="9"/>
      <c r="IA14" s="9"/>
      <c r="IB14" s="9"/>
      <c r="IC14" s="9"/>
      <c r="ID14" s="9"/>
      <c r="IE14" s="9"/>
      <c r="IF14" s="9"/>
      <c r="IG14" s="9"/>
      <c r="IH14" s="9"/>
      <c r="II14" s="9"/>
      <c r="IJ14" s="9"/>
      <c r="IK14" s="9"/>
      <c r="IL14" s="9"/>
      <c r="IM14" s="9"/>
      <c r="IN14" s="9"/>
      <c r="IO14" s="9"/>
      <c r="IP14" s="9"/>
      <c r="IQ14" s="9"/>
      <c r="IR14" s="9"/>
      <c r="IS14" s="9"/>
      <c r="IT14" s="9"/>
      <c r="IU14" s="9"/>
      <c r="IV14" s="9"/>
      <c r="IW14" s="9"/>
      <c r="IX14" s="9"/>
      <c r="IY14" s="9"/>
      <c r="IZ14" s="9"/>
      <c r="JA14" s="9"/>
      <c r="JB14" s="9"/>
      <c r="JC14" s="9"/>
      <c r="JD14" s="9"/>
      <c r="JE14" s="9"/>
      <c r="JF14" s="9"/>
      <c r="JG14" s="9"/>
      <c r="JH14" s="9"/>
      <c r="JI14" s="9"/>
      <c r="JJ14" s="9"/>
      <c r="JK14" s="9"/>
      <c r="JL14" s="9"/>
      <c r="JM14" s="9"/>
      <c r="JN14" s="9"/>
      <c r="JO14" s="9"/>
      <c r="JP14" s="9"/>
      <c r="JQ14" s="9"/>
      <c r="JR14" s="9"/>
      <c r="JS14" s="9"/>
      <c r="JT14" s="9"/>
      <c r="JU14" s="9"/>
      <c r="JV14" s="9"/>
      <c r="JW14" s="9"/>
      <c r="JX14" s="9"/>
      <c r="JY14" s="9"/>
      <c r="JZ14" s="9"/>
      <c r="KA14" s="9"/>
      <c r="KB14" s="9"/>
      <c r="KC14" s="9"/>
      <c r="KD14" s="9"/>
      <c r="KE14" s="9"/>
      <c r="KF14" s="9"/>
      <c r="KG14" s="9"/>
      <c r="KH14" s="9"/>
      <c r="KI14" s="9"/>
      <c r="KJ14" s="9"/>
      <c r="KK14" s="9"/>
      <c r="KL14" s="9"/>
      <c r="KM14" s="9"/>
      <c r="KN14" s="9"/>
      <c r="KO14" s="9"/>
      <c r="KP14" s="9"/>
      <c r="KQ14" s="9"/>
      <c r="KR14" s="9"/>
      <c r="KS14" s="9"/>
      <c r="KT14" s="9"/>
      <c r="KU14" s="9"/>
      <c r="KV14" s="9"/>
      <c r="KW14" s="9"/>
      <c r="KX14" s="9"/>
      <c r="KY14" s="9"/>
      <c r="KZ14" s="9"/>
      <c r="LA14" s="9"/>
      <c r="LB14" s="9"/>
      <c r="LC14" s="9"/>
      <c r="LD14" s="9"/>
      <c r="LE14" s="9"/>
      <c r="LF14" s="9"/>
      <c r="LG14" s="9"/>
      <c r="LH14" s="9"/>
      <c r="LI14" s="9"/>
      <c r="LJ14" s="9"/>
      <c r="LK14" s="9"/>
      <c r="LL14" s="9"/>
      <c r="LM14" s="9"/>
      <c r="LN14" s="9"/>
      <c r="LO14" s="9"/>
      <c r="LP14" s="9"/>
      <c r="LQ14" s="9"/>
      <c r="LR14" s="9"/>
      <c r="LS14" s="9"/>
      <c r="LT14" s="9"/>
      <c r="LU14" s="9"/>
      <c r="LV14" s="9"/>
      <c r="LW14" s="9"/>
      <c r="LX14" s="9"/>
      <c r="LY14" s="9"/>
      <c r="LZ14" s="9"/>
      <c r="MA14" s="9"/>
      <c r="MB14" s="9"/>
      <c r="MC14" s="9"/>
      <c r="MD14" s="9"/>
      <c r="ME14" s="9"/>
      <c r="MF14" s="9"/>
      <c r="MG14" s="9"/>
      <c r="MH14" s="9"/>
      <c r="MI14" s="9"/>
      <c r="MJ14" s="9"/>
      <c r="MK14" s="9"/>
      <c r="ML14" s="9"/>
      <c r="MM14" s="9"/>
      <c r="MN14" s="9"/>
      <c r="MO14" s="9"/>
      <c r="MP14" s="9"/>
      <c r="MQ14" s="9"/>
      <c r="MR14" s="9"/>
      <c r="MS14" s="9"/>
      <c r="MT14" s="9"/>
      <c r="MU14" s="9"/>
      <c r="MV14" s="9"/>
      <c r="MW14" s="9"/>
      <c r="MX14" s="9"/>
      <c r="MY14" s="9"/>
      <c r="MZ14" s="9"/>
      <c r="NA14" s="9"/>
      <c r="NB14" s="9"/>
      <c r="NC14" s="9"/>
      <c r="ND14" s="9"/>
      <c r="NE14" s="9"/>
      <c r="NF14" s="9"/>
      <c r="NG14" s="9"/>
      <c r="NH14" s="9"/>
      <c r="NI14" s="9"/>
      <c r="NJ14" s="9"/>
      <c r="NK14" s="9"/>
      <c r="NL14" s="9"/>
      <c r="NM14" s="9"/>
      <c r="NN14" s="9"/>
      <c r="NO14" s="9"/>
      <c r="NP14" s="9"/>
      <c r="NQ14" s="9"/>
      <c r="NR14" s="9"/>
      <c r="NS14" s="9"/>
      <c r="NT14" s="9"/>
      <c r="NU14" s="9"/>
      <c r="NV14" s="9"/>
      <c r="NW14" s="9"/>
      <c r="NX14" s="9"/>
      <c r="NY14" s="9"/>
      <c r="NZ14" s="9"/>
      <c r="OA14" s="9"/>
      <c r="OB14" s="9"/>
      <c r="OC14" s="9"/>
      <c r="OD14" s="9"/>
      <c r="OE14" s="9"/>
      <c r="OF14" s="9"/>
      <c r="OG14" s="9"/>
      <c r="OH14" s="9"/>
      <c r="OI14" s="9"/>
      <c r="OJ14" s="9"/>
      <c r="OK14" s="9"/>
      <c r="OL14" s="9"/>
      <c r="OM14" s="9"/>
      <c r="ON14" s="9"/>
      <c r="OO14" s="9"/>
      <c r="OP14" s="9"/>
      <c r="OQ14" s="9"/>
      <c r="OR14" s="9"/>
      <c r="OS14" s="9"/>
      <c r="OT14" s="9"/>
      <c r="OU14" s="9"/>
      <c r="OV14" s="9"/>
      <c r="OW14" s="9"/>
      <c r="OX14" s="9"/>
      <c r="OY14" s="9"/>
      <c r="OZ14" s="9"/>
      <c r="PA14" s="9"/>
      <c r="PB14" s="9"/>
      <c r="PC14" s="9"/>
      <c r="PD14" s="9"/>
      <c r="PE14" s="9"/>
      <c r="PF14" s="9"/>
      <c r="PG14" s="9"/>
      <c r="PH14" s="9"/>
      <c r="PI14" s="9"/>
      <c r="PJ14" s="9"/>
      <c r="PK14" s="9"/>
      <c r="PL14" s="9"/>
      <c r="PM14" s="9"/>
      <c r="PN14" s="9"/>
      <c r="PO14" s="9"/>
      <c r="PP14" s="9"/>
      <c r="PQ14" s="9"/>
      <c r="PR14" s="9"/>
      <c r="PS14" s="9"/>
      <c r="PT14" s="9"/>
      <c r="PU14" s="9"/>
      <c r="PV14" s="9"/>
      <c r="PW14" s="9"/>
      <c r="PX14" s="9"/>
      <c r="PY14" s="9"/>
      <c r="PZ14" s="9"/>
      <c r="QA14" s="9"/>
      <c r="QB14" s="9"/>
      <c r="QC14" s="9"/>
      <c r="QD14" s="9"/>
      <c r="QE14" s="14"/>
      <c r="QF14" s="14"/>
      <c r="QG14" s="14"/>
      <c r="QH14" s="14"/>
      <c r="QI14" s="14"/>
      <c r="QJ14" s="14"/>
      <c r="QK14" s="14"/>
      <c r="QL14" s="14"/>
      <c r="QM14" s="14"/>
      <c r="QN14" s="14"/>
      <c r="QO14" s="14"/>
      <c r="QP14" s="14"/>
      <c r="QQ14" s="14"/>
      <c r="QR14" s="14"/>
      <c r="QS14" s="14"/>
      <c r="QT14" s="14"/>
      <c r="QU14" s="14"/>
      <c r="QV14" s="14"/>
      <c r="QW14" s="14"/>
      <c r="QX14" s="14"/>
      <c r="QY14" s="14"/>
      <c r="QZ14" s="14"/>
      <c r="RA14" s="14"/>
      <c r="RB14" s="14"/>
      <c r="RC14" s="14"/>
      <c r="RD14" s="14"/>
      <c r="RE14" s="14"/>
      <c r="RF14" s="14"/>
      <c r="RG14" s="14"/>
      <c r="RH14" s="14"/>
      <c r="RI14" s="14"/>
      <c r="RJ14" s="14"/>
      <c r="RK14" s="14"/>
      <c r="RL14" s="14"/>
      <c r="RM14" s="14"/>
      <c r="RN14" s="14"/>
      <c r="RO14" s="14"/>
      <c r="RP14" s="14"/>
      <c r="RQ14" s="14"/>
      <c r="RR14" s="14"/>
      <c r="RS14" s="14"/>
      <c r="RT14" s="14"/>
      <c r="RU14" s="14"/>
      <c r="RV14" s="14"/>
      <c r="RW14" s="14"/>
      <c r="RX14" s="14"/>
      <c r="RY14" s="14"/>
      <c r="RZ14" s="14"/>
      <c r="SA14" s="14"/>
      <c r="SB14" s="14"/>
      <c r="SC14" s="14"/>
      <c r="SD14" s="14"/>
      <c r="SE14" s="14"/>
      <c r="SF14" s="14"/>
      <c r="SG14" s="14"/>
      <c r="SH14" s="14"/>
      <c r="SI14" s="14"/>
      <c r="SJ14" s="14"/>
      <c r="SK14" s="14"/>
      <c r="SL14" s="14"/>
      <c r="SM14" s="14"/>
      <c r="SN14" s="14"/>
      <c r="SO14" s="14"/>
      <c r="SP14" s="14"/>
      <c r="SQ14" s="14"/>
      <c r="SR14" s="14"/>
      <c r="SS14" s="14"/>
      <c r="ST14" s="14"/>
      <c r="SU14" s="14"/>
      <c r="SV14" s="14"/>
      <c r="SW14" s="14"/>
      <c r="SX14" s="14"/>
      <c r="SY14" s="14"/>
      <c r="SZ14" s="14"/>
      <c r="TA14" s="14"/>
      <c r="TB14" s="14"/>
      <c r="TC14" s="14"/>
      <c r="TD14" s="14"/>
      <c r="TE14" s="14"/>
      <c r="TF14" s="14"/>
      <c r="TG14" s="14"/>
      <c r="TH14" s="14"/>
      <c r="TI14" s="14"/>
      <c r="TJ14" s="14"/>
      <c r="TK14" s="14"/>
      <c r="TL14" s="14"/>
      <c r="TM14" s="14"/>
      <c r="TN14" s="14"/>
      <c r="TO14" s="14"/>
      <c r="TP14" s="14"/>
      <c r="TQ14" s="14"/>
      <c r="TR14" s="14"/>
      <c r="TS14" s="14"/>
      <c r="TT14" s="14"/>
      <c r="TU14" s="14"/>
      <c r="TV14" s="14"/>
      <c r="TW14" s="14"/>
      <c r="TX14" s="14"/>
      <c r="TY14" s="14"/>
      <c r="TZ14" s="14"/>
      <c r="UA14" s="14"/>
      <c r="UB14" s="14"/>
      <c r="UC14" s="14"/>
      <c r="UD14" s="14"/>
      <c r="UE14" s="14"/>
      <c r="UF14" s="14"/>
      <c r="UG14" s="14"/>
      <c r="UH14" s="14"/>
      <c r="UI14" s="14"/>
      <c r="UJ14" s="14"/>
      <c r="UK14" s="14"/>
      <c r="UL14" s="14"/>
      <c r="UM14" s="14"/>
      <c r="UN14" s="14"/>
      <c r="UO14" s="14"/>
      <c r="UP14" s="14"/>
      <c r="UQ14" s="14"/>
      <c r="UR14" s="14"/>
      <c r="US14" s="14"/>
      <c r="UT14" s="14"/>
      <c r="UU14" s="14"/>
      <c r="UV14" s="14"/>
      <c r="UW14" s="14"/>
      <c r="UX14" s="14"/>
      <c r="UY14" s="14"/>
      <c r="UZ14" s="14"/>
      <c r="VA14" s="14"/>
      <c r="VB14" s="14"/>
      <c r="VC14" s="14"/>
      <c r="VD14" s="14"/>
      <c r="VE14" s="14"/>
      <c r="VF14" s="14"/>
      <c r="VG14" s="14"/>
      <c r="VH14" s="14"/>
      <c r="VI14" s="14"/>
      <c r="VJ14" s="14"/>
      <c r="VK14" s="14"/>
      <c r="VL14" s="14"/>
      <c r="VM14" s="14"/>
      <c r="VN14" s="14"/>
      <c r="VO14" s="14"/>
      <c r="VP14" s="14"/>
      <c r="VQ14" s="14"/>
      <c r="VR14" s="14"/>
      <c r="VS14" s="14"/>
      <c r="VT14" s="14"/>
      <c r="VU14" s="14"/>
      <c r="VV14" s="14"/>
      <c r="VW14" s="14"/>
      <c r="VX14" s="14"/>
      <c r="VY14" s="14"/>
      <c r="VZ14" s="14"/>
      <c r="WA14" s="14"/>
      <c r="WB14" s="14"/>
      <c r="WC14" s="14"/>
      <c r="WD14" s="14"/>
      <c r="WE14" s="14"/>
      <c r="WF14" s="14"/>
      <c r="WG14" s="14"/>
      <c r="WH14" s="14"/>
      <c r="WI14" s="14"/>
      <c r="WJ14" s="14"/>
      <c r="WK14" s="14"/>
      <c r="WL14" s="14"/>
      <c r="WM14" s="14"/>
      <c r="WN14" s="14"/>
      <c r="WO14" s="14"/>
      <c r="WP14" s="14"/>
      <c r="WQ14" s="14"/>
      <c r="WR14" s="14"/>
      <c r="WS14" s="14"/>
      <c r="WT14" s="14"/>
      <c r="WU14" s="14"/>
      <c r="WV14" s="14"/>
      <c r="WW14" s="14"/>
      <c r="WX14" s="14"/>
      <c r="WY14" s="14"/>
      <c r="WZ14" s="14"/>
      <c r="XA14" s="14"/>
      <c r="XB14" s="14"/>
      <c r="XC14" s="14"/>
      <c r="XD14" s="14"/>
      <c r="XE14" s="14"/>
      <c r="XF14" s="14"/>
      <c r="XG14" s="14"/>
      <c r="XH14" s="14"/>
      <c r="XI14" s="14"/>
      <c r="XJ14" s="14"/>
      <c r="XK14" s="14"/>
      <c r="XL14" s="14"/>
      <c r="XM14" s="14"/>
      <c r="XN14" s="14"/>
      <c r="XO14" s="14"/>
      <c r="XP14" s="14"/>
      <c r="XQ14" s="14"/>
      <c r="XR14" s="14"/>
      <c r="XS14" s="14"/>
      <c r="XT14" s="14"/>
      <c r="XU14" s="14"/>
      <c r="XV14" s="14"/>
      <c r="XW14" s="14"/>
      <c r="XX14" s="14"/>
      <c r="XY14" s="14"/>
      <c r="XZ14" s="14"/>
      <c r="YA14" s="14"/>
      <c r="YB14" s="14"/>
      <c r="YC14" s="14"/>
      <c r="YD14" s="14"/>
      <c r="YE14" s="14"/>
      <c r="YF14" s="14"/>
      <c r="YG14" s="14"/>
      <c r="YH14" s="14"/>
      <c r="YI14" s="14"/>
      <c r="YJ14" s="14"/>
      <c r="YK14" s="14"/>
      <c r="YL14" s="14"/>
      <c r="YM14" s="14"/>
      <c r="YN14" s="14"/>
      <c r="YO14" s="14"/>
      <c r="YP14" s="14"/>
      <c r="YQ14" s="14"/>
      <c r="YR14" s="14"/>
      <c r="YS14" s="14"/>
      <c r="YT14" s="14"/>
      <c r="YU14" s="14"/>
      <c r="YV14" s="14"/>
      <c r="YW14" s="14"/>
      <c r="YX14" s="13"/>
      <c r="YY14" s="13"/>
      <c r="YZ14" s="13"/>
      <c r="ZA14" s="13"/>
      <c r="ZB14" s="13"/>
      <c r="ZC14" s="13"/>
      <c r="ZD14" s="13"/>
      <c r="ZE14" s="13"/>
      <c r="ZF14" s="13"/>
      <c r="ZG14" s="13"/>
      <c r="ZH14" s="13"/>
      <c r="ZI14" s="13"/>
      <c r="ZJ14" s="13"/>
      <c r="ZK14" s="13"/>
      <c r="ZL14" s="13"/>
      <c r="ZM14" s="13"/>
      <c r="ZN14" s="13"/>
      <c r="ZO14" s="13"/>
      <c r="ZP14" s="13"/>
      <c r="ZQ14" s="13"/>
      <c r="ZR14" s="13"/>
      <c r="ZS14" s="13"/>
      <c r="ZT14" s="13"/>
      <c r="ZU14" s="13"/>
      <c r="ZV14" s="13"/>
      <c r="ZW14" s="13"/>
      <c r="ZX14" s="13"/>
      <c r="ZY14" s="13"/>
      <c r="ZZ14" s="13"/>
      <c r="AAA14" s="13"/>
      <c r="AAB14" s="13"/>
      <c r="AAC14" s="13"/>
      <c r="AAD14" s="13"/>
      <c r="AAE14" s="13"/>
      <c r="AAF14" s="13"/>
      <c r="AAG14" s="13"/>
      <c r="AAH14" s="13"/>
      <c r="AAI14" s="13"/>
      <c r="AAJ14" s="13"/>
      <c r="AAK14" s="13"/>
      <c r="AAL14" s="13"/>
      <c r="AAM14" s="13"/>
      <c r="AAN14" s="13"/>
      <c r="AAO14" s="13"/>
      <c r="AAP14" s="13"/>
      <c r="AAQ14" s="13"/>
      <c r="AAR14" s="13"/>
      <c r="AAS14" s="13"/>
      <c r="AAT14" s="13"/>
      <c r="AAU14" s="13"/>
      <c r="AAV14" s="13"/>
      <c r="AAW14" s="13"/>
      <c r="AAX14" s="13"/>
      <c r="AAY14" s="13"/>
      <c r="AAZ14" s="13"/>
      <c r="ABA14" s="13"/>
      <c r="ABB14" s="13"/>
      <c r="ABC14" s="13"/>
      <c r="ABD14" s="13"/>
      <c r="ABE14" s="13"/>
      <c r="ABF14" s="13"/>
      <c r="ABG14" s="13"/>
      <c r="ABH14" s="13"/>
      <c r="ABI14" s="13"/>
      <c r="ABJ14" s="13"/>
      <c r="ABK14" s="13"/>
      <c r="ABL14" s="13"/>
      <c r="ABM14" s="13"/>
      <c r="ABN14" s="13"/>
      <c r="ABO14" s="13"/>
      <c r="ABP14" s="13"/>
      <c r="ABQ14" s="13"/>
      <c r="ABR14" s="13"/>
      <c r="ABS14" s="13"/>
      <c r="ABT14" s="13"/>
      <c r="ABU14" s="13"/>
      <c r="ABV14" s="13"/>
      <c r="ABW14" s="13"/>
      <c r="ABX14" s="13"/>
      <c r="ABY14" s="13"/>
      <c r="ABZ14" s="13"/>
      <c r="ACA14" s="13"/>
      <c r="ACB14" s="13"/>
      <c r="ACC14" s="13"/>
      <c r="ACD14" s="13"/>
      <c r="ACE14" s="13"/>
      <c r="ACF14" s="13"/>
      <c r="ACG14" s="13"/>
      <c r="ACH14" s="13"/>
      <c r="ACI14" s="13"/>
      <c r="ACJ14" s="13"/>
      <c r="ACK14" s="13"/>
      <c r="ACL14" s="13"/>
      <c r="ACM14" s="13"/>
      <c r="ACN14" s="13"/>
      <c r="ACO14" s="13"/>
      <c r="ACP14" s="13"/>
      <c r="ACQ14" s="13"/>
      <c r="ACR14" s="13"/>
      <c r="ACS14" s="13"/>
      <c r="ACT14" s="13"/>
      <c r="ACU14" s="13"/>
      <c r="ACV14" s="13"/>
      <c r="ACW14" s="13"/>
      <c r="ACX14" s="13"/>
      <c r="ACY14" s="13"/>
      <c r="ACZ14" s="13"/>
      <c r="ADA14" s="13"/>
      <c r="ADB14" s="13"/>
      <c r="ADC14" s="13"/>
      <c r="ADD14" s="13"/>
      <c r="ADE14" s="13"/>
      <c r="ADF14" s="13"/>
      <c r="ADG14" s="13"/>
      <c r="ADH14" s="13"/>
      <c r="ADI14" s="13"/>
      <c r="ADJ14" s="13"/>
      <c r="ADK14" s="13"/>
      <c r="ADL14" s="13"/>
      <c r="ADM14" s="13"/>
      <c r="ADN14" s="13"/>
      <c r="ADO14" s="13"/>
      <c r="ADP14" s="13"/>
      <c r="ADQ14" s="13"/>
      <c r="ADR14" s="13"/>
      <c r="ADS14" s="13"/>
      <c r="ADT14" s="13"/>
      <c r="ADU14" s="13"/>
      <c r="ADV14" s="13"/>
      <c r="ADW14" s="13"/>
      <c r="ADX14" s="13"/>
      <c r="ADY14" s="13"/>
      <c r="ADZ14" s="13"/>
      <c r="AEA14" s="13"/>
      <c r="AEB14" s="13"/>
      <c r="AEC14" s="13"/>
      <c r="AED14" s="13"/>
      <c r="AEE14" s="13"/>
      <c r="AEF14" s="13"/>
      <c r="AEG14" s="13"/>
      <c r="AEH14" s="13"/>
      <c r="AEI14" s="13"/>
      <c r="AEJ14" s="13"/>
      <c r="AEK14" s="13"/>
      <c r="AEL14" s="13"/>
      <c r="AEM14" s="13"/>
      <c r="AEN14" s="13"/>
      <c r="AEO14" s="13"/>
      <c r="AEP14" s="13"/>
      <c r="AEQ14" s="13"/>
      <c r="AER14" s="13"/>
      <c r="AES14" s="13"/>
      <c r="AET14" s="13"/>
      <c r="AEU14" s="13"/>
      <c r="AEV14" s="13"/>
      <c r="AEW14" s="13"/>
      <c r="AEX14" s="13"/>
      <c r="AEY14" s="13"/>
      <c r="AEZ14" s="13"/>
      <c r="AFA14" s="13"/>
      <c r="AFB14" s="13"/>
      <c r="AFC14" s="13"/>
      <c r="AFD14" s="13"/>
      <c r="AFE14" s="13"/>
      <c r="AFF14" s="13"/>
      <c r="AFG14" s="13"/>
      <c r="AFH14" s="13"/>
      <c r="AFI14" s="13"/>
      <c r="AFJ14" s="13"/>
      <c r="AFK14" s="13"/>
      <c r="AFL14" s="13"/>
      <c r="AFM14" s="13"/>
      <c r="AFN14" s="13"/>
      <c r="AFO14" s="13"/>
      <c r="AFP14" s="13"/>
      <c r="AFQ14" s="13"/>
      <c r="AFR14" s="13"/>
      <c r="AFS14" s="13"/>
      <c r="AFT14" s="13"/>
      <c r="AFU14" s="13"/>
      <c r="AFV14" s="13"/>
      <c r="AFW14" s="13"/>
      <c r="AFX14" s="13"/>
      <c r="AFY14" s="13"/>
      <c r="AFZ14" s="13"/>
      <c r="AGA14" s="13"/>
      <c r="AGB14" s="13"/>
      <c r="AGC14" s="13"/>
      <c r="AGD14" s="13"/>
      <c r="AGE14" s="13"/>
      <c r="AGF14" s="13"/>
      <c r="AGG14" s="13"/>
      <c r="AGH14" s="13"/>
      <c r="AGI14" s="13"/>
      <c r="AGJ14" s="13"/>
      <c r="AGK14" s="13"/>
      <c r="AGL14" s="13"/>
      <c r="AGM14" s="13"/>
      <c r="AGN14" s="13"/>
      <c r="AGO14" s="13"/>
      <c r="AGP14" s="13"/>
      <c r="AGQ14" s="13"/>
      <c r="AGR14" s="13"/>
      <c r="AGS14" s="13"/>
      <c r="AGT14" s="13"/>
      <c r="AGU14" s="13"/>
      <c r="AGV14" s="13"/>
      <c r="AGW14" s="13"/>
      <c r="AGX14" s="13"/>
      <c r="AGY14" s="13"/>
      <c r="AGZ14" s="13"/>
      <c r="AHA14" s="13"/>
      <c r="AHB14" s="13"/>
      <c r="AHC14" s="13"/>
      <c r="AHD14" s="13"/>
      <c r="AHE14" s="13"/>
      <c r="AHF14" s="13"/>
      <c r="AHG14" s="13"/>
      <c r="AHH14" s="13"/>
      <c r="AHI14" s="13"/>
      <c r="AHJ14" s="13"/>
      <c r="AHK14" s="13"/>
      <c r="AHL14" s="13"/>
      <c r="AHM14" s="13"/>
      <c r="AHN14" s="13"/>
      <c r="AHO14" s="13"/>
      <c r="AHP14" s="13"/>
      <c r="AHQ14" s="13"/>
      <c r="AHR14" s="13"/>
      <c r="AHS14" s="13"/>
      <c r="AHT14" s="13"/>
      <c r="AHU14" s="13"/>
      <c r="AHV14" s="13"/>
      <c r="AHW14" s="13"/>
      <c r="AHX14" s="13"/>
      <c r="AHY14" s="13"/>
      <c r="AHZ14" s="13"/>
      <c r="AIA14" s="13"/>
      <c r="AIB14" s="13"/>
      <c r="AIC14" s="13"/>
      <c r="AID14" s="13"/>
      <c r="AIE14" s="13"/>
      <c r="AIF14" s="13"/>
      <c r="AIG14" s="13"/>
      <c r="AIH14" s="13"/>
      <c r="AII14" s="13"/>
      <c r="AIJ14" s="13"/>
      <c r="AIK14" s="13"/>
      <c r="AIL14" s="13"/>
      <c r="AIM14" s="13"/>
      <c r="AIN14" s="13"/>
      <c r="AIO14" s="13"/>
      <c r="AIP14" s="13"/>
      <c r="AIQ14" s="13"/>
      <c r="AIR14" s="13"/>
      <c r="AIS14" s="13"/>
      <c r="AIT14" s="13"/>
      <c r="AIU14" s="13"/>
      <c r="AIV14" s="13"/>
      <c r="AIW14" s="13"/>
      <c r="AIX14" s="13"/>
      <c r="AIY14" s="13"/>
      <c r="AIZ14" s="13"/>
      <c r="AJA14" s="13"/>
      <c r="AJB14" s="13"/>
      <c r="AJC14" s="13"/>
      <c r="AJD14" s="13"/>
      <c r="AJE14" s="13"/>
      <c r="AJF14" s="13"/>
      <c r="AJG14" s="13"/>
      <c r="AJH14" s="13"/>
      <c r="AJI14" s="13"/>
      <c r="AJJ14" s="13"/>
      <c r="AJK14" s="13"/>
      <c r="AJL14" s="13"/>
      <c r="AJM14" s="13"/>
      <c r="AJN14" s="13"/>
      <c r="AJO14" s="13"/>
      <c r="AJP14" s="13"/>
      <c r="AJQ14" s="13"/>
      <c r="AJR14" s="13"/>
      <c r="AJS14" s="13"/>
      <c r="AJT14" s="13"/>
      <c r="AJU14" s="13"/>
      <c r="AJV14" s="13"/>
      <c r="AJW14" s="13"/>
      <c r="AJX14" s="13"/>
      <c r="AJY14" s="13"/>
      <c r="AJZ14" s="13"/>
      <c r="AKA14" s="13"/>
      <c r="AKB14" s="13"/>
      <c r="AKC14" s="13"/>
      <c r="AKD14" s="13"/>
      <c r="AKE14" s="13"/>
      <c r="AKF14" s="13"/>
      <c r="AKG14" s="13"/>
      <c r="AKH14" s="13"/>
      <c r="AKI14" s="13"/>
      <c r="AKJ14" s="13"/>
      <c r="AKK14" s="13"/>
      <c r="AKL14" s="13"/>
      <c r="AKM14" s="13"/>
      <c r="AKN14" s="13"/>
      <c r="AKO14" s="13"/>
      <c r="AKP14" s="13"/>
      <c r="AKQ14" s="13"/>
      <c r="AKR14" s="13"/>
      <c r="AKS14" s="13"/>
      <c r="AKT14" s="13"/>
      <c r="AKU14" s="13"/>
      <c r="AKV14" s="13"/>
      <c r="AKW14" s="13"/>
      <c r="AKX14" s="13"/>
      <c r="AKY14" s="13"/>
      <c r="AKZ14" s="13"/>
      <c r="ALA14" s="13"/>
      <c r="ALB14" s="13"/>
      <c r="ALC14" s="13"/>
      <c r="ALD14" s="13"/>
      <c r="ALE14" s="13"/>
      <c r="ALF14" s="13"/>
      <c r="ALG14" s="13"/>
      <c r="ALH14" s="13"/>
      <c r="ALI14" s="13"/>
      <c r="ALJ14" s="13"/>
      <c r="ALK14" s="13"/>
      <c r="ALL14" s="13"/>
      <c r="ALM14" s="13"/>
      <c r="ALN14" s="13"/>
      <c r="ALO14" s="13"/>
      <c r="ALP14" s="13"/>
      <c r="ALQ14" s="13"/>
      <c r="ALR14" s="13"/>
      <c r="ALS14" s="13"/>
      <c r="ALT14" s="13"/>
      <c r="ALU14" s="13"/>
      <c r="ALV14" s="13"/>
      <c r="ALW14" s="13"/>
      <c r="ALX14" s="13"/>
      <c r="ALY14" s="13"/>
    </row>
    <row r="15" spans="1:1024" s="1" customFormat="1" ht="22.15" customHeight="1" thickBot="1" x14ac:dyDescent="0.3">
      <c r="A15" s="289" t="s">
        <v>31</v>
      </c>
      <c r="B15" s="290"/>
      <c r="C15" s="67"/>
      <c r="D15" s="68"/>
      <c r="E15" s="67" t="s">
        <v>53</v>
      </c>
      <c r="F15" s="69" t="s">
        <v>54</v>
      </c>
      <c r="G15" s="201"/>
      <c r="H15" s="216" t="s">
        <v>125</v>
      </c>
      <c r="I15" s="217" t="s">
        <v>126</v>
      </c>
      <c r="J15" s="217" t="s">
        <v>127</v>
      </c>
      <c r="K15" s="217" t="s">
        <v>128</v>
      </c>
      <c r="L15" s="217" t="s">
        <v>129</v>
      </c>
      <c r="M15" s="217" t="s">
        <v>132</v>
      </c>
      <c r="N15" s="218" t="s">
        <v>130</v>
      </c>
      <c r="O15" s="129"/>
      <c r="P15" s="231"/>
      <c r="Q15" s="273" t="s">
        <v>28</v>
      </c>
      <c r="R15" s="276" t="s">
        <v>141</v>
      </c>
      <c r="S15" s="273" t="s">
        <v>60</v>
      </c>
      <c r="T15" s="276" t="s">
        <v>142</v>
      </c>
      <c r="U15" s="273" t="s">
        <v>140</v>
      </c>
      <c r="V15" s="273" t="s">
        <v>29</v>
      </c>
      <c r="W15" s="279" t="s">
        <v>148</v>
      </c>
      <c r="X15" s="279" t="s">
        <v>149</v>
      </c>
      <c r="Y15" s="276" t="s">
        <v>143</v>
      </c>
      <c r="Z15" s="279" t="s">
        <v>33</v>
      </c>
      <c r="AA15" s="276" t="s">
        <v>30</v>
      </c>
      <c r="AB15" s="273" t="s">
        <v>71</v>
      </c>
      <c r="AC15" s="276" t="s">
        <v>72</v>
      </c>
      <c r="AD15" s="273" t="s">
        <v>73</v>
      </c>
      <c r="AE15" s="276" t="s">
        <v>74</v>
      </c>
      <c r="AG15" s="83"/>
      <c r="AH15" s="84"/>
      <c r="AI15" s="84"/>
      <c r="AJ15" s="85" t="s">
        <v>61</v>
      </c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14"/>
      <c r="CB15" s="14"/>
      <c r="CC15" s="14"/>
      <c r="CD15" s="14"/>
      <c r="CE15" s="14"/>
      <c r="CF15" s="14"/>
      <c r="CG15" s="14"/>
      <c r="CH15" s="14"/>
      <c r="CI15" s="14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 s="9"/>
      <c r="GM15" s="9"/>
      <c r="GN15" s="9"/>
      <c r="GO15" s="9"/>
      <c r="GP15" s="9"/>
      <c r="GQ15" s="9"/>
      <c r="GR15" s="9"/>
      <c r="GS15" s="9"/>
      <c r="GT15" s="9"/>
      <c r="GU15" s="9"/>
      <c r="GV15" s="9"/>
      <c r="GW15" s="9"/>
      <c r="GX15" s="9"/>
      <c r="GY15" s="9"/>
      <c r="GZ15" s="9"/>
      <c r="HA15" s="9"/>
      <c r="HB15" s="9"/>
      <c r="HC15" s="9"/>
      <c r="HD15" s="9"/>
      <c r="HE15" s="9"/>
      <c r="HF15" s="9"/>
      <c r="HG15" s="9"/>
      <c r="HH15" s="9"/>
      <c r="HI15" s="9"/>
      <c r="HJ15" s="9"/>
      <c r="HK15" s="9"/>
      <c r="HL15" s="9"/>
      <c r="HM15" s="9"/>
      <c r="HN15" s="9"/>
      <c r="HO15" s="9"/>
      <c r="HP15" s="9"/>
      <c r="HQ15" s="9"/>
      <c r="HR15" s="9"/>
      <c r="HS15" s="9"/>
      <c r="HT15" s="9"/>
      <c r="HU15" s="9"/>
      <c r="HV15" s="9"/>
      <c r="HW15" s="9"/>
      <c r="HX15" s="9"/>
      <c r="HY15" s="9"/>
      <c r="HZ15" s="9"/>
      <c r="IA15" s="9"/>
      <c r="IB15" s="9"/>
      <c r="IC15" s="9"/>
      <c r="ID15" s="9"/>
      <c r="IE15" s="9"/>
      <c r="IF15" s="9"/>
      <c r="IG15" s="9"/>
      <c r="IH15" s="9"/>
      <c r="II15" s="9"/>
      <c r="IJ15" s="9"/>
      <c r="IK15" s="9"/>
      <c r="IL15" s="9"/>
      <c r="IM15" s="9"/>
      <c r="IN15" s="9"/>
      <c r="IO15" s="9"/>
      <c r="IP15" s="9"/>
      <c r="IQ15" s="9"/>
      <c r="IR15" s="9"/>
      <c r="IS15" s="9"/>
      <c r="IT15" s="9"/>
      <c r="IU15" s="9"/>
      <c r="IV15" s="9"/>
      <c r="IW15" s="9"/>
      <c r="IX15" s="9"/>
      <c r="IY15" s="9"/>
      <c r="IZ15" s="9"/>
      <c r="JA15" s="9"/>
      <c r="JB15" s="9"/>
      <c r="JC15" s="9"/>
      <c r="JD15" s="9"/>
      <c r="JE15" s="9"/>
      <c r="JF15" s="9"/>
      <c r="JG15" s="9"/>
      <c r="JH15" s="9"/>
      <c r="JI15" s="9"/>
      <c r="JJ15" s="9"/>
      <c r="JK15" s="9"/>
      <c r="JL15" s="9"/>
      <c r="JM15" s="9"/>
      <c r="JN15" s="9"/>
      <c r="JO15" s="9"/>
      <c r="JP15" s="9"/>
      <c r="JQ15" s="9"/>
      <c r="JR15" s="9"/>
      <c r="JS15" s="9"/>
      <c r="JT15" s="9"/>
      <c r="JU15" s="9"/>
      <c r="JV15" s="9"/>
      <c r="JW15" s="9"/>
      <c r="JX15" s="9"/>
      <c r="JY15" s="9"/>
      <c r="JZ15" s="9"/>
      <c r="KA15" s="9"/>
      <c r="KB15" s="9"/>
      <c r="KC15" s="9"/>
      <c r="KD15" s="9"/>
      <c r="KE15" s="9"/>
      <c r="KF15" s="9"/>
      <c r="KG15" s="9"/>
      <c r="KH15" s="9"/>
      <c r="KI15" s="9"/>
      <c r="KJ15" s="9"/>
      <c r="KK15" s="9"/>
      <c r="KL15" s="9"/>
      <c r="KM15" s="9"/>
      <c r="KN15" s="9"/>
      <c r="KO15" s="9"/>
      <c r="KP15" s="9"/>
      <c r="KQ15" s="9"/>
      <c r="KR15" s="9"/>
      <c r="KS15" s="9"/>
      <c r="KT15" s="9"/>
      <c r="KU15" s="9"/>
      <c r="KV15" s="9"/>
      <c r="KW15" s="9"/>
      <c r="KX15" s="9"/>
      <c r="KY15" s="9"/>
      <c r="KZ15" s="9"/>
      <c r="LA15" s="9"/>
      <c r="LB15" s="9"/>
      <c r="LC15" s="9"/>
      <c r="LD15" s="9"/>
      <c r="LE15" s="9"/>
      <c r="LF15" s="9"/>
      <c r="LG15" s="9"/>
      <c r="LH15" s="9"/>
      <c r="LI15" s="9"/>
      <c r="LJ15" s="9"/>
      <c r="LK15" s="9"/>
      <c r="LL15" s="9"/>
      <c r="LM15" s="9"/>
      <c r="LN15" s="9"/>
      <c r="LO15" s="9"/>
      <c r="LP15" s="9"/>
      <c r="LQ15" s="9"/>
      <c r="LR15" s="9"/>
      <c r="LS15" s="9"/>
      <c r="LT15" s="9"/>
      <c r="LU15" s="9"/>
      <c r="LV15" s="9"/>
      <c r="LW15" s="9"/>
      <c r="LX15" s="9"/>
      <c r="LY15" s="9"/>
      <c r="LZ15" s="9"/>
      <c r="MA15" s="9"/>
      <c r="MB15" s="9"/>
      <c r="MC15" s="9"/>
      <c r="MD15" s="9"/>
      <c r="ME15" s="9"/>
      <c r="MF15" s="9"/>
      <c r="MG15" s="9"/>
      <c r="MH15" s="9"/>
      <c r="MI15" s="9"/>
      <c r="MJ15" s="9"/>
      <c r="MK15" s="9"/>
      <c r="ML15" s="9"/>
      <c r="MM15" s="9"/>
      <c r="MN15" s="9"/>
      <c r="MO15" s="9"/>
      <c r="MP15" s="9"/>
      <c r="MQ15" s="9"/>
      <c r="MR15" s="9"/>
      <c r="MS15" s="9"/>
      <c r="MT15" s="9"/>
      <c r="MU15" s="9"/>
      <c r="MV15" s="9"/>
      <c r="MW15" s="9"/>
      <c r="MX15" s="9"/>
      <c r="MY15" s="9"/>
      <c r="MZ15" s="9"/>
      <c r="NA15" s="9"/>
      <c r="NB15" s="9"/>
      <c r="NC15" s="9"/>
      <c r="ND15" s="9"/>
      <c r="NE15" s="9"/>
      <c r="NF15" s="9"/>
      <c r="NG15" s="9"/>
      <c r="NH15" s="9"/>
      <c r="NI15" s="9"/>
      <c r="NJ15" s="9"/>
      <c r="NK15" s="9"/>
      <c r="NL15" s="9"/>
      <c r="NM15" s="9"/>
      <c r="NN15" s="9"/>
      <c r="NO15" s="9"/>
      <c r="NP15" s="9"/>
      <c r="NQ15" s="9"/>
      <c r="NR15" s="9"/>
      <c r="NS15" s="9"/>
      <c r="NT15" s="9"/>
      <c r="NU15" s="9"/>
      <c r="NV15" s="9"/>
      <c r="NW15" s="9"/>
      <c r="NX15" s="9"/>
      <c r="NY15" s="9"/>
      <c r="NZ15" s="9"/>
      <c r="OA15" s="9"/>
      <c r="OB15" s="9"/>
      <c r="OC15" s="9"/>
      <c r="OD15" s="9"/>
      <c r="OE15" s="9"/>
      <c r="OF15" s="9"/>
      <c r="OG15" s="9"/>
      <c r="OH15" s="9"/>
      <c r="OI15" s="9"/>
      <c r="OJ15" s="9"/>
      <c r="OK15" s="9"/>
      <c r="OL15" s="9"/>
      <c r="OM15" s="9"/>
      <c r="ON15" s="9"/>
      <c r="OO15" s="9"/>
      <c r="OP15" s="9"/>
      <c r="OQ15" s="9"/>
      <c r="OR15" s="9"/>
      <c r="OS15" s="9"/>
      <c r="OT15" s="9"/>
      <c r="OU15" s="9"/>
      <c r="OV15" s="9"/>
      <c r="OW15" s="9"/>
      <c r="OX15" s="9"/>
      <c r="OY15" s="9"/>
      <c r="OZ15" s="9"/>
      <c r="PA15" s="9"/>
      <c r="PB15" s="9"/>
      <c r="PC15" s="9"/>
      <c r="PD15" s="9"/>
      <c r="PE15" s="9"/>
      <c r="PF15" s="9"/>
      <c r="PG15" s="9"/>
      <c r="PH15" s="9"/>
      <c r="PI15" s="9"/>
      <c r="PJ15" s="9"/>
      <c r="PK15" s="9"/>
      <c r="PL15" s="9"/>
      <c r="PM15" s="9"/>
      <c r="PN15" s="9"/>
      <c r="PO15" s="9"/>
      <c r="PP15" s="9"/>
      <c r="PQ15" s="9"/>
      <c r="PR15" s="9"/>
      <c r="PS15" s="9"/>
      <c r="PT15" s="9"/>
      <c r="PU15" s="9"/>
      <c r="PV15" s="9"/>
      <c r="PW15" s="9"/>
      <c r="PX15" s="9"/>
      <c r="PY15" s="9"/>
      <c r="PZ15" s="9"/>
      <c r="QA15" s="9"/>
      <c r="QB15" s="9"/>
      <c r="QC15" s="9"/>
      <c r="QD15" s="9"/>
      <c r="QE15" s="9"/>
      <c r="QF15" s="9"/>
      <c r="QG15" s="9"/>
      <c r="QH15" s="9"/>
      <c r="QI15" s="9"/>
      <c r="QJ15" s="9"/>
      <c r="QK15" s="9"/>
      <c r="QL15" s="9"/>
      <c r="QM15" s="9"/>
      <c r="QN15" s="9"/>
      <c r="QO15" s="9"/>
      <c r="QP15" s="14"/>
      <c r="QQ15" s="14"/>
      <c r="QR15" s="14"/>
      <c r="QS15" s="14"/>
      <c r="QT15" s="14"/>
      <c r="QU15" s="14"/>
      <c r="QV15" s="14"/>
      <c r="QW15" s="14"/>
      <c r="QX15" s="14"/>
      <c r="QY15" s="14"/>
      <c r="QZ15" s="14"/>
      <c r="RA15" s="14"/>
      <c r="RB15" s="14"/>
      <c r="RC15" s="14"/>
      <c r="RD15" s="14"/>
      <c r="RE15" s="14"/>
      <c r="RF15" s="14"/>
      <c r="RG15" s="14"/>
      <c r="RH15" s="14"/>
      <c r="RI15" s="14"/>
      <c r="RJ15" s="14"/>
      <c r="RK15" s="14"/>
      <c r="RL15" s="14"/>
      <c r="RM15" s="14"/>
      <c r="RN15" s="14"/>
      <c r="RO15" s="14"/>
      <c r="RP15" s="14"/>
      <c r="RQ15" s="14"/>
      <c r="RR15" s="14"/>
      <c r="RS15" s="14"/>
      <c r="RT15" s="14"/>
      <c r="RU15" s="14"/>
      <c r="RV15" s="14"/>
      <c r="RW15" s="14"/>
      <c r="RX15" s="14"/>
      <c r="RY15" s="14"/>
      <c r="RZ15" s="14"/>
      <c r="SA15" s="14"/>
      <c r="SB15" s="14"/>
      <c r="SC15" s="14"/>
      <c r="SD15" s="14"/>
      <c r="SE15" s="14"/>
      <c r="SF15" s="14"/>
      <c r="SG15" s="14"/>
      <c r="SH15" s="14"/>
      <c r="SI15" s="14"/>
      <c r="SJ15" s="14"/>
      <c r="SK15" s="14"/>
      <c r="SL15" s="14"/>
      <c r="SM15" s="14"/>
      <c r="SN15" s="14"/>
      <c r="SO15" s="14"/>
      <c r="SP15" s="14"/>
      <c r="SQ15" s="14"/>
      <c r="SR15" s="14"/>
      <c r="SS15" s="14"/>
      <c r="ST15" s="14"/>
      <c r="SU15" s="14"/>
      <c r="SV15" s="14"/>
      <c r="SW15" s="14"/>
      <c r="SX15" s="14"/>
      <c r="SY15" s="14"/>
      <c r="SZ15" s="14"/>
      <c r="TA15" s="14"/>
      <c r="TB15" s="14"/>
      <c r="TC15" s="14"/>
      <c r="TD15" s="14"/>
      <c r="TE15" s="14"/>
      <c r="TF15" s="14"/>
      <c r="TG15" s="14"/>
      <c r="TH15" s="14"/>
      <c r="TI15" s="14"/>
      <c r="TJ15" s="14"/>
      <c r="TK15" s="14"/>
      <c r="TL15" s="14"/>
      <c r="TM15" s="14"/>
      <c r="TN15" s="14"/>
      <c r="TO15" s="14"/>
      <c r="TP15" s="14"/>
      <c r="TQ15" s="14"/>
      <c r="TR15" s="14"/>
      <c r="TS15" s="14"/>
      <c r="TT15" s="14"/>
      <c r="TU15" s="14"/>
      <c r="TV15" s="14"/>
      <c r="TW15" s="14"/>
      <c r="TX15" s="14"/>
      <c r="TY15" s="14"/>
      <c r="TZ15" s="14"/>
      <c r="UA15" s="14"/>
      <c r="UB15" s="14"/>
      <c r="UC15" s="14"/>
      <c r="UD15" s="14"/>
      <c r="UE15" s="14"/>
      <c r="UF15" s="14"/>
      <c r="UG15" s="14"/>
      <c r="UH15" s="14"/>
      <c r="UI15" s="14"/>
      <c r="UJ15" s="14"/>
      <c r="UK15" s="14"/>
      <c r="UL15" s="14"/>
      <c r="UM15" s="14"/>
      <c r="UN15" s="14"/>
      <c r="UO15" s="14"/>
      <c r="UP15" s="14"/>
      <c r="UQ15" s="14"/>
      <c r="UR15" s="14"/>
      <c r="US15" s="14"/>
      <c r="UT15" s="14"/>
      <c r="UU15" s="14"/>
      <c r="UV15" s="14"/>
      <c r="UW15" s="14"/>
      <c r="UX15" s="14"/>
      <c r="UY15" s="14"/>
      <c r="UZ15" s="14"/>
      <c r="VA15" s="14"/>
      <c r="VB15" s="14"/>
      <c r="VC15" s="14"/>
      <c r="VD15" s="14"/>
      <c r="VE15" s="14"/>
      <c r="VF15" s="14"/>
      <c r="VG15" s="14"/>
      <c r="VH15" s="14"/>
      <c r="VI15" s="14"/>
      <c r="VJ15" s="14"/>
      <c r="VK15" s="14"/>
      <c r="VL15" s="14"/>
      <c r="VM15" s="14"/>
      <c r="VN15" s="14"/>
      <c r="VO15" s="14"/>
      <c r="VP15" s="14"/>
      <c r="VQ15" s="14"/>
      <c r="VR15" s="14"/>
      <c r="VS15" s="14"/>
      <c r="VT15" s="14"/>
      <c r="VU15" s="14"/>
      <c r="VV15" s="14"/>
      <c r="VW15" s="14"/>
      <c r="VX15" s="14"/>
      <c r="VY15" s="14"/>
      <c r="VZ15" s="14"/>
      <c r="WA15" s="14"/>
      <c r="WB15" s="14"/>
      <c r="WC15" s="14"/>
      <c r="WD15" s="14"/>
      <c r="WE15" s="14"/>
      <c r="WF15" s="14"/>
      <c r="WG15" s="14"/>
      <c r="WH15" s="14"/>
      <c r="WI15" s="14"/>
      <c r="WJ15" s="14"/>
      <c r="WK15" s="14"/>
      <c r="WL15" s="14"/>
      <c r="WM15" s="14"/>
      <c r="WN15" s="14"/>
      <c r="WO15" s="14"/>
      <c r="WP15" s="14"/>
      <c r="WQ15" s="14"/>
      <c r="WR15" s="14"/>
      <c r="WS15" s="14"/>
      <c r="WT15" s="14"/>
      <c r="WU15" s="14"/>
      <c r="WV15" s="14"/>
      <c r="WW15" s="14"/>
      <c r="WX15" s="14"/>
      <c r="WY15" s="14"/>
      <c r="WZ15" s="14"/>
      <c r="XA15" s="14"/>
      <c r="XB15" s="14"/>
      <c r="XC15" s="14"/>
      <c r="XD15" s="14"/>
      <c r="XE15" s="14"/>
      <c r="XF15" s="14"/>
      <c r="XG15" s="14"/>
      <c r="XH15" s="14"/>
      <c r="XI15" s="14"/>
      <c r="XJ15" s="14"/>
      <c r="XK15" s="14"/>
      <c r="XL15" s="14"/>
      <c r="XM15" s="14"/>
      <c r="XN15" s="14"/>
      <c r="XO15" s="14"/>
      <c r="XP15" s="14"/>
      <c r="XQ15" s="14"/>
      <c r="XR15" s="14"/>
      <c r="XS15" s="14"/>
      <c r="XT15" s="14"/>
      <c r="XU15" s="14"/>
      <c r="XV15" s="14"/>
      <c r="XW15" s="14"/>
      <c r="XX15" s="14"/>
      <c r="XY15" s="14"/>
      <c r="XZ15" s="14"/>
      <c r="YA15" s="14"/>
      <c r="YB15" s="14"/>
      <c r="YC15" s="14"/>
      <c r="YD15" s="14"/>
      <c r="YE15" s="14"/>
      <c r="YF15" s="14"/>
      <c r="YG15" s="14"/>
      <c r="YH15" s="14"/>
      <c r="YI15" s="14"/>
      <c r="YJ15" s="14"/>
      <c r="YK15" s="14"/>
      <c r="YL15" s="14"/>
      <c r="YM15" s="14"/>
      <c r="YN15" s="14"/>
      <c r="YO15" s="14"/>
      <c r="YP15" s="14"/>
      <c r="YQ15" s="14"/>
      <c r="YR15" s="14"/>
      <c r="YS15" s="14"/>
      <c r="YT15" s="14"/>
      <c r="YU15" s="14"/>
      <c r="YV15" s="14"/>
      <c r="YW15" s="14"/>
      <c r="YX15" s="14"/>
      <c r="YY15" s="14"/>
      <c r="YZ15" s="14"/>
      <c r="ZA15" s="14"/>
      <c r="ZB15" s="14"/>
      <c r="ZC15" s="14"/>
      <c r="ZD15" s="14"/>
      <c r="ZE15" s="14"/>
      <c r="ZF15" s="14"/>
      <c r="ZG15" s="14"/>
      <c r="ZH15" s="14"/>
      <c r="ZI15" s="13"/>
      <c r="ZJ15" s="13"/>
      <c r="ZK15" s="13"/>
      <c r="ZL15" s="13"/>
      <c r="ZM15" s="13"/>
      <c r="ZN15" s="13"/>
      <c r="ZO15" s="13"/>
      <c r="ZP15" s="13"/>
      <c r="ZQ15" s="13"/>
      <c r="ZR15" s="13"/>
      <c r="ZS15" s="13"/>
      <c r="ZT15" s="13"/>
      <c r="ZU15" s="13"/>
      <c r="ZV15" s="13"/>
      <c r="ZW15" s="13"/>
      <c r="ZX15" s="13"/>
      <c r="ZY15" s="13"/>
      <c r="ZZ15" s="13"/>
      <c r="AAA15" s="13"/>
      <c r="AAB15" s="13"/>
      <c r="AAC15" s="13"/>
      <c r="AAD15" s="13"/>
      <c r="AAE15" s="13"/>
      <c r="AAF15" s="13"/>
      <c r="AAG15" s="13"/>
      <c r="AAH15" s="13"/>
      <c r="AAI15" s="13"/>
      <c r="AAJ15" s="13"/>
      <c r="AAK15" s="13"/>
      <c r="AAL15" s="13"/>
      <c r="AAM15" s="13"/>
      <c r="AAN15" s="13"/>
      <c r="AAO15" s="13"/>
      <c r="AAP15" s="13"/>
      <c r="AAQ15" s="13"/>
      <c r="AAR15" s="13"/>
      <c r="AAS15" s="13"/>
      <c r="AAT15" s="13"/>
      <c r="AAU15" s="13"/>
      <c r="AAV15" s="13"/>
      <c r="AAW15" s="13"/>
      <c r="AAX15" s="13"/>
      <c r="AAY15" s="13"/>
      <c r="AAZ15" s="13"/>
      <c r="ABA15" s="13"/>
      <c r="ABB15" s="13"/>
      <c r="ABC15" s="13"/>
      <c r="ABD15" s="13"/>
      <c r="ABE15" s="13"/>
      <c r="ABF15" s="13"/>
      <c r="ABG15" s="13"/>
      <c r="ABH15" s="13"/>
      <c r="ABI15" s="13"/>
      <c r="ABJ15" s="13"/>
      <c r="ABK15" s="13"/>
      <c r="ABL15" s="13"/>
      <c r="ABM15" s="13"/>
      <c r="ABN15" s="13"/>
      <c r="ABO15" s="13"/>
      <c r="ABP15" s="13"/>
      <c r="ABQ15" s="13"/>
      <c r="ABR15" s="13"/>
      <c r="ABS15" s="13"/>
      <c r="ABT15" s="13"/>
      <c r="ABU15" s="13"/>
      <c r="ABV15" s="13"/>
      <c r="ABW15" s="13"/>
      <c r="ABX15" s="13"/>
      <c r="ABY15" s="13"/>
      <c r="ABZ15" s="13"/>
      <c r="ACA15" s="13"/>
      <c r="ACB15" s="13"/>
      <c r="ACC15" s="13"/>
      <c r="ACD15" s="13"/>
      <c r="ACE15" s="13"/>
      <c r="ACF15" s="13"/>
      <c r="ACG15" s="13"/>
      <c r="ACH15" s="13"/>
      <c r="ACI15" s="13"/>
      <c r="ACJ15" s="13"/>
      <c r="ACK15" s="13"/>
      <c r="ACL15" s="13"/>
      <c r="ACM15" s="13"/>
      <c r="ACN15" s="13"/>
      <c r="ACO15" s="13"/>
      <c r="ACP15" s="13"/>
      <c r="ACQ15" s="13"/>
      <c r="ACR15" s="13"/>
      <c r="ACS15" s="13"/>
      <c r="ACT15" s="13"/>
      <c r="ACU15" s="13"/>
      <c r="ACV15" s="13"/>
      <c r="ACW15" s="13"/>
      <c r="ACX15" s="13"/>
      <c r="ACY15" s="13"/>
      <c r="ACZ15" s="13"/>
      <c r="ADA15" s="13"/>
      <c r="ADB15" s="13"/>
      <c r="ADC15" s="13"/>
      <c r="ADD15" s="13"/>
      <c r="ADE15" s="13"/>
      <c r="ADF15" s="13"/>
      <c r="ADG15" s="13"/>
      <c r="ADH15" s="13"/>
      <c r="ADI15" s="13"/>
      <c r="ADJ15" s="13"/>
      <c r="ADK15" s="13"/>
      <c r="ADL15" s="13"/>
      <c r="ADM15" s="13"/>
      <c r="ADN15" s="13"/>
      <c r="ADO15" s="13"/>
      <c r="ADP15" s="13"/>
      <c r="ADQ15" s="13"/>
      <c r="ADR15" s="13"/>
      <c r="ADS15" s="13"/>
      <c r="ADT15" s="13"/>
      <c r="ADU15" s="13"/>
      <c r="ADV15" s="13"/>
      <c r="ADW15" s="13"/>
      <c r="ADX15" s="13"/>
      <c r="ADY15" s="13"/>
      <c r="ADZ15" s="13"/>
      <c r="AEA15" s="13"/>
      <c r="AEB15" s="13"/>
      <c r="AEC15" s="13"/>
      <c r="AED15" s="13"/>
      <c r="AEE15" s="13"/>
      <c r="AEF15" s="13"/>
      <c r="AEG15" s="13"/>
      <c r="AEH15" s="13"/>
      <c r="AEI15" s="13"/>
      <c r="AEJ15" s="13"/>
      <c r="AEK15" s="13"/>
      <c r="AEL15" s="13"/>
      <c r="AEM15" s="13"/>
      <c r="AEN15" s="13"/>
      <c r="AEO15" s="13"/>
      <c r="AEP15" s="13"/>
      <c r="AEQ15" s="13"/>
      <c r="AER15" s="13"/>
      <c r="AES15" s="13"/>
      <c r="AET15" s="13"/>
      <c r="AEU15" s="13"/>
      <c r="AEV15" s="13"/>
      <c r="AEW15" s="13"/>
      <c r="AEX15" s="13"/>
      <c r="AEY15" s="13"/>
      <c r="AEZ15" s="13"/>
      <c r="AFA15" s="13"/>
      <c r="AFB15" s="13"/>
      <c r="AFC15" s="13"/>
      <c r="AFD15" s="13"/>
      <c r="AFE15" s="13"/>
      <c r="AFF15" s="13"/>
      <c r="AFG15" s="13"/>
      <c r="AFH15" s="13"/>
      <c r="AFI15" s="13"/>
      <c r="AFJ15" s="13"/>
      <c r="AFK15" s="13"/>
      <c r="AFL15" s="13"/>
      <c r="AFM15" s="13"/>
      <c r="AFN15" s="13"/>
      <c r="AFO15" s="13"/>
      <c r="AFP15" s="13"/>
      <c r="AFQ15" s="13"/>
      <c r="AFR15" s="13"/>
      <c r="AFS15" s="13"/>
      <c r="AFT15" s="13"/>
      <c r="AFU15" s="13"/>
      <c r="AFV15" s="13"/>
      <c r="AFW15" s="13"/>
      <c r="AFX15" s="13"/>
      <c r="AFY15" s="13"/>
      <c r="AFZ15" s="13"/>
      <c r="AGA15" s="13"/>
      <c r="AGB15" s="13"/>
      <c r="AGC15" s="13"/>
      <c r="AGD15" s="13"/>
      <c r="AGE15" s="13"/>
      <c r="AGF15" s="13"/>
      <c r="AGG15" s="13"/>
      <c r="AGH15" s="13"/>
      <c r="AGI15" s="13"/>
      <c r="AGJ15" s="13"/>
      <c r="AGK15" s="13"/>
      <c r="AGL15" s="13"/>
      <c r="AGM15" s="13"/>
      <c r="AGN15" s="13"/>
      <c r="AGO15" s="13"/>
      <c r="AGP15" s="13"/>
      <c r="AGQ15" s="13"/>
      <c r="AGR15" s="13"/>
      <c r="AGS15" s="13"/>
      <c r="AGT15" s="13"/>
      <c r="AGU15" s="13"/>
      <c r="AGV15" s="13"/>
      <c r="AGW15" s="13"/>
      <c r="AGX15" s="13"/>
      <c r="AGY15" s="13"/>
      <c r="AGZ15" s="13"/>
      <c r="AHA15" s="13"/>
      <c r="AHB15" s="13"/>
      <c r="AHC15" s="13"/>
      <c r="AHD15" s="13"/>
      <c r="AHE15" s="13"/>
      <c r="AHF15" s="13"/>
      <c r="AHG15" s="13"/>
      <c r="AHH15" s="13"/>
      <c r="AHI15" s="13"/>
      <c r="AHJ15" s="13"/>
      <c r="AHK15" s="13"/>
      <c r="AHL15" s="13"/>
      <c r="AHM15" s="13"/>
      <c r="AHN15" s="13"/>
      <c r="AHO15" s="13"/>
      <c r="AHP15" s="13"/>
      <c r="AHQ15" s="13"/>
      <c r="AHR15" s="13"/>
      <c r="AHS15" s="13"/>
      <c r="AHT15" s="13"/>
      <c r="AHU15" s="13"/>
      <c r="AHV15" s="13"/>
      <c r="AHW15" s="13"/>
      <c r="AHX15" s="13"/>
      <c r="AHY15" s="13"/>
      <c r="AHZ15" s="13"/>
      <c r="AIA15" s="13"/>
      <c r="AIB15" s="13"/>
      <c r="AIC15" s="13"/>
      <c r="AID15" s="13"/>
      <c r="AIE15" s="13"/>
      <c r="AIF15" s="13"/>
      <c r="AIG15" s="13"/>
      <c r="AIH15" s="13"/>
      <c r="AII15" s="13"/>
      <c r="AIJ15" s="13"/>
      <c r="AIK15" s="13"/>
      <c r="AIL15" s="13"/>
      <c r="AIM15" s="13"/>
      <c r="AIN15" s="13"/>
      <c r="AIO15" s="13"/>
      <c r="AIP15" s="13"/>
      <c r="AIQ15" s="13"/>
      <c r="AIR15" s="13"/>
      <c r="AIS15" s="13"/>
      <c r="AIT15" s="13"/>
      <c r="AIU15" s="13"/>
      <c r="AIV15" s="13"/>
      <c r="AIW15" s="13"/>
      <c r="AIX15" s="13"/>
      <c r="AIY15" s="13"/>
      <c r="AIZ15" s="13"/>
      <c r="AJA15" s="13"/>
      <c r="AJB15" s="13"/>
      <c r="AJC15" s="13"/>
      <c r="AJD15" s="13"/>
      <c r="AJE15" s="13"/>
      <c r="AJF15" s="13"/>
      <c r="AJG15" s="13"/>
      <c r="AJH15" s="13"/>
      <c r="AJI15" s="13"/>
      <c r="AJJ15" s="13"/>
      <c r="AJK15" s="13"/>
      <c r="AJL15" s="13"/>
      <c r="AJM15" s="13"/>
      <c r="AJN15" s="13"/>
      <c r="AJO15" s="13"/>
      <c r="AJP15" s="13"/>
      <c r="AJQ15" s="13"/>
      <c r="AJR15" s="13"/>
      <c r="AJS15" s="13"/>
      <c r="AJT15" s="13"/>
      <c r="AJU15" s="13"/>
      <c r="AJV15" s="13"/>
      <c r="AJW15" s="13"/>
      <c r="AJX15" s="13"/>
      <c r="AJY15" s="13"/>
      <c r="AJZ15" s="13"/>
      <c r="AKA15" s="13"/>
      <c r="AKB15" s="13"/>
      <c r="AKC15" s="13"/>
      <c r="AKD15" s="13"/>
      <c r="AKE15" s="13"/>
      <c r="AKF15" s="13"/>
      <c r="AKG15" s="13"/>
      <c r="AKH15" s="13"/>
      <c r="AKI15" s="13"/>
      <c r="AKJ15" s="13"/>
      <c r="AKK15" s="13"/>
      <c r="AKL15" s="13"/>
      <c r="AKM15" s="13"/>
      <c r="AKN15" s="13"/>
      <c r="AKO15" s="13"/>
      <c r="AKP15" s="13"/>
      <c r="AKQ15" s="13"/>
      <c r="AKR15" s="13"/>
      <c r="AKS15" s="13"/>
      <c r="AKT15" s="13"/>
      <c r="AKU15" s="13"/>
      <c r="AKV15" s="13"/>
      <c r="AKW15" s="13"/>
      <c r="AKX15" s="13"/>
      <c r="AKY15" s="13"/>
      <c r="AKZ15" s="13"/>
      <c r="ALA15" s="13"/>
      <c r="ALB15" s="13"/>
      <c r="ALC15" s="13"/>
      <c r="ALD15" s="13"/>
      <c r="ALE15" s="13"/>
      <c r="ALF15" s="13"/>
      <c r="ALG15" s="13"/>
      <c r="ALH15" s="13"/>
      <c r="ALI15" s="13"/>
      <c r="ALJ15" s="13"/>
      <c r="ALK15" s="13"/>
      <c r="ALL15" s="13"/>
      <c r="ALM15" s="13"/>
      <c r="ALN15" s="13"/>
      <c r="ALO15" s="13"/>
      <c r="ALP15" s="13"/>
      <c r="ALQ15" s="13"/>
      <c r="ALR15" s="13"/>
      <c r="ALS15" s="13"/>
      <c r="ALT15" s="13"/>
      <c r="ALU15" s="13"/>
      <c r="ALV15" s="13"/>
      <c r="ALW15" s="13"/>
      <c r="ALX15" s="13"/>
      <c r="ALY15" s="13"/>
      <c r="ALZ15" s="13"/>
      <c r="AMA15" s="13"/>
      <c r="AMB15" s="13"/>
      <c r="AMC15" s="13"/>
      <c r="AMD15" s="13"/>
      <c r="AME15" s="13"/>
      <c r="AMF15" s="13"/>
      <c r="AMG15" s="13"/>
      <c r="AMH15" s="13"/>
      <c r="AMI15" s="13"/>
      <c r="AMJ15" s="13"/>
    </row>
    <row r="16" spans="1:1024" s="1" customFormat="1" ht="22.15" customHeight="1" thickBot="1" x14ac:dyDescent="0.3">
      <c r="A16" s="44">
        <f>C27</f>
        <v>250</v>
      </c>
      <c r="B16" s="43" t="s">
        <v>32</v>
      </c>
      <c r="C16" s="293" t="s">
        <v>55</v>
      </c>
      <c r="D16" s="294"/>
      <c r="E16" s="70">
        <f>C27</f>
        <v>250</v>
      </c>
      <c r="F16" s="71">
        <f>EB30+ED30+EI30+EK30+EP30+ER30+EW30+EY30</f>
        <v>188.77906273208933</v>
      </c>
      <c r="G16" s="201"/>
      <c r="H16" s="224" t="s">
        <v>131</v>
      </c>
      <c r="I16" s="219">
        <f>SUM(C6:GB6)</f>
        <v>273.25209836484225</v>
      </c>
      <c r="J16" s="219">
        <f>SUM(C4:GB4)</f>
        <v>513.77143333190031</v>
      </c>
      <c r="K16" s="219">
        <f>SUM(C7:GB7)</f>
        <v>20.550857333276014</v>
      </c>
      <c r="L16" s="219">
        <f>K16/40*56</f>
        <v>28.771200266586419</v>
      </c>
      <c r="M16" s="219">
        <f>K16/40*74/2</f>
        <v>19.009543033280313</v>
      </c>
      <c r="N16" s="220">
        <f>C27*4</f>
        <v>1000</v>
      </c>
      <c r="O16" s="212"/>
      <c r="P16" s="232"/>
      <c r="Q16" s="274"/>
      <c r="R16" s="277"/>
      <c r="S16" s="274"/>
      <c r="T16" s="277"/>
      <c r="U16" s="274"/>
      <c r="V16" s="274"/>
      <c r="W16" s="280"/>
      <c r="X16" s="280"/>
      <c r="Y16" s="277"/>
      <c r="Z16" s="280"/>
      <c r="AA16" s="277"/>
      <c r="AB16" s="274"/>
      <c r="AC16" s="277"/>
      <c r="AD16" s="274"/>
      <c r="AE16" s="277"/>
      <c r="AG16" s="98" t="s">
        <v>63</v>
      </c>
      <c r="AH16" s="99"/>
      <c r="AI16" s="99"/>
      <c r="AJ16" s="86">
        <v>0.9</v>
      </c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14"/>
      <c r="CB16" s="14"/>
      <c r="CC16" s="14"/>
      <c r="CD16" s="14"/>
      <c r="CE16" s="14"/>
      <c r="CF16" s="14"/>
      <c r="CG16" s="14"/>
      <c r="CH16" s="14"/>
      <c r="CI16" s="14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  <c r="LE16" s="9"/>
      <c r="LF16" s="9"/>
      <c r="LG16" s="9"/>
      <c r="LH16" s="9"/>
      <c r="LI16" s="9"/>
      <c r="LJ16" s="9"/>
      <c r="LK16" s="9"/>
      <c r="LL16" s="9"/>
      <c r="LM16" s="9"/>
      <c r="LN16" s="9"/>
      <c r="LO16" s="9"/>
      <c r="LP16" s="9"/>
      <c r="LQ16" s="9"/>
      <c r="LR16" s="9"/>
      <c r="LS16" s="9"/>
      <c r="LT16" s="9"/>
      <c r="LU16" s="9"/>
      <c r="LV16" s="9"/>
      <c r="LW16" s="9"/>
      <c r="LX16" s="9"/>
      <c r="LY16" s="9"/>
      <c r="LZ16" s="9"/>
      <c r="MA16" s="9"/>
      <c r="MB16" s="9"/>
      <c r="MC16" s="9"/>
      <c r="MD16" s="9"/>
      <c r="ME16" s="9"/>
      <c r="MF16" s="9"/>
      <c r="MG16" s="9"/>
      <c r="MH16" s="9"/>
      <c r="MI16" s="9"/>
      <c r="MJ16" s="9"/>
      <c r="MK16" s="9"/>
      <c r="ML16" s="9"/>
      <c r="MM16" s="9"/>
      <c r="MN16" s="9"/>
      <c r="MO16" s="9"/>
      <c r="MP16" s="9"/>
      <c r="MQ16" s="9"/>
      <c r="MR16" s="9"/>
      <c r="MS16" s="9"/>
      <c r="MT16" s="9"/>
      <c r="MU16" s="9"/>
      <c r="MV16" s="9"/>
      <c r="MW16" s="9"/>
      <c r="MX16" s="9"/>
      <c r="MY16" s="9"/>
      <c r="MZ16" s="9"/>
      <c r="NA16" s="9"/>
      <c r="NB16" s="9"/>
      <c r="NC16" s="9"/>
      <c r="ND16" s="9"/>
      <c r="NE16" s="9"/>
      <c r="NF16" s="9"/>
      <c r="NG16" s="9"/>
      <c r="NH16" s="9"/>
      <c r="NI16" s="9"/>
      <c r="NJ16" s="9"/>
      <c r="NK16" s="9"/>
      <c r="NL16" s="9"/>
      <c r="NM16" s="9"/>
      <c r="NN16" s="9"/>
      <c r="NO16" s="9"/>
      <c r="NP16" s="9"/>
      <c r="NQ16" s="9"/>
      <c r="NR16" s="9"/>
      <c r="NS16" s="9"/>
      <c r="NT16" s="9"/>
      <c r="NU16" s="9"/>
      <c r="NV16" s="9"/>
      <c r="NW16" s="9"/>
      <c r="NX16" s="9"/>
      <c r="NY16" s="9"/>
      <c r="NZ16" s="9"/>
      <c r="OA16" s="9"/>
      <c r="OB16" s="9"/>
      <c r="OC16" s="9"/>
      <c r="OD16" s="9"/>
      <c r="OE16" s="9"/>
      <c r="OF16" s="9"/>
      <c r="OG16" s="9"/>
      <c r="OH16" s="9"/>
      <c r="OI16" s="9"/>
      <c r="OJ16" s="9"/>
      <c r="OK16" s="9"/>
      <c r="OL16" s="9"/>
      <c r="OM16" s="9"/>
      <c r="ON16" s="9"/>
      <c r="OO16" s="9"/>
      <c r="OP16" s="9"/>
      <c r="OQ16" s="9"/>
      <c r="OR16" s="9"/>
      <c r="OS16" s="9"/>
      <c r="OT16" s="9"/>
      <c r="OU16" s="9"/>
      <c r="OV16" s="9"/>
      <c r="OW16" s="9"/>
      <c r="OX16" s="9"/>
      <c r="OY16" s="9"/>
      <c r="OZ16" s="9"/>
      <c r="PA16" s="9"/>
      <c r="PB16" s="9"/>
      <c r="PC16" s="9"/>
      <c r="PD16" s="9"/>
      <c r="PE16" s="9"/>
      <c r="PF16" s="9"/>
      <c r="PG16" s="9"/>
      <c r="PH16" s="9"/>
      <c r="PI16" s="9"/>
      <c r="PJ16" s="9"/>
      <c r="PK16" s="9"/>
      <c r="PL16" s="9"/>
      <c r="PM16" s="9"/>
      <c r="PN16" s="9"/>
      <c r="PO16" s="9"/>
      <c r="PP16" s="9"/>
      <c r="PQ16" s="9"/>
      <c r="PR16" s="9"/>
      <c r="PS16" s="9"/>
      <c r="PT16" s="9"/>
      <c r="PU16" s="9"/>
      <c r="PV16" s="9"/>
      <c r="PW16" s="9"/>
      <c r="PX16" s="9"/>
      <c r="PY16" s="9"/>
      <c r="PZ16" s="9"/>
      <c r="QA16" s="9"/>
      <c r="QB16" s="9"/>
      <c r="QC16" s="9"/>
      <c r="QD16" s="9"/>
      <c r="QE16" s="9"/>
      <c r="QF16" s="9"/>
      <c r="QG16" s="9"/>
      <c r="QH16" s="9"/>
      <c r="QI16" s="9"/>
      <c r="QJ16" s="9"/>
      <c r="QK16" s="9"/>
      <c r="QL16" s="9"/>
      <c r="QM16" s="9"/>
      <c r="QN16" s="9"/>
      <c r="QO16" s="9"/>
      <c r="QP16" s="14"/>
      <c r="QQ16" s="14"/>
      <c r="QR16" s="14"/>
      <c r="QS16" s="14"/>
      <c r="QT16" s="14"/>
      <c r="QU16" s="14"/>
      <c r="QV16" s="14"/>
      <c r="QW16" s="14"/>
      <c r="QX16" s="14"/>
      <c r="QY16" s="14"/>
      <c r="QZ16" s="14"/>
      <c r="RA16" s="14"/>
      <c r="RB16" s="14"/>
      <c r="RC16" s="14"/>
      <c r="RD16" s="14"/>
      <c r="RE16" s="14"/>
      <c r="RF16" s="14"/>
      <c r="RG16" s="14"/>
      <c r="RH16" s="14"/>
      <c r="RI16" s="14"/>
      <c r="RJ16" s="14"/>
      <c r="RK16" s="14"/>
      <c r="RL16" s="14"/>
      <c r="RM16" s="14"/>
      <c r="RN16" s="14"/>
      <c r="RO16" s="14"/>
      <c r="RP16" s="14"/>
      <c r="RQ16" s="14"/>
      <c r="RR16" s="14"/>
      <c r="RS16" s="14"/>
      <c r="RT16" s="14"/>
      <c r="RU16" s="14"/>
      <c r="RV16" s="14"/>
      <c r="RW16" s="14"/>
      <c r="RX16" s="14"/>
      <c r="RY16" s="14"/>
      <c r="RZ16" s="14"/>
      <c r="SA16" s="14"/>
      <c r="SB16" s="14"/>
      <c r="SC16" s="14"/>
      <c r="SD16" s="14"/>
      <c r="SE16" s="14"/>
      <c r="SF16" s="14"/>
      <c r="SG16" s="14"/>
      <c r="SH16" s="14"/>
      <c r="SI16" s="14"/>
      <c r="SJ16" s="14"/>
      <c r="SK16" s="14"/>
      <c r="SL16" s="14"/>
      <c r="SM16" s="14"/>
      <c r="SN16" s="14"/>
      <c r="SO16" s="14"/>
      <c r="SP16" s="14"/>
      <c r="SQ16" s="14"/>
      <c r="SR16" s="14"/>
      <c r="SS16" s="14"/>
      <c r="ST16" s="14"/>
      <c r="SU16" s="14"/>
      <c r="SV16" s="14"/>
      <c r="SW16" s="14"/>
      <c r="SX16" s="14"/>
      <c r="SY16" s="14"/>
      <c r="SZ16" s="14"/>
      <c r="TA16" s="14"/>
      <c r="TB16" s="14"/>
      <c r="TC16" s="14"/>
      <c r="TD16" s="14"/>
      <c r="TE16" s="14"/>
      <c r="TF16" s="14"/>
      <c r="TG16" s="14"/>
      <c r="TH16" s="14"/>
      <c r="TI16" s="14"/>
      <c r="TJ16" s="14"/>
      <c r="TK16" s="14"/>
      <c r="TL16" s="14"/>
      <c r="TM16" s="14"/>
      <c r="TN16" s="14"/>
      <c r="TO16" s="14"/>
      <c r="TP16" s="14"/>
      <c r="TQ16" s="14"/>
      <c r="TR16" s="14"/>
      <c r="TS16" s="14"/>
      <c r="TT16" s="14"/>
      <c r="TU16" s="14"/>
      <c r="TV16" s="14"/>
      <c r="TW16" s="14"/>
      <c r="TX16" s="14"/>
      <c r="TY16" s="14"/>
      <c r="TZ16" s="14"/>
      <c r="UA16" s="14"/>
      <c r="UB16" s="14"/>
      <c r="UC16" s="14"/>
      <c r="UD16" s="14"/>
      <c r="UE16" s="14"/>
      <c r="UF16" s="14"/>
      <c r="UG16" s="14"/>
      <c r="UH16" s="14"/>
      <c r="UI16" s="14"/>
      <c r="UJ16" s="14"/>
      <c r="UK16" s="14"/>
      <c r="UL16" s="14"/>
      <c r="UM16" s="14"/>
      <c r="UN16" s="14"/>
      <c r="UO16" s="14"/>
      <c r="UP16" s="14"/>
      <c r="UQ16" s="14"/>
      <c r="UR16" s="14"/>
      <c r="US16" s="14"/>
      <c r="UT16" s="14"/>
      <c r="UU16" s="14"/>
      <c r="UV16" s="14"/>
      <c r="UW16" s="14"/>
      <c r="UX16" s="14"/>
      <c r="UY16" s="14"/>
      <c r="UZ16" s="14"/>
      <c r="VA16" s="14"/>
      <c r="VB16" s="14"/>
      <c r="VC16" s="14"/>
      <c r="VD16" s="14"/>
      <c r="VE16" s="14"/>
      <c r="VF16" s="14"/>
      <c r="VG16" s="14"/>
      <c r="VH16" s="14"/>
      <c r="VI16" s="14"/>
      <c r="VJ16" s="14"/>
      <c r="VK16" s="14"/>
      <c r="VL16" s="14"/>
      <c r="VM16" s="14"/>
      <c r="VN16" s="14"/>
      <c r="VO16" s="14"/>
      <c r="VP16" s="14"/>
      <c r="VQ16" s="14"/>
      <c r="VR16" s="14"/>
      <c r="VS16" s="14"/>
      <c r="VT16" s="14"/>
      <c r="VU16" s="14"/>
      <c r="VV16" s="14"/>
      <c r="VW16" s="14"/>
      <c r="VX16" s="14"/>
      <c r="VY16" s="14"/>
      <c r="VZ16" s="14"/>
      <c r="WA16" s="14"/>
      <c r="WB16" s="14"/>
      <c r="WC16" s="14"/>
      <c r="WD16" s="14"/>
      <c r="WE16" s="14"/>
      <c r="WF16" s="14"/>
      <c r="WG16" s="14"/>
      <c r="WH16" s="14"/>
      <c r="WI16" s="14"/>
      <c r="WJ16" s="14"/>
      <c r="WK16" s="14"/>
      <c r="WL16" s="14"/>
      <c r="WM16" s="14"/>
      <c r="WN16" s="14"/>
      <c r="WO16" s="14"/>
      <c r="WP16" s="14"/>
      <c r="WQ16" s="14"/>
      <c r="WR16" s="14"/>
      <c r="WS16" s="14"/>
      <c r="WT16" s="14"/>
      <c r="WU16" s="14"/>
      <c r="WV16" s="14"/>
      <c r="WW16" s="14"/>
      <c r="WX16" s="14"/>
      <c r="WY16" s="14"/>
      <c r="WZ16" s="14"/>
      <c r="XA16" s="14"/>
      <c r="XB16" s="14"/>
      <c r="XC16" s="14"/>
      <c r="XD16" s="14"/>
      <c r="XE16" s="14"/>
      <c r="XF16" s="14"/>
      <c r="XG16" s="14"/>
      <c r="XH16" s="14"/>
      <c r="XI16" s="14"/>
      <c r="XJ16" s="14"/>
      <c r="XK16" s="14"/>
      <c r="XL16" s="14"/>
      <c r="XM16" s="14"/>
      <c r="XN16" s="14"/>
      <c r="XO16" s="14"/>
      <c r="XP16" s="14"/>
      <c r="XQ16" s="14"/>
      <c r="XR16" s="14"/>
      <c r="XS16" s="14"/>
      <c r="XT16" s="14"/>
      <c r="XU16" s="14"/>
      <c r="XV16" s="14"/>
      <c r="XW16" s="14"/>
      <c r="XX16" s="14"/>
      <c r="XY16" s="14"/>
      <c r="XZ16" s="14"/>
      <c r="YA16" s="14"/>
      <c r="YB16" s="14"/>
      <c r="YC16" s="14"/>
      <c r="YD16" s="14"/>
      <c r="YE16" s="14"/>
      <c r="YF16" s="14"/>
      <c r="YG16" s="14"/>
      <c r="YH16" s="14"/>
      <c r="YI16" s="14"/>
      <c r="YJ16" s="14"/>
      <c r="YK16" s="14"/>
      <c r="YL16" s="14"/>
      <c r="YM16" s="14"/>
      <c r="YN16" s="14"/>
      <c r="YO16" s="14"/>
      <c r="YP16" s="14"/>
      <c r="YQ16" s="14"/>
      <c r="YR16" s="14"/>
      <c r="YS16" s="14"/>
      <c r="YT16" s="14"/>
      <c r="YU16" s="14"/>
      <c r="YV16" s="14"/>
      <c r="YW16" s="14"/>
      <c r="YX16" s="14"/>
      <c r="YY16" s="14"/>
      <c r="YZ16" s="14"/>
      <c r="ZA16" s="14"/>
      <c r="ZB16" s="14"/>
      <c r="ZC16" s="14"/>
      <c r="ZD16" s="14"/>
      <c r="ZE16" s="14"/>
      <c r="ZF16" s="14"/>
      <c r="ZG16" s="14"/>
      <c r="ZH16" s="14"/>
      <c r="ZI16" s="13"/>
      <c r="ZJ16" s="13"/>
      <c r="ZK16" s="13"/>
      <c r="ZL16" s="13"/>
      <c r="ZM16" s="13"/>
      <c r="ZN16" s="13"/>
      <c r="ZO16" s="13"/>
      <c r="ZP16" s="13"/>
      <c r="ZQ16" s="13"/>
      <c r="ZR16" s="13"/>
      <c r="ZS16" s="13"/>
      <c r="ZT16" s="13"/>
      <c r="ZU16" s="13"/>
      <c r="ZV16" s="13"/>
      <c r="ZW16" s="13"/>
      <c r="ZX16" s="13"/>
      <c r="ZY16" s="13"/>
      <c r="ZZ16" s="13"/>
      <c r="AAA16" s="13"/>
      <c r="AAB16" s="13"/>
      <c r="AAC16" s="13"/>
      <c r="AAD16" s="13"/>
      <c r="AAE16" s="13"/>
      <c r="AAF16" s="13"/>
      <c r="AAG16" s="13"/>
      <c r="AAH16" s="13"/>
      <c r="AAI16" s="13"/>
      <c r="AAJ16" s="13"/>
      <c r="AAK16" s="13"/>
      <c r="AAL16" s="13"/>
      <c r="AAM16" s="13"/>
      <c r="AAN16" s="13"/>
      <c r="AAO16" s="13"/>
      <c r="AAP16" s="13"/>
      <c r="AAQ16" s="13"/>
      <c r="AAR16" s="13"/>
      <c r="AAS16" s="13"/>
      <c r="AAT16" s="13"/>
      <c r="AAU16" s="13"/>
      <c r="AAV16" s="13"/>
      <c r="AAW16" s="13"/>
      <c r="AAX16" s="13"/>
      <c r="AAY16" s="13"/>
      <c r="AAZ16" s="13"/>
      <c r="ABA16" s="13"/>
      <c r="ABB16" s="13"/>
      <c r="ABC16" s="13"/>
      <c r="ABD16" s="13"/>
      <c r="ABE16" s="13"/>
      <c r="ABF16" s="13"/>
      <c r="ABG16" s="13"/>
      <c r="ABH16" s="13"/>
      <c r="ABI16" s="13"/>
      <c r="ABJ16" s="13"/>
      <c r="ABK16" s="13"/>
      <c r="ABL16" s="13"/>
      <c r="ABM16" s="13"/>
      <c r="ABN16" s="13"/>
      <c r="ABO16" s="13"/>
      <c r="ABP16" s="13"/>
      <c r="ABQ16" s="13"/>
      <c r="ABR16" s="13"/>
      <c r="ABS16" s="13"/>
      <c r="ABT16" s="13"/>
      <c r="ABU16" s="13"/>
      <c r="ABV16" s="13"/>
      <c r="ABW16" s="13"/>
      <c r="ABX16" s="13"/>
      <c r="ABY16" s="13"/>
      <c r="ABZ16" s="13"/>
      <c r="ACA16" s="13"/>
      <c r="ACB16" s="13"/>
      <c r="ACC16" s="13"/>
      <c r="ACD16" s="13"/>
      <c r="ACE16" s="13"/>
      <c r="ACF16" s="13"/>
      <c r="ACG16" s="13"/>
      <c r="ACH16" s="13"/>
      <c r="ACI16" s="13"/>
      <c r="ACJ16" s="13"/>
      <c r="ACK16" s="13"/>
      <c r="ACL16" s="13"/>
      <c r="ACM16" s="13"/>
      <c r="ACN16" s="13"/>
      <c r="ACO16" s="13"/>
      <c r="ACP16" s="13"/>
      <c r="ACQ16" s="13"/>
      <c r="ACR16" s="13"/>
      <c r="ACS16" s="13"/>
      <c r="ACT16" s="13"/>
      <c r="ACU16" s="13"/>
      <c r="ACV16" s="13"/>
      <c r="ACW16" s="13"/>
      <c r="ACX16" s="13"/>
      <c r="ACY16" s="13"/>
      <c r="ACZ16" s="13"/>
      <c r="ADA16" s="13"/>
      <c r="ADB16" s="13"/>
      <c r="ADC16" s="13"/>
      <c r="ADD16" s="13"/>
      <c r="ADE16" s="13"/>
      <c r="ADF16" s="13"/>
      <c r="ADG16" s="13"/>
      <c r="ADH16" s="13"/>
      <c r="ADI16" s="13"/>
      <c r="ADJ16" s="13"/>
      <c r="ADK16" s="13"/>
      <c r="ADL16" s="13"/>
      <c r="ADM16" s="13"/>
      <c r="ADN16" s="13"/>
      <c r="ADO16" s="13"/>
      <c r="ADP16" s="13"/>
      <c r="ADQ16" s="13"/>
      <c r="ADR16" s="13"/>
      <c r="ADS16" s="13"/>
      <c r="ADT16" s="13"/>
      <c r="ADU16" s="13"/>
      <c r="ADV16" s="13"/>
      <c r="ADW16" s="13"/>
      <c r="ADX16" s="13"/>
      <c r="ADY16" s="13"/>
      <c r="ADZ16" s="13"/>
      <c r="AEA16" s="13"/>
      <c r="AEB16" s="13"/>
      <c r="AEC16" s="13"/>
      <c r="AED16" s="13"/>
      <c r="AEE16" s="13"/>
      <c r="AEF16" s="13"/>
      <c r="AEG16" s="13"/>
      <c r="AEH16" s="13"/>
      <c r="AEI16" s="13"/>
      <c r="AEJ16" s="13"/>
      <c r="AEK16" s="13"/>
      <c r="AEL16" s="13"/>
      <c r="AEM16" s="13"/>
      <c r="AEN16" s="13"/>
      <c r="AEO16" s="13"/>
      <c r="AEP16" s="13"/>
      <c r="AEQ16" s="13"/>
      <c r="AER16" s="13"/>
      <c r="AES16" s="13"/>
      <c r="AET16" s="13"/>
      <c r="AEU16" s="13"/>
      <c r="AEV16" s="13"/>
      <c r="AEW16" s="13"/>
      <c r="AEX16" s="13"/>
      <c r="AEY16" s="13"/>
      <c r="AEZ16" s="13"/>
      <c r="AFA16" s="13"/>
      <c r="AFB16" s="13"/>
      <c r="AFC16" s="13"/>
      <c r="AFD16" s="13"/>
      <c r="AFE16" s="13"/>
      <c r="AFF16" s="13"/>
      <c r="AFG16" s="13"/>
      <c r="AFH16" s="13"/>
      <c r="AFI16" s="13"/>
      <c r="AFJ16" s="13"/>
      <c r="AFK16" s="13"/>
      <c r="AFL16" s="13"/>
      <c r="AFM16" s="13"/>
      <c r="AFN16" s="13"/>
      <c r="AFO16" s="13"/>
      <c r="AFP16" s="13"/>
      <c r="AFQ16" s="13"/>
      <c r="AFR16" s="13"/>
      <c r="AFS16" s="13"/>
      <c r="AFT16" s="13"/>
      <c r="AFU16" s="13"/>
      <c r="AFV16" s="13"/>
      <c r="AFW16" s="13"/>
      <c r="AFX16" s="13"/>
      <c r="AFY16" s="13"/>
      <c r="AFZ16" s="13"/>
      <c r="AGA16" s="13"/>
      <c r="AGB16" s="13"/>
      <c r="AGC16" s="13"/>
      <c r="AGD16" s="13"/>
      <c r="AGE16" s="13"/>
      <c r="AGF16" s="13"/>
      <c r="AGG16" s="13"/>
      <c r="AGH16" s="13"/>
      <c r="AGI16" s="13"/>
      <c r="AGJ16" s="13"/>
      <c r="AGK16" s="13"/>
      <c r="AGL16" s="13"/>
      <c r="AGM16" s="13"/>
      <c r="AGN16" s="13"/>
      <c r="AGO16" s="13"/>
      <c r="AGP16" s="13"/>
      <c r="AGQ16" s="13"/>
      <c r="AGR16" s="13"/>
      <c r="AGS16" s="13"/>
      <c r="AGT16" s="13"/>
      <c r="AGU16" s="13"/>
      <c r="AGV16" s="13"/>
      <c r="AGW16" s="13"/>
      <c r="AGX16" s="13"/>
      <c r="AGY16" s="13"/>
      <c r="AGZ16" s="13"/>
      <c r="AHA16" s="13"/>
      <c r="AHB16" s="13"/>
      <c r="AHC16" s="13"/>
      <c r="AHD16" s="13"/>
      <c r="AHE16" s="13"/>
      <c r="AHF16" s="13"/>
      <c r="AHG16" s="13"/>
      <c r="AHH16" s="13"/>
      <c r="AHI16" s="13"/>
      <c r="AHJ16" s="13"/>
      <c r="AHK16" s="13"/>
      <c r="AHL16" s="13"/>
      <c r="AHM16" s="13"/>
      <c r="AHN16" s="13"/>
      <c r="AHO16" s="13"/>
      <c r="AHP16" s="13"/>
      <c r="AHQ16" s="13"/>
      <c r="AHR16" s="13"/>
      <c r="AHS16" s="13"/>
      <c r="AHT16" s="13"/>
      <c r="AHU16" s="13"/>
      <c r="AHV16" s="13"/>
      <c r="AHW16" s="13"/>
      <c r="AHX16" s="13"/>
      <c r="AHY16" s="13"/>
      <c r="AHZ16" s="13"/>
      <c r="AIA16" s="13"/>
      <c r="AIB16" s="13"/>
      <c r="AIC16" s="13"/>
      <c r="AID16" s="13"/>
      <c r="AIE16" s="13"/>
      <c r="AIF16" s="13"/>
      <c r="AIG16" s="13"/>
      <c r="AIH16" s="13"/>
      <c r="AII16" s="13"/>
      <c r="AIJ16" s="13"/>
      <c r="AIK16" s="13"/>
      <c r="AIL16" s="13"/>
      <c r="AIM16" s="13"/>
      <c r="AIN16" s="13"/>
      <c r="AIO16" s="13"/>
      <c r="AIP16" s="13"/>
      <c r="AIQ16" s="13"/>
      <c r="AIR16" s="13"/>
      <c r="AIS16" s="13"/>
      <c r="AIT16" s="13"/>
      <c r="AIU16" s="13"/>
      <c r="AIV16" s="13"/>
      <c r="AIW16" s="13"/>
      <c r="AIX16" s="13"/>
      <c r="AIY16" s="13"/>
      <c r="AIZ16" s="13"/>
      <c r="AJA16" s="13"/>
      <c r="AJB16" s="13"/>
      <c r="AJC16" s="13"/>
      <c r="AJD16" s="13"/>
      <c r="AJE16" s="13"/>
      <c r="AJF16" s="13"/>
      <c r="AJG16" s="13"/>
      <c r="AJH16" s="13"/>
      <c r="AJI16" s="13"/>
      <c r="AJJ16" s="13"/>
      <c r="AJK16" s="13"/>
      <c r="AJL16" s="13"/>
      <c r="AJM16" s="13"/>
      <c r="AJN16" s="13"/>
      <c r="AJO16" s="13"/>
      <c r="AJP16" s="13"/>
      <c r="AJQ16" s="13"/>
      <c r="AJR16" s="13"/>
      <c r="AJS16" s="13"/>
      <c r="AJT16" s="13"/>
      <c r="AJU16" s="13"/>
      <c r="AJV16" s="13"/>
      <c r="AJW16" s="13"/>
      <c r="AJX16" s="13"/>
      <c r="AJY16" s="13"/>
      <c r="AJZ16" s="13"/>
      <c r="AKA16" s="13"/>
      <c r="AKB16" s="13"/>
      <c r="AKC16" s="13"/>
      <c r="AKD16" s="13"/>
      <c r="AKE16" s="13"/>
      <c r="AKF16" s="13"/>
      <c r="AKG16" s="13"/>
      <c r="AKH16" s="13"/>
      <c r="AKI16" s="13"/>
      <c r="AKJ16" s="13"/>
      <c r="AKK16" s="13"/>
      <c r="AKL16" s="13"/>
      <c r="AKM16" s="13"/>
      <c r="AKN16" s="13"/>
      <c r="AKO16" s="13"/>
      <c r="AKP16" s="13"/>
      <c r="AKQ16" s="13"/>
      <c r="AKR16" s="13"/>
      <c r="AKS16" s="13"/>
      <c r="AKT16" s="13"/>
      <c r="AKU16" s="13"/>
      <c r="AKV16" s="13"/>
      <c r="AKW16" s="13"/>
      <c r="AKX16" s="13"/>
      <c r="AKY16" s="13"/>
      <c r="AKZ16" s="13"/>
      <c r="ALA16" s="13"/>
      <c r="ALB16" s="13"/>
      <c r="ALC16" s="13"/>
      <c r="ALD16" s="13"/>
      <c r="ALE16" s="13"/>
      <c r="ALF16" s="13"/>
      <c r="ALG16" s="13"/>
      <c r="ALH16" s="13"/>
      <c r="ALI16" s="13"/>
      <c r="ALJ16" s="13"/>
      <c r="ALK16" s="13"/>
      <c r="ALL16" s="13"/>
      <c r="ALM16" s="13"/>
      <c r="ALN16" s="13"/>
      <c r="ALO16" s="13"/>
      <c r="ALP16" s="13"/>
      <c r="ALQ16" s="13"/>
      <c r="ALR16" s="13"/>
      <c r="ALS16" s="13"/>
      <c r="ALT16" s="13"/>
      <c r="ALU16" s="13"/>
      <c r="ALV16" s="13"/>
      <c r="ALW16" s="13"/>
      <c r="ALX16" s="13"/>
      <c r="ALY16" s="13"/>
      <c r="ALZ16" s="13"/>
      <c r="AMA16" s="13"/>
      <c r="AMB16" s="13"/>
      <c r="AMC16" s="13"/>
      <c r="AMD16" s="13"/>
      <c r="AME16" s="13"/>
      <c r="AMF16" s="13"/>
      <c r="AMG16" s="13"/>
      <c r="AMH16" s="13"/>
      <c r="AMI16" s="13"/>
      <c r="AMJ16" s="13"/>
    </row>
    <row r="17" spans="1:1024" s="1" customFormat="1" ht="44.45" customHeight="1" thickBot="1" x14ac:dyDescent="0.3">
      <c r="A17" s="289" t="s">
        <v>82</v>
      </c>
      <c r="B17" s="290"/>
      <c r="C17" s="72" t="s">
        <v>56</v>
      </c>
      <c r="D17" s="73"/>
      <c r="E17" s="74">
        <f>C33</f>
        <v>0.01</v>
      </c>
      <c r="F17" s="75">
        <f>AVERAGE(EB33,ED33,EI33,EK33,EP33,ER33,EW33,EY33)</f>
        <v>1.3064381289865545</v>
      </c>
      <c r="G17" s="201"/>
      <c r="H17" s="214">
        <v>1</v>
      </c>
      <c r="I17" s="213">
        <f>SUM(C6:NC6)</f>
        <v>1230.9686044179273</v>
      </c>
      <c r="J17" s="213">
        <f>SUM(C4:NC4)</f>
        <v>1296.8735478579133</v>
      </c>
      <c r="K17" s="213">
        <f>SUM(C7:NC7)</f>
        <v>51.874941914316615</v>
      </c>
      <c r="L17" s="213">
        <f t="shared" ref="L17:L18" si="169">K17/40*56</f>
        <v>72.624918680043265</v>
      </c>
      <c r="M17" s="213">
        <f t="shared" ref="M17:M18" si="170">K17/40*74/2</f>
        <v>47.984321270742868</v>
      </c>
      <c r="N17" s="221">
        <f>365/A18*C27</f>
        <v>1789.2156862745098</v>
      </c>
      <c r="O17" s="212"/>
      <c r="P17" s="233"/>
      <c r="Q17" s="275"/>
      <c r="R17" s="278"/>
      <c r="S17" s="275"/>
      <c r="T17" s="278"/>
      <c r="U17" s="275"/>
      <c r="V17" s="275"/>
      <c r="W17" s="281"/>
      <c r="X17" s="281"/>
      <c r="Y17" s="278"/>
      <c r="Z17" s="281"/>
      <c r="AA17" s="278"/>
      <c r="AB17" s="275"/>
      <c r="AC17" s="278"/>
      <c r="AD17" s="275"/>
      <c r="AE17" s="278"/>
      <c r="AG17" s="100" t="s">
        <v>62</v>
      </c>
      <c r="AH17" s="101"/>
      <c r="AI17" s="101"/>
      <c r="AJ17" s="87">
        <v>0.95</v>
      </c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14"/>
      <c r="CB17" s="14"/>
      <c r="CC17" s="14"/>
      <c r="CD17" s="14"/>
      <c r="CE17" s="14"/>
      <c r="CF17" s="14"/>
      <c r="CG17" s="14"/>
      <c r="CH17" s="14"/>
      <c r="CI17" s="14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  <c r="LE17" s="9"/>
      <c r="LF17" s="9"/>
      <c r="LG17" s="9"/>
      <c r="LH17" s="9"/>
      <c r="LI17" s="9"/>
      <c r="LJ17" s="9"/>
      <c r="LK17" s="9"/>
      <c r="LL17" s="9"/>
      <c r="LM17" s="9"/>
      <c r="LN17" s="9"/>
      <c r="LO17" s="9"/>
      <c r="LP17" s="9"/>
      <c r="LQ17" s="9"/>
      <c r="LR17" s="9"/>
      <c r="LS17" s="9"/>
      <c r="LT17" s="9"/>
      <c r="LU17" s="9"/>
      <c r="LV17" s="9"/>
      <c r="LW17" s="9"/>
      <c r="LX17" s="9"/>
      <c r="LY17" s="9"/>
      <c r="LZ17" s="9"/>
      <c r="MA17" s="9"/>
      <c r="MB17" s="9"/>
      <c r="MC17" s="9"/>
      <c r="MD17" s="9"/>
      <c r="ME17" s="9"/>
      <c r="MF17" s="9"/>
      <c r="MG17" s="9"/>
      <c r="MH17" s="9"/>
      <c r="MI17" s="9"/>
      <c r="MJ17" s="9"/>
      <c r="MK17" s="9"/>
      <c r="ML17" s="9"/>
      <c r="MM17" s="9"/>
      <c r="MN17" s="9"/>
      <c r="MO17" s="9"/>
      <c r="MP17" s="9"/>
      <c r="MQ17" s="9"/>
      <c r="MR17" s="9"/>
      <c r="MS17" s="9"/>
      <c r="MT17" s="9"/>
      <c r="MU17" s="9"/>
      <c r="MV17" s="9"/>
      <c r="MW17" s="9"/>
      <c r="MX17" s="9"/>
      <c r="MY17" s="9"/>
      <c r="MZ17" s="9"/>
      <c r="NA17" s="9"/>
      <c r="NB17" s="9"/>
      <c r="NC17" s="9"/>
      <c r="ND17" s="9"/>
      <c r="NE17" s="9"/>
      <c r="NF17" s="9"/>
      <c r="NG17" s="9"/>
      <c r="NH17" s="9"/>
      <c r="NI17" s="9"/>
      <c r="NJ17" s="9"/>
      <c r="NK17" s="9"/>
      <c r="NL17" s="9"/>
      <c r="NM17" s="9"/>
      <c r="NN17" s="9"/>
      <c r="NO17" s="9"/>
      <c r="NP17" s="9"/>
      <c r="NQ17" s="9"/>
      <c r="NR17" s="9"/>
      <c r="NS17" s="9"/>
      <c r="NT17" s="9"/>
      <c r="NU17" s="9"/>
      <c r="NV17" s="9"/>
      <c r="NW17" s="9"/>
      <c r="NX17" s="9"/>
      <c r="NY17" s="9"/>
      <c r="NZ17" s="9"/>
      <c r="OA17" s="9"/>
      <c r="OB17" s="9"/>
      <c r="OC17" s="9"/>
      <c r="OD17" s="9"/>
      <c r="OE17" s="9"/>
      <c r="OF17" s="9"/>
      <c r="OG17" s="9"/>
      <c r="OH17" s="9"/>
      <c r="OI17" s="9"/>
      <c r="OJ17" s="9"/>
      <c r="OK17" s="9"/>
      <c r="OL17" s="9"/>
      <c r="OM17" s="9"/>
      <c r="ON17" s="9"/>
      <c r="OO17" s="9"/>
      <c r="OP17" s="9"/>
      <c r="OQ17" s="9"/>
      <c r="OR17" s="9"/>
      <c r="OS17" s="9"/>
      <c r="OT17" s="9"/>
      <c r="OU17" s="9"/>
      <c r="OV17" s="9"/>
      <c r="OW17" s="9"/>
      <c r="OX17" s="9"/>
      <c r="OY17" s="9"/>
      <c r="OZ17" s="9"/>
      <c r="PA17" s="9"/>
      <c r="PB17" s="9"/>
      <c r="PC17" s="9"/>
      <c r="PD17" s="9"/>
      <c r="PE17" s="9"/>
      <c r="PF17" s="9"/>
      <c r="PG17" s="9"/>
      <c r="PH17" s="9"/>
      <c r="PI17" s="9"/>
      <c r="PJ17" s="9"/>
      <c r="PK17" s="9"/>
      <c r="PL17" s="9"/>
      <c r="PM17" s="9"/>
      <c r="PN17" s="9"/>
      <c r="PO17" s="9"/>
      <c r="PP17" s="9"/>
      <c r="PQ17" s="9"/>
      <c r="PR17" s="9"/>
      <c r="PS17" s="9"/>
      <c r="PT17" s="9"/>
      <c r="PU17" s="9"/>
      <c r="PV17" s="9"/>
      <c r="PW17" s="9"/>
      <c r="PX17" s="9"/>
      <c r="PY17" s="9"/>
      <c r="PZ17" s="9"/>
      <c r="QA17" s="9"/>
      <c r="QB17" s="9"/>
      <c r="QC17" s="9"/>
      <c r="QD17" s="9"/>
      <c r="QE17" s="9"/>
      <c r="QF17" s="9"/>
      <c r="QG17" s="9"/>
      <c r="QH17" s="9"/>
      <c r="QI17" s="9"/>
      <c r="QJ17" s="9"/>
      <c r="QK17" s="9"/>
      <c r="QL17" s="9"/>
      <c r="QM17" s="9"/>
      <c r="QN17" s="9"/>
      <c r="QO17" s="9"/>
      <c r="QP17" s="14"/>
      <c r="QQ17" s="14"/>
      <c r="QR17" s="14"/>
      <c r="QS17" s="14"/>
      <c r="QT17" s="14"/>
      <c r="QU17" s="14"/>
      <c r="QV17" s="14"/>
      <c r="QW17" s="14"/>
      <c r="QX17" s="14"/>
      <c r="QY17" s="14"/>
      <c r="QZ17" s="14"/>
      <c r="RA17" s="14"/>
      <c r="RB17" s="14"/>
      <c r="RC17" s="14"/>
      <c r="RD17" s="14"/>
      <c r="RE17" s="14"/>
      <c r="RF17" s="14"/>
      <c r="RG17" s="14"/>
      <c r="RH17" s="14"/>
      <c r="RI17" s="14"/>
      <c r="RJ17" s="14"/>
      <c r="RK17" s="14"/>
      <c r="RL17" s="14"/>
      <c r="RM17" s="14"/>
      <c r="RN17" s="14"/>
      <c r="RO17" s="14"/>
      <c r="RP17" s="14"/>
      <c r="RQ17" s="14"/>
      <c r="RR17" s="14"/>
      <c r="RS17" s="14"/>
      <c r="RT17" s="14"/>
      <c r="RU17" s="14"/>
      <c r="RV17" s="14"/>
      <c r="RW17" s="14"/>
      <c r="RX17" s="14"/>
      <c r="RY17" s="14"/>
      <c r="RZ17" s="14"/>
      <c r="SA17" s="14"/>
      <c r="SB17" s="14"/>
      <c r="SC17" s="14"/>
      <c r="SD17" s="14"/>
      <c r="SE17" s="14"/>
      <c r="SF17" s="14"/>
      <c r="SG17" s="14"/>
      <c r="SH17" s="14"/>
      <c r="SI17" s="14"/>
      <c r="SJ17" s="14"/>
      <c r="SK17" s="14"/>
      <c r="SL17" s="14"/>
      <c r="SM17" s="14"/>
      <c r="SN17" s="14"/>
      <c r="SO17" s="14"/>
      <c r="SP17" s="14"/>
      <c r="SQ17" s="14"/>
      <c r="SR17" s="14"/>
      <c r="SS17" s="14"/>
      <c r="ST17" s="14"/>
      <c r="SU17" s="14"/>
      <c r="SV17" s="14"/>
      <c r="SW17" s="14"/>
      <c r="SX17" s="14"/>
      <c r="SY17" s="14"/>
      <c r="SZ17" s="14"/>
      <c r="TA17" s="14"/>
      <c r="TB17" s="14"/>
      <c r="TC17" s="14"/>
      <c r="TD17" s="14"/>
      <c r="TE17" s="14"/>
      <c r="TF17" s="14"/>
      <c r="TG17" s="14"/>
      <c r="TH17" s="14"/>
      <c r="TI17" s="14"/>
      <c r="TJ17" s="14"/>
      <c r="TK17" s="14"/>
      <c r="TL17" s="14"/>
      <c r="TM17" s="14"/>
      <c r="TN17" s="14"/>
      <c r="TO17" s="14"/>
      <c r="TP17" s="14"/>
      <c r="TQ17" s="14"/>
      <c r="TR17" s="14"/>
      <c r="TS17" s="14"/>
      <c r="TT17" s="14"/>
      <c r="TU17" s="14"/>
      <c r="TV17" s="14"/>
      <c r="TW17" s="14"/>
      <c r="TX17" s="14"/>
      <c r="TY17" s="14"/>
      <c r="TZ17" s="14"/>
      <c r="UA17" s="14"/>
      <c r="UB17" s="14"/>
      <c r="UC17" s="14"/>
      <c r="UD17" s="14"/>
      <c r="UE17" s="14"/>
      <c r="UF17" s="14"/>
      <c r="UG17" s="14"/>
      <c r="UH17" s="14"/>
      <c r="UI17" s="14"/>
      <c r="UJ17" s="14"/>
      <c r="UK17" s="14"/>
      <c r="UL17" s="14"/>
      <c r="UM17" s="14"/>
      <c r="UN17" s="14"/>
      <c r="UO17" s="14"/>
      <c r="UP17" s="14"/>
      <c r="UQ17" s="14"/>
      <c r="UR17" s="14"/>
      <c r="US17" s="14"/>
      <c r="UT17" s="14"/>
      <c r="UU17" s="14"/>
      <c r="UV17" s="14"/>
      <c r="UW17" s="14"/>
      <c r="UX17" s="14"/>
      <c r="UY17" s="14"/>
      <c r="UZ17" s="14"/>
      <c r="VA17" s="14"/>
      <c r="VB17" s="14"/>
      <c r="VC17" s="14"/>
      <c r="VD17" s="14"/>
      <c r="VE17" s="14"/>
      <c r="VF17" s="14"/>
      <c r="VG17" s="14"/>
      <c r="VH17" s="14"/>
      <c r="VI17" s="14"/>
      <c r="VJ17" s="14"/>
      <c r="VK17" s="14"/>
      <c r="VL17" s="14"/>
      <c r="VM17" s="14"/>
      <c r="VN17" s="14"/>
      <c r="VO17" s="14"/>
      <c r="VP17" s="14"/>
      <c r="VQ17" s="14"/>
      <c r="VR17" s="14"/>
      <c r="VS17" s="14"/>
      <c r="VT17" s="14"/>
      <c r="VU17" s="14"/>
      <c r="VV17" s="14"/>
      <c r="VW17" s="14"/>
      <c r="VX17" s="14"/>
      <c r="VY17" s="14"/>
      <c r="VZ17" s="14"/>
      <c r="WA17" s="14"/>
      <c r="WB17" s="14"/>
      <c r="WC17" s="14"/>
      <c r="WD17" s="14"/>
      <c r="WE17" s="14"/>
      <c r="WF17" s="14"/>
      <c r="WG17" s="14"/>
      <c r="WH17" s="14"/>
      <c r="WI17" s="14"/>
      <c r="WJ17" s="14"/>
      <c r="WK17" s="14"/>
      <c r="WL17" s="14"/>
      <c r="WM17" s="14"/>
      <c r="WN17" s="14"/>
      <c r="WO17" s="14"/>
      <c r="WP17" s="14"/>
      <c r="WQ17" s="14"/>
      <c r="WR17" s="14"/>
      <c r="WS17" s="14"/>
      <c r="WT17" s="14"/>
      <c r="WU17" s="14"/>
      <c r="WV17" s="14"/>
      <c r="WW17" s="14"/>
      <c r="WX17" s="14"/>
      <c r="WY17" s="14"/>
      <c r="WZ17" s="14"/>
      <c r="XA17" s="14"/>
      <c r="XB17" s="14"/>
      <c r="XC17" s="14"/>
      <c r="XD17" s="14"/>
      <c r="XE17" s="14"/>
      <c r="XF17" s="14"/>
      <c r="XG17" s="14"/>
      <c r="XH17" s="14"/>
      <c r="XI17" s="14"/>
      <c r="XJ17" s="14"/>
      <c r="XK17" s="14"/>
      <c r="XL17" s="14"/>
      <c r="XM17" s="14"/>
      <c r="XN17" s="14"/>
      <c r="XO17" s="14"/>
      <c r="XP17" s="14"/>
      <c r="XQ17" s="14"/>
      <c r="XR17" s="14"/>
      <c r="XS17" s="14"/>
      <c r="XT17" s="14"/>
      <c r="XU17" s="14"/>
      <c r="XV17" s="14"/>
      <c r="XW17" s="14"/>
      <c r="XX17" s="14"/>
      <c r="XY17" s="14"/>
      <c r="XZ17" s="14"/>
      <c r="YA17" s="14"/>
      <c r="YB17" s="14"/>
      <c r="YC17" s="14"/>
      <c r="YD17" s="14"/>
      <c r="YE17" s="14"/>
      <c r="YF17" s="14"/>
      <c r="YG17" s="14"/>
      <c r="YH17" s="14"/>
      <c r="YI17" s="14"/>
      <c r="YJ17" s="14"/>
      <c r="YK17" s="14"/>
      <c r="YL17" s="14"/>
      <c r="YM17" s="14"/>
      <c r="YN17" s="14"/>
      <c r="YO17" s="14"/>
      <c r="YP17" s="14"/>
      <c r="YQ17" s="14"/>
      <c r="YR17" s="14"/>
      <c r="YS17" s="14"/>
      <c r="YT17" s="14"/>
      <c r="YU17" s="14"/>
      <c r="YV17" s="14"/>
      <c r="YW17" s="14"/>
      <c r="YX17" s="14"/>
      <c r="YY17" s="14"/>
      <c r="YZ17" s="14"/>
      <c r="ZA17" s="14"/>
      <c r="ZB17" s="14"/>
      <c r="ZC17" s="14"/>
      <c r="ZD17" s="14"/>
      <c r="ZE17" s="14"/>
      <c r="ZF17" s="14"/>
      <c r="ZG17" s="14"/>
      <c r="ZH17" s="14"/>
      <c r="ZI17" s="13"/>
      <c r="ZJ17" s="13"/>
      <c r="ZK17" s="13"/>
      <c r="ZL17" s="13"/>
      <c r="ZM17" s="13"/>
      <c r="ZN17" s="13"/>
      <c r="ZO17" s="13"/>
      <c r="ZP17" s="13"/>
      <c r="ZQ17" s="13"/>
      <c r="ZR17" s="13"/>
      <c r="ZS17" s="13"/>
      <c r="ZT17" s="13"/>
      <c r="ZU17" s="13"/>
      <c r="ZV17" s="13"/>
      <c r="ZW17" s="13"/>
      <c r="ZX17" s="13"/>
      <c r="ZY17" s="13"/>
      <c r="ZZ17" s="13"/>
      <c r="AAA17" s="13"/>
      <c r="AAB17" s="13"/>
      <c r="AAC17" s="13"/>
      <c r="AAD17" s="13"/>
      <c r="AAE17" s="13"/>
      <c r="AAF17" s="13"/>
      <c r="AAG17" s="13"/>
      <c r="AAH17" s="13"/>
      <c r="AAI17" s="13"/>
      <c r="AAJ17" s="13"/>
      <c r="AAK17" s="13"/>
      <c r="AAL17" s="13"/>
      <c r="AAM17" s="13"/>
      <c r="AAN17" s="13"/>
      <c r="AAO17" s="13"/>
      <c r="AAP17" s="13"/>
      <c r="AAQ17" s="13"/>
      <c r="AAR17" s="13"/>
      <c r="AAS17" s="13"/>
      <c r="AAT17" s="13"/>
      <c r="AAU17" s="13"/>
      <c r="AAV17" s="13"/>
      <c r="AAW17" s="13"/>
      <c r="AAX17" s="13"/>
      <c r="AAY17" s="13"/>
      <c r="AAZ17" s="13"/>
      <c r="ABA17" s="13"/>
      <c r="ABB17" s="13"/>
      <c r="ABC17" s="13"/>
      <c r="ABD17" s="13"/>
      <c r="ABE17" s="13"/>
      <c r="ABF17" s="13"/>
      <c r="ABG17" s="13"/>
      <c r="ABH17" s="13"/>
      <c r="ABI17" s="13"/>
      <c r="ABJ17" s="13"/>
      <c r="ABK17" s="13"/>
      <c r="ABL17" s="13"/>
      <c r="ABM17" s="13"/>
      <c r="ABN17" s="13"/>
      <c r="ABO17" s="13"/>
      <c r="ABP17" s="13"/>
      <c r="ABQ17" s="13"/>
      <c r="ABR17" s="13"/>
      <c r="ABS17" s="13"/>
      <c r="ABT17" s="13"/>
      <c r="ABU17" s="13"/>
      <c r="ABV17" s="13"/>
      <c r="ABW17" s="13"/>
      <c r="ABX17" s="13"/>
      <c r="ABY17" s="13"/>
      <c r="ABZ17" s="13"/>
      <c r="ACA17" s="13"/>
      <c r="ACB17" s="13"/>
      <c r="ACC17" s="13"/>
      <c r="ACD17" s="13"/>
      <c r="ACE17" s="13"/>
      <c r="ACF17" s="13"/>
      <c r="ACG17" s="13"/>
      <c r="ACH17" s="13"/>
      <c r="ACI17" s="13"/>
      <c r="ACJ17" s="13"/>
      <c r="ACK17" s="13"/>
      <c r="ACL17" s="13"/>
      <c r="ACM17" s="13"/>
      <c r="ACN17" s="13"/>
      <c r="ACO17" s="13"/>
      <c r="ACP17" s="13"/>
      <c r="ACQ17" s="13"/>
      <c r="ACR17" s="13"/>
      <c r="ACS17" s="13"/>
      <c r="ACT17" s="13"/>
      <c r="ACU17" s="13"/>
      <c r="ACV17" s="13"/>
      <c r="ACW17" s="13"/>
      <c r="ACX17" s="13"/>
      <c r="ACY17" s="13"/>
      <c r="ACZ17" s="13"/>
      <c r="ADA17" s="13"/>
      <c r="ADB17" s="13"/>
      <c r="ADC17" s="13"/>
      <c r="ADD17" s="13"/>
      <c r="ADE17" s="13"/>
      <c r="ADF17" s="13"/>
      <c r="ADG17" s="13"/>
      <c r="ADH17" s="13"/>
      <c r="ADI17" s="13"/>
      <c r="ADJ17" s="13"/>
      <c r="ADK17" s="13"/>
      <c r="ADL17" s="13"/>
      <c r="ADM17" s="13"/>
      <c r="ADN17" s="13"/>
      <c r="ADO17" s="13"/>
      <c r="ADP17" s="13"/>
      <c r="ADQ17" s="13"/>
      <c r="ADR17" s="13"/>
      <c r="ADS17" s="13"/>
      <c r="ADT17" s="13"/>
      <c r="ADU17" s="13"/>
      <c r="ADV17" s="13"/>
      <c r="ADW17" s="13"/>
      <c r="ADX17" s="13"/>
      <c r="ADY17" s="13"/>
      <c r="ADZ17" s="13"/>
      <c r="AEA17" s="13"/>
      <c r="AEB17" s="13"/>
      <c r="AEC17" s="13"/>
      <c r="AED17" s="13"/>
      <c r="AEE17" s="13"/>
      <c r="AEF17" s="13"/>
      <c r="AEG17" s="13"/>
      <c r="AEH17" s="13"/>
      <c r="AEI17" s="13"/>
      <c r="AEJ17" s="13"/>
      <c r="AEK17" s="13"/>
      <c r="AEL17" s="13"/>
      <c r="AEM17" s="13"/>
      <c r="AEN17" s="13"/>
      <c r="AEO17" s="13"/>
      <c r="AEP17" s="13"/>
      <c r="AEQ17" s="13"/>
      <c r="AER17" s="13"/>
      <c r="AES17" s="13"/>
      <c r="AET17" s="13"/>
      <c r="AEU17" s="13"/>
      <c r="AEV17" s="13"/>
      <c r="AEW17" s="13"/>
      <c r="AEX17" s="13"/>
      <c r="AEY17" s="13"/>
      <c r="AEZ17" s="13"/>
      <c r="AFA17" s="13"/>
      <c r="AFB17" s="13"/>
      <c r="AFC17" s="13"/>
      <c r="AFD17" s="13"/>
      <c r="AFE17" s="13"/>
      <c r="AFF17" s="13"/>
      <c r="AFG17" s="13"/>
      <c r="AFH17" s="13"/>
      <c r="AFI17" s="13"/>
      <c r="AFJ17" s="13"/>
      <c r="AFK17" s="13"/>
      <c r="AFL17" s="13"/>
      <c r="AFM17" s="13"/>
      <c r="AFN17" s="13"/>
      <c r="AFO17" s="13"/>
      <c r="AFP17" s="13"/>
      <c r="AFQ17" s="13"/>
      <c r="AFR17" s="13"/>
      <c r="AFS17" s="13"/>
      <c r="AFT17" s="13"/>
      <c r="AFU17" s="13"/>
      <c r="AFV17" s="13"/>
      <c r="AFW17" s="13"/>
      <c r="AFX17" s="13"/>
      <c r="AFY17" s="13"/>
      <c r="AFZ17" s="13"/>
      <c r="AGA17" s="13"/>
      <c r="AGB17" s="13"/>
      <c r="AGC17" s="13"/>
      <c r="AGD17" s="13"/>
      <c r="AGE17" s="13"/>
      <c r="AGF17" s="13"/>
      <c r="AGG17" s="13"/>
      <c r="AGH17" s="13"/>
      <c r="AGI17" s="13"/>
      <c r="AGJ17" s="13"/>
      <c r="AGK17" s="13"/>
      <c r="AGL17" s="13"/>
      <c r="AGM17" s="13"/>
      <c r="AGN17" s="13"/>
      <c r="AGO17" s="13"/>
      <c r="AGP17" s="13"/>
      <c r="AGQ17" s="13"/>
      <c r="AGR17" s="13"/>
      <c r="AGS17" s="13"/>
      <c r="AGT17" s="13"/>
      <c r="AGU17" s="13"/>
      <c r="AGV17" s="13"/>
      <c r="AGW17" s="13"/>
      <c r="AGX17" s="13"/>
      <c r="AGY17" s="13"/>
      <c r="AGZ17" s="13"/>
      <c r="AHA17" s="13"/>
      <c r="AHB17" s="13"/>
      <c r="AHC17" s="13"/>
      <c r="AHD17" s="13"/>
      <c r="AHE17" s="13"/>
      <c r="AHF17" s="13"/>
      <c r="AHG17" s="13"/>
      <c r="AHH17" s="13"/>
      <c r="AHI17" s="13"/>
      <c r="AHJ17" s="13"/>
      <c r="AHK17" s="13"/>
      <c r="AHL17" s="13"/>
      <c r="AHM17" s="13"/>
      <c r="AHN17" s="13"/>
      <c r="AHO17" s="13"/>
      <c r="AHP17" s="13"/>
      <c r="AHQ17" s="13"/>
      <c r="AHR17" s="13"/>
      <c r="AHS17" s="13"/>
      <c r="AHT17" s="13"/>
      <c r="AHU17" s="13"/>
      <c r="AHV17" s="13"/>
      <c r="AHW17" s="13"/>
      <c r="AHX17" s="13"/>
      <c r="AHY17" s="13"/>
      <c r="AHZ17" s="13"/>
      <c r="AIA17" s="13"/>
      <c r="AIB17" s="13"/>
      <c r="AIC17" s="13"/>
      <c r="AID17" s="13"/>
      <c r="AIE17" s="13"/>
      <c r="AIF17" s="13"/>
      <c r="AIG17" s="13"/>
      <c r="AIH17" s="13"/>
      <c r="AII17" s="13"/>
      <c r="AIJ17" s="13"/>
      <c r="AIK17" s="13"/>
      <c r="AIL17" s="13"/>
      <c r="AIM17" s="13"/>
      <c r="AIN17" s="13"/>
      <c r="AIO17" s="13"/>
      <c r="AIP17" s="13"/>
      <c r="AIQ17" s="13"/>
      <c r="AIR17" s="13"/>
      <c r="AIS17" s="13"/>
      <c r="AIT17" s="13"/>
      <c r="AIU17" s="13"/>
      <c r="AIV17" s="13"/>
      <c r="AIW17" s="13"/>
      <c r="AIX17" s="13"/>
      <c r="AIY17" s="13"/>
      <c r="AIZ17" s="13"/>
      <c r="AJA17" s="13"/>
      <c r="AJB17" s="13"/>
      <c r="AJC17" s="13"/>
      <c r="AJD17" s="13"/>
      <c r="AJE17" s="13"/>
      <c r="AJF17" s="13"/>
      <c r="AJG17" s="13"/>
      <c r="AJH17" s="13"/>
      <c r="AJI17" s="13"/>
      <c r="AJJ17" s="13"/>
      <c r="AJK17" s="13"/>
      <c r="AJL17" s="13"/>
      <c r="AJM17" s="13"/>
      <c r="AJN17" s="13"/>
      <c r="AJO17" s="13"/>
      <c r="AJP17" s="13"/>
      <c r="AJQ17" s="13"/>
      <c r="AJR17" s="13"/>
      <c r="AJS17" s="13"/>
      <c r="AJT17" s="13"/>
      <c r="AJU17" s="13"/>
      <c r="AJV17" s="13"/>
      <c r="AJW17" s="13"/>
      <c r="AJX17" s="13"/>
      <c r="AJY17" s="13"/>
      <c r="AJZ17" s="13"/>
      <c r="AKA17" s="13"/>
      <c r="AKB17" s="13"/>
      <c r="AKC17" s="13"/>
      <c r="AKD17" s="13"/>
      <c r="AKE17" s="13"/>
      <c r="AKF17" s="13"/>
      <c r="AKG17" s="13"/>
      <c r="AKH17" s="13"/>
      <c r="AKI17" s="13"/>
      <c r="AKJ17" s="13"/>
      <c r="AKK17" s="13"/>
      <c r="AKL17" s="13"/>
      <c r="AKM17" s="13"/>
      <c r="AKN17" s="13"/>
      <c r="AKO17" s="13"/>
      <c r="AKP17" s="13"/>
      <c r="AKQ17" s="13"/>
      <c r="AKR17" s="13"/>
      <c r="AKS17" s="13"/>
      <c r="AKT17" s="13"/>
      <c r="AKU17" s="13"/>
      <c r="AKV17" s="13"/>
      <c r="AKW17" s="13"/>
      <c r="AKX17" s="13"/>
      <c r="AKY17" s="13"/>
      <c r="AKZ17" s="13"/>
      <c r="ALA17" s="13"/>
      <c r="ALB17" s="13"/>
      <c r="ALC17" s="13"/>
      <c r="ALD17" s="13"/>
      <c r="ALE17" s="13"/>
      <c r="ALF17" s="13"/>
      <c r="ALG17" s="13"/>
      <c r="ALH17" s="13"/>
      <c r="ALI17" s="13"/>
      <c r="ALJ17" s="13"/>
      <c r="ALK17" s="13"/>
      <c r="ALL17" s="13"/>
      <c r="ALM17" s="13"/>
      <c r="ALN17" s="13"/>
      <c r="ALO17" s="13"/>
      <c r="ALP17" s="13"/>
      <c r="ALQ17" s="13"/>
      <c r="ALR17" s="13"/>
      <c r="ALS17" s="13"/>
      <c r="ALT17" s="13"/>
      <c r="ALU17" s="13"/>
      <c r="ALV17" s="13"/>
      <c r="ALW17" s="13"/>
      <c r="ALX17" s="13"/>
      <c r="ALY17" s="13"/>
      <c r="ALZ17" s="13"/>
      <c r="AMA17" s="13"/>
      <c r="AMB17" s="13"/>
      <c r="AMC17" s="13"/>
      <c r="AMD17" s="13"/>
      <c r="AME17" s="13"/>
      <c r="AMF17" s="13"/>
      <c r="AMG17" s="13"/>
      <c r="AMH17" s="13"/>
      <c r="AMI17" s="13"/>
      <c r="AMJ17" s="13"/>
    </row>
    <row r="18" spans="1:1024" s="1" customFormat="1" ht="22.15" customHeight="1" thickBot="1" x14ac:dyDescent="0.3">
      <c r="A18" s="42">
        <f>COUNT(C1:BA1)</f>
        <v>51</v>
      </c>
      <c r="B18" s="43" t="s">
        <v>16</v>
      </c>
      <c r="C18" s="72" t="s">
        <v>57</v>
      </c>
      <c r="D18" s="73"/>
      <c r="E18" s="74">
        <f>C34</f>
        <v>2.5</v>
      </c>
      <c r="F18" s="75" t="s">
        <v>9</v>
      </c>
      <c r="G18" s="201"/>
      <c r="H18" s="215">
        <v>2</v>
      </c>
      <c r="I18" s="222">
        <f>SUM(ND6:ABD6)</f>
        <v>1723.3560461850982</v>
      </c>
      <c r="J18" s="222">
        <f>SUM(ND4:ABD4)</f>
        <v>1505.958690017093</v>
      </c>
      <c r="K18" s="222">
        <f>SUM(ND7:ABD7)</f>
        <v>60.238347600683731</v>
      </c>
      <c r="L18" s="222">
        <f t="shared" si="169"/>
        <v>84.333686640957225</v>
      </c>
      <c r="M18" s="222">
        <f t="shared" si="170"/>
        <v>55.720471530632452</v>
      </c>
      <c r="N18" s="223">
        <f>365/A18*C27</f>
        <v>1789.2156862745098</v>
      </c>
      <c r="O18" s="7"/>
      <c r="P18" s="234" t="s">
        <v>100</v>
      </c>
      <c r="Q18" s="237">
        <f>MAX(C34:BA34)</f>
        <v>55.984152341223293</v>
      </c>
      <c r="R18" s="238">
        <f>MIN(C34:BA34)</f>
        <v>2.5</v>
      </c>
      <c r="S18" s="237">
        <f>MAX(C39:BA39)</f>
        <v>93.306920568705493</v>
      </c>
      <c r="T18" s="238">
        <f>MIN(C39:BA39)</f>
        <v>4.166666666666667</v>
      </c>
      <c r="U18" s="239"/>
      <c r="V18" s="239">
        <f>MAX(C36:BA36)</f>
        <v>1.4834503847325724</v>
      </c>
      <c r="W18" s="46"/>
      <c r="X18" s="46"/>
      <c r="Y18" s="240"/>
      <c r="Z18" s="45" t="s">
        <v>9</v>
      </c>
      <c r="AA18" s="46" t="s">
        <v>9</v>
      </c>
      <c r="AB18" s="49" t="s">
        <v>9</v>
      </c>
      <c r="AC18" s="48" t="s">
        <v>9</v>
      </c>
      <c r="AD18" s="47" t="s">
        <v>9</v>
      </c>
      <c r="AE18" s="48" t="s">
        <v>9</v>
      </c>
      <c r="AG18" s="102" t="s">
        <v>65</v>
      </c>
      <c r="AH18" s="103"/>
      <c r="AI18" s="103"/>
      <c r="AJ18" s="89">
        <v>0.65</v>
      </c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14"/>
      <c r="CB18" s="14"/>
      <c r="CC18" s="14"/>
      <c r="CD18" s="14"/>
      <c r="CE18" s="14"/>
      <c r="CF18" s="14"/>
      <c r="CG18" s="14"/>
      <c r="CH18" s="14"/>
      <c r="CI18" s="14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202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  <c r="LE18" s="9"/>
      <c r="LF18" s="9"/>
      <c r="LG18" s="9"/>
      <c r="LH18" s="9"/>
      <c r="LI18" s="9"/>
      <c r="LJ18" s="9"/>
      <c r="LK18" s="9"/>
      <c r="LL18" s="9"/>
      <c r="LM18" s="9"/>
      <c r="LN18" s="9"/>
      <c r="LO18" s="9"/>
      <c r="LP18" s="9"/>
      <c r="LQ18" s="9"/>
      <c r="LR18" s="9"/>
      <c r="LS18" s="9"/>
      <c r="LT18" s="9"/>
      <c r="LU18" s="9"/>
      <c r="LV18" s="9"/>
      <c r="LW18" s="9"/>
      <c r="LX18" s="9"/>
      <c r="LY18" s="9"/>
      <c r="LZ18" s="9"/>
      <c r="MA18" s="9"/>
      <c r="MB18" s="9"/>
      <c r="MC18" s="9"/>
      <c r="MD18" s="9"/>
      <c r="ME18" s="9"/>
      <c r="MF18" s="9"/>
      <c r="MG18" s="9"/>
      <c r="MH18" s="9"/>
      <c r="MI18" s="9"/>
      <c r="MJ18" s="9"/>
      <c r="MK18" s="9"/>
      <c r="ML18" s="9"/>
      <c r="MM18" s="9"/>
      <c r="MN18" s="9"/>
      <c r="MO18" s="9"/>
      <c r="MP18" s="9"/>
      <c r="MQ18" s="9"/>
      <c r="MR18" s="9"/>
      <c r="MS18" s="9"/>
      <c r="MT18" s="9"/>
      <c r="MU18" s="9"/>
      <c r="MV18" s="9"/>
      <c r="MW18" s="9"/>
      <c r="MX18" s="9"/>
      <c r="MY18" s="9"/>
      <c r="MZ18" s="9"/>
      <c r="NA18" s="9"/>
      <c r="NB18" s="9"/>
      <c r="NC18" s="9"/>
      <c r="ND18" s="9"/>
      <c r="NE18" s="9"/>
      <c r="NF18" s="9"/>
      <c r="NG18" s="9"/>
      <c r="NH18" s="9"/>
      <c r="NI18" s="9"/>
      <c r="NJ18" s="9"/>
      <c r="NK18" s="9"/>
      <c r="NL18" s="9"/>
      <c r="NM18" s="9"/>
      <c r="NN18" s="9"/>
      <c r="NO18" s="9"/>
      <c r="NP18" s="9"/>
      <c r="NQ18" s="9"/>
      <c r="NR18" s="9"/>
      <c r="NS18" s="9"/>
      <c r="NT18" s="9"/>
      <c r="NU18" s="9"/>
      <c r="NV18" s="9"/>
      <c r="NW18" s="9"/>
      <c r="NX18" s="9"/>
      <c r="NY18" s="9"/>
      <c r="NZ18" s="9"/>
      <c r="OA18" s="9"/>
      <c r="OB18" s="9"/>
      <c r="OC18" s="9"/>
      <c r="OD18" s="9"/>
      <c r="OE18" s="9"/>
      <c r="OF18" s="9"/>
      <c r="OG18" s="9"/>
      <c r="OH18" s="9"/>
      <c r="OI18" s="9"/>
      <c r="OJ18" s="9"/>
      <c r="OK18" s="9"/>
      <c r="OL18" s="9"/>
      <c r="OM18" s="9"/>
      <c r="ON18" s="9"/>
      <c r="OO18" s="9"/>
      <c r="OP18" s="9"/>
      <c r="OQ18" s="9"/>
      <c r="OR18" s="9"/>
      <c r="OS18" s="9"/>
      <c r="OT18" s="9"/>
      <c r="OU18" s="9"/>
      <c r="OV18" s="9"/>
      <c r="OW18" s="9"/>
      <c r="OX18" s="9"/>
      <c r="OY18" s="9"/>
      <c r="OZ18" s="9"/>
      <c r="PA18" s="9"/>
      <c r="PB18" s="9"/>
      <c r="PC18" s="9"/>
      <c r="PD18" s="9"/>
      <c r="PE18" s="9"/>
      <c r="PF18" s="9"/>
      <c r="PG18" s="9"/>
      <c r="PH18" s="9"/>
      <c r="PI18" s="9"/>
      <c r="PJ18" s="9"/>
      <c r="PK18" s="9"/>
      <c r="PL18" s="9"/>
      <c r="PM18" s="9"/>
      <c r="PN18" s="9"/>
      <c r="PO18" s="9"/>
      <c r="PP18" s="9"/>
      <c r="PQ18" s="9"/>
      <c r="PR18" s="9"/>
      <c r="PS18" s="9"/>
      <c r="PT18" s="9"/>
      <c r="PU18" s="9"/>
      <c r="PV18" s="9"/>
      <c r="PW18" s="9"/>
      <c r="PX18" s="9"/>
      <c r="PY18" s="9"/>
      <c r="PZ18" s="9"/>
      <c r="QA18" s="9"/>
      <c r="QB18" s="9"/>
      <c r="QC18" s="9"/>
      <c r="QD18" s="9"/>
      <c r="QE18" s="9"/>
      <c r="QF18" s="9"/>
      <c r="QG18" s="9"/>
      <c r="QH18" s="9"/>
      <c r="QI18" s="9"/>
      <c r="QJ18" s="9"/>
      <c r="QK18" s="9"/>
      <c r="QL18" s="9"/>
      <c r="QM18" s="9"/>
      <c r="QN18" s="9"/>
      <c r="QO18" s="9"/>
      <c r="QP18" s="14"/>
      <c r="QQ18" s="14"/>
      <c r="QR18" s="14"/>
      <c r="QS18" s="14"/>
      <c r="QT18" s="14"/>
      <c r="QU18" s="14"/>
      <c r="QV18" s="14"/>
      <c r="QW18" s="14"/>
      <c r="QX18" s="14"/>
      <c r="QY18" s="14"/>
      <c r="QZ18" s="14"/>
      <c r="RA18" s="14"/>
      <c r="RB18" s="14"/>
      <c r="RC18" s="14"/>
      <c r="RD18" s="14"/>
      <c r="RE18" s="14"/>
      <c r="RF18" s="14"/>
      <c r="RG18" s="14"/>
      <c r="RH18" s="14"/>
      <c r="RI18" s="14"/>
      <c r="RJ18" s="14"/>
      <c r="RK18" s="14"/>
      <c r="RL18" s="14"/>
      <c r="RM18" s="14"/>
      <c r="RN18" s="14"/>
      <c r="RO18" s="14"/>
      <c r="RP18" s="14"/>
      <c r="RQ18" s="14"/>
      <c r="RR18" s="14"/>
      <c r="RS18" s="14"/>
      <c r="RT18" s="14"/>
      <c r="RU18" s="14"/>
      <c r="RV18" s="14"/>
      <c r="RW18" s="14"/>
      <c r="RX18" s="14"/>
      <c r="RY18" s="14"/>
      <c r="RZ18" s="14"/>
      <c r="SA18" s="14"/>
      <c r="SB18" s="14"/>
      <c r="SC18" s="14"/>
      <c r="SD18" s="14"/>
      <c r="SE18" s="14"/>
      <c r="SF18" s="14"/>
      <c r="SG18" s="14"/>
      <c r="SH18" s="14"/>
      <c r="SI18" s="14"/>
      <c r="SJ18" s="14"/>
      <c r="SK18" s="14"/>
      <c r="SL18" s="14"/>
      <c r="SM18" s="14"/>
      <c r="SN18" s="14"/>
      <c r="SO18" s="14"/>
      <c r="SP18" s="14"/>
      <c r="SQ18" s="14"/>
      <c r="SR18" s="14"/>
      <c r="SS18" s="14"/>
      <c r="ST18" s="14"/>
      <c r="SU18" s="14"/>
      <c r="SV18" s="14"/>
      <c r="SW18" s="14"/>
      <c r="SX18" s="14"/>
      <c r="SY18" s="14"/>
      <c r="SZ18" s="14"/>
      <c r="TA18" s="14"/>
      <c r="TB18" s="14"/>
      <c r="TC18" s="14"/>
      <c r="TD18" s="14"/>
      <c r="TE18" s="14"/>
      <c r="TF18" s="14"/>
      <c r="TG18" s="14"/>
      <c r="TH18" s="14"/>
      <c r="TI18" s="14"/>
      <c r="TJ18" s="14"/>
      <c r="TK18" s="14"/>
      <c r="TL18" s="14"/>
      <c r="TM18" s="14"/>
      <c r="TN18" s="14"/>
      <c r="TO18" s="14"/>
      <c r="TP18" s="14"/>
      <c r="TQ18" s="14"/>
      <c r="TR18" s="14"/>
      <c r="TS18" s="14"/>
      <c r="TT18" s="14"/>
      <c r="TU18" s="14"/>
      <c r="TV18" s="14"/>
      <c r="TW18" s="14"/>
      <c r="TX18" s="14"/>
      <c r="TY18" s="14"/>
      <c r="TZ18" s="14"/>
      <c r="UA18" s="14"/>
      <c r="UB18" s="14"/>
      <c r="UC18" s="14"/>
      <c r="UD18" s="14"/>
      <c r="UE18" s="14"/>
      <c r="UF18" s="14"/>
      <c r="UG18" s="14"/>
      <c r="UH18" s="14"/>
      <c r="UI18" s="14"/>
      <c r="UJ18" s="14"/>
      <c r="UK18" s="14"/>
      <c r="UL18" s="14"/>
      <c r="UM18" s="14"/>
      <c r="UN18" s="14"/>
      <c r="UO18" s="14"/>
      <c r="UP18" s="14"/>
      <c r="UQ18" s="14"/>
      <c r="UR18" s="14"/>
      <c r="US18" s="14"/>
      <c r="UT18" s="14"/>
      <c r="UU18" s="14"/>
      <c r="UV18" s="14"/>
      <c r="UW18" s="14"/>
      <c r="UX18" s="14"/>
      <c r="UY18" s="14"/>
      <c r="UZ18" s="14"/>
      <c r="VA18" s="14"/>
      <c r="VB18" s="14"/>
      <c r="VC18" s="14"/>
      <c r="VD18" s="14"/>
      <c r="VE18" s="14"/>
      <c r="VF18" s="14"/>
      <c r="VG18" s="14"/>
      <c r="VH18" s="14"/>
      <c r="VI18" s="14"/>
      <c r="VJ18" s="14"/>
      <c r="VK18" s="14"/>
      <c r="VL18" s="14"/>
      <c r="VM18" s="14"/>
      <c r="VN18" s="14"/>
      <c r="VO18" s="14"/>
      <c r="VP18" s="14"/>
      <c r="VQ18" s="14"/>
      <c r="VR18" s="14"/>
      <c r="VS18" s="14"/>
      <c r="VT18" s="14"/>
      <c r="VU18" s="14"/>
      <c r="VV18" s="14"/>
      <c r="VW18" s="14"/>
      <c r="VX18" s="14"/>
      <c r="VY18" s="14"/>
      <c r="VZ18" s="14"/>
      <c r="WA18" s="14"/>
      <c r="WB18" s="14"/>
      <c r="WC18" s="14"/>
      <c r="WD18" s="14"/>
      <c r="WE18" s="14"/>
      <c r="WF18" s="14"/>
      <c r="WG18" s="14"/>
      <c r="WH18" s="14"/>
      <c r="WI18" s="14"/>
      <c r="WJ18" s="14"/>
      <c r="WK18" s="14"/>
      <c r="WL18" s="14"/>
      <c r="WM18" s="14"/>
      <c r="WN18" s="14"/>
      <c r="WO18" s="14"/>
      <c r="WP18" s="14"/>
      <c r="WQ18" s="14"/>
      <c r="WR18" s="14"/>
      <c r="WS18" s="14"/>
      <c r="WT18" s="14"/>
      <c r="WU18" s="14"/>
      <c r="WV18" s="14"/>
      <c r="WW18" s="14"/>
      <c r="WX18" s="14"/>
      <c r="WY18" s="14"/>
      <c r="WZ18" s="14"/>
      <c r="XA18" s="14"/>
      <c r="XB18" s="14"/>
      <c r="XC18" s="14"/>
      <c r="XD18" s="14"/>
      <c r="XE18" s="14"/>
      <c r="XF18" s="14"/>
      <c r="XG18" s="14"/>
      <c r="XH18" s="14"/>
      <c r="XI18" s="14"/>
      <c r="XJ18" s="14"/>
      <c r="XK18" s="14"/>
      <c r="XL18" s="14"/>
      <c r="XM18" s="14"/>
      <c r="XN18" s="14"/>
      <c r="XO18" s="14"/>
      <c r="XP18" s="14"/>
      <c r="XQ18" s="14"/>
      <c r="XR18" s="14"/>
      <c r="XS18" s="14"/>
      <c r="XT18" s="14"/>
      <c r="XU18" s="14"/>
      <c r="XV18" s="14"/>
      <c r="XW18" s="14"/>
      <c r="XX18" s="14"/>
      <c r="XY18" s="14"/>
      <c r="XZ18" s="14"/>
      <c r="YA18" s="14"/>
      <c r="YB18" s="14"/>
      <c r="YC18" s="14"/>
      <c r="YD18" s="14"/>
      <c r="YE18" s="14"/>
      <c r="YF18" s="14"/>
      <c r="YG18" s="14"/>
      <c r="YH18" s="14"/>
      <c r="YI18" s="14"/>
      <c r="YJ18" s="14"/>
      <c r="YK18" s="14"/>
      <c r="YL18" s="14"/>
      <c r="YM18" s="14"/>
      <c r="YN18" s="14"/>
      <c r="YO18" s="14"/>
      <c r="YP18" s="14"/>
      <c r="YQ18" s="14"/>
      <c r="YR18" s="14"/>
      <c r="YS18" s="14"/>
      <c r="YT18" s="14"/>
      <c r="YU18" s="14"/>
      <c r="YV18" s="14"/>
      <c r="YW18" s="14"/>
      <c r="YX18" s="14"/>
      <c r="YY18" s="14"/>
      <c r="YZ18" s="14"/>
      <c r="ZA18" s="14"/>
      <c r="ZB18" s="14"/>
      <c r="ZC18" s="14"/>
      <c r="ZD18" s="14"/>
      <c r="ZE18" s="14"/>
      <c r="ZF18" s="14"/>
      <c r="ZG18" s="14"/>
      <c r="ZH18" s="14"/>
      <c r="ZI18" s="13"/>
      <c r="ZJ18" s="13"/>
      <c r="ZK18" s="13"/>
      <c r="ZL18" s="13"/>
      <c r="ZM18" s="13"/>
      <c r="ZN18" s="13"/>
      <c r="ZO18" s="13"/>
      <c r="ZP18" s="13"/>
      <c r="ZQ18" s="13"/>
      <c r="ZR18" s="13"/>
      <c r="ZS18" s="13"/>
      <c r="ZT18" s="13"/>
      <c r="ZU18" s="13"/>
      <c r="ZV18" s="13"/>
      <c r="ZW18" s="13"/>
      <c r="ZX18" s="13"/>
      <c r="ZY18" s="13"/>
      <c r="ZZ18" s="13"/>
      <c r="AAA18" s="13"/>
      <c r="AAB18" s="13"/>
      <c r="AAC18" s="13"/>
      <c r="AAD18" s="13"/>
      <c r="AAE18" s="13"/>
      <c r="AAF18" s="13"/>
      <c r="AAG18" s="13"/>
      <c r="AAH18" s="13"/>
      <c r="AAI18" s="13"/>
      <c r="AAJ18" s="13"/>
      <c r="AAK18" s="13"/>
      <c r="AAL18" s="13"/>
      <c r="AAM18" s="13"/>
      <c r="AAN18" s="13"/>
      <c r="AAO18" s="13"/>
      <c r="AAP18" s="13"/>
      <c r="AAQ18" s="13"/>
      <c r="AAR18" s="13"/>
      <c r="AAS18" s="13"/>
      <c r="AAT18" s="13"/>
      <c r="AAU18" s="13"/>
      <c r="AAV18" s="13"/>
      <c r="AAW18" s="13"/>
      <c r="AAX18" s="13"/>
      <c r="AAY18" s="13"/>
      <c r="AAZ18" s="13"/>
      <c r="ABA18" s="13"/>
      <c r="ABB18" s="13"/>
      <c r="ABC18" s="13"/>
      <c r="ABD18" s="13"/>
      <c r="ABE18" s="13"/>
      <c r="ABF18" s="13"/>
      <c r="ABG18" s="13"/>
      <c r="ABH18" s="13"/>
      <c r="ABI18" s="13"/>
      <c r="ABJ18" s="13"/>
      <c r="ABK18" s="13"/>
      <c r="ABL18" s="13"/>
      <c r="ABM18" s="13"/>
      <c r="ABN18" s="13"/>
      <c r="ABO18" s="13"/>
      <c r="ABP18" s="13"/>
      <c r="ABQ18" s="13"/>
      <c r="ABR18" s="13"/>
      <c r="ABS18" s="13"/>
      <c r="ABT18" s="13"/>
      <c r="ABU18" s="13"/>
      <c r="ABV18" s="13"/>
      <c r="ABW18" s="13"/>
      <c r="ABX18" s="13"/>
      <c r="ABY18" s="13"/>
      <c r="ABZ18" s="13"/>
      <c r="ACA18" s="13"/>
      <c r="ACB18" s="13"/>
      <c r="ACC18" s="13"/>
      <c r="ACD18" s="13"/>
      <c r="ACE18" s="13"/>
      <c r="ACF18" s="13"/>
      <c r="ACG18" s="13"/>
      <c r="ACH18" s="13"/>
      <c r="ACI18" s="13"/>
      <c r="ACJ18" s="13"/>
      <c r="ACK18" s="13"/>
      <c r="ACL18" s="13"/>
      <c r="ACM18" s="13"/>
      <c r="ACN18" s="13"/>
      <c r="ACO18" s="13"/>
      <c r="ACP18" s="13"/>
      <c r="ACQ18" s="13"/>
      <c r="ACR18" s="13"/>
      <c r="ACS18" s="13"/>
      <c r="ACT18" s="13"/>
      <c r="ACU18" s="13"/>
      <c r="ACV18" s="13"/>
      <c r="ACW18" s="13"/>
      <c r="ACX18" s="13"/>
      <c r="ACY18" s="13"/>
      <c r="ACZ18" s="13"/>
      <c r="ADA18" s="13"/>
      <c r="ADB18" s="13"/>
      <c r="ADC18" s="13"/>
      <c r="ADD18" s="13"/>
      <c r="ADE18" s="13"/>
      <c r="ADF18" s="13"/>
      <c r="ADG18" s="13"/>
      <c r="ADH18" s="13"/>
      <c r="ADI18" s="13"/>
      <c r="ADJ18" s="13"/>
      <c r="ADK18" s="13"/>
      <c r="ADL18" s="13"/>
      <c r="ADM18" s="13"/>
      <c r="ADN18" s="13"/>
      <c r="ADO18" s="13"/>
      <c r="ADP18" s="13"/>
      <c r="ADQ18" s="13"/>
      <c r="ADR18" s="13"/>
      <c r="ADS18" s="13"/>
      <c r="ADT18" s="13"/>
      <c r="ADU18" s="13"/>
      <c r="ADV18" s="13"/>
      <c r="ADW18" s="13"/>
      <c r="ADX18" s="13"/>
      <c r="ADY18" s="13"/>
      <c r="ADZ18" s="13"/>
      <c r="AEA18" s="13"/>
      <c r="AEB18" s="13"/>
      <c r="AEC18" s="13"/>
      <c r="AED18" s="13"/>
      <c r="AEE18" s="13"/>
      <c r="AEF18" s="13"/>
      <c r="AEG18" s="13"/>
      <c r="AEH18" s="13"/>
      <c r="AEI18" s="13"/>
      <c r="AEJ18" s="13"/>
      <c r="AEK18" s="13"/>
      <c r="AEL18" s="13"/>
      <c r="AEM18" s="13"/>
      <c r="AEN18" s="13"/>
      <c r="AEO18" s="13"/>
      <c r="AEP18" s="13"/>
      <c r="AEQ18" s="13"/>
      <c r="AER18" s="13"/>
      <c r="AES18" s="13"/>
      <c r="AET18" s="13"/>
      <c r="AEU18" s="13"/>
      <c r="AEV18" s="13"/>
      <c r="AEW18" s="13"/>
      <c r="AEX18" s="13"/>
      <c r="AEY18" s="13"/>
      <c r="AEZ18" s="13"/>
      <c r="AFA18" s="13"/>
      <c r="AFB18" s="13"/>
      <c r="AFC18" s="13"/>
      <c r="AFD18" s="13"/>
      <c r="AFE18" s="13"/>
      <c r="AFF18" s="13"/>
      <c r="AFG18" s="13"/>
      <c r="AFH18" s="13"/>
      <c r="AFI18" s="13"/>
      <c r="AFJ18" s="13"/>
      <c r="AFK18" s="13"/>
      <c r="AFL18" s="13"/>
      <c r="AFM18" s="13"/>
      <c r="AFN18" s="13"/>
      <c r="AFO18" s="13"/>
      <c r="AFP18" s="13"/>
      <c r="AFQ18" s="13"/>
      <c r="AFR18" s="13"/>
      <c r="AFS18" s="13"/>
      <c r="AFT18" s="13"/>
      <c r="AFU18" s="13"/>
      <c r="AFV18" s="13"/>
      <c r="AFW18" s="13"/>
      <c r="AFX18" s="13"/>
      <c r="AFY18" s="13"/>
      <c r="AFZ18" s="13"/>
      <c r="AGA18" s="13"/>
      <c r="AGB18" s="13"/>
      <c r="AGC18" s="13"/>
      <c r="AGD18" s="13"/>
      <c r="AGE18" s="13"/>
      <c r="AGF18" s="13"/>
      <c r="AGG18" s="13"/>
      <c r="AGH18" s="13"/>
      <c r="AGI18" s="13"/>
      <c r="AGJ18" s="13"/>
      <c r="AGK18" s="13"/>
      <c r="AGL18" s="13"/>
      <c r="AGM18" s="13"/>
      <c r="AGN18" s="13"/>
      <c r="AGO18" s="13"/>
      <c r="AGP18" s="13"/>
      <c r="AGQ18" s="13"/>
      <c r="AGR18" s="13"/>
      <c r="AGS18" s="13"/>
      <c r="AGT18" s="13"/>
      <c r="AGU18" s="13"/>
      <c r="AGV18" s="13"/>
      <c r="AGW18" s="13"/>
      <c r="AGX18" s="13"/>
      <c r="AGY18" s="13"/>
      <c r="AGZ18" s="13"/>
      <c r="AHA18" s="13"/>
      <c r="AHB18" s="13"/>
      <c r="AHC18" s="13"/>
      <c r="AHD18" s="13"/>
      <c r="AHE18" s="13"/>
      <c r="AHF18" s="13"/>
      <c r="AHG18" s="13"/>
      <c r="AHH18" s="13"/>
      <c r="AHI18" s="13"/>
      <c r="AHJ18" s="13"/>
      <c r="AHK18" s="13"/>
      <c r="AHL18" s="13"/>
      <c r="AHM18" s="13"/>
      <c r="AHN18" s="13"/>
      <c r="AHO18" s="13"/>
      <c r="AHP18" s="13"/>
      <c r="AHQ18" s="13"/>
      <c r="AHR18" s="13"/>
      <c r="AHS18" s="13"/>
      <c r="AHT18" s="13"/>
      <c r="AHU18" s="13"/>
      <c r="AHV18" s="13"/>
      <c r="AHW18" s="13"/>
      <c r="AHX18" s="13"/>
      <c r="AHY18" s="13"/>
      <c r="AHZ18" s="13"/>
      <c r="AIA18" s="13"/>
      <c r="AIB18" s="13"/>
      <c r="AIC18" s="13"/>
      <c r="AID18" s="13"/>
      <c r="AIE18" s="13"/>
      <c r="AIF18" s="13"/>
      <c r="AIG18" s="13"/>
      <c r="AIH18" s="13"/>
      <c r="AII18" s="13"/>
      <c r="AIJ18" s="13"/>
      <c r="AIK18" s="13"/>
      <c r="AIL18" s="13"/>
      <c r="AIM18" s="13"/>
      <c r="AIN18" s="13"/>
      <c r="AIO18" s="13"/>
      <c r="AIP18" s="13"/>
      <c r="AIQ18" s="13"/>
      <c r="AIR18" s="13"/>
      <c r="AIS18" s="13"/>
      <c r="AIT18" s="13"/>
      <c r="AIU18" s="13"/>
      <c r="AIV18" s="13"/>
      <c r="AIW18" s="13"/>
      <c r="AIX18" s="13"/>
      <c r="AIY18" s="13"/>
      <c r="AIZ18" s="13"/>
      <c r="AJA18" s="13"/>
      <c r="AJB18" s="13"/>
      <c r="AJC18" s="13"/>
      <c r="AJD18" s="13"/>
      <c r="AJE18" s="13"/>
      <c r="AJF18" s="13"/>
      <c r="AJG18" s="13"/>
      <c r="AJH18" s="13"/>
      <c r="AJI18" s="13"/>
      <c r="AJJ18" s="13"/>
      <c r="AJK18" s="13"/>
      <c r="AJL18" s="13"/>
      <c r="AJM18" s="13"/>
      <c r="AJN18" s="13"/>
      <c r="AJO18" s="13"/>
      <c r="AJP18" s="13"/>
      <c r="AJQ18" s="13"/>
      <c r="AJR18" s="13"/>
      <c r="AJS18" s="13"/>
      <c r="AJT18" s="13"/>
      <c r="AJU18" s="13"/>
      <c r="AJV18" s="13"/>
      <c r="AJW18" s="13"/>
      <c r="AJX18" s="13"/>
      <c r="AJY18" s="13"/>
      <c r="AJZ18" s="13"/>
      <c r="AKA18" s="13"/>
      <c r="AKB18" s="13"/>
      <c r="AKC18" s="13"/>
      <c r="AKD18" s="13"/>
      <c r="AKE18" s="13"/>
      <c r="AKF18" s="13"/>
      <c r="AKG18" s="13"/>
      <c r="AKH18" s="13"/>
      <c r="AKI18" s="13"/>
      <c r="AKJ18" s="13"/>
      <c r="AKK18" s="13"/>
      <c r="AKL18" s="13"/>
      <c r="AKM18" s="13"/>
      <c r="AKN18" s="13"/>
      <c r="AKO18" s="13"/>
      <c r="AKP18" s="13"/>
      <c r="AKQ18" s="13"/>
      <c r="AKR18" s="13"/>
      <c r="AKS18" s="13"/>
      <c r="AKT18" s="13"/>
      <c r="AKU18" s="13"/>
      <c r="AKV18" s="13"/>
      <c r="AKW18" s="13"/>
      <c r="AKX18" s="13"/>
      <c r="AKY18" s="13"/>
      <c r="AKZ18" s="13"/>
      <c r="ALA18" s="13"/>
      <c r="ALB18" s="13"/>
      <c r="ALC18" s="13"/>
      <c r="ALD18" s="13"/>
      <c r="ALE18" s="13"/>
      <c r="ALF18" s="13"/>
      <c r="ALG18" s="13"/>
      <c r="ALH18" s="13"/>
      <c r="ALI18" s="13"/>
      <c r="ALJ18" s="13"/>
      <c r="ALK18" s="13"/>
      <c r="ALL18" s="13"/>
      <c r="ALM18" s="13"/>
      <c r="ALN18" s="13"/>
      <c r="ALO18" s="13"/>
      <c r="ALP18" s="13"/>
      <c r="ALQ18" s="13"/>
      <c r="ALR18" s="13"/>
      <c r="ALS18" s="13"/>
      <c r="ALT18" s="13"/>
      <c r="ALU18" s="13"/>
      <c r="ALV18" s="13"/>
      <c r="ALW18" s="13"/>
      <c r="ALX18" s="13"/>
      <c r="ALY18" s="13"/>
      <c r="ALZ18" s="13"/>
      <c r="AMA18" s="13"/>
      <c r="AMB18" s="13"/>
      <c r="AMC18" s="13"/>
      <c r="AMD18" s="13"/>
      <c r="AME18" s="13"/>
      <c r="AMF18" s="13"/>
      <c r="AMG18" s="13"/>
      <c r="AMH18" s="13"/>
      <c r="AMI18" s="13"/>
      <c r="AMJ18" s="13"/>
    </row>
    <row r="19" spans="1:1024" s="1" customFormat="1" ht="22.15" customHeight="1" thickBot="1" x14ac:dyDescent="0.3">
      <c r="A19" s="289" t="s">
        <v>133</v>
      </c>
      <c r="B19" s="290"/>
      <c r="C19" s="72" t="s">
        <v>134</v>
      </c>
      <c r="D19" s="73"/>
      <c r="E19" s="74" t="s">
        <v>9</v>
      </c>
      <c r="F19" s="75">
        <f>EB30*EB33+ED30*ED33+EI30*EI33+EK30*EK33+EP30*EP33+ER30*ER33+EW30*EW33+EY30*EY33</f>
        <v>246.19372088358551</v>
      </c>
      <c r="H19" s="210"/>
      <c r="I19" s="210"/>
      <c r="J19" s="211"/>
      <c r="N19" s="7"/>
      <c r="P19" s="235" t="s">
        <v>101</v>
      </c>
      <c r="Q19" s="239">
        <f>MAX(BB34:CZ34)</f>
        <v>154.35288433708257</v>
      </c>
      <c r="R19" s="240">
        <f>MIN(BB34:CZ34)</f>
        <v>55.872184036540851</v>
      </c>
      <c r="S19" s="239">
        <f>MAX(BB39:CZ39)</f>
        <v>128.62740361423548</v>
      </c>
      <c r="T19" s="240">
        <f>MIN(BB39:CZ39)</f>
        <v>46.560153363784046</v>
      </c>
      <c r="U19" s="239"/>
      <c r="V19" s="239">
        <f>MAX(BB36:CZ36)</f>
        <v>2.1454905837725113</v>
      </c>
      <c r="W19" s="46"/>
      <c r="X19" s="46"/>
      <c r="Y19" s="240"/>
      <c r="Z19" s="45" t="s">
        <v>9</v>
      </c>
      <c r="AA19" s="46" t="s">
        <v>9</v>
      </c>
      <c r="AB19" s="49" t="s">
        <v>9</v>
      </c>
      <c r="AC19" s="48" t="s">
        <v>9</v>
      </c>
      <c r="AD19" s="47" t="s">
        <v>9</v>
      </c>
      <c r="AE19" s="48" t="s">
        <v>9</v>
      </c>
      <c r="AG19" s="104" t="s">
        <v>64</v>
      </c>
      <c r="AH19" s="105"/>
      <c r="AI19" s="105"/>
      <c r="AJ19" s="90">
        <v>0.75</v>
      </c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14"/>
      <c r="CA19" s="14"/>
      <c r="CB19" s="14"/>
      <c r="CC19" s="14"/>
      <c r="CD19" s="14"/>
      <c r="CE19" s="14"/>
      <c r="CF19" s="14"/>
      <c r="CG19" s="14"/>
      <c r="CH19" s="14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 s="9"/>
      <c r="GM19" s="9"/>
      <c r="GN19" s="9"/>
      <c r="GO19" s="9"/>
      <c r="GP19" s="9"/>
      <c r="GQ19" s="9"/>
      <c r="GR19" s="9"/>
      <c r="GS19" s="9"/>
      <c r="GT19" s="9"/>
      <c r="GU19" s="9"/>
      <c r="GV19" s="9"/>
      <c r="GW19" s="9"/>
      <c r="GX19" s="9"/>
      <c r="GY19" s="9"/>
      <c r="GZ19" s="9"/>
      <c r="HA19" s="9"/>
      <c r="HB19" s="9"/>
      <c r="HC19" s="9"/>
      <c r="HD19" s="9"/>
      <c r="HE19" s="9"/>
      <c r="HF19" s="9"/>
      <c r="HG19" s="9"/>
      <c r="HH19" s="9"/>
      <c r="HI19" s="9"/>
      <c r="HJ19" s="9"/>
      <c r="HK19" s="9"/>
      <c r="HL19" s="9"/>
      <c r="HM19" s="9"/>
      <c r="HN19" s="9"/>
      <c r="HO19" s="9"/>
      <c r="HP19" s="9"/>
      <c r="HQ19" s="9"/>
      <c r="HR19" s="9"/>
      <c r="HS19" s="9"/>
      <c r="HT19" s="9"/>
      <c r="HU19" s="9"/>
      <c r="HV19" s="9"/>
      <c r="HW19" s="9"/>
      <c r="HX19" s="9"/>
      <c r="HY19" s="9"/>
      <c r="HZ19" s="9"/>
      <c r="IA19" s="9"/>
      <c r="IB19" s="9"/>
      <c r="IC19" s="9"/>
      <c r="ID19" s="9"/>
      <c r="IE19" s="9"/>
      <c r="IF19" s="9"/>
      <c r="IG19" s="9"/>
      <c r="IH19" s="9"/>
      <c r="II19" s="9"/>
      <c r="IJ19" s="9"/>
      <c r="IK19" s="9"/>
      <c r="IL19" s="9"/>
      <c r="IM19" s="9"/>
      <c r="IN19" s="9"/>
      <c r="IO19" s="9"/>
      <c r="IP19" s="9"/>
      <c r="IQ19" s="9"/>
      <c r="IR19" s="9"/>
      <c r="IS19" s="9"/>
      <c r="IT19" s="9"/>
      <c r="IU19" s="9"/>
      <c r="IV19" s="9"/>
      <c r="IW19" s="9"/>
      <c r="IX19" s="9"/>
      <c r="IY19" s="9"/>
      <c r="IZ19" s="9"/>
      <c r="JA19" s="9"/>
      <c r="JB19" s="9"/>
      <c r="JC19" s="9"/>
      <c r="JD19" s="9"/>
      <c r="JE19" s="9"/>
      <c r="JF19" s="9"/>
      <c r="JG19" s="9"/>
      <c r="JH19" s="9"/>
      <c r="JI19" s="9"/>
      <c r="JJ19" s="9"/>
      <c r="JK19" s="9"/>
      <c r="JL19" s="9"/>
      <c r="JM19" s="9"/>
      <c r="JN19" s="9"/>
      <c r="JO19" s="9"/>
      <c r="JP19" s="9"/>
      <c r="JQ19" s="9"/>
      <c r="JR19" s="9"/>
      <c r="JS19" s="9"/>
      <c r="JT19" s="9"/>
      <c r="JU19" s="9"/>
      <c r="JV19" s="9"/>
      <c r="JW19" s="9"/>
      <c r="JX19" s="9"/>
      <c r="JY19" s="9"/>
      <c r="JZ19" s="9"/>
      <c r="KA19" s="9"/>
      <c r="KB19" s="9"/>
      <c r="KC19" s="9"/>
      <c r="KD19" s="9"/>
      <c r="KE19" s="9"/>
      <c r="KF19" s="9"/>
      <c r="KG19" s="9"/>
      <c r="KH19" s="9"/>
      <c r="KI19" s="9"/>
      <c r="KJ19" s="9"/>
      <c r="KK19" s="9"/>
      <c r="KL19" s="9"/>
      <c r="KM19" s="9"/>
      <c r="KN19" s="9"/>
      <c r="KO19" s="9"/>
      <c r="KP19" s="9"/>
      <c r="KQ19" s="9"/>
      <c r="KR19" s="9"/>
      <c r="KS19" s="9"/>
      <c r="KT19" s="9"/>
      <c r="KU19" s="9"/>
      <c r="KV19" s="9"/>
      <c r="KW19" s="9"/>
      <c r="KX19" s="9"/>
      <c r="KY19" s="9"/>
      <c r="KZ19" s="9"/>
      <c r="LA19" s="9"/>
      <c r="LB19" s="9"/>
      <c r="LC19" s="9"/>
      <c r="LD19" s="9"/>
      <c r="LE19" s="9"/>
      <c r="LF19" s="9"/>
      <c r="LG19" s="9"/>
      <c r="LH19" s="9"/>
      <c r="LI19" s="9"/>
      <c r="LJ19" s="9"/>
      <c r="LK19" s="9"/>
      <c r="LL19" s="9"/>
      <c r="LM19" s="9"/>
      <c r="LN19" s="9"/>
      <c r="LO19" s="9"/>
      <c r="LP19" s="9"/>
      <c r="LQ19" s="9"/>
      <c r="LR19" s="9"/>
      <c r="LS19" s="9"/>
      <c r="LT19" s="9"/>
      <c r="LU19" s="9"/>
      <c r="LV19" s="9"/>
      <c r="LW19" s="9"/>
      <c r="LX19" s="9"/>
      <c r="LY19" s="9"/>
      <c r="LZ19" s="9"/>
      <c r="MA19" s="9"/>
      <c r="MB19" s="9"/>
      <c r="MC19" s="9"/>
      <c r="MD19" s="9"/>
      <c r="ME19" s="9"/>
      <c r="MF19" s="9"/>
      <c r="MG19" s="9"/>
      <c r="MH19" s="9"/>
      <c r="MI19" s="9"/>
      <c r="MJ19" s="9"/>
      <c r="MK19" s="9"/>
      <c r="ML19" s="9"/>
      <c r="MM19" s="9"/>
      <c r="MN19" s="9"/>
      <c r="MO19" s="9"/>
      <c r="MP19" s="9"/>
      <c r="MQ19" s="9"/>
      <c r="MR19" s="9"/>
      <c r="MS19" s="9"/>
      <c r="MT19" s="9"/>
      <c r="MU19" s="9"/>
      <c r="MV19" s="9"/>
      <c r="MW19" s="9"/>
      <c r="MX19" s="9"/>
      <c r="MY19" s="9"/>
      <c r="MZ19" s="9"/>
      <c r="NA19" s="9"/>
      <c r="NB19" s="9"/>
      <c r="NC19" s="9"/>
      <c r="ND19" s="9"/>
      <c r="NE19" s="9"/>
      <c r="NF19" s="9"/>
      <c r="NG19" s="9"/>
      <c r="NH19" s="9"/>
      <c r="NI19" s="9"/>
      <c r="NJ19" s="9"/>
      <c r="NK19" s="9"/>
      <c r="NL19" s="9"/>
      <c r="NM19" s="9"/>
      <c r="NN19" s="9"/>
      <c r="NO19" s="9"/>
      <c r="NP19" s="9"/>
      <c r="NQ19" s="9"/>
      <c r="NR19" s="9"/>
      <c r="NS19" s="9"/>
      <c r="NT19" s="9"/>
      <c r="NU19" s="9"/>
      <c r="NV19" s="9"/>
      <c r="NW19" s="9"/>
      <c r="NX19" s="9"/>
      <c r="NY19" s="9"/>
      <c r="NZ19" s="9"/>
      <c r="OA19" s="9"/>
      <c r="OB19" s="9"/>
      <c r="OC19" s="9"/>
      <c r="OD19" s="9"/>
      <c r="OE19" s="9"/>
      <c r="OF19" s="9"/>
      <c r="OG19" s="9"/>
      <c r="OH19" s="9"/>
      <c r="OI19" s="9"/>
      <c r="OJ19" s="9"/>
      <c r="OK19" s="9"/>
      <c r="OL19" s="9"/>
      <c r="OM19" s="9"/>
      <c r="ON19" s="9"/>
      <c r="OO19" s="9"/>
      <c r="OP19" s="9"/>
      <c r="OQ19" s="9"/>
      <c r="OR19" s="9"/>
      <c r="OS19" s="9"/>
      <c r="OT19" s="9"/>
      <c r="OU19" s="9"/>
      <c r="OV19" s="9"/>
      <c r="OW19" s="9"/>
      <c r="OX19" s="9"/>
      <c r="OY19" s="9"/>
      <c r="OZ19" s="9"/>
      <c r="PA19" s="9"/>
      <c r="PB19" s="9"/>
      <c r="PC19" s="9"/>
      <c r="PD19" s="9"/>
      <c r="PE19" s="9"/>
      <c r="PF19" s="9"/>
      <c r="PG19" s="9"/>
      <c r="PH19" s="9"/>
      <c r="PI19" s="9"/>
      <c r="PJ19" s="9"/>
      <c r="PK19" s="9"/>
      <c r="PL19" s="9"/>
      <c r="PM19" s="9"/>
      <c r="PN19" s="9"/>
      <c r="PO19" s="9"/>
      <c r="PP19" s="9"/>
      <c r="PQ19" s="9"/>
      <c r="PR19" s="9"/>
      <c r="PS19" s="9"/>
      <c r="PT19" s="9"/>
      <c r="PU19" s="9"/>
      <c r="PV19" s="9"/>
      <c r="PW19" s="9"/>
      <c r="PX19" s="9"/>
      <c r="PY19" s="9"/>
      <c r="PZ19" s="9"/>
      <c r="QA19" s="9"/>
      <c r="QB19" s="9"/>
      <c r="QC19" s="9"/>
      <c r="QD19" s="9"/>
      <c r="QE19" s="9"/>
      <c r="QF19" s="9"/>
      <c r="QG19" s="9"/>
      <c r="QH19" s="9"/>
      <c r="QI19" s="9"/>
      <c r="QJ19" s="9"/>
      <c r="QK19" s="9"/>
      <c r="QL19" s="9"/>
      <c r="QM19" s="9"/>
      <c r="QN19" s="9"/>
      <c r="QO19" s="14"/>
      <c r="QP19" s="14"/>
      <c r="QQ19" s="14"/>
      <c r="QR19" s="14"/>
      <c r="QS19" s="14"/>
      <c r="QT19" s="14"/>
      <c r="QU19" s="14"/>
      <c r="QV19" s="14"/>
      <c r="QW19" s="14"/>
      <c r="QX19" s="14"/>
      <c r="QY19" s="14"/>
      <c r="QZ19" s="14"/>
      <c r="RA19" s="14"/>
      <c r="RB19" s="14"/>
      <c r="RC19" s="14"/>
      <c r="RD19" s="14"/>
      <c r="RE19" s="14"/>
      <c r="RF19" s="14"/>
      <c r="RG19" s="14"/>
      <c r="RH19" s="14"/>
      <c r="RI19" s="14"/>
      <c r="RJ19" s="14"/>
      <c r="RK19" s="14"/>
      <c r="RL19" s="14"/>
      <c r="RM19" s="14"/>
      <c r="RN19" s="14"/>
      <c r="RO19" s="14"/>
      <c r="RP19" s="14"/>
      <c r="RQ19" s="14"/>
      <c r="RR19" s="14"/>
      <c r="RS19" s="14"/>
      <c r="RT19" s="14"/>
      <c r="RU19" s="14"/>
      <c r="RV19" s="14"/>
      <c r="RW19" s="14"/>
      <c r="RX19" s="14"/>
      <c r="RY19" s="14"/>
      <c r="RZ19" s="14"/>
      <c r="SA19" s="14"/>
      <c r="SB19" s="14"/>
      <c r="SC19" s="14"/>
      <c r="SD19" s="14"/>
      <c r="SE19" s="14"/>
      <c r="SF19" s="14"/>
      <c r="SG19" s="14"/>
      <c r="SH19" s="14"/>
      <c r="SI19" s="14"/>
      <c r="SJ19" s="14"/>
      <c r="SK19" s="14"/>
      <c r="SL19" s="14"/>
      <c r="SM19" s="14"/>
      <c r="SN19" s="14"/>
      <c r="SO19" s="14"/>
      <c r="SP19" s="14"/>
      <c r="SQ19" s="14"/>
      <c r="SR19" s="14"/>
      <c r="SS19" s="14"/>
      <c r="ST19" s="14"/>
      <c r="SU19" s="14"/>
      <c r="SV19" s="14"/>
      <c r="SW19" s="14"/>
      <c r="SX19" s="14"/>
      <c r="SY19" s="14"/>
      <c r="SZ19" s="14"/>
      <c r="TA19" s="14"/>
      <c r="TB19" s="14"/>
      <c r="TC19" s="14"/>
      <c r="TD19" s="14"/>
      <c r="TE19" s="14"/>
      <c r="TF19" s="14"/>
      <c r="TG19" s="14"/>
      <c r="TH19" s="14"/>
      <c r="TI19" s="14"/>
      <c r="TJ19" s="14"/>
      <c r="TK19" s="14"/>
      <c r="TL19" s="14"/>
      <c r="TM19" s="14"/>
      <c r="TN19" s="14"/>
      <c r="TO19" s="14"/>
      <c r="TP19" s="14"/>
      <c r="TQ19" s="14"/>
      <c r="TR19" s="14"/>
      <c r="TS19" s="14"/>
      <c r="TT19" s="14"/>
      <c r="TU19" s="14"/>
      <c r="TV19" s="14"/>
      <c r="TW19" s="14"/>
      <c r="TX19" s="14"/>
      <c r="TY19" s="14"/>
      <c r="TZ19" s="14"/>
      <c r="UA19" s="14"/>
      <c r="UB19" s="14"/>
      <c r="UC19" s="14"/>
      <c r="UD19" s="14"/>
      <c r="UE19" s="14"/>
      <c r="UF19" s="14"/>
      <c r="UG19" s="14"/>
      <c r="UH19" s="14"/>
      <c r="UI19" s="14"/>
      <c r="UJ19" s="14"/>
      <c r="UK19" s="14"/>
      <c r="UL19" s="14"/>
      <c r="UM19" s="14"/>
      <c r="UN19" s="14"/>
      <c r="UO19" s="14"/>
      <c r="UP19" s="14"/>
      <c r="UQ19" s="14"/>
      <c r="UR19" s="14"/>
      <c r="US19" s="14"/>
      <c r="UT19" s="14"/>
      <c r="UU19" s="14"/>
      <c r="UV19" s="14"/>
      <c r="UW19" s="14"/>
      <c r="UX19" s="14"/>
      <c r="UY19" s="14"/>
      <c r="UZ19" s="14"/>
      <c r="VA19" s="14"/>
      <c r="VB19" s="14"/>
      <c r="VC19" s="14"/>
      <c r="VD19" s="14"/>
      <c r="VE19" s="14"/>
      <c r="VF19" s="14"/>
      <c r="VG19" s="14"/>
      <c r="VH19" s="14"/>
      <c r="VI19" s="14"/>
      <c r="VJ19" s="14"/>
      <c r="VK19" s="14"/>
      <c r="VL19" s="14"/>
      <c r="VM19" s="14"/>
      <c r="VN19" s="14"/>
      <c r="VO19" s="14"/>
      <c r="VP19" s="14"/>
      <c r="VQ19" s="14"/>
      <c r="VR19" s="14"/>
      <c r="VS19" s="14"/>
      <c r="VT19" s="14"/>
      <c r="VU19" s="14"/>
      <c r="VV19" s="14"/>
      <c r="VW19" s="14"/>
      <c r="VX19" s="14"/>
      <c r="VY19" s="14"/>
      <c r="VZ19" s="14"/>
      <c r="WA19" s="14"/>
      <c r="WB19" s="14"/>
      <c r="WC19" s="14"/>
      <c r="WD19" s="14"/>
      <c r="WE19" s="14"/>
      <c r="WF19" s="14"/>
      <c r="WG19" s="14"/>
      <c r="WH19" s="14"/>
      <c r="WI19" s="14"/>
      <c r="WJ19" s="14"/>
      <c r="WK19" s="14"/>
      <c r="WL19" s="14"/>
      <c r="WM19" s="14"/>
      <c r="WN19" s="14"/>
      <c r="WO19" s="14"/>
      <c r="WP19" s="14"/>
      <c r="WQ19" s="14"/>
      <c r="WR19" s="14"/>
      <c r="WS19" s="14"/>
      <c r="WT19" s="14"/>
      <c r="WU19" s="14"/>
      <c r="WV19" s="14"/>
      <c r="WW19" s="14"/>
      <c r="WX19" s="14"/>
      <c r="WY19" s="14"/>
      <c r="WZ19" s="14"/>
      <c r="XA19" s="14"/>
      <c r="XB19" s="14"/>
      <c r="XC19" s="14"/>
      <c r="XD19" s="14"/>
      <c r="XE19" s="14"/>
      <c r="XF19" s="14"/>
      <c r="XG19" s="14"/>
      <c r="XH19" s="14"/>
      <c r="XI19" s="14"/>
      <c r="XJ19" s="14"/>
      <c r="XK19" s="14"/>
      <c r="XL19" s="14"/>
      <c r="XM19" s="14"/>
      <c r="XN19" s="14"/>
      <c r="XO19" s="14"/>
      <c r="XP19" s="14"/>
      <c r="XQ19" s="14"/>
      <c r="XR19" s="14"/>
      <c r="XS19" s="14"/>
      <c r="XT19" s="14"/>
      <c r="XU19" s="14"/>
      <c r="XV19" s="14"/>
      <c r="XW19" s="14"/>
      <c r="XX19" s="14"/>
      <c r="XY19" s="14"/>
      <c r="XZ19" s="14"/>
      <c r="YA19" s="14"/>
      <c r="YB19" s="14"/>
      <c r="YC19" s="14"/>
      <c r="YD19" s="14"/>
      <c r="YE19" s="14"/>
      <c r="YF19" s="14"/>
      <c r="YG19" s="14"/>
      <c r="YH19" s="14"/>
      <c r="YI19" s="14"/>
      <c r="YJ19" s="14"/>
      <c r="YK19" s="14"/>
      <c r="YL19" s="14"/>
      <c r="YM19" s="14"/>
      <c r="YN19" s="14"/>
      <c r="YO19" s="14"/>
      <c r="YP19" s="14"/>
      <c r="YQ19" s="14"/>
      <c r="YR19" s="14"/>
      <c r="YS19" s="14"/>
      <c r="YT19" s="14"/>
      <c r="YU19" s="14"/>
      <c r="YV19" s="14"/>
      <c r="YW19" s="14"/>
      <c r="YX19" s="14"/>
      <c r="YY19" s="14"/>
      <c r="YZ19" s="14"/>
      <c r="ZA19" s="14"/>
      <c r="ZB19" s="14"/>
      <c r="ZC19" s="14"/>
      <c r="ZD19" s="14"/>
      <c r="ZE19" s="14"/>
      <c r="ZF19" s="14"/>
      <c r="ZG19" s="14"/>
      <c r="ZH19" s="13"/>
      <c r="ZI19" s="13"/>
      <c r="ZJ19" s="13"/>
      <c r="ZK19" s="13"/>
      <c r="ZL19" s="13"/>
      <c r="ZM19" s="13"/>
      <c r="ZN19" s="13"/>
      <c r="ZO19" s="13"/>
      <c r="ZP19" s="13"/>
      <c r="ZQ19" s="13"/>
      <c r="ZR19" s="13"/>
      <c r="ZS19" s="13"/>
      <c r="ZT19" s="13"/>
      <c r="ZU19" s="13"/>
      <c r="ZV19" s="13"/>
      <c r="ZW19" s="13"/>
      <c r="ZX19" s="13"/>
      <c r="ZY19" s="13"/>
      <c r="ZZ19" s="13"/>
      <c r="AAA19" s="13"/>
      <c r="AAB19" s="13"/>
      <c r="AAC19" s="13"/>
      <c r="AAD19" s="13"/>
      <c r="AAE19" s="13"/>
      <c r="AAF19" s="13"/>
      <c r="AAG19" s="13"/>
      <c r="AAH19" s="13"/>
      <c r="AAI19" s="13"/>
      <c r="AAJ19" s="13"/>
      <c r="AAK19" s="13"/>
      <c r="AAL19" s="13"/>
      <c r="AAM19" s="13"/>
      <c r="AAN19" s="13"/>
      <c r="AAO19" s="13"/>
      <c r="AAP19" s="13"/>
      <c r="AAQ19" s="13"/>
      <c r="AAR19" s="13"/>
      <c r="AAS19" s="13"/>
      <c r="AAT19" s="13"/>
      <c r="AAU19" s="13"/>
      <c r="AAV19" s="13"/>
      <c r="AAW19" s="13"/>
      <c r="AAX19" s="13"/>
      <c r="AAY19" s="13"/>
      <c r="AAZ19" s="13"/>
      <c r="ABA19" s="13"/>
      <c r="ABB19" s="13"/>
      <c r="ABC19" s="13"/>
      <c r="ABD19" s="13"/>
      <c r="ABE19" s="13"/>
      <c r="ABF19" s="13"/>
      <c r="ABG19" s="13"/>
      <c r="ABH19" s="13"/>
      <c r="ABI19" s="13"/>
      <c r="ABJ19" s="13"/>
      <c r="ABK19" s="13"/>
      <c r="ABL19" s="13"/>
      <c r="ABM19" s="13"/>
      <c r="ABN19" s="13"/>
      <c r="ABO19" s="13"/>
      <c r="ABP19" s="13"/>
      <c r="ABQ19" s="13"/>
      <c r="ABR19" s="13"/>
      <c r="ABS19" s="13"/>
      <c r="ABT19" s="13"/>
      <c r="ABU19" s="13"/>
      <c r="ABV19" s="13"/>
      <c r="ABW19" s="13"/>
      <c r="ABX19" s="13"/>
      <c r="ABY19" s="13"/>
      <c r="ABZ19" s="13"/>
      <c r="ACA19" s="13"/>
      <c r="ACB19" s="13"/>
      <c r="ACC19" s="13"/>
      <c r="ACD19" s="13"/>
      <c r="ACE19" s="13"/>
      <c r="ACF19" s="13"/>
      <c r="ACG19" s="13"/>
      <c r="ACH19" s="13"/>
      <c r="ACI19" s="13"/>
      <c r="ACJ19" s="13"/>
      <c r="ACK19" s="13"/>
      <c r="ACL19" s="13"/>
      <c r="ACM19" s="13"/>
      <c r="ACN19" s="13"/>
      <c r="ACO19" s="13"/>
      <c r="ACP19" s="13"/>
      <c r="ACQ19" s="13"/>
      <c r="ACR19" s="13"/>
      <c r="ACS19" s="13"/>
      <c r="ACT19" s="13"/>
      <c r="ACU19" s="13"/>
      <c r="ACV19" s="13"/>
      <c r="ACW19" s="13"/>
      <c r="ACX19" s="13"/>
      <c r="ACY19" s="13"/>
      <c r="ACZ19" s="13"/>
      <c r="ADA19" s="13"/>
      <c r="ADB19" s="13"/>
      <c r="ADC19" s="13"/>
      <c r="ADD19" s="13"/>
      <c r="ADE19" s="13"/>
      <c r="ADF19" s="13"/>
      <c r="ADG19" s="13"/>
      <c r="ADH19" s="13"/>
      <c r="ADI19" s="13"/>
      <c r="ADJ19" s="13"/>
      <c r="ADK19" s="13"/>
      <c r="ADL19" s="13"/>
      <c r="ADM19" s="13"/>
      <c r="ADN19" s="13"/>
      <c r="ADO19" s="13"/>
      <c r="ADP19" s="13"/>
      <c r="ADQ19" s="13"/>
      <c r="ADR19" s="13"/>
      <c r="ADS19" s="13"/>
      <c r="ADT19" s="13"/>
      <c r="ADU19" s="13"/>
      <c r="ADV19" s="13"/>
      <c r="ADW19" s="13"/>
      <c r="ADX19" s="13"/>
      <c r="ADY19" s="13"/>
      <c r="ADZ19" s="13"/>
      <c r="AEA19" s="13"/>
      <c r="AEB19" s="13"/>
      <c r="AEC19" s="13"/>
      <c r="AED19" s="13"/>
      <c r="AEE19" s="13"/>
      <c r="AEF19" s="13"/>
      <c r="AEG19" s="13"/>
      <c r="AEH19" s="13"/>
      <c r="AEI19" s="13"/>
      <c r="AEJ19" s="13"/>
      <c r="AEK19" s="13"/>
      <c r="AEL19" s="13"/>
      <c r="AEM19" s="13"/>
      <c r="AEN19" s="13"/>
      <c r="AEO19" s="13"/>
      <c r="AEP19" s="13"/>
      <c r="AEQ19" s="13"/>
      <c r="AER19" s="13"/>
      <c r="AES19" s="13"/>
      <c r="AET19" s="13"/>
      <c r="AEU19" s="13"/>
      <c r="AEV19" s="13"/>
      <c r="AEW19" s="13"/>
      <c r="AEX19" s="13"/>
      <c r="AEY19" s="13"/>
      <c r="AEZ19" s="13"/>
      <c r="AFA19" s="13"/>
      <c r="AFB19" s="13"/>
      <c r="AFC19" s="13"/>
      <c r="AFD19" s="13"/>
      <c r="AFE19" s="13"/>
      <c r="AFF19" s="13"/>
      <c r="AFG19" s="13"/>
      <c r="AFH19" s="13"/>
      <c r="AFI19" s="13"/>
      <c r="AFJ19" s="13"/>
      <c r="AFK19" s="13"/>
      <c r="AFL19" s="13"/>
      <c r="AFM19" s="13"/>
      <c r="AFN19" s="13"/>
      <c r="AFO19" s="13"/>
      <c r="AFP19" s="13"/>
      <c r="AFQ19" s="13"/>
      <c r="AFR19" s="13"/>
      <c r="AFS19" s="13"/>
      <c r="AFT19" s="13"/>
      <c r="AFU19" s="13"/>
      <c r="AFV19" s="13"/>
      <c r="AFW19" s="13"/>
      <c r="AFX19" s="13"/>
      <c r="AFY19" s="13"/>
      <c r="AFZ19" s="13"/>
      <c r="AGA19" s="13"/>
      <c r="AGB19" s="13"/>
      <c r="AGC19" s="13"/>
      <c r="AGD19" s="13"/>
      <c r="AGE19" s="13"/>
      <c r="AGF19" s="13"/>
      <c r="AGG19" s="13"/>
      <c r="AGH19" s="13"/>
      <c r="AGI19" s="13"/>
      <c r="AGJ19" s="13"/>
      <c r="AGK19" s="13"/>
      <c r="AGL19" s="13"/>
      <c r="AGM19" s="13"/>
      <c r="AGN19" s="13"/>
      <c r="AGO19" s="13"/>
      <c r="AGP19" s="13"/>
      <c r="AGQ19" s="13"/>
      <c r="AGR19" s="13"/>
      <c r="AGS19" s="13"/>
      <c r="AGT19" s="13"/>
      <c r="AGU19" s="13"/>
      <c r="AGV19" s="13"/>
      <c r="AGW19" s="13"/>
      <c r="AGX19" s="13"/>
      <c r="AGY19" s="13"/>
      <c r="AGZ19" s="13"/>
      <c r="AHA19" s="13"/>
      <c r="AHB19" s="13"/>
      <c r="AHC19" s="13"/>
      <c r="AHD19" s="13"/>
      <c r="AHE19" s="13"/>
      <c r="AHF19" s="13"/>
      <c r="AHG19" s="13"/>
      <c r="AHH19" s="13"/>
      <c r="AHI19" s="13"/>
      <c r="AHJ19" s="13"/>
      <c r="AHK19" s="13"/>
      <c r="AHL19" s="13"/>
      <c r="AHM19" s="13"/>
      <c r="AHN19" s="13"/>
      <c r="AHO19" s="13"/>
      <c r="AHP19" s="13"/>
      <c r="AHQ19" s="13"/>
      <c r="AHR19" s="13"/>
      <c r="AHS19" s="13"/>
      <c r="AHT19" s="13"/>
      <c r="AHU19" s="13"/>
      <c r="AHV19" s="13"/>
      <c r="AHW19" s="13"/>
      <c r="AHX19" s="13"/>
      <c r="AHY19" s="13"/>
      <c r="AHZ19" s="13"/>
      <c r="AIA19" s="13"/>
      <c r="AIB19" s="13"/>
      <c r="AIC19" s="13"/>
      <c r="AID19" s="13"/>
      <c r="AIE19" s="13"/>
      <c r="AIF19" s="13"/>
      <c r="AIG19" s="13"/>
      <c r="AIH19" s="13"/>
      <c r="AII19" s="13"/>
      <c r="AIJ19" s="13"/>
      <c r="AIK19" s="13"/>
      <c r="AIL19" s="13"/>
      <c r="AIM19" s="13"/>
      <c r="AIN19" s="13"/>
      <c r="AIO19" s="13"/>
      <c r="AIP19" s="13"/>
      <c r="AIQ19" s="13"/>
      <c r="AIR19" s="13"/>
      <c r="AIS19" s="13"/>
      <c r="AIT19" s="13"/>
      <c r="AIU19" s="13"/>
      <c r="AIV19" s="13"/>
      <c r="AIW19" s="13"/>
      <c r="AIX19" s="13"/>
      <c r="AIY19" s="13"/>
      <c r="AIZ19" s="13"/>
      <c r="AJA19" s="13"/>
      <c r="AJB19" s="13"/>
      <c r="AJC19" s="13"/>
      <c r="AJD19" s="13"/>
      <c r="AJE19" s="13"/>
      <c r="AJF19" s="13"/>
      <c r="AJG19" s="13"/>
      <c r="AJH19" s="13"/>
      <c r="AJI19" s="13"/>
      <c r="AJJ19" s="13"/>
      <c r="AJK19" s="13"/>
      <c r="AJL19" s="13"/>
      <c r="AJM19" s="13"/>
      <c r="AJN19" s="13"/>
      <c r="AJO19" s="13"/>
      <c r="AJP19" s="13"/>
      <c r="AJQ19" s="13"/>
      <c r="AJR19" s="13"/>
      <c r="AJS19" s="13"/>
      <c r="AJT19" s="13"/>
      <c r="AJU19" s="13"/>
      <c r="AJV19" s="13"/>
      <c r="AJW19" s="13"/>
      <c r="AJX19" s="13"/>
      <c r="AJY19" s="13"/>
      <c r="AJZ19" s="13"/>
      <c r="AKA19" s="13"/>
      <c r="AKB19" s="13"/>
      <c r="AKC19" s="13"/>
      <c r="AKD19" s="13"/>
      <c r="AKE19" s="13"/>
      <c r="AKF19" s="13"/>
      <c r="AKG19" s="13"/>
      <c r="AKH19" s="13"/>
      <c r="AKI19" s="13"/>
      <c r="AKJ19" s="13"/>
      <c r="AKK19" s="13"/>
      <c r="AKL19" s="13"/>
      <c r="AKM19" s="13"/>
      <c r="AKN19" s="13"/>
      <c r="AKO19" s="13"/>
      <c r="AKP19" s="13"/>
      <c r="AKQ19" s="13"/>
      <c r="AKR19" s="13"/>
      <c r="AKS19" s="13"/>
      <c r="AKT19" s="13"/>
      <c r="AKU19" s="13"/>
      <c r="AKV19" s="13"/>
      <c r="AKW19" s="13"/>
      <c r="AKX19" s="13"/>
      <c r="AKY19" s="13"/>
      <c r="AKZ19" s="13"/>
      <c r="ALA19" s="13"/>
      <c r="ALB19" s="13"/>
      <c r="ALC19" s="13"/>
      <c r="ALD19" s="13"/>
      <c r="ALE19" s="13"/>
      <c r="ALF19" s="13"/>
      <c r="ALG19" s="13"/>
      <c r="ALH19" s="13"/>
      <c r="ALI19" s="13"/>
      <c r="ALJ19" s="13"/>
      <c r="ALK19" s="13"/>
      <c r="ALL19" s="13"/>
      <c r="ALM19" s="13"/>
      <c r="ALN19" s="13"/>
      <c r="ALO19" s="13"/>
      <c r="ALP19" s="13"/>
      <c r="ALQ19" s="13"/>
      <c r="ALR19" s="13"/>
      <c r="ALS19" s="13"/>
      <c r="ALT19" s="13"/>
      <c r="ALU19" s="13"/>
      <c r="ALV19" s="13"/>
      <c r="ALW19" s="13"/>
      <c r="ALX19" s="13"/>
      <c r="ALY19" s="13"/>
      <c r="ALZ19" s="13"/>
      <c r="AMA19" s="13"/>
      <c r="AMB19" s="13"/>
      <c r="AMC19" s="13"/>
      <c r="AMD19" s="13"/>
      <c r="AME19" s="13"/>
      <c r="AMF19" s="13"/>
      <c r="AMG19" s="13"/>
      <c r="AMH19" s="13"/>
      <c r="AMI19" s="13"/>
    </row>
    <row r="20" spans="1:1024" s="1" customFormat="1" ht="22.15" customHeight="1" thickBot="1" x14ac:dyDescent="0.3">
      <c r="A20" s="42">
        <f>COUNT(C1:EY1)</f>
        <v>153</v>
      </c>
      <c r="B20" s="43" t="s">
        <v>16</v>
      </c>
      <c r="C20" s="72" t="s">
        <v>116</v>
      </c>
      <c r="D20" s="73"/>
      <c r="E20" s="271">
        <f>SUM(C36:EY36)</f>
        <v>219.93185279328691</v>
      </c>
      <c r="F20" s="272"/>
      <c r="H20" s="211"/>
      <c r="I20" s="282" t="s">
        <v>150</v>
      </c>
      <c r="J20" s="283"/>
      <c r="K20" s="284"/>
      <c r="N20" s="7"/>
      <c r="P20" s="235" t="s">
        <v>104</v>
      </c>
      <c r="Q20" s="239">
        <f>MAX(DA34:EY34)</f>
        <v>213.29086718859719</v>
      </c>
      <c r="R20" s="240">
        <f>MIN(DA34:EX34)</f>
        <v>33.90464517817329</v>
      </c>
      <c r="S20" s="239">
        <f>MAX(DA39:EY39)</f>
        <v>118.49492621588733</v>
      </c>
      <c r="T20" s="240">
        <f>MIN(DA39:EX39)</f>
        <v>18.835913987874051</v>
      </c>
      <c r="U20" s="239"/>
      <c r="V20" s="246">
        <f>MAX(DA36:EY36)</f>
        <v>2.4955031461065866</v>
      </c>
      <c r="W20" s="247"/>
      <c r="X20" s="247"/>
      <c r="Y20" s="248"/>
      <c r="Z20" s="45" t="s">
        <v>9</v>
      </c>
      <c r="AA20" s="46"/>
      <c r="AB20" s="49"/>
      <c r="AC20" s="48"/>
      <c r="AD20" s="47"/>
      <c r="AE20" s="48"/>
      <c r="AG20" s="96" t="s">
        <v>66</v>
      </c>
      <c r="AH20" s="97"/>
      <c r="AI20" s="97"/>
      <c r="AJ20" s="88">
        <v>0.65</v>
      </c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14"/>
      <c r="CA20" s="14"/>
      <c r="CB20" s="14"/>
      <c r="CC20" s="14"/>
      <c r="CD20" s="14"/>
      <c r="CE20" s="14"/>
      <c r="CF20" s="14"/>
      <c r="CG20" s="14"/>
      <c r="CH20" s="14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  <c r="LE20" s="9"/>
      <c r="LF20" s="9"/>
      <c r="LG20" s="9"/>
      <c r="LH20" s="9"/>
      <c r="LI20" s="9"/>
      <c r="LJ20" s="9"/>
      <c r="LK20" s="9"/>
      <c r="LL20" s="9"/>
      <c r="LM20" s="9"/>
      <c r="LN20" s="9"/>
      <c r="LO20" s="9"/>
      <c r="LP20" s="9"/>
      <c r="LQ20" s="9"/>
      <c r="LR20" s="9"/>
      <c r="LS20" s="9"/>
      <c r="LT20" s="9"/>
      <c r="LU20" s="9"/>
      <c r="LV20" s="9"/>
      <c r="LW20" s="9"/>
      <c r="LX20" s="9"/>
      <c r="LY20" s="9"/>
      <c r="LZ20" s="9"/>
      <c r="MA20" s="9"/>
      <c r="MB20" s="9"/>
      <c r="MC20" s="9"/>
      <c r="MD20" s="9"/>
      <c r="ME20" s="9"/>
      <c r="MF20" s="9"/>
      <c r="MG20" s="9"/>
      <c r="MH20" s="9"/>
      <c r="MI20" s="9"/>
      <c r="MJ20" s="9"/>
      <c r="MK20" s="9"/>
      <c r="ML20" s="9"/>
      <c r="MM20" s="9"/>
      <c r="MN20" s="9"/>
      <c r="MO20" s="9"/>
      <c r="MP20" s="9"/>
      <c r="MQ20" s="9"/>
      <c r="MR20" s="9"/>
      <c r="MS20" s="9"/>
      <c r="MT20" s="9"/>
      <c r="MU20" s="9"/>
      <c r="MV20" s="9"/>
      <c r="MW20" s="9"/>
      <c r="MX20" s="9"/>
      <c r="MY20" s="9"/>
      <c r="MZ20" s="9"/>
      <c r="NA20" s="9"/>
      <c r="NB20" s="9"/>
      <c r="NC20" s="9"/>
      <c r="ND20" s="9"/>
      <c r="NE20" s="9"/>
      <c r="NF20" s="9"/>
      <c r="NG20" s="9"/>
      <c r="NH20" s="9"/>
      <c r="NI20" s="9"/>
      <c r="NJ20" s="9"/>
      <c r="NK20" s="9"/>
      <c r="NL20" s="9"/>
      <c r="NM20" s="9"/>
      <c r="NN20" s="9"/>
      <c r="NO20" s="9"/>
      <c r="NP20" s="9"/>
      <c r="NQ20" s="9"/>
      <c r="NR20" s="9"/>
      <c r="NS20" s="9"/>
      <c r="NT20" s="9"/>
      <c r="NU20" s="9"/>
      <c r="NV20" s="9"/>
      <c r="NW20" s="9"/>
      <c r="NX20" s="9"/>
      <c r="NY20" s="9"/>
      <c r="NZ20" s="9"/>
      <c r="OA20" s="9"/>
      <c r="OB20" s="9"/>
      <c r="OC20" s="9"/>
      <c r="OD20" s="9"/>
      <c r="OE20" s="9"/>
      <c r="OF20" s="9"/>
      <c r="OG20" s="9"/>
      <c r="OH20" s="9"/>
      <c r="OI20" s="9"/>
      <c r="OJ20" s="9"/>
      <c r="OK20" s="9"/>
      <c r="OL20" s="9"/>
      <c r="OM20" s="9"/>
      <c r="ON20" s="9"/>
      <c r="OO20" s="9"/>
      <c r="OP20" s="9"/>
      <c r="OQ20" s="9"/>
      <c r="OR20" s="9"/>
      <c r="OS20" s="9"/>
      <c r="OT20" s="9"/>
      <c r="OU20" s="9"/>
      <c r="OV20" s="9"/>
      <c r="OW20" s="9"/>
      <c r="OX20" s="9"/>
      <c r="OY20" s="9"/>
      <c r="OZ20" s="9"/>
      <c r="PA20" s="9"/>
      <c r="PB20" s="9"/>
      <c r="PC20" s="9"/>
      <c r="PD20" s="9"/>
      <c r="PE20" s="9"/>
      <c r="PF20" s="9"/>
      <c r="PG20" s="9"/>
      <c r="PH20" s="9"/>
      <c r="PI20" s="9"/>
      <c r="PJ20" s="9"/>
      <c r="PK20" s="9"/>
      <c r="PL20" s="9"/>
      <c r="PM20" s="9"/>
      <c r="PN20" s="9"/>
      <c r="PO20" s="9"/>
      <c r="PP20" s="9"/>
      <c r="PQ20" s="9"/>
      <c r="PR20" s="9"/>
      <c r="PS20" s="9"/>
      <c r="PT20" s="9"/>
      <c r="PU20" s="9"/>
      <c r="PV20" s="9"/>
      <c r="PW20" s="9"/>
      <c r="PX20" s="9"/>
      <c r="PY20" s="9"/>
      <c r="PZ20" s="9"/>
      <c r="QA20" s="9"/>
      <c r="QB20" s="9"/>
      <c r="QC20" s="9"/>
      <c r="QD20" s="9"/>
      <c r="QE20" s="9"/>
      <c r="QF20" s="9"/>
      <c r="QG20" s="9"/>
      <c r="QH20" s="9"/>
      <c r="QI20" s="9"/>
      <c r="QJ20" s="9"/>
      <c r="QK20" s="9"/>
      <c r="QL20" s="9"/>
      <c r="QM20" s="9"/>
      <c r="QN20" s="9"/>
      <c r="QO20" s="14"/>
      <c r="QP20" s="14"/>
      <c r="QQ20" s="14"/>
      <c r="QR20" s="14"/>
      <c r="QS20" s="14"/>
      <c r="QT20" s="14"/>
      <c r="QU20" s="14"/>
      <c r="QV20" s="14"/>
      <c r="QW20" s="14"/>
      <c r="QX20" s="14"/>
      <c r="QY20" s="14"/>
      <c r="QZ20" s="14"/>
      <c r="RA20" s="14"/>
      <c r="RB20" s="14"/>
      <c r="RC20" s="14"/>
      <c r="RD20" s="14"/>
      <c r="RE20" s="14"/>
      <c r="RF20" s="14"/>
      <c r="RG20" s="14"/>
      <c r="RH20" s="14"/>
      <c r="RI20" s="14"/>
      <c r="RJ20" s="14"/>
      <c r="RK20" s="14"/>
      <c r="RL20" s="14"/>
      <c r="RM20" s="14"/>
      <c r="RN20" s="14"/>
      <c r="RO20" s="14"/>
      <c r="RP20" s="14"/>
      <c r="RQ20" s="14"/>
      <c r="RR20" s="14"/>
      <c r="RS20" s="14"/>
      <c r="RT20" s="14"/>
      <c r="RU20" s="14"/>
      <c r="RV20" s="14"/>
      <c r="RW20" s="14"/>
      <c r="RX20" s="14"/>
      <c r="RY20" s="14"/>
      <c r="RZ20" s="14"/>
      <c r="SA20" s="14"/>
      <c r="SB20" s="14"/>
      <c r="SC20" s="14"/>
      <c r="SD20" s="14"/>
      <c r="SE20" s="14"/>
      <c r="SF20" s="14"/>
      <c r="SG20" s="14"/>
      <c r="SH20" s="14"/>
      <c r="SI20" s="14"/>
      <c r="SJ20" s="14"/>
      <c r="SK20" s="14"/>
      <c r="SL20" s="14"/>
      <c r="SM20" s="14"/>
      <c r="SN20" s="14"/>
      <c r="SO20" s="14"/>
      <c r="SP20" s="14"/>
      <c r="SQ20" s="14"/>
      <c r="SR20" s="14"/>
      <c r="SS20" s="14"/>
      <c r="ST20" s="14"/>
      <c r="SU20" s="14"/>
      <c r="SV20" s="14"/>
      <c r="SW20" s="14"/>
      <c r="SX20" s="14"/>
      <c r="SY20" s="14"/>
      <c r="SZ20" s="14"/>
      <c r="TA20" s="14"/>
      <c r="TB20" s="14"/>
      <c r="TC20" s="14"/>
      <c r="TD20" s="14"/>
      <c r="TE20" s="14"/>
      <c r="TF20" s="14"/>
      <c r="TG20" s="14"/>
      <c r="TH20" s="14"/>
      <c r="TI20" s="14"/>
      <c r="TJ20" s="14"/>
      <c r="TK20" s="14"/>
      <c r="TL20" s="14"/>
      <c r="TM20" s="14"/>
      <c r="TN20" s="14"/>
      <c r="TO20" s="14"/>
      <c r="TP20" s="14"/>
      <c r="TQ20" s="14"/>
      <c r="TR20" s="14"/>
      <c r="TS20" s="14"/>
      <c r="TT20" s="14"/>
      <c r="TU20" s="14"/>
      <c r="TV20" s="14"/>
      <c r="TW20" s="14"/>
      <c r="TX20" s="14"/>
      <c r="TY20" s="14"/>
      <c r="TZ20" s="14"/>
      <c r="UA20" s="14"/>
      <c r="UB20" s="14"/>
      <c r="UC20" s="14"/>
      <c r="UD20" s="14"/>
      <c r="UE20" s="14"/>
      <c r="UF20" s="14"/>
      <c r="UG20" s="14"/>
      <c r="UH20" s="14"/>
      <c r="UI20" s="14"/>
      <c r="UJ20" s="14"/>
      <c r="UK20" s="14"/>
      <c r="UL20" s="14"/>
      <c r="UM20" s="14"/>
      <c r="UN20" s="14"/>
      <c r="UO20" s="14"/>
      <c r="UP20" s="14"/>
      <c r="UQ20" s="14"/>
      <c r="UR20" s="14"/>
      <c r="US20" s="14"/>
      <c r="UT20" s="14"/>
      <c r="UU20" s="14"/>
      <c r="UV20" s="14"/>
      <c r="UW20" s="14"/>
      <c r="UX20" s="14"/>
      <c r="UY20" s="14"/>
      <c r="UZ20" s="14"/>
      <c r="VA20" s="14"/>
      <c r="VB20" s="14"/>
      <c r="VC20" s="14"/>
      <c r="VD20" s="14"/>
      <c r="VE20" s="14"/>
      <c r="VF20" s="14"/>
      <c r="VG20" s="14"/>
      <c r="VH20" s="14"/>
      <c r="VI20" s="14"/>
      <c r="VJ20" s="14"/>
      <c r="VK20" s="14"/>
      <c r="VL20" s="14"/>
      <c r="VM20" s="14"/>
      <c r="VN20" s="14"/>
      <c r="VO20" s="14"/>
      <c r="VP20" s="14"/>
      <c r="VQ20" s="14"/>
      <c r="VR20" s="14"/>
      <c r="VS20" s="14"/>
      <c r="VT20" s="14"/>
      <c r="VU20" s="14"/>
      <c r="VV20" s="14"/>
      <c r="VW20" s="14"/>
      <c r="VX20" s="14"/>
      <c r="VY20" s="14"/>
      <c r="VZ20" s="14"/>
      <c r="WA20" s="14"/>
      <c r="WB20" s="14"/>
      <c r="WC20" s="14"/>
      <c r="WD20" s="14"/>
      <c r="WE20" s="14"/>
      <c r="WF20" s="14"/>
      <c r="WG20" s="14"/>
      <c r="WH20" s="14"/>
      <c r="WI20" s="14"/>
      <c r="WJ20" s="14"/>
      <c r="WK20" s="14"/>
      <c r="WL20" s="14"/>
      <c r="WM20" s="14"/>
      <c r="WN20" s="14"/>
      <c r="WO20" s="14"/>
      <c r="WP20" s="14"/>
      <c r="WQ20" s="14"/>
      <c r="WR20" s="14"/>
      <c r="WS20" s="14"/>
      <c r="WT20" s="14"/>
      <c r="WU20" s="14"/>
      <c r="WV20" s="14"/>
      <c r="WW20" s="14"/>
      <c r="WX20" s="14"/>
      <c r="WY20" s="14"/>
      <c r="WZ20" s="14"/>
      <c r="XA20" s="14"/>
      <c r="XB20" s="14"/>
      <c r="XC20" s="14"/>
      <c r="XD20" s="14"/>
      <c r="XE20" s="14"/>
      <c r="XF20" s="14"/>
      <c r="XG20" s="14"/>
      <c r="XH20" s="14"/>
      <c r="XI20" s="14"/>
      <c r="XJ20" s="14"/>
      <c r="XK20" s="14"/>
      <c r="XL20" s="14"/>
      <c r="XM20" s="14"/>
      <c r="XN20" s="14"/>
      <c r="XO20" s="14"/>
      <c r="XP20" s="14"/>
      <c r="XQ20" s="14"/>
      <c r="XR20" s="14"/>
      <c r="XS20" s="14"/>
      <c r="XT20" s="14"/>
      <c r="XU20" s="14"/>
      <c r="XV20" s="14"/>
      <c r="XW20" s="14"/>
      <c r="XX20" s="14"/>
      <c r="XY20" s="14"/>
      <c r="XZ20" s="14"/>
      <c r="YA20" s="14"/>
      <c r="YB20" s="14"/>
      <c r="YC20" s="14"/>
      <c r="YD20" s="14"/>
      <c r="YE20" s="14"/>
      <c r="YF20" s="14"/>
      <c r="YG20" s="14"/>
      <c r="YH20" s="14"/>
      <c r="YI20" s="14"/>
      <c r="YJ20" s="14"/>
      <c r="YK20" s="14"/>
      <c r="YL20" s="14"/>
      <c r="YM20" s="14"/>
      <c r="YN20" s="14"/>
      <c r="YO20" s="14"/>
      <c r="YP20" s="14"/>
      <c r="YQ20" s="14"/>
      <c r="YR20" s="14"/>
      <c r="YS20" s="14"/>
      <c r="YT20" s="14"/>
      <c r="YU20" s="14"/>
      <c r="YV20" s="14"/>
      <c r="YW20" s="14"/>
      <c r="YX20" s="14"/>
      <c r="YY20" s="14"/>
      <c r="YZ20" s="14"/>
      <c r="ZA20" s="14"/>
      <c r="ZB20" s="14"/>
      <c r="ZC20" s="14"/>
      <c r="ZD20" s="14"/>
      <c r="ZE20" s="14"/>
      <c r="ZF20" s="14"/>
      <c r="ZG20" s="14"/>
      <c r="ZH20" s="13"/>
      <c r="ZI20" s="13"/>
      <c r="ZJ20" s="13"/>
      <c r="ZK20" s="13"/>
      <c r="ZL20" s="13"/>
      <c r="ZM20" s="13"/>
      <c r="ZN20" s="13"/>
      <c r="ZO20" s="13"/>
      <c r="ZP20" s="13"/>
      <c r="ZQ20" s="13"/>
      <c r="ZR20" s="13"/>
      <c r="ZS20" s="13"/>
      <c r="ZT20" s="13"/>
      <c r="ZU20" s="13"/>
      <c r="ZV20" s="13"/>
      <c r="ZW20" s="13"/>
      <c r="ZX20" s="13"/>
      <c r="ZY20" s="13"/>
      <c r="ZZ20" s="13"/>
      <c r="AAA20" s="13"/>
      <c r="AAB20" s="13"/>
      <c r="AAC20" s="13"/>
      <c r="AAD20" s="13"/>
      <c r="AAE20" s="13"/>
      <c r="AAF20" s="13"/>
      <c r="AAG20" s="13"/>
      <c r="AAH20" s="13"/>
      <c r="AAI20" s="13"/>
      <c r="AAJ20" s="13"/>
      <c r="AAK20" s="13"/>
      <c r="AAL20" s="13"/>
      <c r="AAM20" s="13"/>
      <c r="AAN20" s="13"/>
      <c r="AAO20" s="13"/>
      <c r="AAP20" s="13"/>
      <c r="AAQ20" s="13"/>
      <c r="AAR20" s="13"/>
      <c r="AAS20" s="13"/>
      <c r="AAT20" s="13"/>
      <c r="AAU20" s="13"/>
      <c r="AAV20" s="13"/>
      <c r="AAW20" s="13"/>
      <c r="AAX20" s="13"/>
      <c r="AAY20" s="13"/>
      <c r="AAZ20" s="13"/>
      <c r="ABA20" s="13"/>
      <c r="ABB20" s="13"/>
      <c r="ABC20" s="13"/>
      <c r="ABD20" s="13"/>
      <c r="ABE20" s="13"/>
      <c r="ABF20" s="13"/>
      <c r="ABG20" s="13"/>
      <c r="ABH20" s="13"/>
      <c r="ABI20" s="13"/>
      <c r="ABJ20" s="13"/>
      <c r="ABK20" s="13"/>
      <c r="ABL20" s="13"/>
      <c r="ABM20" s="13"/>
      <c r="ABN20" s="13"/>
      <c r="ABO20" s="13"/>
      <c r="ABP20" s="13"/>
      <c r="ABQ20" s="13"/>
      <c r="ABR20" s="13"/>
      <c r="ABS20" s="13"/>
      <c r="ABT20" s="13"/>
      <c r="ABU20" s="13"/>
      <c r="ABV20" s="13"/>
      <c r="ABW20" s="13"/>
      <c r="ABX20" s="13"/>
      <c r="ABY20" s="13"/>
      <c r="ABZ20" s="13"/>
      <c r="ACA20" s="13"/>
      <c r="ACB20" s="13"/>
      <c r="ACC20" s="13"/>
      <c r="ACD20" s="13"/>
      <c r="ACE20" s="13"/>
      <c r="ACF20" s="13"/>
      <c r="ACG20" s="13"/>
      <c r="ACH20" s="13"/>
      <c r="ACI20" s="13"/>
      <c r="ACJ20" s="13"/>
      <c r="ACK20" s="13"/>
      <c r="ACL20" s="13"/>
      <c r="ACM20" s="13"/>
      <c r="ACN20" s="13"/>
      <c r="ACO20" s="13"/>
      <c r="ACP20" s="13"/>
      <c r="ACQ20" s="13"/>
      <c r="ACR20" s="13"/>
      <c r="ACS20" s="13"/>
      <c r="ACT20" s="13"/>
      <c r="ACU20" s="13"/>
      <c r="ACV20" s="13"/>
      <c r="ACW20" s="13"/>
      <c r="ACX20" s="13"/>
      <c r="ACY20" s="13"/>
      <c r="ACZ20" s="13"/>
      <c r="ADA20" s="13"/>
      <c r="ADB20" s="13"/>
      <c r="ADC20" s="13"/>
      <c r="ADD20" s="13"/>
      <c r="ADE20" s="13"/>
      <c r="ADF20" s="13"/>
      <c r="ADG20" s="13"/>
      <c r="ADH20" s="13"/>
      <c r="ADI20" s="13"/>
      <c r="ADJ20" s="13"/>
      <c r="ADK20" s="13"/>
      <c r="ADL20" s="13"/>
      <c r="ADM20" s="13"/>
      <c r="ADN20" s="13"/>
      <c r="ADO20" s="13"/>
      <c r="ADP20" s="13"/>
      <c r="ADQ20" s="13"/>
      <c r="ADR20" s="13"/>
      <c r="ADS20" s="13"/>
      <c r="ADT20" s="13"/>
      <c r="ADU20" s="13"/>
      <c r="ADV20" s="13"/>
      <c r="ADW20" s="13"/>
      <c r="ADX20" s="13"/>
      <c r="ADY20" s="13"/>
      <c r="ADZ20" s="13"/>
      <c r="AEA20" s="13"/>
      <c r="AEB20" s="13"/>
      <c r="AEC20" s="13"/>
      <c r="AED20" s="13"/>
      <c r="AEE20" s="13"/>
      <c r="AEF20" s="13"/>
      <c r="AEG20" s="13"/>
      <c r="AEH20" s="13"/>
      <c r="AEI20" s="13"/>
      <c r="AEJ20" s="13"/>
      <c r="AEK20" s="13"/>
      <c r="AEL20" s="13"/>
      <c r="AEM20" s="13"/>
      <c r="AEN20" s="13"/>
      <c r="AEO20" s="13"/>
      <c r="AEP20" s="13"/>
      <c r="AEQ20" s="13"/>
      <c r="AER20" s="13"/>
      <c r="AES20" s="13"/>
      <c r="AET20" s="13"/>
      <c r="AEU20" s="13"/>
      <c r="AEV20" s="13"/>
      <c r="AEW20" s="13"/>
      <c r="AEX20" s="13"/>
      <c r="AEY20" s="13"/>
      <c r="AEZ20" s="13"/>
      <c r="AFA20" s="13"/>
      <c r="AFB20" s="13"/>
      <c r="AFC20" s="13"/>
      <c r="AFD20" s="13"/>
      <c r="AFE20" s="13"/>
      <c r="AFF20" s="13"/>
      <c r="AFG20" s="13"/>
      <c r="AFH20" s="13"/>
      <c r="AFI20" s="13"/>
      <c r="AFJ20" s="13"/>
      <c r="AFK20" s="13"/>
      <c r="AFL20" s="13"/>
      <c r="AFM20" s="13"/>
      <c r="AFN20" s="13"/>
      <c r="AFO20" s="13"/>
      <c r="AFP20" s="13"/>
      <c r="AFQ20" s="13"/>
      <c r="AFR20" s="13"/>
      <c r="AFS20" s="13"/>
      <c r="AFT20" s="13"/>
      <c r="AFU20" s="13"/>
      <c r="AFV20" s="13"/>
      <c r="AFW20" s="13"/>
      <c r="AFX20" s="13"/>
      <c r="AFY20" s="13"/>
      <c r="AFZ20" s="13"/>
      <c r="AGA20" s="13"/>
      <c r="AGB20" s="13"/>
      <c r="AGC20" s="13"/>
      <c r="AGD20" s="13"/>
      <c r="AGE20" s="13"/>
      <c r="AGF20" s="13"/>
      <c r="AGG20" s="13"/>
      <c r="AGH20" s="13"/>
      <c r="AGI20" s="13"/>
      <c r="AGJ20" s="13"/>
      <c r="AGK20" s="13"/>
      <c r="AGL20" s="13"/>
      <c r="AGM20" s="13"/>
      <c r="AGN20" s="13"/>
      <c r="AGO20" s="13"/>
      <c r="AGP20" s="13"/>
      <c r="AGQ20" s="13"/>
      <c r="AGR20" s="13"/>
      <c r="AGS20" s="13"/>
      <c r="AGT20" s="13"/>
      <c r="AGU20" s="13"/>
      <c r="AGV20" s="13"/>
      <c r="AGW20" s="13"/>
      <c r="AGX20" s="13"/>
      <c r="AGY20" s="13"/>
      <c r="AGZ20" s="13"/>
      <c r="AHA20" s="13"/>
      <c r="AHB20" s="13"/>
      <c r="AHC20" s="13"/>
      <c r="AHD20" s="13"/>
      <c r="AHE20" s="13"/>
      <c r="AHF20" s="13"/>
      <c r="AHG20" s="13"/>
      <c r="AHH20" s="13"/>
      <c r="AHI20" s="13"/>
      <c r="AHJ20" s="13"/>
      <c r="AHK20" s="13"/>
      <c r="AHL20" s="13"/>
      <c r="AHM20" s="13"/>
      <c r="AHN20" s="13"/>
      <c r="AHO20" s="13"/>
      <c r="AHP20" s="13"/>
      <c r="AHQ20" s="13"/>
      <c r="AHR20" s="13"/>
      <c r="AHS20" s="13"/>
      <c r="AHT20" s="13"/>
      <c r="AHU20" s="13"/>
      <c r="AHV20" s="13"/>
      <c r="AHW20" s="13"/>
      <c r="AHX20" s="13"/>
      <c r="AHY20" s="13"/>
      <c r="AHZ20" s="13"/>
      <c r="AIA20" s="13"/>
      <c r="AIB20" s="13"/>
      <c r="AIC20" s="13"/>
      <c r="AID20" s="13"/>
      <c r="AIE20" s="13"/>
      <c r="AIF20" s="13"/>
      <c r="AIG20" s="13"/>
      <c r="AIH20" s="13"/>
      <c r="AII20" s="13"/>
      <c r="AIJ20" s="13"/>
      <c r="AIK20" s="13"/>
      <c r="AIL20" s="13"/>
      <c r="AIM20" s="13"/>
      <c r="AIN20" s="13"/>
      <c r="AIO20" s="13"/>
      <c r="AIP20" s="13"/>
      <c r="AIQ20" s="13"/>
      <c r="AIR20" s="13"/>
      <c r="AIS20" s="13"/>
      <c r="AIT20" s="13"/>
      <c r="AIU20" s="13"/>
      <c r="AIV20" s="13"/>
      <c r="AIW20" s="13"/>
      <c r="AIX20" s="13"/>
      <c r="AIY20" s="13"/>
      <c r="AIZ20" s="13"/>
      <c r="AJA20" s="13"/>
      <c r="AJB20" s="13"/>
      <c r="AJC20" s="13"/>
      <c r="AJD20" s="13"/>
      <c r="AJE20" s="13"/>
      <c r="AJF20" s="13"/>
      <c r="AJG20" s="13"/>
      <c r="AJH20" s="13"/>
      <c r="AJI20" s="13"/>
      <c r="AJJ20" s="13"/>
      <c r="AJK20" s="13"/>
      <c r="AJL20" s="13"/>
      <c r="AJM20" s="13"/>
      <c r="AJN20" s="13"/>
      <c r="AJO20" s="13"/>
      <c r="AJP20" s="13"/>
      <c r="AJQ20" s="13"/>
      <c r="AJR20" s="13"/>
      <c r="AJS20" s="13"/>
      <c r="AJT20" s="13"/>
      <c r="AJU20" s="13"/>
      <c r="AJV20" s="13"/>
      <c r="AJW20" s="13"/>
      <c r="AJX20" s="13"/>
      <c r="AJY20" s="13"/>
      <c r="AJZ20" s="13"/>
      <c r="AKA20" s="13"/>
      <c r="AKB20" s="13"/>
      <c r="AKC20" s="13"/>
      <c r="AKD20" s="13"/>
      <c r="AKE20" s="13"/>
      <c r="AKF20" s="13"/>
      <c r="AKG20" s="13"/>
      <c r="AKH20" s="13"/>
      <c r="AKI20" s="13"/>
      <c r="AKJ20" s="13"/>
      <c r="AKK20" s="13"/>
      <c r="AKL20" s="13"/>
      <c r="AKM20" s="13"/>
      <c r="AKN20" s="13"/>
      <c r="AKO20" s="13"/>
      <c r="AKP20" s="13"/>
      <c r="AKQ20" s="13"/>
      <c r="AKR20" s="13"/>
      <c r="AKS20" s="13"/>
      <c r="AKT20" s="13"/>
      <c r="AKU20" s="13"/>
      <c r="AKV20" s="13"/>
      <c r="AKW20" s="13"/>
      <c r="AKX20" s="13"/>
      <c r="AKY20" s="13"/>
      <c r="AKZ20" s="13"/>
      <c r="ALA20" s="13"/>
      <c r="ALB20" s="13"/>
      <c r="ALC20" s="13"/>
      <c r="ALD20" s="13"/>
      <c r="ALE20" s="13"/>
      <c r="ALF20" s="13"/>
      <c r="ALG20" s="13"/>
      <c r="ALH20" s="13"/>
      <c r="ALI20" s="13"/>
      <c r="ALJ20" s="13"/>
      <c r="ALK20" s="13"/>
      <c r="ALL20" s="13"/>
      <c r="ALM20" s="13"/>
      <c r="ALN20" s="13"/>
      <c r="ALO20" s="13"/>
      <c r="ALP20" s="13"/>
      <c r="ALQ20" s="13"/>
      <c r="ALR20" s="13"/>
      <c r="ALS20" s="13"/>
      <c r="ALT20" s="13"/>
      <c r="ALU20" s="13"/>
      <c r="ALV20" s="13"/>
      <c r="ALW20" s="13"/>
      <c r="ALX20" s="13"/>
      <c r="ALY20" s="13"/>
      <c r="ALZ20" s="13"/>
      <c r="AMA20" s="13"/>
      <c r="AMB20" s="13"/>
      <c r="AMC20" s="13"/>
      <c r="AMD20" s="13"/>
      <c r="AME20" s="13"/>
      <c r="AMF20" s="13"/>
      <c r="AMG20" s="13"/>
      <c r="AMH20" s="13"/>
      <c r="AMI20" s="13"/>
    </row>
    <row r="21" spans="1:1024" s="1" customFormat="1" ht="63.75" thickBot="1" x14ac:dyDescent="0.3">
      <c r="A21" s="289" t="s">
        <v>135</v>
      </c>
      <c r="B21" s="290"/>
      <c r="C21" s="291" t="s">
        <v>103</v>
      </c>
      <c r="D21" s="292"/>
      <c r="E21" s="295">
        <f>E20/F19</f>
        <v>0.89332844072527451</v>
      </c>
      <c r="F21" s="296"/>
      <c r="G21" s="41"/>
      <c r="I21" s="250"/>
      <c r="J21" s="254" t="s">
        <v>107</v>
      </c>
      <c r="K21" s="255" t="s">
        <v>147</v>
      </c>
      <c r="N21" s="7"/>
      <c r="P21" s="236" t="s">
        <v>106</v>
      </c>
      <c r="Q21" s="241">
        <f>MAX(C2:SZ2)</f>
        <v>337.00667060599159</v>
      </c>
      <c r="R21" s="242">
        <f>MIN(EA2:FY2)</f>
        <v>210.26788979009171</v>
      </c>
      <c r="S21" s="241">
        <f>MAX(C3:SZ3)</f>
        <v>93.612964057219898</v>
      </c>
      <c r="T21" s="242">
        <f>MIN(EA3:FY3)</f>
        <v>58.407747163914372</v>
      </c>
      <c r="U21" s="241">
        <f>AVERAGE(EA3:FY3)</f>
        <v>76.600556384164662</v>
      </c>
      <c r="V21" s="245">
        <f>MAX(C4:SZ4)</f>
        <v>5.0606607115142719</v>
      </c>
      <c r="W21" s="243">
        <f>MAX(EA5:FY5)</f>
        <v>1.7633129848966617E-2</v>
      </c>
      <c r="X21" s="243">
        <f>MIN(EA5:EX5,EZ5:FY5)</f>
        <v>1.5016500125693059E-2</v>
      </c>
      <c r="Y21" s="244">
        <f>AVERAGE(EA5:FY5)</f>
        <v>1.5644098175665228E-2</v>
      </c>
      <c r="Z21" s="91">
        <v>27</v>
      </c>
      <c r="AA21" s="91">
        <f>F19</f>
        <v>246.19372088358551</v>
      </c>
      <c r="AB21" s="92">
        <f>AVERAGE(EU12:SY12)</f>
        <v>0.92716541780045936</v>
      </c>
      <c r="AC21" s="93">
        <f>AVERAGE(EU13:SY13)</f>
        <v>0.66226101271461402</v>
      </c>
      <c r="AD21" s="94">
        <f>AVERAGE(EU9:SY9)</f>
        <v>0.87836723791622551</v>
      </c>
      <c r="AE21" s="93">
        <f>AVERAGE(EU10:SY10)</f>
        <v>0.62740516994016127</v>
      </c>
      <c r="AF21" s="9"/>
      <c r="AG21" s="9"/>
      <c r="AH21" s="9"/>
      <c r="AI21" s="9"/>
      <c r="AJ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14"/>
      <c r="BY21" s="14"/>
      <c r="BZ21" s="14"/>
      <c r="CA21" s="14"/>
      <c r="CB21" s="14"/>
      <c r="CC21" s="14"/>
      <c r="CD21" s="14"/>
      <c r="CE21" s="14"/>
      <c r="CF21" s="14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  <c r="LE21" s="9"/>
      <c r="LF21" s="9"/>
      <c r="LG21" s="9"/>
      <c r="LH21" s="9"/>
      <c r="LI21" s="9"/>
      <c r="LJ21" s="9"/>
      <c r="LK21" s="9"/>
      <c r="LL21" s="9"/>
      <c r="LM21" s="9"/>
      <c r="LN21" s="9"/>
      <c r="LO21" s="9"/>
      <c r="LP21" s="9"/>
      <c r="LQ21" s="9"/>
      <c r="LR21" s="9"/>
      <c r="LS21" s="9"/>
      <c r="LT21" s="9"/>
      <c r="LU21" s="9"/>
      <c r="LV21" s="9"/>
      <c r="LW21" s="9"/>
      <c r="LX21" s="9"/>
      <c r="LY21" s="9"/>
      <c r="LZ21" s="9"/>
      <c r="MA21" s="9"/>
      <c r="MB21" s="9"/>
      <c r="MC21" s="9"/>
      <c r="MD21" s="9"/>
      <c r="ME21" s="9"/>
      <c r="MF21" s="9"/>
      <c r="MG21" s="9"/>
      <c r="MH21" s="9"/>
      <c r="MI21" s="9"/>
      <c r="MJ21" s="9"/>
      <c r="MK21" s="9"/>
      <c r="ML21" s="9"/>
      <c r="MM21" s="9"/>
      <c r="MN21" s="9"/>
      <c r="MO21" s="9"/>
      <c r="MP21" s="9"/>
      <c r="MQ21" s="9"/>
      <c r="MR21" s="9"/>
      <c r="MS21" s="9"/>
      <c r="MT21" s="9"/>
      <c r="MU21" s="9"/>
      <c r="MV21" s="9"/>
      <c r="MW21" s="9"/>
      <c r="MX21" s="9"/>
      <c r="MY21" s="9"/>
      <c r="MZ21" s="9"/>
      <c r="NA21" s="9"/>
      <c r="NB21" s="9"/>
      <c r="NC21" s="9"/>
      <c r="ND21" s="9"/>
      <c r="NE21" s="9"/>
      <c r="NF21" s="9"/>
      <c r="NG21" s="9"/>
      <c r="NH21" s="9"/>
      <c r="NI21" s="9"/>
      <c r="NJ21" s="9"/>
      <c r="NK21" s="9"/>
      <c r="NL21" s="9"/>
      <c r="NM21" s="9"/>
      <c r="NN21" s="9"/>
      <c r="NO21" s="9"/>
      <c r="NP21" s="9"/>
      <c r="NQ21" s="9"/>
      <c r="NR21" s="9"/>
      <c r="NS21" s="9"/>
      <c r="NT21" s="9"/>
      <c r="NU21" s="9"/>
      <c r="NV21" s="9"/>
      <c r="NW21" s="9"/>
      <c r="NX21" s="9"/>
      <c r="NY21" s="9"/>
      <c r="NZ21" s="9"/>
      <c r="OA21" s="9"/>
      <c r="OB21" s="9"/>
      <c r="OC21" s="9"/>
      <c r="OD21" s="9"/>
      <c r="OE21" s="9"/>
      <c r="OF21" s="9"/>
      <c r="OG21" s="9"/>
      <c r="OH21" s="9"/>
      <c r="OI21" s="9"/>
      <c r="OJ21" s="9"/>
      <c r="OK21" s="9"/>
      <c r="OL21" s="9"/>
      <c r="OM21" s="9"/>
      <c r="ON21" s="9"/>
      <c r="OO21" s="9"/>
      <c r="OP21" s="9"/>
      <c r="OQ21" s="9"/>
      <c r="OR21" s="9"/>
      <c r="OS21" s="9"/>
      <c r="OT21" s="9"/>
      <c r="OU21" s="9"/>
      <c r="OV21" s="9"/>
      <c r="OW21" s="9"/>
      <c r="OX21" s="9"/>
      <c r="OY21" s="9"/>
      <c r="OZ21" s="9"/>
      <c r="PA21" s="9"/>
      <c r="PB21" s="9"/>
      <c r="PC21" s="9"/>
      <c r="PD21" s="9"/>
      <c r="PE21" s="9"/>
      <c r="PF21" s="9"/>
      <c r="PG21" s="9"/>
      <c r="PH21" s="9"/>
      <c r="PI21" s="9"/>
      <c r="PJ21" s="9"/>
      <c r="PK21" s="9"/>
      <c r="PL21" s="9"/>
      <c r="PM21" s="9"/>
      <c r="PN21" s="9"/>
      <c r="PO21" s="9"/>
      <c r="PP21" s="9"/>
      <c r="PQ21" s="9"/>
      <c r="PR21" s="9"/>
      <c r="PS21" s="9"/>
      <c r="PT21" s="9"/>
      <c r="PU21" s="9"/>
      <c r="PV21" s="9"/>
      <c r="PW21" s="9"/>
      <c r="PX21" s="9"/>
      <c r="PY21" s="9"/>
      <c r="PZ21" s="9"/>
      <c r="QA21" s="9"/>
      <c r="QB21" s="9"/>
      <c r="QC21" s="9"/>
      <c r="QD21" s="9"/>
      <c r="QE21" s="9"/>
      <c r="QF21" s="9"/>
      <c r="QG21" s="9"/>
      <c r="QH21" s="9"/>
      <c r="QI21" s="9"/>
      <c r="QJ21" s="9"/>
      <c r="QK21" s="9"/>
      <c r="QL21" s="9"/>
      <c r="QM21" s="14"/>
      <c r="QN21" s="14"/>
      <c r="QO21" s="14"/>
      <c r="QP21" s="14"/>
      <c r="QQ21" s="14"/>
      <c r="QR21" s="14"/>
      <c r="QS21" s="14"/>
      <c r="QT21" s="14"/>
      <c r="QU21" s="14"/>
      <c r="QV21" s="14"/>
      <c r="QW21" s="14"/>
      <c r="QX21" s="14"/>
      <c r="QY21" s="14"/>
      <c r="QZ21" s="14"/>
      <c r="RA21" s="14"/>
      <c r="RB21" s="14"/>
      <c r="RC21" s="14"/>
      <c r="RD21" s="14"/>
      <c r="RE21" s="14"/>
      <c r="RF21" s="14"/>
      <c r="RG21" s="14"/>
      <c r="RH21" s="14"/>
      <c r="RI21" s="14"/>
      <c r="RJ21" s="14"/>
      <c r="RK21" s="14"/>
      <c r="RL21" s="14"/>
      <c r="RM21" s="14"/>
      <c r="RN21" s="14"/>
      <c r="RO21" s="14"/>
      <c r="RP21" s="14"/>
      <c r="RQ21" s="14"/>
      <c r="RR21" s="14"/>
      <c r="RS21" s="14"/>
      <c r="RT21" s="14"/>
      <c r="RU21" s="14"/>
      <c r="RV21" s="14"/>
      <c r="RW21" s="14"/>
      <c r="RX21" s="14"/>
      <c r="RY21" s="14"/>
      <c r="RZ21" s="14"/>
      <c r="SA21" s="14"/>
      <c r="SB21" s="14"/>
      <c r="SC21" s="14"/>
      <c r="SD21" s="14"/>
      <c r="SE21" s="14"/>
      <c r="SF21" s="14"/>
      <c r="SG21" s="14"/>
      <c r="SH21" s="14"/>
      <c r="SI21" s="14"/>
      <c r="SJ21" s="14"/>
      <c r="SK21" s="14"/>
      <c r="SL21" s="14"/>
      <c r="SM21" s="14"/>
      <c r="SN21" s="14"/>
      <c r="SO21" s="14"/>
      <c r="SP21" s="14"/>
      <c r="SQ21" s="14"/>
      <c r="SR21" s="14"/>
      <c r="SS21" s="14"/>
      <c r="ST21" s="14"/>
      <c r="SU21" s="14"/>
      <c r="SV21" s="14"/>
      <c r="SW21" s="14"/>
      <c r="SX21" s="14"/>
      <c r="SY21" s="14"/>
      <c r="SZ21" s="14"/>
      <c r="TA21" s="14"/>
      <c r="TB21" s="14"/>
      <c r="TC21" s="14"/>
      <c r="TD21" s="14"/>
      <c r="TE21" s="14"/>
      <c r="TF21" s="14"/>
      <c r="TG21" s="14"/>
      <c r="TH21" s="14"/>
      <c r="TI21" s="14"/>
      <c r="TJ21" s="14"/>
      <c r="TK21" s="14"/>
      <c r="TL21" s="14"/>
      <c r="TM21" s="14"/>
      <c r="TN21" s="14"/>
      <c r="TO21" s="14"/>
      <c r="TP21" s="14"/>
      <c r="TQ21" s="14"/>
      <c r="TR21" s="14"/>
      <c r="TS21" s="14"/>
      <c r="TT21" s="14"/>
      <c r="TU21" s="14"/>
      <c r="TV21" s="14"/>
      <c r="TW21" s="14"/>
      <c r="TX21" s="14"/>
      <c r="TY21" s="14"/>
      <c r="TZ21" s="14"/>
      <c r="UA21" s="14"/>
      <c r="UB21" s="14"/>
      <c r="UC21" s="14"/>
      <c r="UD21" s="14"/>
      <c r="UE21" s="14"/>
      <c r="UF21" s="14"/>
      <c r="UG21" s="14"/>
      <c r="UH21" s="14"/>
      <c r="UI21" s="14"/>
      <c r="UJ21" s="14"/>
      <c r="UK21" s="14"/>
      <c r="UL21" s="14"/>
      <c r="UM21" s="14"/>
      <c r="UN21" s="14"/>
      <c r="UO21" s="14"/>
      <c r="UP21" s="14"/>
      <c r="UQ21" s="14"/>
      <c r="UR21" s="14"/>
      <c r="US21" s="14"/>
      <c r="UT21" s="14"/>
      <c r="UU21" s="14"/>
      <c r="UV21" s="14"/>
      <c r="UW21" s="14"/>
      <c r="UX21" s="14"/>
      <c r="UY21" s="14"/>
      <c r="UZ21" s="14"/>
      <c r="VA21" s="14"/>
      <c r="VB21" s="14"/>
      <c r="VC21" s="14"/>
      <c r="VD21" s="14"/>
      <c r="VE21" s="14"/>
      <c r="VF21" s="14"/>
      <c r="VG21" s="14"/>
      <c r="VH21" s="14"/>
      <c r="VI21" s="14"/>
      <c r="VJ21" s="14"/>
      <c r="VK21" s="14"/>
      <c r="VL21" s="14"/>
      <c r="VM21" s="14"/>
      <c r="VN21" s="14"/>
      <c r="VO21" s="14"/>
      <c r="VP21" s="14"/>
      <c r="VQ21" s="14"/>
      <c r="VR21" s="14"/>
      <c r="VS21" s="14"/>
      <c r="VT21" s="14"/>
      <c r="VU21" s="14"/>
      <c r="VV21" s="14"/>
      <c r="VW21" s="14"/>
      <c r="VX21" s="14"/>
      <c r="VY21" s="14"/>
      <c r="VZ21" s="14"/>
      <c r="WA21" s="14"/>
      <c r="WB21" s="14"/>
      <c r="WC21" s="14"/>
      <c r="WD21" s="14"/>
      <c r="WE21" s="14"/>
      <c r="WF21" s="14"/>
      <c r="WG21" s="14"/>
      <c r="WH21" s="14"/>
      <c r="WI21" s="14"/>
      <c r="WJ21" s="14"/>
      <c r="WK21" s="14"/>
      <c r="WL21" s="14"/>
      <c r="WM21" s="14"/>
      <c r="WN21" s="14"/>
      <c r="WO21" s="14"/>
      <c r="WP21" s="14"/>
      <c r="WQ21" s="14"/>
      <c r="WR21" s="14"/>
      <c r="WS21" s="14"/>
      <c r="WT21" s="14"/>
      <c r="WU21" s="14"/>
      <c r="WV21" s="14"/>
      <c r="WW21" s="14"/>
      <c r="WX21" s="14"/>
      <c r="WY21" s="14"/>
      <c r="WZ21" s="14"/>
      <c r="XA21" s="14"/>
      <c r="XB21" s="14"/>
      <c r="XC21" s="14"/>
      <c r="XD21" s="14"/>
      <c r="XE21" s="14"/>
      <c r="XF21" s="14"/>
      <c r="XG21" s="14"/>
      <c r="XH21" s="14"/>
      <c r="XI21" s="14"/>
      <c r="XJ21" s="14"/>
      <c r="XK21" s="14"/>
      <c r="XL21" s="14"/>
      <c r="XM21" s="14"/>
      <c r="XN21" s="14"/>
      <c r="XO21" s="14"/>
      <c r="XP21" s="14"/>
      <c r="XQ21" s="14"/>
      <c r="XR21" s="14"/>
      <c r="XS21" s="14"/>
      <c r="XT21" s="14"/>
      <c r="XU21" s="14"/>
      <c r="XV21" s="14"/>
      <c r="XW21" s="14"/>
      <c r="XX21" s="14"/>
      <c r="XY21" s="14"/>
      <c r="XZ21" s="14"/>
      <c r="YA21" s="14"/>
      <c r="YB21" s="14"/>
      <c r="YC21" s="14"/>
      <c r="YD21" s="14"/>
      <c r="YE21" s="14"/>
      <c r="YF21" s="14"/>
      <c r="YG21" s="14"/>
      <c r="YH21" s="14"/>
      <c r="YI21" s="14"/>
      <c r="YJ21" s="14"/>
      <c r="YK21" s="14"/>
      <c r="YL21" s="14"/>
      <c r="YM21" s="14"/>
      <c r="YN21" s="14"/>
      <c r="YO21" s="14"/>
      <c r="YP21" s="14"/>
      <c r="YQ21" s="14"/>
      <c r="YR21" s="14"/>
      <c r="YS21" s="14"/>
      <c r="YT21" s="14"/>
      <c r="YU21" s="14"/>
      <c r="YV21" s="14"/>
      <c r="YW21" s="14"/>
      <c r="YX21" s="14"/>
      <c r="YY21" s="14"/>
      <c r="YZ21" s="14"/>
      <c r="ZA21" s="14"/>
      <c r="ZB21" s="14"/>
      <c r="ZC21" s="14"/>
      <c r="ZD21" s="14"/>
      <c r="ZE21" s="14"/>
      <c r="ZF21" s="13"/>
      <c r="ZG21" s="13"/>
      <c r="ZH21" s="13"/>
      <c r="ZI21" s="13"/>
      <c r="ZJ21" s="13"/>
      <c r="ZK21" s="13"/>
      <c r="ZL21" s="13"/>
      <c r="ZM21" s="13"/>
      <c r="ZN21" s="13"/>
      <c r="ZO21" s="13"/>
      <c r="ZP21" s="13"/>
      <c r="ZQ21" s="13"/>
      <c r="ZR21" s="13"/>
      <c r="ZS21" s="13"/>
      <c r="ZT21" s="13"/>
      <c r="ZU21" s="13"/>
      <c r="ZV21" s="13"/>
      <c r="ZW21" s="13"/>
      <c r="ZX21" s="13"/>
      <c r="ZY21" s="13"/>
      <c r="ZZ21" s="13"/>
      <c r="AAA21" s="13"/>
      <c r="AAB21" s="13"/>
      <c r="AAC21" s="13"/>
      <c r="AAD21" s="13"/>
      <c r="AAE21" s="13"/>
      <c r="AAF21" s="13"/>
      <c r="AAG21" s="13"/>
      <c r="AAH21" s="13"/>
      <c r="AAI21" s="13"/>
      <c r="AAJ21" s="13"/>
      <c r="AAK21" s="13"/>
      <c r="AAL21" s="13"/>
      <c r="AAM21" s="13"/>
      <c r="AAN21" s="13"/>
      <c r="AAO21" s="13"/>
      <c r="AAP21" s="13"/>
      <c r="AAQ21" s="13"/>
      <c r="AAR21" s="13"/>
      <c r="AAS21" s="13"/>
      <c r="AAT21" s="13"/>
      <c r="AAU21" s="13"/>
      <c r="AAV21" s="13"/>
      <c r="AAW21" s="13"/>
      <c r="AAX21" s="13"/>
      <c r="AAY21" s="13"/>
      <c r="AAZ21" s="13"/>
      <c r="ABA21" s="13"/>
      <c r="ABB21" s="13"/>
      <c r="ABC21" s="13"/>
      <c r="ABD21" s="13"/>
      <c r="ABE21" s="13"/>
      <c r="ABF21" s="13"/>
      <c r="ABG21" s="13"/>
      <c r="ABH21" s="13"/>
      <c r="ABI21" s="13"/>
      <c r="ABJ21" s="13"/>
      <c r="ABK21" s="13"/>
      <c r="ABL21" s="13"/>
      <c r="ABM21" s="13"/>
      <c r="ABN21" s="13"/>
      <c r="ABO21" s="13"/>
      <c r="ABP21" s="13"/>
      <c r="ABQ21" s="13"/>
      <c r="ABR21" s="13"/>
      <c r="ABS21" s="13"/>
      <c r="ABT21" s="13"/>
      <c r="ABU21" s="13"/>
      <c r="ABV21" s="13"/>
      <c r="ABW21" s="13"/>
      <c r="ABX21" s="13"/>
      <c r="ABY21" s="13"/>
      <c r="ABZ21" s="13"/>
      <c r="ACA21" s="13"/>
      <c r="ACB21" s="13"/>
      <c r="ACC21" s="13"/>
      <c r="ACD21" s="13"/>
      <c r="ACE21" s="13"/>
      <c r="ACF21" s="13"/>
      <c r="ACG21" s="13"/>
      <c r="ACH21" s="13"/>
      <c r="ACI21" s="13"/>
      <c r="ACJ21" s="13"/>
      <c r="ACK21" s="13"/>
      <c r="ACL21" s="13"/>
      <c r="ACM21" s="13"/>
      <c r="ACN21" s="13"/>
      <c r="ACO21" s="13"/>
      <c r="ACP21" s="13"/>
      <c r="ACQ21" s="13"/>
      <c r="ACR21" s="13"/>
      <c r="ACS21" s="13"/>
      <c r="ACT21" s="13"/>
      <c r="ACU21" s="13"/>
      <c r="ACV21" s="13"/>
      <c r="ACW21" s="13"/>
      <c r="ACX21" s="13"/>
      <c r="ACY21" s="13"/>
      <c r="ACZ21" s="13"/>
      <c r="ADA21" s="13"/>
      <c r="ADB21" s="13"/>
      <c r="ADC21" s="13"/>
      <c r="ADD21" s="13"/>
      <c r="ADE21" s="13"/>
      <c r="ADF21" s="13"/>
      <c r="ADG21" s="13"/>
      <c r="ADH21" s="13"/>
      <c r="ADI21" s="13"/>
      <c r="ADJ21" s="13"/>
      <c r="ADK21" s="13"/>
      <c r="ADL21" s="13"/>
      <c r="ADM21" s="13"/>
      <c r="ADN21" s="13"/>
      <c r="ADO21" s="13"/>
      <c r="ADP21" s="13"/>
      <c r="ADQ21" s="13"/>
      <c r="ADR21" s="13"/>
      <c r="ADS21" s="13"/>
      <c r="ADT21" s="13"/>
      <c r="ADU21" s="13"/>
      <c r="ADV21" s="13"/>
      <c r="ADW21" s="13"/>
      <c r="ADX21" s="13"/>
      <c r="ADY21" s="13"/>
      <c r="ADZ21" s="13"/>
      <c r="AEA21" s="13"/>
      <c r="AEB21" s="13"/>
      <c r="AEC21" s="13"/>
      <c r="AED21" s="13"/>
      <c r="AEE21" s="13"/>
      <c r="AEF21" s="13"/>
      <c r="AEG21" s="13"/>
      <c r="AEH21" s="13"/>
      <c r="AEI21" s="13"/>
      <c r="AEJ21" s="13"/>
      <c r="AEK21" s="13"/>
      <c r="AEL21" s="13"/>
      <c r="AEM21" s="13"/>
      <c r="AEN21" s="13"/>
      <c r="AEO21" s="13"/>
      <c r="AEP21" s="13"/>
      <c r="AEQ21" s="13"/>
      <c r="AER21" s="13"/>
      <c r="AES21" s="13"/>
      <c r="AET21" s="13"/>
      <c r="AEU21" s="13"/>
      <c r="AEV21" s="13"/>
      <c r="AEW21" s="13"/>
      <c r="AEX21" s="13"/>
      <c r="AEY21" s="13"/>
      <c r="AEZ21" s="13"/>
      <c r="AFA21" s="13"/>
      <c r="AFB21" s="13"/>
      <c r="AFC21" s="13"/>
      <c r="AFD21" s="13"/>
      <c r="AFE21" s="13"/>
      <c r="AFF21" s="13"/>
      <c r="AFG21" s="13"/>
      <c r="AFH21" s="13"/>
      <c r="AFI21" s="13"/>
      <c r="AFJ21" s="13"/>
      <c r="AFK21" s="13"/>
      <c r="AFL21" s="13"/>
      <c r="AFM21" s="13"/>
      <c r="AFN21" s="13"/>
      <c r="AFO21" s="13"/>
      <c r="AFP21" s="13"/>
      <c r="AFQ21" s="13"/>
      <c r="AFR21" s="13"/>
      <c r="AFS21" s="13"/>
      <c r="AFT21" s="13"/>
      <c r="AFU21" s="13"/>
      <c r="AFV21" s="13"/>
      <c r="AFW21" s="13"/>
      <c r="AFX21" s="13"/>
      <c r="AFY21" s="13"/>
      <c r="AFZ21" s="13"/>
      <c r="AGA21" s="13"/>
      <c r="AGB21" s="13"/>
      <c r="AGC21" s="13"/>
      <c r="AGD21" s="13"/>
      <c r="AGE21" s="13"/>
      <c r="AGF21" s="13"/>
      <c r="AGG21" s="13"/>
      <c r="AGH21" s="13"/>
      <c r="AGI21" s="13"/>
      <c r="AGJ21" s="13"/>
      <c r="AGK21" s="13"/>
      <c r="AGL21" s="13"/>
      <c r="AGM21" s="13"/>
      <c r="AGN21" s="13"/>
      <c r="AGO21" s="13"/>
      <c r="AGP21" s="13"/>
      <c r="AGQ21" s="13"/>
      <c r="AGR21" s="13"/>
      <c r="AGS21" s="13"/>
      <c r="AGT21" s="13"/>
      <c r="AGU21" s="13"/>
      <c r="AGV21" s="13"/>
      <c r="AGW21" s="13"/>
      <c r="AGX21" s="13"/>
      <c r="AGY21" s="13"/>
      <c r="AGZ21" s="13"/>
      <c r="AHA21" s="13"/>
      <c r="AHB21" s="13"/>
      <c r="AHC21" s="13"/>
      <c r="AHD21" s="13"/>
      <c r="AHE21" s="13"/>
      <c r="AHF21" s="13"/>
      <c r="AHG21" s="13"/>
      <c r="AHH21" s="13"/>
      <c r="AHI21" s="13"/>
      <c r="AHJ21" s="13"/>
      <c r="AHK21" s="13"/>
      <c r="AHL21" s="13"/>
      <c r="AHM21" s="13"/>
      <c r="AHN21" s="13"/>
      <c r="AHO21" s="13"/>
      <c r="AHP21" s="13"/>
      <c r="AHQ21" s="13"/>
      <c r="AHR21" s="13"/>
      <c r="AHS21" s="13"/>
      <c r="AHT21" s="13"/>
      <c r="AHU21" s="13"/>
      <c r="AHV21" s="13"/>
      <c r="AHW21" s="13"/>
      <c r="AHX21" s="13"/>
      <c r="AHY21" s="13"/>
      <c r="AHZ21" s="13"/>
      <c r="AIA21" s="13"/>
      <c r="AIB21" s="13"/>
      <c r="AIC21" s="13"/>
      <c r="AID21" s="13"/>
      <c r="AIE21" s="13"/>
      <c r="AIF21" s="13"/>
      <c r="AIG21" s="13"/>
      <c r="AIH21" s="13"/>
      <c r="AII21" s="13"/>
      <c r="AIJ21" s="13"/>
      <c r="AIK21" s="13"/>
      <c r="AIL21" s="13"/>
      <c r="AIM21" s="13"/>
      <c r="AIN21" s="13"/>
      <c r="AIO21" s="13"/>
      <c r="AIP21" s="13"/>
      <c r="AIQ21" s="13"/>
      <c r="AIR21" s="13"/>
      <c r="AIS21" s="13"/>
      <c r="AIT21" s="13"/>
      <c r="AIU21" s="13"/>
      <c r="AIV21" s="13"/>
      <c r="AIW21" s="13"/>
      <c r="AIX21" s="13"/>
      <c r="AIY21" s="13"/>
      <c r="AIZ21" s="13"/>
      <c r="AJA21" s="13"/>
      <c r="AJB21" s="13"/>
      <c r="AJC21" s="13"/>
      <c r="AJD21" s="13"/>
      <c r="AJE21" s="13"/>
      <c r="AJF21" s="13"/>
      <c r="AJG21" s="13"/>
      <c r="AJH21" s="13"/>
      <c r="AJI21" s="13"/>
      <c r="AJJ21" s="13"/>
      <c r="AJK21" s="13"/>
      <c r="AJL21" s="13"/>
      <c r="AJM21" s="13"/>
      <c r="AJN21" s="13"/>
      <c r="AJO21" s="13"/>
      <c r="AJP21" s="13"/>
      <c r="AJQ21" s="13"/>
      <c r="AJR21" s="13"/>
      <c r="AJS21" s="13"/>
      <c r="AJT21" s="13"/>
      <c r="AJU21" s="13"/>
      <c r="AJV21" s="13"/>
      <c r="AJW21" s="13"/>
      <c r="AJX21" s="13"/>
      <c r="AJY21" s="13"/>
      <c r="AJZ21" s="13"/>
      <c r="AKA21" s="13"/>
      <c r="AKB21" s="13"/>
      <c r="AKC21" s="13"/>
      <c r="AKD21" s="13"/>
      <c r="AKE21" s="13"/>
      <c r="AKF21" s="13"/>
      <c r="AKG21" s="13"/>
      <c r="AKH21" s="13"/>
      <c r="AKI21" s="13"/>
      <c r="AKJ21" s="13"/>
      <c r="AKK21" s="13"/>
      <c r="AKL21" s="13"/>
      <c r="AKM21" s="13"/>
      <c r="AKN21" s="13"/>
      <c r="AKO21" s="13"/>
      <c r="AKP21" s="13"/>
      <c r="AKQ21" s="13"/>
      <c r="AKR21" s="13"/>
      <c r="AKS21" s="13"/>
      <c r="AKT21" s="13"/>
      <c r="AKU21" s="13"/>
      <c r="AKV21" s="13"/>
      <c r="AKW21" s="13"/>
      <c r="AKX21" s="13"/>
      <c r="AKY21" s="13"/>
      <c r="AKZ21" s="13"/>
      <c r="ALA21" s="13"/>
      <c r="ALB21" s="13"/>
      <c r="ALC21" s="13"/>
      <c r="ALD21" s="13"/>
      <c r="ALE21" s="13"/>
      <c r="ALF21" s="13"/>
      <c r="ALG21" s="13"/>
      <c r="ALH21" s="13"/>
      <c r="ALI21" s="13"/>
      <c r="ALJ21" s="13"/>
      <c r="ALK21" s="13"/>
      <c r="ALL21" s="13"/>
      <c r="ALM21" s="13"/>
      <c r="ALN21" s="13"/>
      <c r="ALO21" s="13"/>
      <c r="ALP21" s="13"/>
      <c r="ALQ21" s="13"/>
      <c r="ALR21" s="13"/>
      <c r="ALS21" s="13"/>
      <c r="ALT21" s="13"/>
      <c r="ALU21" s="13"/>
      <c r="ALV21" s="13"/>
      <c r="ALW21" s="13"/>
      <c r="ALX21" s="13"/>
      <c r="ALY21" s="13"/>
      <c r="ALZ21" s="13"/>
      <c r="AMA21" s="13"/>
      <c r="AMB21" s="13"/>
      <c r="AMC21" s="13"/>
      <c r="AMD21" s="13"/>
      <c r="AME21" s="13"/>
      <c r="AMF21" s="13"/>
      <c r="AMG21" s="13"/>
    </row>
    <row r="22" spans="1:1024" s="1" customFormat="1" ht="22.15" customHeight="1" thickBot="1" x14ac:dyDescent="0.3">
      <c r="A22" s="225">
        <f>365/A18</f>
        <v>7.1568627450980395</v>
      </c>
      <c r="B22" s="43" t="s">
        <v>136</v>
      </c>
      <c r="C22" s="19"/>
      <c r="D22" s="15"/>
      <c r="E22" s="15"/>
      <c r="F22" s="15"/>
      <c r="G22" s="15"/>
      <c r="H22" s="41"/>
      <c r="I22" s="251" t="s">
        <v>144</v>
      </c>
      <c r="J22" s="267">
        <f>T21</f>
        <v>58.407747163914372</v>
      </c>
      <c r="K22" s="268">
        <f>X21</f>
        <v>1.5016500125693059E-2</v>
      </c>
      <c r="L22" s="9"/>
      <c r="M22" s="9"/>
      <c r="N22" s="21"/>
      <c r="O22" s="66"/>
      <c r="P22" s="21"/>
      <c r="Q22" s="21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14"/>
      <c r="BR22" s="14"/>
      <c r="BS22" s="14"/>
      <c r="BT22" s="14"/>
      <c r="BU22" s="14"/>
      <c r="BV22" s="14"/>
      <c r="BW22" s="14"/>
      <c r="BX22" s="14"/>
      <c r="BY22" s="14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167"/>
      <c r="EC22" s="167"/>
      <c r="ED22" s="167"/>
      <c r="EE22" s="167"/>
      <c r="EF22" s="167"/>
      <c r="EG22" s="167"/>
      <c r="EH22" s="167"/>
      <c r="EI22" s="167"/>
      <c r="EJ22" s="167"/>
      <c r="EK22" s="167"/>
      <c r="EL22" s="167"/>
      <c r="EM22" s="167"/>
      <c r="EN22" s="167"/>
      <c r="EO22" s="167"/>
      <c r="EP22" s="167"/>
      <c r="EQ22" s="167"/>
      <c r="ER22" s="167"/>
      <c r="ES22" s="167"/>
      <c r="ET22" s="167"/>
      <c r="EU22" s="167"/>
      <c r="EV22" s="167"/>
      <c r="EW22" s="167"/>
      <c r="EX22" s="167"/>
      <c r="EY22" s="167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  <c r="LE22" s="9"/>
      <c r="LF22" s="9"/>
      <c r="LG22" s="9"/>
      <c r="LH22" s="9"/>
      <c r="LI22" s="9"/>
      <c r="LJ22" s="9"/>
      <c r="LK22" s="9"/>
      <c r="LL22" s="9"/>
      <c r="LM22" s="9"/>
      <c r="LN22" s="9"/>
      <c r="LO22" s="9"/>
      <c r="LP22" s="9"/>
      <c r="LQ22" s="9"/>
      <c r="LR22" s="9"/>
      <c r="LS22" s="9"/>
      <c r="LT22" s="9"/>
      <c r="LU22" s="9"/>
      <c r="LV22" s="9"/>
      <c r="LW22" s="9"/>
      <c r="LX22" s="9"/>
      <c r="LY22" s="9"/>
      <c r="LZ22" s="9"/>
      <c r="MA22" s="9"/>
      <c r="MB22" s="9"/>
      <c r="MC22" s="9"/>
      <c r="MD22" s="9"/>
      <c r="ME22" s="9"/>
      <c r="MF22" s="9"/>
      <c r="MG22" s="9"/>
      <c r="MH22" s="9"/>
      <c r="MI22" s="9"/>
      <c r="MJ22" s="9"/>
      <c r="MK22" s="9"/>
      <c r="ML22" s="9"/>
      <c r="MM22" s="9"/>
      <c r="MN22" s="9"/>
      <c r="MO22" s="9"/>
      <c r="MP22" s="9"/>
      <c r="MQ22" s="9"/>
      <c r="MR22" s="9"/>
      <c r="MS22" s="9"/>
      <c r="MT22" s="9"/>
      <c r="MU22" s="9"/>
      <c r="MV22" s="9"/>
      <c r="MW22" s="9"/>
      <c r="MX22" s="9"/>
      <c r="MY22" s="9"/>
      <c r="MZ22" s="9"/>
      <c r="NA22" s="9"/>
      <c r="NB22" s="9"/>
      <c r="NC22" s="9"/>
      <c r="ND22" s="9"/>
      <c r="NE22" s="9"/>
      <c r="NF22" s="9"/>
      <c r="NG22" s="9"/>
      <c r="NH22" s="9"/>
      <c r="NI22" s="9"/>
      <c r="NJ22" s="9"/>
      <c r="NK22" s="9"/>
      <c r="NL22" s="9"/>
      <c r="NM22" s="9"/>
      <c r="NN22" s="9"/>
      <c r="NO22" s="9"/>
      <c r="NP22" s="9"/>
      <c r="NQ22" s="9"/>
      <c r="NR22" s="9"/>
      <c r="NS22" s="9"/>
      <c r="NT22" s="9"/>
      <c r="NU22" s="9"/>
      <c r="NV22" s="9"/>
      <c r="NW22" s="9"/>
      <c r="NX22" s="9"/>
      <c r="NY22" s="9"/>
      <c r="NZ22" s="9"/>
      <c r="OA22" s="9"/>
      <c r="OB22" s="9"/>
      <c r="OC22" s="9"/>
      <c r="OD22" s="9"/>
      <c r="OE22" s="9"/>
      <c r="OF22" s="9"/>
      <c r="OG22" s="9"/>
      <c r="OH22" s="9"/>
      <c r="OI22" s="9"/>
      <c r="OJ22" s="9"/>
      <c r="OK22" s="9"/>
      <c r="OL22" s="9"/>
      <c r="OM22" s="9"/>
      <c r="ON22" s="9"/>
      <c r="OO22" s="9"/>
      <c r="OP22" s="9"/>
      <c r="OQ22" s="9"/>
      <c r="OR22" s="9"/>
      <c r="OS22" s="9"/>
      <c r="OT22" s="9"/>
      <c r="OU22" s="9"/>
      <c r="OV22" s="9"/>
      <c r="OW22" s="9"/>
      <c r="OX22" s="9"/>
      <c r="OY22" s="9"/>
      <c r="OZ22" s="9"/>
      <c r="PA22" s="9"/>
      <c r="PB22" s="9"/>
      <c r="PC22" s="9"/>
      <c r="PD22" s="9"/>
      <c r="PE22" s="9"/>
      <c r="PF22" s="9"/>
      <c r="PG22" s="9"/>
      <c r="PH22" s="9"/>
      <c r="PI22" s="9"/>
      <c r="PJ22" s="9"/>
      <c r="PK22" s="9"/>
      <c r="PL22" s="9"/>
      <c r="PM22" s="9"/>
      <c r="PN22" s="9"/>
      <c r="PO22" s="9"/>
      <c r="PP22" s="9"/>
      <c r="PQ22" s="9"/>
      <c r="PR22" s="9"/>
      <c r="PS22" s="9"/>
      <c r="PT22" s="9"/>
      <c r="PU22" s="9"/>
      <c r="PV22" s="9"/>
      <c r="PW22" s="9"/>
      <c r="PX22" s="9"/>
      <c r="PY22" s="9"/>
      <c r="PZ22" s="9"/>
      <c r="QA22" s="9"/>
      <c r="QB22" s="9"/>
      <c r="QC22" s="9"/>
      <c r="QD22" s="9"/>
      <c r="QE22" s="9"/>
      <c r="QF22" s="14"/>
      <c r="QG22" s="14"/>
      <c r="QH22" s="14"/>
      <c r="QI22" s="14"/>
      <c r="QJ22" s="14"/>
      <c r="QK22" s="14"/>
      <c r="QL22" s="14"/>
      <c r="QM22" s="14"/>
      <c r="QN22" s="14"/>
      <c r="QO22" s="14"/>
      <c r="QP22" s="14"/>
      <c r="QQ22" s="14"/>
      <c r="QR22" s="14"/>
      <c r="QS22" s="14"/>
      <c r="QT22" s="14"/>
      <c r="QU22" s="14"/>
      <c r="QV22" s="14"/>
      <c r="QW22" s="14"/>
      <c r="QX22" s="14"/>
      <c r="QY22" s="14"/>
      <c r="QZ22" s="14"/>
      <c r="RA22" s="14"/>
      <c r="RB22" s="14"/>
      <c r="RC22" s="14"/>
      <c r="RD22" s="14"/>
      <c r="RE22" s="14"/>
      <c r="RF22" s="14"/>
      <c r="RG22" s="14"/>
      <c r="RH22" s="14"/>
      <c r="RI22" s="14"/>
      <c r="RJ22" s="14"/>
      <c r="RK22" s="14"/>
      <c r="RL22" s="14"/>
      <c r="RM22" s="14"/>
      <c r="RN22" s="14"/>
      <c r="RO22" s="14"/>
      <c r="RP22" s="14"/>
      <c r="RQ22" s="14"/>
      <c r="RR22" s="14"/>
      <c r="RS22" s="14"/>
      <c r="RT22" s="14"/>
      <c r="RU22" s="14"/>
      <c r="RV22" s="14"/>
      <c r="RW22" s="14"/>
      <c r="RX22" s="14"/>
      <c r="RY22" s="14"/>
      <c r="RZ22" s="14"/>
      <c r="SA22" s="14"/>
      <c r="SB22" s="14"/>
      <c r="SC22" s="14"/>
      <c r="SD22" s="14"/>
      <c r="SE22" s="14"/>
      <c r="SF22" s="14"/>
      <c r="SG22" s="14"/>
      <c r="SH22" s="14"/>
      <c r="SI22" s="14"/>
      <c r="SJ22" s="14"/>
      <c r="SK22" s="14"/>
      <c r="SL22" s="14"/>
      <c r="SM22" s="14"/>
      <c r="SN22" s="14"/>
      <c r="SO22" s="14"/>
      <c r="SP22" s="14"/>
      <c r="SQ22" s="14"/>
      <c r="SR22" s="14"/>
      <c r="SS22" s="14"/>
      <c r="ST22" s="14"/>
      <c r="SU22" s="14"/>
      <c r="SV22" s="14"/>
      <c r="SW22" s="14"/>
      <c r="SX22" s="14"/>
      <c r="SY22" s="14"/>
      <c r="SZ22" s="14"/>
      <c r="TA22" s="14"/>
      <c r="TB22" s="14"/>
      <c r="TC22" s="14"/>
      <c r="TD22" s="14"/>
      <c r="TE22" s="14"/>
      <c r="TF22" s="14"/>
      <c r="TG22" s="14"/>
      <c r="TH22" s="14"/>
      <c r="TI22" s="14"/>
      <c r="TJ22" s="14"/>
      <c r="TK22" s="14"/>
      <c r="TL22" s="14"/>
      <c r="TM22" s="14"/>
      <c r="TN22" s="14"/>
      <c r="TO22" s="14"/>
      <c r="TP22" s="14"/>
      <c r="TQ22" s="14"/>
      <c r="TR22" s="14"/>
      <c r="TS22" s="14"/>
      <c r="TT22" s="14"/>
      <c r="TU22" s="14"/>
      <c r="TV22" s="14"/>
      <c r="TW22" s="14"/>
      <c r="TX22" s="14"/>
      <c r="TY22" s="14"/>
      <c r="TZ22" s="14"/>
      <c r="UA22" s="14"/>
      <c r="UB22" s="14"/>
      <c r="UC22" s="14"/>
      <c r="UD22" s="14"/>
      <c r="UE22" s="14"/>
      <c r="UF22" s="14"/>
      <c r="UG22" s="14"/>
      <c r="UH22" s="14"/>
      <c r="UI22" s="14"/>
      <c r="UJ22" s="14"/>
      <c r="UK22" s="14"/>
      <c r="UL22" s="14"/>
      <c r="UM22" s="14"/>
      <c r="UN22" s="14"/>
      <c r="UO22" s="14"/>
      <c r="UP22" s="14"/>
      <c r="UQ22" s="14"/>
      <c r="UR22" s="14"/>
      <c r="US22" s="14"/>
      <c r="UT22" s="14"/>
      <c r="UU22" s="14"/>
      <c r="UV22" s="14"/>
      <c r="UW22" s="14"/>
      <c r="UX22" s="14"/>
      <c r="UY22" s="14"/>
      <c r="UZ22" s="14"/>
      <c r="VA22" s="14"/>
      <c r="VB22" s="14"/>
      <c r="VC22" s="14"/>
      <c r="VD22" s="14"/>
      <c r="VE22" s="14"/>
      <c r="VF22" s="14"/>
      <c r="VG22" s="14"/>
      <c r="VH22" s="14"/>
      <c r="VI22" s="14"/>
      <c r="VJ22" s="14"/>
      <c r="VK22" s="14"/>
      <c r="VL22" s="14"/>
      <c r="VM22" s="14"/>
      <c r="VN22" s="14"/>
      <c r="VO22" s="14"/>
      <c r="VP22" s="14"/>
      <c r="VQ22" s="14"/>
      <c r="VR22" s="14"/>
      <c r="VS22" s="14"/>
      <c r="VT22" s="14"/>
      <c r="VU22" s="14"/>
      <c r="VV22" s="14"/>
      <c r="VW22" s="14"/>
      <c r="VX22" s="14"/>
      <c r="VY22" s="14"/>
      <c r="VZ22" s="14"/>
      <c r="WA22" s="14"/>
      <c r="WB22" s="14"/>
      <c r="WC22" s="14"/>
      <c r="WD22" s="14"/>
      <c r="WE22" s="14"/>
      <c r="WF22" s="14"/>
      <c r="WG22" s="14"/>
      <c r="WH22" s="14"/>
      <c r="WI22" s="14"/>
      <c r="WJ22" s="14"/>
      <c r="WK22" s="14"/>
      <c r="WL22" s="14"/>
      <c r="WM22" s="14"/>
      <c r="WN22" s="14"/>
      <c r="WO22" s="14"/>
      <c r="WP22" s="14"/>
      <c r="WQ22" s="14"/>
      <c r="WR22" s="14"/>
      <c r="WS22" s="14"/>
      <c r="WT22" s="14"/>
      <c r="WU22" s="14"/>
      <c r="WV22" s="14"/>
      <c r="WW22" s="14"/>
      <c r="WX22" s="14"/>
      <c r="WY22" s="14"/>
      <c r="WZ22" s="14"/>
      <c r="XA22" s="14"/>
      <c r="XB22" s="14"/>
      <c r="XC22" s="14"/>
      <c r="XD22" s="14"/>
      <c r="XE22" s="14"/>
      <c r="XF22" s="14"/>
      <c r="XG22" s="14"/>
      <c r="XH22" s="14"/>
      <c r="XI22" s="14"/>
      <c r="XJ22" s="14"/>
      <c r="XK22" s="14"/>
      <c r="XL22" s="14"/>
      <c r="XM22" s="14"/>
      <c r="XN22" s="14"/>
      <c r="XO22" s="14"/>
      <c r="XP22" s="14"/>
      <c r="XQ22" s="14"/>
      <c r="XR22" s="14"/>
      <c r="XS22" s="14"/>
      <c r="XT22" s="14"/>
      <c r="XU22" s="14"/>
      <c r="XV22" s="14"/>
      <c r="XW22" s="14"/>
      <c r="XX22" s="14"/>
      <c r="XY22" s="14"/>
      <c r="XZ22" s="14"/>
      <c r="YA22" s="14"/>
      <c r="YB22" s="14"/>
      <c r="YC22" s="14"/>
      <c r="YD22" s="14"/>
      <c r="YE22" s="14"/>
      <c r="YF22" s="14"/>
      <c r="YG22" s="14"/>
      <c r="YH22" s="14"/>
      <c r="YI22" s="14"/>
      <c r="YJ22" s="14"/>
      <c r="YK22" s="14"/>
      <c r="YL22" s="14"/>
      <c r="YM22" s="14"/>
      <c r="YN22" s="14"/>
      <c r="YO22" s="14"/>
      <c r="YP22" s="14"/>
      <c r="YQ22" s="14"/>
      <c r="YR22" s="14"/>
      <c r="YS22" s="14"/>
      <c r="YT22" s="14"/>
      <c r="YU22" s="14"/>
      <c r="YV22" s="14"/>
      <c r="YW22" s="14"/>
      <c r="YX22" s="14"/>
      <c r="YY22" s="13"/>
      <c r="YZ22" s="13"/>
      <c r="ZA22" s="13"/>
      <c r="ZB22" s="13"/>
      <c r="ZC22" s="13"/>
      <c r="ZD22" s="13"/>
      <c r="ZE22" s="13"/>
      <c r="ZF22" s="13"/>
      <c r="ZG22" s="13"/>
      <c r="ZH22" s="13"/>
      <c r="ZI22" s="13"/>
      <c r="ZJ22" s="13"/>
      <c r="ZK22" s="13"/>
      <c r="ZL22" s="13"/>
      <c r="ZM22" s="13"/>
      <c r="ZN22" s="13"/>
      <c r="ZO22" s="13"/>
      <c r="ZP22" s="13"/>
      <c r="ZQ22" s="13"/>
      <c r="ZR22" s="13"/>
      <c r="ZS22" s="13"/>
      <c r="ZT22" s="13"/>
      <c r="ZU22" s="13"/>
      <c r="ZV22" s="13"/>
      <c r="ZW22" s="13"/>
      <c r="ZX22" s="13"/>
      <c r="ZY22" s="13"/>
      <c r="ZZ22" s="13"/>
      <c r="AAA22" s="13"/>
      <c r="AAB22" s="13"/>
      <c r="AAC22" s="13"/>
      <c r="AAD22" s="13"/>
      <c r="AAE22" s="13"/>
      <c r="AAF22" s="13"/>
      <c r="AAG22" s="13"/>
      <c r="AAH22" s="13"/>
      <c r="AAI22" s="13"/>
      <c r="AAJ22" s="13"/>
      <c r="AAK22" s="13"/>
      <c r="AAL22" s="13"/>
      <c r="AAM22" s="13"/>
      <c r="AAN22" s="13"/>
      <c r="AAO22" s="13"/>
      <c r="AAP22" s="13"/>
      <c r="AAQ22" s="13"/>
      <c r="AAR22" s="13"/>
      <c r="AAS22" s="13"/>
      <c r="AAT22" s="13"/>
      <c r="AAU22" s="13"/>
      <c r="AAV22" s="13"/>
      <c r="AAW22" s="13"/>
      <c r="AAX22" s="13"/>
      <c r="AAY22" s="13"/>
      <c r="AAZ22" s="13"/>
      <c r="ABA22" s="13"/>
      <c r="ABB22" s="13"/>
      <c r="ABC22" s="13"/>
      <c r="ABD22" s="13"/>
      <c r="ABE22" s="13"/>
      <c r="ABF22" s="13"/>
      <c r="ABG22" s="13"/>
      <c r="ABH22" s="13"/>
      <c r="ABI22" s="13"/>
      <c r="ABJ22" s="13"/>
      <c r="ABK22" s="13"/>
      <c r="ABL22" s="13"/>
      <c r="ABM22" s="13"/>
      <c r="ABN22" s="13"/>
      <c r="ABO22" s="13"/>
      <c r="ABP22" s="13"/>
      <c r="ABQ22" s="13"/>
      <c r="ABR22" s="13"/>
      <c r="ABS22" s="13"/>
      <c r="ABT22" s="13"/>
      <c r="ABU22" s="13"/>
      <c r="ABV22" s="13"/>
      <c r="ABW22" s="13"/>
      <c r="ABX22" s="13"/>
      <c r="ABY22" s="13"/>
      <c r="ABZ22" s="13"/>
      <c r="ACA22" s="13"/>
      <c r="ACB22" s="13"/>
      <c r="ACC22" s="13"/>
      <c r="ACD22" s="13"/>
      <c r="ACE22" s="13"/>
      <c r="ACF22" s="13"/>
      <c r="ACG22" s="13"/>
      <c r="ACH22" s="13"/>
      <c r="ACI22" s="13"/>
      <c r="ACJ22" s="13"/>
      <c r="ACK22" s="13"/>
      <c r="ACL22" s="13"/>
      <c r="ACM22" s="13"/>
      <c r="ACN22" s="13"/>
      <c r="ACO22" s="13"/>
      <c r="ACP22" s="13"/>
      <c r="ACQ22" s="13"/>
      <c r="ACR22" s="13"/>
      <c r="ACS22" s="13"/>
      <c r="ACT22" s="13"/>
      <c r="ACU22" s="13"/>
      <c r="ACV22" s="13"/>
      <c r="ACW22" s="13"/>
      <c r="ACX22" s="13"/>
      <c r="ACY22" s="13"/>
      <c r="ACZ22" s="13"/>
      <c r="ADA22" s="13"/>
      <c r="ADB22" s="13"/>
      <c r="ADC22" s="13"/>
      <c r="ADD22" s="13"/>
      <c r="ADE22" s="13"/>
      <c r="ADF22" s="13"/>
      <c r="ADG22" s="13"/>
      <c r="ADH22" s="13"/>
      <c r="ADI22" s="13"/>
      <c r="ADJ22" s="13"/>
      <c r="ADK22" s="13"/>
      <c r="ADL22" s="13"/>
      <c r="ADM22" s="13"/>
      <c r="ADN22" s="13"/>
      <c r="ADO22" s="13"/>
      <c r="ADP22" s="13"/>
      <c r="ADQ22" s="13"/>
      <c r="ADR22" s="13"/>
      <c r="ADS22" s="13"/>
      <c r="ADT22" s="13"/>
      <c r="ADU22" s="13"/>
      <c r="ADV22" s="13"/>
      <c r="ADW22" s="13"/>
      <c r="ADX22" s="13"/>
      <c r="ADY22" s="13"/>
      <c r="ADZ22" s="13"/>
      <c r="AEA22" s="13"/>
      <c r="AEB22" s="13"/>
      <c r="AEC22" s="13"/>
      <c r="AED22" s="13"/>
      <c r="AEE22" s="13"/>
      <c r="AEF22" s="13"/>
      <c r="AEG22" s="13"/>
      <c r="AEH22" s="13"/>
      <c r="AEI22" s="13"/>
      <c r="AEJ22" s="13"/>
      <c r="AEK22" s="13"/>
      <c r="AEL22" s="13"/>
      <c r="AEM22" s="13"/>
      <c r="AEN22" s="13"/>
      <c r="AEO22" s="13"/>
      <c r="AEP22" s="13"/>
      <c r="AEQ22" s="13"/>
      <c r="AER22" s="13"/>
      <c r="AES22" s="13"/>
      <c r="AET22" s="13"/>
      <c r="AEU22" s="13"/>
      <c r="AEV22" s="13"/>
      <c r="AEW22" s="13"/>
      <c r="AEX22" s="13"/>
      <c r="AEY22" s="13"/>
      <c r="AEZ22" s="13"/>
      <c r="AFA22" s="13"/>
      <c r="AFB22" s="13"/>
      <c r="AFC22" s="13"/>
      <c r="AFD22" s="13"/>
      <c r="AFE22" s="13"/>
      <c r="AFF22" s="13"/>
      <c r="AFG22" s="13"/>
      <c r="AFH22" s="13"/>
      <c r="AFI22" s="13"/>
      <c r="AFJ22" s="13"/>
      <c r="AFK22" s="13"/>
      <c r="AFL22" s="13"/>
      <c r="AFM22" s="13"/>
      <c r="AFN22" s="13"/>
      <c r="AFO22" s="13"/>
      <c r="AFP22" s="13"/>
      <c r="AFQ22" s="13"/>
      <c r="AFR22" s="13"/>
      <c r="AFS22" s="13"/>
      <c r="AFT22" s="13"/>
      <c r="AFU22" s="13"/>
      <c r="AFV22" s="13"/>
      <c r="AFW22" s="13"/>
      <c r="AFX22" s="13"/>
      <c r="AFY22" s="13"/>
      <c r="AFZ22" s="13"/>
      <c r="AGA22" s="13"/>
      <c r="AGB22" s="13"/>
      <c r="AGC22" s="13"/>
      <c r="AGD22" s="13"/>
      <c r="AGE22" s="13"/>
      <c r="AGF22" s="13"/>
      <c r="AGG22" s="13"/>
      <c r="AGH22" s="13"/>
      <c r="AGI22" s="13"/>
      <c r="AGJ22" s="13"/>
      <c r="AGK22" s="13"/>
      <c r="AGL22" s="13"/>
      <c r="AGM22" s="13"/>
      <c r="AGN22" s="13"/>
      <c r="AGO22" s="13"/>
      <c r="AGP22" s="13"/>
      <c r="AGQ22" s="13"/>
      <c r="AGR22" s="13"/>
      <c r="AGS22" s="13"/>
      <c r="AGT22" s="13"/>
      <c r="AGU22" s="13"/>
      <c r="AGV22" s="13"/>
      <c r="AGW22" s="13"/>
      <c r="AGX22" s="13"/>
      <c r="AGY22" s="13"/>
      <c r="AGZ22" s="13"/>
      <c r="AHA22" s="13"/>
      <c r="AHB22" s="13"/>
      <c r="AHC22" s="13"/>
      <c r="AHD22" s="13"/>
      <c r="AHE22" s="13"/>
      <c r="AHF22" s="13"/>
      <c r="AHG22" s="13"/>
      <c r="AHH22" s="13"/>
      <c r="AHI22" s="13"/>
      <c r="AHJ22" s="13"/>
      <c r="AHK22" s="13"/>
      <c r="AHL22" s="13"/>
      <c r="AHM22" s="13"/>
      <c r="AHN22" s="13"/>
      <c r="AHO22" s="13"/>
      <c r="AHP22" s="13"/>
      <c r="AHQ22" s="13"/>
      <c r="AHR22" s="13"/>
      <c r="AHS22" s="13"/>
      <c r="AHT22" s="13"/>
      <c r="AHU22" s="13"/>
      <c r="AHV22" s="13"/>
      <c r="AHW22" s="13"/>
      <c r="AHX22" s="13"/>
      <c r="AHY22" s="13"/>
      <c r="AHZ22" s="13"/>
      <c r="AIA22" s="13"/>
      <c r="AIB22" s="13"/>
      <c r="AIC22" s="13"/>
      <c r="AID22" s="13"/>
      <c r="AIE22" s="13"/>
      <c r="AIF22" s="13"/>
      <c r="AIG22" s="13"/>
      <c r="AIH22" s="13"/>
      <c r="AII22" s="13"/>
      <c r="AIJ22" s="13"/>
      <c r="AIK22" s="13"/>
      <c r="AIL22" s="13"/>
      <c r="AIM22" s="13"/>
      <c r="AIN22" s="13"/>
      <c r="AIO22" s="13"/>
      <c r="AIP22" s="13"/>
      <c r="AIQ22" s="13"/>
      <c r="AIR22" s="13"/>
      <c r="AIS22" s="13"/>
      <c r="AIT22" s="13"/>
      <c r="AIU22" s="13"/>
      <c r="AIV22" s="13"/>
      <c r="AIW22" s="13"/>
      <c r="AIX22" s="13"/>
      <c r="AIY22" s="13"/>
      <c r="AIZ22" s="13"/>
      <c r="AJA22" s="13"/>
      <c r="AJB22" s="13"/>
      <c r="AJC22" s="13"/>
      <c r="AJD22" s="13"/>
      <c r="AJE22" s="13"/>
      <c r="AJF22" s="13"/>
      <c r="AJG22" s="13"/>
      <c r="AJH22" s="13"/>
      <c r="AJI22" s="13"/>
      <c r="AJJ22" s="13"/>
      <c r="AJK22" s="13"/>
      <c r="AJL22" s="13"/>
      <c r="AJM22" s="13"/>
      <c r="AJN22" s="13"/>
      <c r="AJO22" s="13"/>
      <c r="AJP22" s="13"/>
      <c r="AJQ22" s="13"/>
      <c r="AJR22" s="13"/>
      <c r="AJS22" s="13"/>
      <c r="AJT22" s="13"/>
      <c r="AJU22" s="13"/>
      <c r="AJV22" s="13"/>
      <c r="AJW22" s="13"/>
      <c r="AJX22" s="13"/>
      <c r="AJY22" s="13"/>
      <c r="AJZ22" s="13"/>
      <c r="AKA22" s="13"/>
      <c r="AKB22" s="13"/>
      <c r="AKC22" s="13"/>
      <c r="AKD22" s="13"/>
      <c r="AKE22" s="13"/>
      <c r="AKF22" s="13"/>
      <c r="AKG22" s="13"/>
      <c r="AKH22" s="13"/>
      <c r="AKI22" s="13"/>
      <c r="AKJ22" s="13"/>
      <c r="AKK22" s="13"/>
      <c r="AKL22" s="13"/>
      <c r="AKM22" s="13"/>
      <c r="AKN22" s="13"/>
      <c r="AKO22" s="13"/>
      <c r="AKP22" s="13"/>
      <c r="AKQ22" s="13"/>
      <c r="AKR22" s="13"/>
      <c r="AKS22" s="13"/>
      <c r="AKT22" s="13"/>
      <c r="AKU22" s="13"/>
      <c r="AKV22" s="13"/>
      <c r="AKW22" s="13"/>
      <c r="AKX22" s="13"/>
      <c r="AKY22" s="13"/>
      <c r="AKZ22" s="13"/>
      <c r="ALA22" s="13"/>
      <c r="ALB22" s="13"/>
      <c r="ALC22" s="13"/>
      <c r="ALD22" s="13"/>
      <c r="ALE22" s="13"/>
      <c r="ALF22" s="13"/>
      <c r="ALG22" s="13"/>
      <c r="ALH22" s="13"/>
      <c r="ALI22" s="13"/>
      <c r="ALJ22" s="13"/>
      <c r="ALK22" s="13"/>
      <c r="ALL22" s="13"/>
      <c r="ALM22" s="13"/>
      <c r="ALN22" s="13"/>
      <c r="ALO22" s="13"/>
      <c r="ALP22" s="13"/>
      <c r="ALQ22" s="13"/>
      <c r="ALR22" s="13"/>
      <c r="ALS22" s="13"/>
      <c r="ALT22" s="13"/>
      <c r="ALU22" s="13"/>
      <c r="ALV22" s="13"/>
      <c r="ALW22" s="13"/>
      <c r="ALX22" s="13"/>
      <c r="ALY22" s="13"/>
      <c r="ALZ22" s="13"/>
    </row>
    <row r="23" spans="1:1024" s="1" customFormat="1" ht="22.15" customHeight="1" x14ac:dyDescent="0.25">
      <c r="A23" s="289" t="s">
        <v>137</v>
      </c>
      <c r="B23" s="290"/>
      <c r="C23" s="19"/>
      <c r="D23" s="15"/>
      <c r="E23" s="15"/>
      <c r="F23" s="15"/>
      <c r="G23" s="15"/>
      <c r="H23" s="41"/>
      <c r="I23" s="252" t="s">
        <v>145</v>
      </c>
      <c r="J23" s="267">
        <f>S21</f>
        <v>93.612964057219898</v>
      </c>
      <c r="K23" s="268">
        <f>W21</f>
        <v>1.7633129848966617E-2</v>
      </c>
      <c r="L23" s="9"/>
      <c r="M23" s="9"/>
      <c r="N23" s="21"/>
      <c r="O23" s="66"/>
      <c r="P23" s="21"/>
      <c r="Q23" s="21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14"/>
      <c r="BR23" s="14"/>
      <c r="BS23" s="14"/>
      <c r="BT23" s="14"/>
      <c r="BU23" s="14"/>
      <c r="BV23" s="14"/>
      <c r="BW23" s="14"/>
      <c r="BX23" s="14"/>
      <c r="BY23" s="14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167"/>
      <c r="EC23" s="167"/>
      <c r="ED23" s="167"/>
      <c r="EE23" s="167"/>
      <c r="EF23" s="167"/>
      <c r="EG23" s="167"/>
      <c r="EH23" s="167"/>
      <c r="EI23" s="167"/>
      <c r="EJ23" s="167"/>
      <c r="EK23" s="167"/>
      <c r="EL23" s="167"/>
      <c r="EM23" s="167"/>
      <c r="EN23" s="167"/>
      <c r="EO23" s="167"/>
      <c r="EP23" s="167"/>
      <c r="EQ23" s="167"/>
      <c r="ER23" s="167"/>
      <c r="ES23" s="167"/>
      <c r="ET23" s="167"/>
      <c r="EU23" s="167"/>
      <c r="EV23" s="167"/>
      <c r="EW23" s="167"/>
      <c r="EX23" s="167"/>
      <c r="EY23" s="167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  <c r="LE23" s="9"/>
      <c r="LF23" s="9"/>
      <c r="LG23" s="9"/>
      <c r="LH23" s="9"/>
      <c r="LI23" s="9"/>
      <c r="LJ23" s="9"/>
      <c r="LK23" s="9"/>
      <c r="LL23" s="9"/>
      <c r="LM23" s="9"/>
      <c r="LN23" s="9"/>
      <c r="LO23" s="9"/>
      <c r="LP23" s="9"/>
      <c r="LQ23" s="9"/>
      <c r="LR23" s="9"/>
      <c r="LS23" s="9"/>
      <c r="LT23" s="9"/>
      <c r="LU23" s="9"/>
      <c r="LV23" s="9"/>
      <c r="LW23" s="9"/>
      <c r="LX23" s="9"/>
      <c r="LY23" s="9"/>
      <c r="LZ23" s="9"/>
      <c r="MA23" s="9"/>
      <c r="MB23" s="9"/>
      <c r="MC23" s="9"/>
      <c r="MD23" s="9"/>
      <c r="ME23" s="9"/>
      <c r="MF23" s="9"/>
      <c r="MG23" s="9"/>
      <c r="MH23" s="9"/>
      <c r="MI23" s="9"/>
      <c r="MJ23" s="9"/>
      <c r="MK23" s="9"/>
      <c r="ML23" s="9"/>
      <c r="MM23" s="9"/>
      <c r="MN23" s="9"/>
      <c r="MO23" s="9"/>
      <c r="MP23" s="9"/>
      <c r="MQ23" s="9"/>
      <c r="MR23" s="9"/>
      <c r="MS23" s="9"/>
      <c r="MT23" s="9"/>
      <c r="MU23" s="9"/>
      <c r="MV23" s="9"/>
      <c r="MW23" s="9"/>
      <c r="MX23" s="9"/>
      <c r="MY23" s="9"/>
      <c r="MZ23" s="9"/>
      <c r="NA23" s="9"/>
      <c r="NB23" s="9"/>
      <c r="NC23" s="9"/>
      <c r="ND23" s="9"/>
      <c r="NE23" s="9"/>
      <c r="NF23" s="9"/>
      <c r="NG23" s="9"/>
      <c r="NH23" s="9"/>
      <c r="NI23" s="9"/>
      <c r="NJ23" s="9"/>
      <c r="NK23" s="9"/>
      <c r="NL23" s="9"/>
      <c r="NM23" s="9"/>
      <c r="NN23" s="9"/>
      <c r="NO23" s="9"/>
      <c r="NP23" s="9"/>
      <c r="NQ23" s="9"/>
      <c r="NR23" s="9"/>
      <c r="NS23" s="9"/>
      <c r="NT23" s="9"/>
      <c r="NU23" s="9"/>
      <c r="NV23" s="9"/>
      <c r="NW23" s="9"/>
      <c r="NX23" s="9"/>
      <c r="NY23" s="9"/>
      <c r="NZ23" s="9"/>
      <c r="OA23" s="9"/>
      <c r="OB23" s="9"/>
      <c r="OC23" s="9"/>
      <c r="OD23" s="9"/>
      <c r="OE23" s="9"/>
      <c r="OF23" s="9"/>
      <c r="OG23" s="9"/>
      <c r="OH23" s="9"/>
      <c r="OI23" s="9"/>
      <c r="OJ23" s="9"/>
      <c r="OK23" s="9"/>
      <c r="OL23" s="9"/>
      <c r="OM23" s="9"/>
      <c r="ON23" s="9"/>
      <c r="OO23" s="9"/>
      <c r="OP23" s="9"/>
      <c r="OQ23" s="9"/>
      <c r="OR23" s="9"/>
      <c r="OS23" s="9"/>
      <c r="OT23" s="9"/>
      <c r="OU23" s="9"/>
      <c r="OV23" s="9"/>
      <c r="OW23" s="9"/>
      <c r="OX23" s="9"/>
      <c r="OY23" s="9"/>
      <c r="OZ23" s="9"/>
      <c r="PA23" s="9"/>
      <c r="PB23" s="9"/>
      <c r="PC23" s="9"/>
      <c r="PD23" s="9"/>
      <c r="PE23" s="9"/>
      <c r="PF23" s="9"/>
      <c r="PG23" s="9"/>
      <c r="PH23" s="9"/>
      <c r="PI23" s="9"/>
      <c r="PJ23" s="9"/>
      <c r="PK23" s="9"/>
      <c r="PL23" s="9"/>
      <c r="PM23" s="9"/>
      <c r="PN23" s="9"/>
      <c r="PO23" s="9"/>
      <c r="PP23" s="9"/>
      <c r="PQ23" s="9"/>
      <c r="PR23" s="9"/>
      <c r="PS23" s="9"/>
      <c r="PT23" s="9"/>
      <c r="PU23" s="9"/>
      <c r="PV23" s="9"/>
      <c r="PW23" s="9"/>
      <c r="PX23" s="9"/>
      <c r="PY23" s="9"/>
      <c r="PZ23" s="9"/>
      <c r="QA23" s="9"/>
      <c r="QB23" s="9"/>
      <c r="QC23" s="9"/>
      <c r="QD23" s="9"/>
      <c r="QE23" s="9"/>
      <c r="QF23" s="14"/>
      <c r="QG23" s="14"/>
      <c r="QH23" s="14"/>
      <c r="QI23" s="14"/>
      <c r="QJ23" s="14"/>
      <c r="QK23" s="14"/>
      <c r="QL23" s="14"/>
      <c r="QM23" s="14"/>
      <c r="QN23" s="14"/>
      <c r="QO23" s="14"/>
      <c r="QP23" s="14"/>
      <c r="QQ23" s="14"/>
      <c r="QR23" s="14"/>
      <c r="QS23" s="14"/>
      <c r="QT23" s="14"/>
      <c r="QU23" s="14"/>
      <c r="QV23" s="14"/>
      <c r="QW23" s="14"/>
      <c r="QX23" s="14"/>
      <c r="QY23" s="14"/>
      <c r="QZ23" s="14"/>
      <c r="RA23" s="14"/>
      <c r="RB23" s="14"/>
      <c r="RC23" s="14"/>
      <c r="RD23" s="14"/>
      <c r="RE23" s="14"/>
      <c r="RF23" s="14"/>
      <c r="RG23" s="14"/>
      <c r="RH23" s="14"/>
      <c r="RI23" s="14"/>
      <c r="RJ23" s="14"/>
      <c r="RK23" s="14"/>
      <c r="RL23" s="14"/>
      <c r="RM23" s="14"/>
      <c r="RN23" s="14"/>
      <c r="RO23" s="14"/>
      <c r="RP23" s="14"/>
      <c r="RQ23" s="14"/>
      <c r="RR23" s="14"/>
      <c r="RS23" s="14"/>
      <c r="RT23" s="14"/>
      <c r="RU23" s="14"/>
      <c r="RV23" s="14"/>
      <c r="RW23" s="14"/>
      <c r="RX23" s="14"/>
      <c r="RY23" s="14"/>
      <c r="RZ23" s="14"/>
      <c r="SA23" s="14"/>
      <c r="SB23" s="14"/>
      <c r="SC23" s="14"/>
      <c r="SD23" s="14"/>
      <c r="SE23" s="14"/>
      <c r="SF23" s="14"/>
      <c r="SG23" s="14"/>
      <c r="SH23" s="14"/>
      <c r="SI23" s="14"/>
      <c r="SJ23" s="14"/>
      <c r="SK23" s="14"/>
      <c r="SL23" s="14"/>
      <c r="SM23" s="14"/>
      <c r="SN23" s="14"/>
      <c r="SO23" s="14"/>
      <c r="SP23" s="14"/>
      <c r="SQ23" s="14"/>
      <c r="SR23" s="14"/>
      <c r="SS23" s="14"/>
      <c r="ST23" s="14"/>
      <c r="SU23" s="14"/>
      <c r="SV23" s="14"/>
      <c r="SW23" s="14"/>
      <c r="SX23" s="14"/>
      <c r="SY23" s="14"/>
      <c r="SZ23" s="14"/>
      <c r="TA23" s="14"/>
      <c r="TB23" s="14"/>
      <c r="TC23" s="14"/>
      <c r="TD23" s="14"/>
      <c r="TE23" s="14"/>
      <c r="TF23" s="14"/>
      <c r="TG23" s="14"/>
      <c r="TH23" s="14"/>
      <c r="TI23" s="14"/>
      <c r="TJ23" s="14"/>
      <c r="TK23" s="14"/>
      <c r="TL23" s="14"/>
      <c r="TM23" s="14"/>
      <c r="TN23" s="14"/>
      <c r="TO23" s="14"/>
      <c r="TP23" s="14"/>
      <c r="TQ23" s="14"/>
      <c r="TR23" s="14"/>
      <c r="TS23" s="14"/>
      <c r="TT23" s="14"/>
      <c r="TU23" s="14"/>
      <c r="TV23" s="14"/>
      <c r="TW23" s="14"/>
      <c r="TX23" s="14"/>
      <c r="TY23" s="14"/>
      <c r="TZ23" s="14"/>
      <c r="UA23" s="14"/>
      <c r="UB23" s="14"/>
      <c r="UC23" s="14"/>
      <c r="UD23" s="14"/>
      <c r="UE23" s="14"/>
      <c r="UF23" s="14"/>
      <c r="UG23" s="14"/>
      <c r="UH23" s="14"/>
      <c r="UI23" s="14"/>
      <c r="UJ23" s="14"/>
      <c r="UK23" s="14"/>
      <c r="UL23" s="14"/>
      <c r="UM23" s="14"/>
      <c r="UN23" s="14"/>
      <c r="UO23" s="14"/>
      <c r="UP23" s="14"/>
      <c r="UQ23" s="14"/>
      <c r="UR23" s="14"/>
      <c r="US23" s="14"/>
      <c r="UT23" s="14"/>
      <c r="UU23" s="14"/>
      <c r="UV23" s="14"/>
      <c r="UW23" s="14"/>
      <c r="UX23" s="14"/>
      <c r="UY23" s="14"/>
      <c r="UZ23" s="14"/>
      <c r="VA23" s="14"/>
      <c r="VB23" s="14"/>
      <c r="VC23" s="14"/>
      <c r="VD23" s="14"/>
      <c r="VE23" s="14"/>
      <c r="VF23" s="14"/>
      <c r="VG23" s="14"/>
      <c r="VH23" s="14"/>
      <c r="VI23" s="14"/>
      <c r="VJ23" s="14"/>
      <c r="VK23" s="14"/>
      <c r="VL23" s="14"/>
      <c r="VM23" s="14"/>
      <c r="VN23" s="14"/>
      <c r="VO23" s="14"/>
      <c r="VP23" s="14"/>
      <c r="VQ23" s="14"/>
      <c r="VR23" s="14"/>
      <c r="VS23" s="14"/>
      <c r="VT23" s="14"/>
      <c r="VU23" s="14"/>
      <c r="VV23" s="14"/>
      <c r="VW23" s="14"/>
      <c r="VX23" s="14"/>
      <c r="VY23" s="14"/>
      <c r="VZ23" s="14"/>
      <c r="WA23" s="14"/>
      <c r="WB23" s="14"/>
      <c r="WC23" s="14"/>
      <c r="WD23" s="14"/>
      <c r="WE23" s="14"/>
      <c r="WF23" s="14"/>
      <c r="WG23" s="14"/>
      <c r="WH23" s="14"/>
      <c r="WI23" s="14"/>
      <c r="WJ23" s="14"/>
      <c r="WK23" s="14"/>
      <c r="WL23" s="14"/>
      <c r="WM23" s="14"/>
      <c r="WN23" s="14"/>
      <c r="WO23" s="14"/>
      <c r="WP23" s="14"/>
      <c r="WQ23" s="14"/>
      <c r="WR23" s="14"/>
      <c r="WS23" s="14"/>
      <c r="WT23" s="14"/>
      <c r="WU23" s="14"/>
      <c r="WV23" s="14"/>
      <c r="WW23" s="14"/>
      <c r="WX23" s="14"/>
      <c r="WY23" s="14"/>
      <c r="WZ23" s="14"/>
      <c r="XA23" s="14"/>
      <c r="XB23" s="14"/>
      <c r="XC23" s="14"/>
      <c r="XD23" s="14"/>
      <c r="XE23" s="14"/>
      <c r="XF23" s="14"/>
      <c r="XG23" s="14"/>
      <c r="XH23" s="14"/>
      <c r="XI23" s="14"/>
      <c r="XJ23" s="14"/>
      <c r="XK23" s="14"/>
      <c r="XL23" s="14"/>
      <c r="XM23" s="14"/>
      <c r="XN23" s="14"/>
      <c r="XO23" s="14"/>
      <c r="XP23" s="14"/>
      <c r="XQ23" s="14"/>
      <c r="XR23" s="14"/>
      <c r="XS23" s="14"/>
      <c r="XT23" s="14"/>
      <c r="XU23" s="14"/>
      <c r="XV23" s="14"/>
      <c r="XW23" s="14"/>
      <c r="XX23" s="14"/>
      <c r="XY23" s="14"/>
      <c r="XZ23" s="14"/>
      <c r="YA23" s="14"/>
      <c r="YB23" s="14"/>
      <c r="YC23" s="14"/>
      <c r="YD23" s="14"/>
      <c r="YE23" s="14"/>
      <c r="YF23" s="14"/>
      <c r="YG23" s="14"/>
      <c r="YH23" s="14"/>
      <c r="YI23" s="14"/>
      <c r="YJ23" s="14"/>
      <c r="YK23" s="14"/>
      <c r="YL23" s="14"/>
      <c r="YM23" s="14"/>
      <c r="YN23" s="14"/>
      <c r="YO23" s="14"/>
      <c r="YP23" s="14"/>
      <c r="YQ23" s="14"/>
      <c r="YR23" s="14"/>
      <c r="YS23" s="14"/>
      <c r="YT23" s="14"/>
      <c r="YU23" s="14"/>
      <c r="YV23" s="14"/>
      <c r="YW23" s="14"/>
      <c r="YX23" s="14"/>
      <c r="YY23" s="13"/>
      <c r="YZ23" s="13"/>
      <c r="ZA23" s="13"/>
      <c r="ZB23" s="13"/>
      <c r="ZC23" s="13"/>
      <c r="ZD23" s="13"/>
      <c r="ZE23" s="13"/>
      <c r="ZF23" s="13"/>
      <c r="ZG23" s="13"/>
      <c r="ZH23" s="13"/>
      <c r="ZI23" s="13"/>
      <c r="ZJ23" s="13"/>
      <c r="ZK23" s="13"/>
      <c r="ZL23" s="13"/>
      <c r="ZM23" s="13"/>
      <c r="ZN23" s="13"/>
      <c r="ZO23" s="13"/>
      <c r="ZP23" s="13"/>
      <c r="ZQ23" s="13"/>
      <c r="ZR23" s="13"/>
      <c r="ZS23" s="13"/>
      <c r="ZT23" s="13"/>
      <c r="ZU23" s="13"/>
      <c r="ZV23" s="13"/>
      <c r="ZW23" s="13"/>
      <c r="ZX23" s="13"/>
      <c r="ZY23" s="13"/>
      <c r="ZZ23" s="13"/>
      <c r="AAA23" s="13"/>
      <c r="AAB23" s="13"/>
      <c r="AAC23" s="13"/>
      <c r="AAD23" s="13"/>
      <c r="AAE23" s="13"/>
      <c r="AAF23" s="13"/>
      <c r="AAG23" s="13"/>
      <c r="AAH23" s="13"/>
      <c r="AAI23" s="13"/>
      <c r="AAJ23" s="13"/>
      <c r="AAK23" s="13"/>
      <c r="AAL23" s="13"/>
      <c r="AAM23" s="13"/>
      <c r="AAN23" s="13"/>
      <c r="AAO23" s="13"/>
      <c r="AAP23" s="13"/>
      <c r="AAQ23" s="13"/>
      <c r="AAR23" s="13"/>
      <c r="AAS23" s="13"/>
      <c r="AAT23" s="13"/>
      <c r="AAU23" s="13"/>
      <c r="AAV23" s="13"/>
      <c r="AAW23" s="13"/>
      <c r="AAX23" s="13"/>
      <c r="AAY23" s="13"/>
      <c r="AAZ23" s="13"/>
      <c r="ABA23" s="13"/>
      <c r="ABB23" s="13"/>
      <c r="ABC23" s="13"/>
      <c r="ABD23" s="13"/>
      <c r="ABE23" s="13"/>
      <c r="ABF23" s="13"/>
      <c r="ABG23" s="13"/>
      <c r="ABH23" s="13"/>
      <c r="ABI23" s="13"/>
      <c r="ABJ23" s="13"/>
      <c r="ABK23" s="13"/>
      <c r="ABL23" s="13"/>
      <c r="ABM23" s="13"/>
      <c r="ABN23" s="13"/>
      <c r="ABO23" s="13"/>
      <c r="ABP23" s="13"/>
      <c r="ABQ23" s="13"/>
      <c r="ABR23" s="13"/>
      <c r="ABS23" s="13"/>
      <c r="ABT23" s="13"/>
      <c r="ABU23" s="13"/>
      <c r="ABV23" s="13"/>
      <c r="ABW23" s="13"/>
      <c r="ABX23" s="13"/>
      <c r="ABY23" s="13"/>
      <c r="ABZ23" s="13"/>
      <c r="ACA23" s="13"/>
      <c r="ACB23" s="13"/>
      <c r="ACC23" s="13"/>
      <c r="ACD23" s="13"/>
      <c r="ACE23" s="13"/>
      <c r="ACF23" s="13"/>
      <c r="ACG23" s="13"/>
      <c r="ACH23" s="13"/>
      <c r="ACI23" s="13"/>
      <c r="ACJ23" s="13"/>
      <c r="ACK23" s="13"/>
      <c r="ACL23" s="13"/>
      <c r="ACM23" s="13"/>
      <c r="ACN23" s="13"/>
      <c r="ACO23" s="13"/>
      <c r="ACP23" s="13"/>
      <c r="ACQ23" s="13"/>
      <c r="ACR23" s="13"/>
      <c r="ACS23" s="13"/>
      <c r="ACT23" s="13"/>
      <c r="ACU23" s="13"/>
      <c r="ACV23" s="13"/>
      <c r="ACW23" s="13"/>
      <c r="ACX23" s="13"/>
      <c r="ACY23" s="13"/>
      <c r="ACZ23" s="13"/>
      <c r="ADA23" s="13"/>
      <c r="ADB23" s="13"/>
      <c r="ADC23" s="13"/>
      <c r="ADD23" s="13"/>
      <c r="ADE23" s="13"/>
      <c r="ADF23" s="13"/>
      <c r="ADG23" s="13"/>
      <c r="ADH23" s="13"/>
      <c r="ADI23" s="13"/>
      <c r="ADJ23" s="13"/>
      <c r="ADK23" s="13"/>
      <c r="ADL23" s="13"/>
      <c r="ADM23" s="13"/>
      <c r="ADN23" s="13"/>
      <c r="ADO23" s="13"/>
      <c r="ADP23" s="13"/>
      <c r="ADQ23" s="13"/>
      <c r="ADR23" s="13"/>
      <c r="ADS23" s="13"/>
      <c r="ADT23" s="13"/>
      <c r="ADU23" s="13"/>
      <c r="ADV23" s="13"/>
      <c r="ADW23" s="13"/>
      <c r="ADX23" s="13"/>
      <c r="ADY23" s="13"/>
      <c r="ADZ23" s="13"/>
      <c r="AEA23" s="13"/>
      <c r="AEB23" s="13"/>
      <c r="AEC23" s="13"/>
      <c r="AED23" s="13"/>
      <c r="AEE23" s="13"/>
      <c r="AEF23" s="13"/>
      <c r="AEG23" s="13"/>
      <c r="AEH23" s="13"/>
      <c r="AEI23" s="13"/>
      <c r="AEJ23" s="13"/>
      <c r="AEK23" s="13"/>
      <c r="AEL23" s="13"/>
      <c r="AEM23" s="13"/>
      <c r="AEN23" s="13"/>
      <c r="AEO23" s="13"/>
      <c r="AEP23" s="13"/>
      <c r="AEQ23" s="13"/>
      <c r="AER23" s="13"/>
      <c r="AES23" s="13"/>
      <c r="AET23" s="13"/>
      <c r="AEU23" s="13"/>
      <c r="AEV23" s="13"/>
      <c r="AEW23" s="13"/>
      <c r="AEX23" s="13"/>
      <c r="AEY23" s="13"/>
      <c r="AEZ23" s="13"/>
      <c r="AFA23" s="13"/>
      <c r="AFB23" s="13"/>
      <c r="AFC23" s="13"/>
      <c r="AFD23" s="13"/>
      <c r="AFE23" s="13"/>
      <c r="AFF23" s="13"/>
      <c r="AFG23" s="13"/>
      <c r="AFH23" s="13"/>
      <c r="AFI23" s="13"/>
      <c r="AFJ23" s="13"/>
      <c r="AFK23" s="13"/>
      <c r="AFL23" s="13"/>
      <c r="AFM23" s="13"/>
      <c r="AFN23" s="13"/>
      <c r="AFO23" s="13"/>
      <c r="AFP23" s="13"/>
      <c r="AFQ23" s="13"/>
      <c r="AFR23" s="13"/>
      <c r="AFS23" s="13"/>
      <c r="AFT23" s="13"/>
      <c r="AFU23" s="13"/>
      <c r="AFV23" s="13"/>
      <c r="AFW23" s="13"/>
      <c r="AFX23" s="13"/>
      <c r="AFY23" s="13"/>
      <c r="AFZ23" s="13"/>
      <c r="AGA23" s="13"/>
      <c r="AGB23" s="13"/>
      <c r="AGC23" s="13"/>
      <c r="AGD23" s="13"/>
      <c r="AGE23" s="13"/>
      <c r="AGF23" s="13"/>
      <c r="AGG23" s="13"/>
      <c r="AGH23" s="13"/>
      <c r="AGI23" s="13"/>
      <c r="AGJ23" s="13"/>
      <c r="AGK23" s="13"/>
      <c r="AGL23" s="13"/>
      <c r="AGM23" s="13"/>
      <c r="AGN23" s="13"/>
      <c r="AGO23" s="13"/>
      <c r="AGP23" s="13"/>
      <c r="AGQ23" s="13"/>
      <c r="AGR23" s="13"/>
      <c r="AGS23" s="13"/>
      <c r="AGT23" s="13"/>
      <c r="AGU23" s="13"/>
      <c r="AGV23" s="13"/>
      <c r="AGW23" s="13"/>
      <c r="AGX23" s="13"/>
      <c r="AGY23" s="13"/>
      <c r="AGZ23" s="13"/>
      <c r="AHA23" s="13"/>
      <c r="AHB23" s="13"/>
      <c r="AHC23" s="13"/>
      <c r="AHD23" s="13"/>
      <c r="AHE23" s="13"/>
      <c r="AHF23" s="13"/>
      <c r="AHG23" s="13"/>
      <c r="AHH23" s="13"/>
      <c r="AHI23" s="13"/>
      <c r="AHJ23" s="13"/>
      <c r="AHK23" s="13"/>
      <c r="AHL23" s="13"/>
      <c r="AHM23" s="13"/>
      <c r="AHN23" s="13"/>
      <c r="AHO23" s="13"/>
      <c r="AHP23" s="13"/>
      <c r="AHQ23" s="13"/>
      <c r="AHR23" s="13"/>
      <c r="AHS23" s="13"/>
      <c r="AHT23" s="13"/>
      <c r="AHU23" s="13"/>
      <c r="AHV23" s="13"/>
      <c r="AHW23" s="13"/>
      <c r="AHX23" s="13"/>
      <c r="AHY23" s="13"/>
      <c r="AHZ23" s="13"/>
      <c r="AIA23" s="13"/>
      <c r="AIB23" s="13"/>
      <c r="AIC23" s="13"/>
      <c r="AID23" s="13"/>
      <c r="AIE23" s="13"/>
      <c r="AIF23" s="13"/>
      <c r="AIG23" s="13"/>
      <c r="AIH23" s="13"/>
      <c r="AII23" s="13"/>
      <c r="AIJ23" s="13"/>
      <c r="AIK23" s="13"/>
      <c r="AIL23" s="13"/>
      <c r="AIM23" s="13"/>
      <c r="AIN23" s="13"/>
      <c r="AIO23" s="13"/>
      <c r="AIP23" s="13"/>
      <c r="AIQ23" s="13"/>
      <c r="AIR23" s="13"/>
      <c r="AIS23" s="13"/>
      <c r="AIT23" s="13"/>
      <c r="AIU23" s="13"/>
      <c r="AIV23" s="13"/>
      <c r="AIW23" s="13"/>
      <c r="AIX23" s="13"/>
      <c r="AIY23" s="13"/>
      <c r="AIZ23" s="13"/>
      <c r="AJA23" s="13"/>
      <c r="AJB23" s="13"/>
      <c r="AJC23" s="13"/>
      <c r="AJD23" s="13"/>
      <c r="AJE23" s="13"/>
      <c r="AJF23" s="13"/>
      <c r="AJG23" s="13"/>
      <c r="AJH23" s="13"/>
      <c r="AJI23" s="13"/>
      <c r="AJJ23" s="13"/>
      <c r="AJK23" s="13"/>
      <c r="AJL23" s="13"/>
      <c r="AJM23" s="13"/>
      <c r="AJN23" s="13"/>
      <c r="AJO23" s="13"/>
      <c r="AJP23" s="13"/>
      <c r="AJQ23" s="13"/>
      <c r="AJR23" s="13"/>
      <c r="AJS23" s="13"/>
      <c r="AJT23" s="13"/>
      <c r="AJU23" s="13"/>
      <c r="AJV23" s="13"/>
      <c r="AJW23" s="13"/>
      <c r="AJX23" s="13"/>
      <c r="AJY23" s="13"/>
      <c r="AJZ23" s="13"/>
      <c r="AKA23" s="13"/>
      <c r="AKB23" s="13"/>
      <c r="AKC23" s="13"/>
      <c r="AKD23" s="13"/>
      <c r="AKE23" s="13"/>
      <c r="AKF23" s="13"/>
      <c r="AKG23" s="13"/>
      <c r="AKH23" s="13"/>
      <c r="AKI23" s="13"/>
      <c r="AKJ23" s="13"/>
      <c r="AKK23" s="13"/>
      <c r="AKL23" s="13"/>
      <c r="AKM23" s="13"/>
      <c r="AKN23" s="13"/>
      <c r="AKO23" s="13"/>
      <c r="AKP23" s="13"/>
      <c r="AKQ23" s="13"/>
      <c r="AKR23" s="13"/>
      <c r="AKS23" s="13"/>
      <c r="AKT23" s="13"/>
      <c r="AKU23" s="13"/>
      <c r="AKV23" s="13"/>
      <c r="AKW23" s="13"/>
      <c r="AKX23" s="13"/>
      <c r="AKY23" s="13"/>
      <c r="AKZ23" s="13"/>
      <c r="ALA23" s="13"/>
      <c r="ALB23" s="13"/>
      <c r="ALC23" s="13"/>
      <c r="ALD23" s="13"/>
      <c r="ALE23" s="13"/>
      <c r="ALF23" s="13"/>
      <c r="ALG23" s="13"/>
      <c r="ALH23" s="13"/>
      <c r="ALI23" s="13"/>
      <c r="ALJ23" s="13"/>
      <c r="ALK23" s="13"/>
      <c r="ALL23" s="13"/>
      <c r="ALM23" s="13"/>
      <c r="ALN23" s="13"/>
      <c r="ALO23" s="13"/>
      <c r="ALP23" s="13"/>
      <c r="ALQ23" s="13"/>
      <c r="ALR23" s="13"/>
      <c r="ALS23" s="13"/>
      <c r="ALT23" s="13"/>
      <c r="ALU23" s="13"/>
      <c r="ALV23" s="13"/>
      <c r="ALW23" s="13"/>
      <c r="ALX23" s="13"/>
      <c r="ALY23" s="13"/>
      <c r="ALZ23" s="13"/>
    </row>
    <row r="24" spans="1:1024" s="1" customFormat="1" ht="22.15" customHeight="1" thickBot="1" x14ac:dyDescent="0.3">
      <c r="A24" s="225">
        <f>A22*F19</f>
        <v>1761.9746690687984</v>
      </c>
      <c r="B24" s="43" t="s">
        <v>138</v>
      </c>
      <c r="C24" s="19"/>
      <c r="D24" s="15"/>
      <c r="E24" s="15"/>
      <c r="F24" s="15"/>
      <c r="G24" s="15"/>
      <c r="H24" s="41"/>
      <c r="I24" s="253" t="s">
        <v>146</v>
      </c>
      <c r="J24" s="269">
        <f>U21</f>
        <v>76.600556384164662</v>
      </c>
      <c r="K24" s="270">
        <f>Y21</f>
        <v>1.5644098175665228E-2</v>
      </c>
      <c r="L24" s="9"/>
      <c r="M24" s="9"/>
      <c r="N24" s="21"/>
      <c r="O24" s="66"/>
      <c r="P24" s="21"/>
      <c r="Q24" s="21"/>
      <c r="R24" s="9"/>
      <c r="S24" s="9"/>
      <c r="T24" s="9"/>
      <c r="U24" s="9"/>
      <c r="V24" s="9"/>
      <c r="W24" s="9"/>
      <c r="X24" s="24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14"/>
      <c r="BR24" s="14"/>
      <c r="BS24" s="14"/>
      <c r="BT24" s="14"/>
      <c r="BU24" s="14"/>
      <c r="BV24" s="14"/>
      <c r="BW24" s="14"/>
      <c r="BX24" s="14"/>
      <c r="BY24" s="14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167"/>
      <c r="EC24" s="167"/>
      <c r="ED24" s="167"/>
      <c r="EE24" s="167"/>
      <c r="EF24" s="167"/>
      <c r="EG24" s="167"/>
      <c r="EH24" s="167"/>
      <c r="EI24" s="167"/>
      <c r="EJ24" s="167"/>
      <c r="EK24" s="167"/>
      <c r="EL24" s="167"/>
      <c r="EM24" s="167"/>
      <c r="EN24" s="167"/>
      <c r="EO24" s="167"/>
      <c r="EP24" s="167"/>
      <c r="EQ24" s="167"/>
      <c r="ER24" s="167"/>
      <c r="ES24" s="167"/>
      <c r="ET24" s="167"/>
      <c r="EU24" s="167"/>
      <c r="EV24" s="167"/>
      <c r="EW24" s="167"/>
      <c r="EX24" s="167"/>
      <c r="EY24" s="167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 s="9"/>
      <c r="GM24" s="9"/>
      <c r="GN24" s="9"/>
      <c r="GO24" s="9"/>
      <c r="GP24" s="9"/>
      <c r="GQ24" s="9"/>
      <c r="GR24" s="9"/>
      <c r="GS24" s="9"/>
      <c r="GT24" s="9"/>
      <c r="GU24" s="9"/>
      <c r="GV24" s="9"/>
      <c r="GW24" s="9"/>
      <c r="GX24" s="9"/>
      <c r="GY24" s="9"/>
      <c r="GZ24" s="9"/>
      <c r="HA24" s="9"/>
      <c r="HB24" s="9"/>
      <c r="HC24" s="9"/>
      <c r="HD24" s="9"/>
      <c r="HE24" s="9"/>
      <c r="HF24" s="9"/>
      <c r="HG24" s="9"/>
      <c r="HH24" s="9"/>
      <c r="HI24" s="9"/>
      <c r="HJ24" s="9"/>
      <c r="HK24" s="9"/>
      <c r="HL24" s="9"/>
      <c r="HM24" s="9"/>
      <c r="HN24" s="9"/>
      <c r="HO24" s="9"/>
      <c r="HP24" s="9"/>
      <c r="HQ24" s="9"/>
      <c r="HR24" s="9"/>
      <c r="HS24" s="9"/>
      <c r="HT24" s="9"/>
      <c r="HU24" s="9"/>
      <c r="HV24" s="9"/>
      <c r="HW24" s="9"/>
      <c r="HX24" s="9"/>
      <c r="HY24" s="9"/>
      <c r="HZ24" s="9"/>
      <c r="IA24" s="9"/>
      <c r="IB24" s="9"/>
      <c r="IC24" s="9"/>
      <c r="ID24" s="9"/>
      <c r="IE24" s="9"/>
      <c r="IF24" s="9"/>
      <c r="IG24" s="9"/>
      <c r="IH24" s="9"/>
      <c r="II24" s="9"/>
      <c r="IJ24" s="9"/>
      <c r="IK24" s="9"/>
      <c r="IL24" s="9"/>
      <c r="IM24" s="9"/>
      <c r="IN24" s="9"/>
      <c r="IO24" s="9"/>
      <c r="IP24" s="9"/>
      <c r="IQ24" s="9"/>
      <c r="IR24" s="9"/>
      <c r="IS24" s="9"/>
      <c r="IT24" s="9"/>
      <c r="IU24" s="9"/>
      <c r="IV24" s="9"/>
      <c r="IW24" s="9"/>
      <c r="IX24" s="9"/>
      <c r="IY24" s="9"/>
      <c r="IZ24" s="9"/>
      <c r="JA24" s="9"/>
      <c r="JB24" s="9"/>
      <c r="JC24" s="9"/>
      <c r="JD24" s="9"/>
      <c r="JE24" s="9"/>
      <c r="JF24" s="9"/>
      <c r="JG24" s="9"/>
      <c r="JH24" s="9"/>
      <c r="JI24" s="9"/>
      <c r="JJ24" s="9"/>
      <c r="JK24" s="9"/>
      <c r="JL24" s="9"/>
      <c r="JM24" s="9"/>
      <c r="JN24" s="9"/>
      <c r="JO24" s="9"/>
      <c r="JP24" s="9"/>
      <c r="JQ24" s="9"/>
      <c r="JR24" s="9"/>
      <c r="JS24" s="9"/>
      <c r="JT24" s="9"/>
      <c r="JU24" s="9"/>
      <c r="JV24" s="9"/>
      <c r="JW24" s="9"/>
      <c r="JX24" s="9"/>
      <c r="JY24" s="9"/>
      <c r="JZ24" s="9"/>
      <c r="KA24" s="9"/>
      <c r="KB24" s="9"/>
      <c r="KC24" s="9"/>
      <c r="KD24" s="9"/>
      <c r="KE24" s="9"/>
      <c r="KF24" s="9"/>
      <c r="KG24" s="9"/>
      <c r="KH24" s="9"/>
      <c r="KI24" s="9"/>
      <c r="KJ24" s="9"/>
      <c r="KK24" s="9"/>
      <c r="KL24" s="9"/>
      <c r="KM24" s="9"/>
      <c r="KN24" s="9"/>
      <c r="KO24" s="9"/>
      <c r="KP24" s="9"/>
      <c r="KQ24" s="9"/>
      <c r="KR24" s="9"/>
      <c r="KS24" s="9"/>
      <c r="KT24" s="9"/>
      <c r="KU24" s="9"/>
      <c r="KV24" s="9"/>
      <c r="KW24" s="9"/>
      <c r="KX24" s="9"/>
      <c r="KY24" s="9"/>
      <c r="KZ24" s="9"/>
      <c r="LA24" s="9"/>
      <c r="LB24" s="9"/>
      <c r="LC24" s="9"/>
      <c r="LD24" s="9"/>
      <c r="LE24" s="9"/>
      <c r="LF24" s="9"/>
      <c r="LG24" s="9"/>
      <c r="LH24" s="9"/>
      <c r="LI24" s="9"/>
      <c r="LJ24" s="9"/>
      <c r="LK24" s="9"/>
      <c r="LL24" s="9"/>
      <c r="LM24" s="9"/>
      <c r="LN24" s="9"/>
      <c r="LO24" s="9"/>
      <c r="LP24" s="9"/>
      <c r="LQ24" s="9"/>
      <c r="LR24" s="9"/>
      <c r="LS24" s="9"/>
      <c r="LT24" s="9"/>
      <c r="LU24" s="9"/>
      <c r="LV24" s="9"/>
      <c r="LW24" s="9"/>
      <c r="LX24" s="9"/>
      <c r="LY24" s="9"/>
      <c r="LZ24" s="9"/>
      <c r="MA24" s="9"/>
      <c r="MB24" s="9"/>
      <c r="MC24" s="9"/>
      <c r="MD24" s="9"/>
      <c r="ME24" s="9"/>
      <c r="MF24" s="9"/>
      <c r="MG24" s="9"/>
      <c r="MH24" s="9"/>
      <c r="MI24" s="9"/>
      <c r="MJ24" s="9"/>
      <c r="MK24" s="9"/>
      <c r="ML24" s="9"/>
      <c r="MM24" s="9"/>
      <c r="MN24" s="9"/>
      <c r="MO24" s="9"/>
      <c r="MP24" s="9"/>
      <c r="MQ24" s="9"/>
      <c r="MR24" s="9"/>
      <c r="MS24" s="9"/>
      <c r="MT24" s="9"/>
      <c r="MU24" s="9"/>
      <c r="MV24" s="9"/>
      <c r="MW24" s="9"/>
      <c r="MX24" s="9"/>
      <c r="MY24" s="9"/>
      <c r="MZ24" s="9"/>
      <c r="NA24" s="9"/>
      <c r="NB24" s="9"/>
      <c r="NC24" s="9"/>
      <c r="ND24" s="9"/>
      <c r="NE24" s="9"/>
      <c r="NF24" s="9"/>
      <c r="NG24" s="9"/>
      <c r="NH24" s="9"/>
      <c r="NI24" s="9"/>
      <c r="NJ24" s="9"/>
      <c r="NK24" s="9"/>
      <c r="NL24" s="9"/>
      <c r="NM24" s="9"/>
      <c r="NN24" s="9"/>
      <c r="NO24" s="9"/>
      <c r="NP24" s="9"/>
      <c r="NQ24" s="9"/>
      <c r="NR24" s="9"/>
      <c r="NS24" s="9"/>
      <c r="NT24" s="9"/>
      <c r="NU24" s="9"/>
      <c r="NV24" s="9"/>
      <c r="NW24" s="9"/>
      <c r="NX24" s="9"/>
      <c r="NY24" s="9"/>
      <c r="NZ24" s="9"/>
      <c r="OA24" s="9"/>
      <c r="OB24" s="9"/>
      <c r="OC24" s="9"/>
      <c r="OD24" s="9"/>
      <c r="OE24" s="9"/>
      <c r="OF24" s="9"/>
      <c r="OG24" s="9"/>
      <c r="OH24" s="9"/>
      <c r="OI24" s="9"/>
      <c r="OJ24" s="9"/>
      <c r="OK24" s="9"/>
      <c r="OL24" s="9"/>
      <c r="OM24" s="9"/>
      <c r="ON24" s="9"/>
      <c r="OO24" s="9"/>
      <c r="OP24" s="9"/>
      <c r="OQ24" s="9"/>
      <c r="OR24" s="9"/>
      <c r="OS24" s="9"/>
      <c r="OT24" s="9"/>
      <c r="OU24" s="9"/>
      <c r="OV24" s="9"/>
      <c r="OW24" s="9"/>
      <c r="OX24" s="9"/>
      <c r="OY24" s="9"/>
      <c r="OZ24" s="9"/>
      <c r="PA24" s="9"/>
      <c r="PB24" s="9"/>
      <c r="PC24" s="9"/>
      <c r="PD24" s="9"/>
      <c r="PE24" s="9"/>
      <c r="PF24" s="9"/>
      <c r="PG24" s="9"/>
      <c r="PH24" s="9"/>
      <c r="PI24" s="9"/>
      <c r="PJ24" s="9"/>
      <c r="PK24" s="9"/>
      <c r="PL24" s="9"/>
      <c r="PM24" s="9"/>
      <c r="PN24" s="9"/>
      <c r="PO24" s="9"/>
      <c r="PP24" s="9"/>
      <c r="PQ24" s="9"/>
      <c r="PR24" s="9"/>
      <c r="PS24" s="9"/>
      <c r="PT24" s="9"/>
      <c r="PU24" s="9"/>
      <c r="PV24" s="9"/>
      <c r="PW24" s="9"/>
      <c r="PX24" s="9"/>
      <c r="PY24" s="9"/>
      <c r="PZ24" s="9"/>
      <c r="QA24" s="9"/>
      <c r="QB24" s="9"/>
      <c r="QC24" s="9"/>
      <c r="QD24" s="9"/>
      <c r="QE24" s="9"/>
      <c r="QF24" s="14"/>
      <c r="QG24" s="14"/>
      <c r="QH24" s="14"/>
      <c r="QI24" s="14"/>
      <c r="QJ24" s="14"/>
      <c r="QK24" s="14"/>
      <c r="QL24" s="14"/>
      <c r="QM24" s="14"/>
      <c r="QN24" s="14"/>
      <c r="QO24" s="14"/>
      <c r="QP24" s="14"/>
      <c r="QQ24" s="14"/>
      <c r="QR24" s="14"/>
      <c r="QS24" s="14"/>
      <c r="QT24" s="14"/>
      <c r="QU24" s="14"/>
      <c r="QV24" s="14"/>
      <c r="QW24" s="14"/>
      <c r="QX24" s="14"/>
      <c r="QY24" s="14"/>
      <c r="QZ24" s="14"/>
      <c r="RA24" s="14"/>
      <c r="RB24" s="14"/>
      <c r="RC24" s="14"/>
      <c r="RD24" s="14"/>
      <c r="RE24" s="14"/>
      <c r="RF24" s="14"/>
      <c r="RG24" s="14"/>
      <c r="RH24" s="14"/>
      <c r="RI24" s="14"/>
      <c r="RJ24" s="14"/>
      <c r="RK24" s="14"/>
      <c r="RL24" s="14"/>
      <c r="RM24" s="14"/>
      <c r="RN24" s="14"/>
      <c r="RO24" s="14"/>
      <c r="RP24" s="14"/>
      <c r="RQ24" s="14"/>
      <c r="RR24" s="14"/>
      <c r="RS24" s="14"/>
      <c r="RT24" s="14"/>
      <c r="RU24" s="14"/>
      <c r="RV24" s="14"/>
      <c r="RW24" s="14"/>
      <c r="RX24" s="14"/>
      <c r="RY24" s="14"/>
      <c r="RZ24" s="14"/>
      <c r="SA24" s="14"/>
      <c r="SB24" s="14"/>
      <c r="SC24" s="14"/>
      <c r="SD24" s="14"/>
      <c r="SE24" s="14"/>
      <c r="SF24" s="14"/>
      <c r="SG24" s="14"/>
      <c r="SH24" s="14"/>
      <c r="SI24" s="14"/>
      <c r="SJ24" s="14"/>
      <c r="SK24" s="14"/>
      <c r="SL24" s="14"/>
      <c r="SM24" s="14"/>
      <c r="SN24" s="14"/>
      <c r="SO24" s="14"/>
      <c r="SP24" s="14"/>
      <c r="SQ24" s="14"/>
      <c r="SR24" s="14"/>
      <c r="SS24" s="14"/>
      <c r="ST24" s="14"/>
      <c r="SU24" s="14"/>
      <c r="SV24" s="14"/>
      <c r="SW24" s="14"/>
      <c r="SX24" s="14"/>
      <c r="SY24" s="14"/>
      <c r="SZ24" s="14"/>
      <c r="TA24" s="14"/>
      <c r="TB24" s="14"/>
      <c r="TC24" s="14"/>
      <c r="TD24" s="14"/>
      <c r="TE24" s="14"/>
      <c r="TF24" s="14"/>
      <c r="TG24" s="14"/>
      <c r="TH24" s="14"/>
      <c r="TI24" s="14"/>
      <c r="TJ24" s="14"/>
      <c r="TK24" s="14"/>
      <c r="TL24" s="14"/>
      <c r="TM24" s="14"/>
      <c r="TN24" s="14"/>
      <c r="TO24" s="14"/>
      <c r="TP24" s="14"/>
      <c r="TQ24" s="14"/>
      <c r="TR24" s="14"/>
      <c r="TS24" s="14"/>
      <c r="TT24" s="14"/>
      <c r="TU24" s="14"/>
      <c r="TV24" s="14"/>
      <c r="TW24" s="14"/>
      <c r="TX24" s="14"/>
      <c r="TY24" s="14"/>
      <c r="TZ24" s="14"/>
      <c r="UA24" s="14"/>
      <c r="UB24" s="14"/>
      <c r="UC24" s="14"/>
      <c r="UD24" s="14"/>
      <c r="UE24" s="14"/>
      <c r="UF24" s="14"/>
      <c r="UG24" s="14"/>
      <c r="UH24" s="14"/>
      <c r="UI24" s="14"/>
      <c r="UJ24" s="14"/>
      <c r="UK24" s="14"/>
      <c r="UL24" s="14"/>
      <c r="UM24" s="14"/>
      <c r="UN24" s="14"/>
      <c r="UO24" s="14"/>
      <c r="UP24" s="14"/>
      <c r="UQ24" s="14"/>
      <c r="UR24" s="14"/>
      <c r="US24" s="14"/>
      <c r="UT24" s="14"/>
      <c r="UU24" s="14"/>
      <c r="UV24" s="14"/>
      <c r="UW24" s="14"/>
      <c r="UX24" s="14"/>
      <c r="UY24" s="14"/>
      <c r="UZ24" s="14"/>
      <c r="VA24" s="14"/>
      <c r="VB24" s="14"/>
      <c r="VC24" s="14"/>
      <c r="VD24" s="14"/>
      <c r="VE24" s="14"/>
      <c r="VF24" s="14"/>
      <c r="VG24" s="14"/>
      <c r="VH24" s="14"/>
      <c r="VI24" s="14"/>
      <c r="VJ24" s="14"/>
      <c r="VK24" s="14"/>
      <c r="VL24" s="14"/>
      <c r="VM24" s="14"/>
      <c r="VN24" s="14"/>
      <c r="VO24" s="14"/>
      <c r="VP24" s="14"/>
      <c r="VQ24" s="14"/>
      <c r="VR24" s="14"/>
      <c r="VS24" s="14"/>
      <c r="VT24" s="14"/>
      <c r="VU24" s="14"/>
      <c r="VV24" s="14"/>
      <c r="VW24" s="14"/>
      <c r="VX24" s="14"/>
      <c r="VY24" s="14"/>
      <c r="VZ24" s="14"/>
      <c r="WA24" s="14"/>
      <c r="WB24" s="14"/>
      <c r="WC24" s="14"/>
      <c r="WD24" s="14"/>
      <c r="WE24" s="14"/>
      <c r="WF24" s="14"/>
      <c r="WG24" s="14"/>
      <c r="WH24" s="14"/>
      <c r="WI24" s="14"/>
      <c r="WJ24" s="14"/>
      <c r="WK24" s="14"/>
      <c r="WL24" s="14"/>
      <c r="WM24" s="14"/>
      <c r="WN24" s="14"/>
      <c r="WO24" s="14"/>
      <c r="WP24" s="14"/>
      <c r="WQ24" s="14"/>
      <c r="WR24" s="14"/>
      <c r="WS24" s="14"/>
      <c r="WT24" s="14"/>
      <c r="WU24" s="14"/>
      <c r="WV24" s="14"/>
      <c r="WW24" s="14"/>
      <c r="WX24" s="14"/>
      <c r="WY24" s="14"/>
      <c r="WZ24" s="14"/>
      <c r="XA24" s="14"/>
      <c r="XB24" s="14"/>
      <c r="XC24" s="14"/>
      <c r="XD24" s="14"/>
      <c r="XE24" s="14"/>
      <c r="XF24" s="14"/>
      <c r="XG24" s="14"/>
      <c r="XH24" s="14"/>
      <c r="XI24" s="14"/>
      <c r="XJ24" s="14"/>
      <c r="XK24" s="14"/>
      <c r="XL24" s="14"/>
      <c r="XM24" s="14"/>
      <c r="XN24" s="14"/>
      <c r="XO24" s="14"/>
      <c r="XP24" s="14"/>
      <c r="XQ24" s="14"/>
      <c r="XR24" s="14"/>
      <c r="XS24" s="14"/>
      <c r="XT24" s="14"/>
      <c r="XU24" s="14"/>
      <c r="XV24" s="14"/>
      <c r="XW24" s="14"/>
      <c r="XX24" s="14"/>
      <c r="XY24" s="14"/>
      <c r="XZ24" s="14"/>
      <c r="YA24" s="14"/>
      <c r="YB24" s="14"/>
      <c r="YC24" s="14"/>
      <c r="YD24" s="14"/>
      <c r="YE24" s="14"/>
      <c r="YF24" s="14"/>
      <c r="YG24" s="14"/>
      <c r="YH24" s="14"/>
      <c r="YI24" s="14"/>
      <c r="YJ24" s="14"/>
      <c r="YK24" s="14"/>
      <c r="YL24" s="14"/>
      <c r="YM24" s="14"/>
      <c r="YN24" s="14"/>
      <c r="YO24" s="14"/>
      <c r="YP24" s="14"/>
      <c r="YQ24" s="14"/>
      <c r="YR24" s="14"/>
      <c r="YS24" s="14"/>
      <c r="YT24" s="14"/>
      <c r="YU24" s="14"/>
      <c r="YV24" s="14"/>
      <c r="YW24" s="14"/>
      <c r="YX24" s="14"/>
      <c r="YY24" s="13"/>
      <c r="YZ24" s="13"/>
      <c r="ZA24" s="13"/>
      <c r="ZB24" s="13"/>
      <c r="ZC24" s="13"/>
      <c r="ZD24" s="13"/>
      <c r="ZE24" s="13"/>
      <c r="ZF24" s="13"/>
      <c r="ZG24" s="13"/>
      <c r="ZH24" s="13"/>
      <c r="ZI24" s="13"/>
      <c r="ZJ24" s="13"/>
      <c r="ZK24" s="13"/>
      <c r="ZL24" s="13"/>
      <c r="ZM24" s="13"/>
      <c r="ZN24" s="13"/>
      <c r="ZO24" s="13"/>
      <c r="ZP24" s="13"/>
      <c r="ZQ24" s="13"/>
      <c r="ZR24" s="13"/>
      <c r="ZS24" s="13"/>
      <c r="ZT24" s="13"/>
      <c r="ZU24" s="13"/>
      <c r="ZV24" s="13"/>
      <c r="ZW24" s="13"/>
      <c r="ZX24" s="13"/>
      <c r="ZY24" s="13"/>
      <c r="ZZ24" s="13"/>
      <c r="AAA24" s="13"/>
      <c r="AAB24" s="13"/>
      <c r="AAC24" s="13"/>
      <c r="AAD24" s="13"/>
      <c r="AAE24" s="13"/>
      <c r="AAF24" s="13"/>
      <c r="AAG24" s="13"/>
      <c r="AAH24" s="13"/>
      <c r="AAI24" s="13"/>
      <c r="AAJ24" s="13"/>
      <c r="AAK24" s="13"/>
      <c r="AAL24" s="13"/>
      <c r="AAM24" s="13"/>
      <c r="AAN24" s="13"/>
      <c r="AAO24" s="13"/>
      <c r="AAP24" s="13"/>
      <c r="AAQ24" s="13"/>
      <c r="AAR24" s="13"/>
      <c r="AAS24" s="13"/>
      <c r="AAT24" s="13"/>
      <c r="AAU24" s="13"/>
      <c r="AAV24" s="13"/>
      <c r="AAW24" s="13"/>
      <c r="AAX24" s="13"/>
      <c r="AAY24" s="13"/>
      <c r="AAZ24" s="13"/>
      <c r="ABA24" s="13"/>
      <c r="ABB24" s="13"/>
      <c r="ABC24" s="13"/>
      <c r="ABD24" s="13"/>
      <c r="ABE24" s="13"/>
      <c r="ABF24" s="13"/>
      <c r="ABG24" s="13"/>
      <c r="ABH24" s="13"/>
      <c r="ABI24" s="13"/>
      <c r="ABJ24" s="13"/>
      <c r="ABK24" s="13"/>
      <c r="ABL24" s="13"/>
      <c r="ABM24" s="13"/>
      <c r="ABN24" s="13"/>
      <c r="ABO24" s="13"/>
      <c r="ABP24" s="13"/>
      <c r="ABQ24" s="13"/>
      <c r="ABR24" s="13"/>
      <c r="ABS24" s="13"/>
      <c r="ABT24" s="13"/>
      <c r="ABU24" s="13"/>
      <c r="ABV24" s="13"/>
      <c r="ABW24" s="13"/>
      <c r="ABX24" s="13"/>
      <c r="ABY24" s="13"/>
      <c r="ABZ24" s="13"/>
      <c r="ACA24" s="13"/>
      <c r="ACB24" s="13"/>
      <c r="ACC24" s="13"/>
      <c r="ACD24" s="13"/>
      <c r="ACE24" s="13"/>
      <c r="ACF24" s="13"/>
      <c r="ACG24" s="13"/>
      <c r="ACH24" s="13"/>
      <c r="ACI24" s="13"/>
      <c r="ACJ24" s="13"/>
      <c r="ACK24" s="13"/>
      <c r="ACL24" s="13"/>
      <c r="ACM24" s="13"/>
      <c r="ACN24" s="13"/>
      <c r="ACO24" s="13"/>
      <c r="ACP24" s="13"/>
      <c r="ACQ24" s="13"/>
      <c r="ACR24" s="13"/>
      <c r="ACS24" s="13"/>
      <c r="ACT24" s="13"/>
      <c r="ACU24" s="13"/>
      <c r="ACV24" s="13"/>
      <c r="ACW24" s="13"/>
      <c r="ACX24" s="13"/>
      <c r="ACY24" s="13"/>
      <c r="ACZ24" s="13"/>
      <c r="ADA24" s="13"/>
      <c r="ADB24" s="13"/>
      <c r="ADC24" s="13"/>
      <c r="ADD24" s="13"/>
      <c r="ADE24" s="13"/>
      <c r="ADF24" s="13"/>
      <c r="ADG24" s="13"/>
      <c r="ADH24" s="13"/>
      <c r="ADI24" s="13"/>
      <c r="ADJ24" s="13"/>
      <c r="ADK24" s="13"/>
      <c r="ADL24" s="13"/>
      <c r="ADM24" s="13"/>
      <c r="ADN24" s="13"/>
      <c r="ADO24" s="13"/>
      <c r="ADP24" s="13"/>
      <c r="ADQ24" s="13"/>
      <c r="ADR24" s="13"/>
      <c r="ADS24" s="13"/>
      <c r="ADT24" s="13"/>
      <c r="ADU24" s="13"/>
      <c r="ADV24" s="13"/>
      <c r="ADW24" s="13"/>
      <c r="ADX24" s="13"/>
      <c r="ADY24" s="13"/>
      <c r="ADZ24" s="13"/>
      <c r="AEA24" s="13"/>
      <c r="AEB24" s="13"/>
      <c r="AEC24" s="13"/>
      <c r="AED24" s="13"/>
      <c r="AEE24" s="13"/>
      <c r="AEF24" s="13"/>
      <c r="AEG24" s="13"/>
      <c r="AEH24" s="13"/>
      <c r="AEI24" s="13"/>
      <c r="AEJ24" s="13"/>
      <c r="AEK24" s="13"/>
      <c r="AEL24" s="13"/>
      <c r="AEM24" s="13"/>
      <c r="AEN24" s="13"/>
      <c r="AEO24" s="13"/>
      <c r="AEP24" s="13"/>
      <c r="AEQ24" s="13"/>
      <c r="AER24" s="13"/>
      <c r="AES24" s="13"/>
      <c r="AET24" s="13"/>
      <c r="AEU24" s="13"/>
      <c r="AEV24" s="13"/>
      <c r="AEW24" s="13"/>
      <c r="AEX24" s="13"/>
      <c r="AEY24" s="13"/>
      <c r="AEZ24" s="13"/>
      <c r="AFA24" s="13"/>
      <c r="AFB24" s="13"/>
      <c r="AFC24" s="13"/>
      <c r="AFD24" s="13"/>
      <c r="AFE24" s="13"/>
      <c r="AFF24" s="13"/>
      <c r="AFG24" s="13"/>
      <c r="AFH24" s="13"/>
      <c r="AFI24" s="13"/>
      <c r="AFJ24" s="13"/>
      <c r="AFK24" s="13"/>
      <c r="AFL24" s="13"/>
      <c r="AFM24" s="13"/>
      <c r="AFN24" s="13"/>
      <c r="AFO24" s="13"/>
      <c r="AFP24" s="13"/>
      <c r="AFQ24" s="13"/>
      <c r="AFR24" s="13"/>
      <c r="AFS24" s="13"/>
      <c r="AFT24" s="13"/>
      <c r="AFU24" s="13"/>
      <c r="AFV24" s="13"/>
      <c r="AFW24" s="13"/>
      <c r="AFX24" s="13"/>
      <c r="AFY24" s="13"/>
      <c r="AFZ24" s="13"/>
      <c r="AGA24" s="13"/>
      <c r="AGB24" s="13"/>
      <c r="AGC24" s="13"/>
      <c r="AGD24" s="13"/>
      <c r="AGE24" s="13"/>
      <c r="AGF24" s="13"/>
      <c r="AGG24" s="13"/>
      <c r="AGH24" s="13"/>
      <c r="AGI24" s="13"/>
      <c r="AGJ24" s="13"/>
      <c r="AGK24" s="13"/>
      <c r="AGL24" s="13"/>
      <c r="AGM24" s="13"/>
      <c r="AGN24" s="13"/>
      <c r="AGO24" s="13"/>
      <c r="AGP24" s="13"/>
      <c r="AGQ24" s="13"/>
      <c r="AGR24" s="13"/>
      <c r="AGS24" s="13"/>
      <c r="AGT24" s="13"/>
      <c r="AGU24" s="13"/>
      <c r="AGV24" s="13"/>
      <c r="AGW24" s="13"/>
      <c r="AGX24" s="13"/>
      <c r="AGY24" s="13"/>
      <c r="AGZ24" s="13"/>
      <c r="AHA24" s="13"/>
      <c r="AHB24" s="13"/>
      <c r="AHC24" s="13"/>
      <c r="AHD24" s="13"/>
      <c r="AHE24" s="13"/>
      <c r="AHF24" s="13"/>
      <c r="AHG24" s="13"/>
      <c r="AHH24" s="13"/>
      <c r="AHI24" s="13"/>
      <c r="AHJ24" s="13"/>
      <c r="AHK24" s="13"/>
      <c r="AHL24" s="13"/>
      <c r="AHM24" s="13"/>
      <c r="AHN24" s="13"/>
      <c r="AHO24" s="13"/>
      <c r="AHP24" s="13"/>
      <c r="AHQ24" s="13"/>
      <c r="AHR24" s="13"/>
      <c r="AHS24" s="13"/>
      <c r="AHT24" s="13"/>
      <c r="AHU24" s="13"/>
      <c r="AHV24" s="13"/>
      <c r="AHW24" s="13"/>
      <c r="AHX24" s="13"/>
      <c r="AHY24" s="13"/>
      <c r="AHZ24" s="13"/>
      <c r="AIA24" s="13"/>
      <c r="AIB24" s="13"/>
      <c r="AIC24" s="13"/>
      <c r="AID24" s="13"/>
      <c r="AIE24" s="13"/>
      <c r="AIF24" s="13"/>
      <c r="AIG24" s="13"/>
      <c r="AIH24" s="13"/>
      <c r="AII24" s="13"/>
      <c r="AIJ24" s="13"/>
      <c r="AIK24" s="13"/>
      <c r="AIL24" s="13"/>
      <c r="AIM24" s="13"/>
      <c r="AIN24" s="13"/>
      <c r="AIO24" s="13"/>
      <c r="AIP24" s="13"/>
      <c r="AIQ24" s="13"/>
      <c r="AIR24" s="13"/>
      <c r="AIS24" s="13"/>
      <c r="AIT24" s="13"/>
      <c r="AIU24" s="13"/>
      <c r="AIV24" s="13"/>
      <c r="AIW24" s="13"/>
      <c r="AIX24" s="13"/>
      <c r="AIY24" s="13"/>
      <c r="AIZ24" s="13"/>
      <c r="AJA24" s="13"/>
      <c r="AJB24" s="13"/>
      <c r="AJC24" s="13"/>
      <c r="AJD24" s="13"/>
      <c r="AJE24" s="13"/>
      <c r="AJF24" s="13"/>
      <c r="AJG24" s="13"/>
      <c r="AJH24" s="13"/>
      <c r="AJI24" s="13"/>
      <c r="AJJ24" s="13"/>
      <c r="AJK24" s="13"/>
      <c r="AJL24" s="13"/>
      <c r="AJM24" s="13"/>
      <c r="AJN24" s="13"/>
      <c r="AJO24" s="13"/>
      <c r="AJP24" s="13"/>
      <c r="AJQ24" s="13"/>
      <c r="AJR24" s="13"/>
      <c r="AJS24" s="13"/>
      <c r="AJT24" s="13"/>
      <c r="AJU24" s="13"/>
      <c r="AJV24" s="13"/>
      <c r="AJW24" s="13"/>
      <c r="AJX24" s="13"/>
      <c r="AJY24" s="13"/>
      <c r="AJZ24" s="13"/>
      <c r="AKA24" s="13"/>
      <c r="AKB24" s="13"/>
      <c r="AKC24" s="13"/>
      <c r="AKD24" s="13"/>
      <c r="AKE24" s="13"/>
      <c r="AKF24" s="13"/>
      <c r="AKG24" s="13"/>
      <c r="AKH24" s="13"/>
      <c r="AKI24" s="13"/>
      <c r="AKJ24" s="13"/>
      <c r="AKK24" s="13"/>
      <c r="AKL24" s="13"/>
      <c r="AKM24" s="13"/>
      <c r="AKN24" s="13"/>
      <c r="AKO24" s="13"/>
      <c r="AKP24" s="13"/>
      <c r="AKQ24" s="13"/>
      <c r="AKR24" s="13"/>
      <c r="AKS24" s="13"/>
      <c r="AKT24" s="13"/>
      <c r="AKU24" s="13"/>
      <c r="AKV24" s="13"/>
      <c r="AKW24" s="13"/>
      <c r="AKX24" s="13"/>
      <c r="AKY24" s="13"/>
      <c r="AKZ24" s="13"/>
      <c r="ALA24" s="13"/>
      <c r="ALB24" s="13"/>
      <c r="ALC24" s="13"/>
      <c r="ALD24" s="13"/>
      <c r="ALE24" s="13"/>
      <c r="ALF24" s="13"/>
      <c r="ALG24" s="13"/>
      <c r="ALH24" s="13"/>
      <c r="ALI24" s="13"/>
      <c r="ALJ24" s="13"/>
      <c r="ALK24" s="13"/>
      <c r="ALL24" s="13"/>
      <c r="ALM24" s="13"/>
      <c r="ALN24" s="13"/>
      <c r="ALO24" s="13"/>
      <c r="ALP24" s="13"/>
      <c r="ALQ24" s="13"/>
      <c r="ALR24" s="13"/>
      <c r="ALS24" s="13"/>
      <c r="ALT24" s="13"/>
      <c r="ALU24" s="13"/>
      <c r="ALV24" s="13"/>
      <c r="ALW24" s="13"/>
      <c r="ALX24" s="13"/>
      <c r="ALY24" s="13"/>
      <c r="ALZ24" s="13"/>
    </row>
    <row r="25" spans="1:1024" s="1" customFormat="1" ht="22.15" customHeight="1" x14ac:dyDescent="0.25">
      <c r="A25" s="29"/>
      <c r="B25" s="204"/>
      <c r="C25" s="19"/>
      <c r="D25" s="15"/>
      <c r="E25" s="15"/>
      <c r="F25" s="15"/>
      <c r="G25" s="15"/>
      <c r="H25" s="41"/>
      <c r="I25" s="41"/>
      <c r="J25" s="41"/>
      <c r="K25" s="9"/>
      <c r="L25" s="9"/>
      <c r="M25" s="9"/>
      <c r="N25" s="21"/>
      <c r="O25" s="66"/>
      <c r="P25" s="21"/>
      <c r="Q25" s="21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14"/>
      <c r="BR25" s="14"/>
      <c r="BS25" s="14"/>
      <c r="BT25" s="14"/>
      <c r="BU25" s="14"/>
      <c r="BV25" s="14"/>
      <c r="BW25" s="14"/>
      <c r="BX25" s="14"/>
      <c r="BY25" s="14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167"/>
      <c r="EC25" s="167"/>
      <c r="ED25" s="167"/>
      <c r="EE25" s="167"/>
      <c r="EF25" s="167"/>
      <c r="EG25" s="167"/>
      <c r="EH25" s="167"/>
      <c r="EI25" s="167"/>
      <c r="EJ25" s="167"/>
      <c r="EK25" s="167"/>
      <c r="EL25" s="167"/>
      <c r="EM25" s="167"/>
      <c r="EN25" s="167"/>
      <c r="EO25" s="167"/>
      <c r="EP25" s="167"/>
      <c r="EQ25" s="167"/>
      <c r="ER25" s="167"/>
      <c r="ES25" s="167"/>
      <c r="ET25" s="167"/>
      <c r="EU25" s="167"/>
      <c r="EV25" s="167"/>
      <c r="EW25" s="167"/>
      <c r="EX25" s="167"/>
      <c r="EY25" s="167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 s="9"/>
      <c r="GM25" s="9"/>
      <c r="GN25" s="9"/>
      <c r="GO25" s="9"/>
      <c r="GP25" s="9"/>
      <c r="GQ25" s="9"/>
      <c r="GR25" s="9"/>
      <c r="GS25" s="9"/>
      <c r="GT25" s="9"/>
      <c r="GU25" s="9"/>
      <c r="GV25" s="9"/>
      <c r="GW25" s="9"/>
      <c r="GX25" s="9"/>
      <c r="GY25" s="9"/>
      <c r="GZ25" s="9"/>
      <c r="HA25" s="9"/>
      <c r="HB25" s="9"/>
      <c r="HC25" s="9"/>
      <c r="HD25" s="9"/>
      <c r="HE25" s="9"/>
      <c r="HF25" s="9"/>
      <c r="HG25" s="9"/>
      <c r="HH25" s="9"/>
      <c r="HI25" s="9"/>
      <c r="HJ25" s="9"/>
      <c r="HK25" s="9"/>
      <c r="HL25" s="9"/>
      <c r="HM25" s="9"/>
      <c r="HN25" s="9"/>
      <c r="HO25" s="9"/>
      <c r="HP25" s="9"/>
      <c r="HQ25" s="9"/>
      <c r="HR25" s="9"/>
      <c r="HS25" s="9"/>
      <c r="HT25" s="9"/>
      <c r="HU25" s="9"/>
      <c r="HV25" s="9"/>
      <c r="HW25" s="9"/>
      <c r="HX25" s="9"/>
      <c r="HY25" s="9"/>
      <c r="HZ25" s="9"/>
      <c r="IA25" s="9"/>
      <c r="IB25" s="9"/>
      <c r="IC25" s="9"/>
      <c r="ID25" s="9"/>
      <c r="IE25" s="9"/>
      <c r="IF25" s="9"/>
      <c r="IG25" s="9"/>
      <c r="IH25" s="9"/>
      <c r="II25" s="9"/>
      <c r="IJ25" s="9"/>
      <c r="IK25" s="9"/>
      <c r="IL25" s="9"/>
      <c r="IM25" s="9"/>
      <c r="IN25" s="9"/>
      <c r="IO25" s="9"/>
      <c r="IP25" s="9"/>
      <c r="IQ25" s="9"/>
      <c r="IR25" s="9"/>
      <c r="IS25" s="9"/>
      <c r="IT25" s="9"/>
      <c r="IU25" s="9"/>
      <c r="IV25" s="9"/>
      <c r="IW25" s="9"/>
      <c r="IX25" s="9"/>
      <c r="IY25" s="9"/>
      <c r="IZ25" s="9"/>
      <c r="JA25" s="9"/>
      <c r="JB25" s="9"/>
      <c r="JC25" s="9"/>
      <c r="JD25" s="9"/>
      <c r="JE25" s="9"/>
      <c r="JF25" s="9"/>
      <c r="JG25" s="9"/>
      <c r="JH25" s="9"/>
      <c r="JI25" s="9"/>
      <c r="JJ25" s="9"/>
      <c r="JK25" s="9"/>
      <c r="JL25" s="9"/>
      <c r="JM25" s="9"/>
      <c r="JN25" s="9"/>
      <c r="JO25" s="9"/>
      <c r="JP25" s="9"/>
      <c r="JQ25" s="9"/>
      <c r="JR25" s="9"/>
      <c r="JS25" s="9"/>
      <c r="JT25" s="9"/>
      <c r="JU25" s="9"/>
      <c r="JV25" s="9"/>
      <c r="JW25" s="9"/>
      <c r="JX25" s="9"/>
      <c r="JY25" s="9"/>
      <c r="JZ25" s="9"/>
      <c r="KA25" s="9"/>
      <c r="KB25" s="9"/>
      <c r="KC25" s="9"/>
      <c r="KD25" s="9"/>
      <c r="KE25" s="9"/>
      <c r="KF25" s="9"/>
      <c r="KG25" s="9"/>
      <c r="KH25" s="9"/>
      <c r="KI25" s="9"/>
      <c r="KJ25" s="9"/>
      <c r="KK25" s="9"/>
      <c r="KL25" s="9"/>
      <c r="KM25" s="9"/>
      <c r="KN25" s="9"/>
      <c r="KO25" s="9"/>
      <c r="KP25" s="9"/>
      <c r="KQ25" s="9"/>
      <c r="KR25" s="9"/>
      <c r="KS25" s="9"/>
      <c r="KT25" s="9"/>
      <c r="KU25" s="9"/>
      <c r="KV25" s="9"/>
      <c r="KW25" s="9"/>
      <c r="KX25" s="9"/>
      <c r="KY25" s="9"/>
      <c r="KZ25" s="9"/>
      <c r="LA25" s="9"/>
      <c r="LB25" s="9"/>
      <c r="LC25" s="9"/>
      <c r="LD25" s="9"/>
      <c r="LE25" s="9"/>
      <c r="LF25" s="9"/>
      <c r="LG25" s="9"/>
      <c r="LH25" s="9"/>
      <c r="LI25" s="9"/>
      <c r="LJ25" s="9"/>
      <c r="LK25" s="9"/>
      <c r="LL25" s="9"/>
      <c r="LM25" s="9"/>
      <c r="LN25" s="9"/>
      <c r="LO25" s="9"/>
      <c r="LP25" s="9"/>
      <c r="LQ25" s="9"/>
      <c r="LR25" s="9"/>
      <c r="LS25" s="9"/>
      <c r="LT25" s="9"/>
      <c r="LU25" s="9"/>
      <c r="LV25" s="9"/>
      <c r="LW25" s="9"/>
      <c r="LX25" s="9"/>
      <c r="LY25" s="9"/>
      <c r="LZ25" s="9"/>
      <c r="MA25" s="9"/>
      <c r="MB25" s="9"/>
      <c r="MC25" s="9"/>
      <c r="MD25" s="9"/>
      <c r="ME25" s="9"/>
      <c r="MF25" s="9"/>
      <c r="MG25" s="9"/>
      <c r="MH25" s="9"/>
      <c r="MI25" s="9"/>
      <c r="MJ25" s="9"/>
      <c r="MK25" s="9"/>
      <c r="ML25" s="9"/>
      <c r="MM25" s="9"/>
      <c r="MN25" s="9"/>
      <c r="MO25" s="9"/>
      <c r="MP25" s="9"/>
      <c r="MQ25" s="9"/>
      <c r="MR25" s="9"/>
      <c r="MS25" s="9"/>
      <c r="MT25" s="9"/>
      <c r="MU25" s="9"/>
      <c r="MV25" s="9"/>
      <c r="MW25" s="9"/>
      <c r="MX25" s="9"/>
      <c r="MY25" s="9"/>
      <c r="MZ25" s="9"/>
      <c r="NA25" s="9"/>
      <c r="NB25" s="9"/>
      <c r="NC25" s="9"/>
      <c r="ND25" s="9"/>
      <c r="NE25" s="9"/>
      <c r="NF25" s="9"/>
      <c r="NG25" s="9"/>
      <c r="NH25" s="9"/>
      <c r="NI25" s="9"/>
      <c r="NJ25" s="9"/>
      <c r="NK25" s="9"/>
      <c r="NL25" s="9"/>
      <c r="NM25" s="9"/>
      <c r="NN25" s="9"/>
      <c r="NO25" s="9"/>
      <c r="NP25" s="9"/>
      <c r="NQ25" s="9"/>
      <c r="NR25" s="9"/>
      <c r="NS25" s="9"/>
      <c r="NT25" s="9"/>
      <c r="NU25" s="9"/>
      <c r="NV25" s="9"/>
      <c r="NW25" s="9"/>
      <c r="NX25" s="9"/>
      <c r="NY25" s="9"/>
      <c r="NZ25" s="9"/>
      <c r="OA25" s="9"/>
      <c r="OB25" s="9"/>
      <c r="OC25" s="9"/>
      <c r="OD25" s="9"/>
      <c r="OE25" s="9"/>
      <c r="OF25" s="9"/>
      <c r="OG25" s="9"/>
      <c r="OH25" s="9"/>
      <c r="OI25" s="9"/>
      <c r="OJ25" s="9"/>
      <c r="OK25" s="9"/>
      <c r="OL25" s="9"/>
      <c r="OM25" s="9"/>
      <c r="ON25" s="9"/>
      <c r="OO25" s="9"/>
      <c r="OP25" s="9"/>
      <c r="OQ25" s="9"/>
      <c r="OR25" s="9"/>
      <c r="OS25" s="9"/>
      <c r="OT25" s="9"/>
      <c r="OU25" s="9"/>
      <c r="OV25" s="9"/>
      <c r="OW25" s="9"/>
      <c r="OX25" s="9"/>
      <c r="OY25" s="9"/>
      <c r="OZ25" s="9"/>
      <c r="PA25" s="9"/>
      <c r="PB25" s="9"/>
      <c r="PC25" s="9"/>
      <c r="PD25" s="9"/>
      <c r="PE25" s="9"/>
      <c r="PF25" s="9"/>
      <c r="PG25" s="9"/>
      <c r="PH25" s="9"/>
      <c r="PI25" s="9"/>
      <c r="PJ25" s="9"/>
      <c r="PK25" s="9"/>
      <c r="PL25" s="9"/>
      <c r="PM25" s="9"/>
      <c r="PN25" s="9"/>
      <c r="PO25" s="9"/>
      <c r="PP25" s="9"/>
      <c r="PQ25" s="9"/>
      <c r="PR25" s="9"/>
      <c r="PS25" s="9"/>
      <c r="PT25" s="9"/>
      <c r="PU25" s="9"/>
      <c r="PV25" s="9"/>
      <c r="PW25" s="9"/>
      <c r="PX25" s="9"/>
      <c r="PY25" s="9"/>
      <c r="PZ25" s="9"/>
      <c r="QA25" s="9"/>
      <c r="QB25" s="9"/>
      <c r="QC25" s="9"/>
      <c r="QD25" s="9"/>
      <c r="QE25" s="9"/>
      <c r="QF25" s="14"/>
      <c r="QG25" s="14"/>
      <c r="QH25" s="14"/>
      <c r="QI25" s="14"/>
      <c r="QJ25" s="14"/>
      <c r="QK25" s="14"/>
      <c r="QL25" s="14"/>
      <c r="QM25" s="14"/>
      <c r="QN25" s="14"/>
      <c r="QO25" s="14"/>
      <c r="QP25" s="14"/>
      <c r="QQ25" s="14"/>
      <c r="QR25" s="14"/>
      <c r="QS25" s="14"/>
      <c r="QT25" s="14"/>
      <c r="QU25" s="14"/>
      <c r="QV25" s="14"/>
      <c r="QW25" s="14"/>
      <c r="QX25" s="14"/>
      <c r="QY25" s="14"/>
      <c r="QZ25" s="14"/>
      <c r="RA25" s="14"/>
      <c r="RB25" s="14"/>
      <c r="RC25" s="14"/>
      <c r="RD25" s="14"/>
      <c r="RE25" s="14"/>
      <c r="RF25" s="14"/>
      <c r="RG25" s="14"/>
      <c r="RH25" s="14"/>
      <c r="RI25" s="14"/>
      <c r="RJ25" s="14"/>
      <c r="RK25" s="14"/>
      <c r="RL25" s="14"/>
      <c r="RM25" s="14"/>
      <c r="RN25" s="14"/>
      <c r="RO25" s="14"/>
      <c r="RP25" s="14"/>
      <c r="RQ25" s="14"/>
      <c r="RR25" s="14"/>
      <c r="RS25" s="14"/>
      <c r="RT25" s="14"/>
      <c r="RU25" s="14"/>
      <c r="RV25" s="14"/>
      <c r="RW25" s="14"/>
      <c r="RX25" s="14"/>
      <c r="RY25" s="14"/>
      <c r="RZ25" s="14"/>
      <c r="SA25" s="14"/>
      <c r="SB25" s="14"/>
      <c r="SC25" s="14"/>
      <c r="SD25" s="14"/>
      <c r="SE25" s="14"/>
      <c r="SF25" s="14"/>
      <c r="SG25" s="14"/>
      <c r="SH25" s="14"/>
      <c r="SI25" s="14"/>
      <c r="SJ25" s="14"/>
      <c r="SK25" s="14"/>
      <c r="SL25" s="14"/>
      <c r="SM25" s="14"/>
      <c r="SN25" s="14"/>
      <c r="SO25" s="14"/>
      <c r="SP25" s="14"/>
      <c r="SQ25" s="14"/>
      <c r="SR25" s="14"/>
      <c r="SS25" s="14"/>
      <c r="ST25" s="14"/>
      <c r="SU25" s="14"/>
      <c r="SV25" s="14"/>
      <c r="SW25" s="14"/>
      <c r="SX25" s="14"/>
      <c r="SY25" s="14"/>
      <c r="SZ25" s="14"/>
      <c r="TA25" s="14"/>
      <c r="TB25" s="14"/>
      <c r="TC25" s="14"/>
      <c r="TD25" s="14"/>
      <c r="TE25" s="14"/>
      <c r="TF25" s="14"/>
      <c r="TG25" s="14"/>
      <c r="TH25" s="14"/>
      <c r="TI25" s="14"/>
      <c r="TJ25" s="14"/>
      <c r="TK25" s="14"/>
      <c r="TL25" s="14"/>
      <c r="TM25" s="14"/>
      <c r="TN25" s="14"/>
      <c r="TO25" s="14"/>
      <c r="TP25" s="14"/>
      <c r="TQ25" s="14"/>
      <c r="TR25" s="14"/>
      <c r="TS25" s="14"/>
      <c r="TT25" s="14"/>
      <c r="TU25" s="14"/>
      <c r="TV25" s="14"/>
      <c r="TW25" s="14"/>
      <c r="TX25" s="14"/>
      <c r="TY25" s="14"/>
      <c r="TZ25" s="14"/>
      <c r="UA25" s="14"/>
      <c r="UB25" s="14"/>
      <c r="UC25" s="14"/>
      <c r="UD25" s="14"/>
      <c r="UE25" s="14"/>
      <c r="UF25" s="14"/>
      <c r="UG25" s="14"/>
      <c r="UH25" s="14"/>
      <c r="UI25" s="14"/>
      <c r="UJ25" s="14"/>
      <c r="UK25" s="14"/>
      <c r="UL25" s="14"/>
      <c r="UM25" s="14"/>
      <c r="UN25" s="14"/>
      <c r="UO25" s="14"/>
      <c r="UP25" s="14"/>
      <c r="UQ25" s="14"/>
      <c r="UR25" s="14"/>
      <c r="US25" s="14"/>
      <c r="UT25" s="14"/>
      <c r="UU25" s="14"/>
      <c r="UV25" s="14"/>
      <c r="UW25" s="14"/>
      <c r="UX25" s="14"/>
      <c r="UY25" s="14"/>
      <c r="UZ25" s="14"/>
      <c r="VA25" s="14"/>
      <c r="VB25" s="14"/>
      <c r="VC25" s="14"/>
      <c r="VD25" s="14"/>
      <c r="VE25" s="14"/>
      <c r="VF25" s="14"/>
      <c r="VG25" s="14"/>
      <c r="VH25" s="14"/>
      <c r="VI25" s="14"/>
      <c r="VJ25" s="14"/>
      <c r="VK25" s="14"/>
      <c r="VL25" s="14"/>
      <c r="VM25" s="14"/>
      <c r="VN25" s="14"/>
      <c r="VO25" s="14"/>
      <c r="VP25" s="14"/>
      <c r="VQ25" s="14"/>
      <c r="VR25" s="14"/>
      <c r="VS25" s="14"/>
      <c r="VT25" s="14"/>
      <c r="VU25" s="14"/>
      <c r="VV25" s="14"/>
      <c r="VW25" s="14"/>
      <c r="VX25" s="14"/>
      <c r="VY25" s="14"/>
      <c r="VZ25" s="14"/>
      <c r="WA25" s="14"/>
      <c r="WB25" s="14"/>
      <c r="WC25" s="14"/>
      <c r="WD25" s="14"/>
      <c r="WE25" s="14"/>
      <c r="WF25" s="14"/>
      <c r="WG25" s="14"/>
      <c r="WH25" s="14"/>
      <c r="WI25" s="14"/>
      <c r="WJ25" s="14"/>
      <c r="WK25" s="14"/>
      <c r="WL25" s="14"/>
      <c r="WM25" s="14"/>
      <c r="WN25" s="14"/>
      <c r="WO25" s="14"/>
      <c r="WP25" s="14"/>
      <c r="WQ25" s="14"/>
      <c r="WR25" s="14"/>
      <c r="WS25" s="14"/>
      <c r="WT25" s="14"/>
      <c r="WU25" s="14"/>
      <c r="WV25" s="14"/>
      <c r="WW25" s="14"/>
      <c r="WX25" s="14"/>
      <c r="WY25" s="14"/>
      <c r="WZ25" s="14"/>
      <c r="XA25" s="14"/>
      <c r="XB25" s="14"/>
      <c r="XC25" s="14"/>
      <c r="XD25" s="14"/>
      <c r="XE25" s="14"/>
      <c r="XF25" s="14"/>
      <c r="XG25" s="14"/>
      <c r="XH25" s="14"/>
      <c r="XI25" s="14"/>
      <c r="XJ25" s="14"/>
      <c r="XK25" s="14"/>
      <c r="XL25" s="14"/>
      <c r="XM25" s="14"/>
      <c r="XN25" s="14"/>
      <c r="XO25" s="14"/>
      <c r="XP25" s="14"/>
      <c r="XQ25" s="14"/>
      <c r="XR25" s="14"/>
      <c r="XS25" s="14"/>
      <c r="XT25" s="14"/>
      <c r="XU25" s="14"/>
      <c r="XV25" s="14"/>
      <c r="XW25" s="14"/>
      <c r="XX25" s="14"/>
      <c r="XY25" s="14"/>
      <c r="XZ25" s="14"/>
      <c r="YA25" s="14"/>
      <c r="YB25" s="14"/>
      <c r="YC25" s="14"/>
      <c r="YD25" s="14"/>
      <c r="YE25" s="14"/>
      <c r="YF25" s="14"/>
      <c r="YG25" s="14"/>
      <c r="YH25" s="14"/>
      <c r="YI25" s="14"/>
      <c r="YJ25" s="14"/>
      <c r="YK25" s="14"/>
      <c r="YL25" s="14"/>
      <c r="YM25" s="14"/>
      <c r="YN25" s="14"/>
      <c r="YO25" s="14"/>
      <c r="YP25" s="14"/>
      <c r="YQ25" s="14"/>
      <c r="YR25" s="14"/>
      <c r="YS25" s="14"/>
      <c r="YT25" s="14"/>
      <c r="YU25" s="14"/>
      <c r="YV25" s="14"/>
      <c r="YW25" s="14"/>
      <c r="YX25" s="14"/>
      <c r="YY25" s="13"/>
      <c r="YZ25" s="13"/>
      <c r="ZA25" s="13"/>
      <c r="ZB25" s="13"/>
      <c r="ZC25" s="13"/>
      <c r="ZD25" s="13"/>
      <c r="ZE25" s="13"/>
      <c r="ZF25" s="13"/>
      <c r="ZG25" s="13"/>
      <c r="ZH25" s="13"/>
      <c r="ZI25" s="13"/>
      <c r="ZJ25" s="13"/>
      <c r="ZK25" s="13"/>
      <c r="ZL25" s="13"/>
      <c r="ZM25" s="13"/>
      <c r="ZN25" s="13"/>
      <c r="ZO25" s="13"/>
      <c r="ZP25" s="13"/>
      <c r="ZQ25" s="13"/>
      <c r="ZR25" s="13"/>
      <c r="ZS25" s="13"/>
      <c r="ZT25" s="13"/>
      <c r="ZU25" s="13"/>
      <c r="ZV25" s="13"/>
      <c r="ZW25" s="13"/>
      <c r="ZX25" s="13"/>
      <c r="ZY25" s="13"/>
      <c r="ZZ25" s="13"/>
      <c r="AAA25" s="13"/>
      <c r="AAB25" s="13"/>
      <c r="AAC25" s="13"/>
      <c r="AAD25" s="13"/>
      <c r="AAE25" s="13"/>
      <c r="AAF25" s="13"/>
      <c r="AAG25" s="13"/>
      <c r="AAH25" s="13"/>
      <c r="AAI25" s="13"/>
      <c r="AAJ25" s="13"/>
      <c r="AAK25" s="13"/>
      <c r="AAL25" s="13"/>
      <c r="AAM25" s="13"/>
      <c r="AAN25" s="13"/>
      <c r="AAO25" s="13"/>
      <c r="AAP25" s="13"/>
      <c r="AAQ25" s="13"/>
      <c r="AAR25" s="13"/>
      <c r="AAS25" s="13"/>
      <c r="AAT25" s="13"/>
      <c r="AAU25" s="13"/>
      <c r="AAV25" s="13"/>
      <c r="AAW25" s="13"/>
      <c r="AAX25" s="13"/>
      <c r="AAY25" s="13"/>
      <c r="AAZ25" s="13"/>
      <c r="ABA25" s="13"/>
      <c r="ABB25" s="13"/>
      <c r="ABC25" s="13"/>
      <c r="ABD25" s="13"/>
      <c r="ABE25" s="13"/>
      <c r="ABF25" s="13"/>
      <c r="ABG25" s="13"/>
      <c r="ABH25" s="13"/>
      <c r="ABI25" s="13"/>
      <c r="ABJ25" s="13"/>
      <c r="ABK25" s="13"/>
      <c r="ABL25" s="13"/>
      <c r="ABM25" s="13"/>
      <c r="ABN25" s="13"/>
      <c r="ABO25" s="13"/>
      <c r="ABP25" s="13"/>
      <c r="ABQ25" s="13"/>
      <c r="ABR25" s="13"/>
      <c r="ABS25" s="13"/>
      <c r="ABT25" s="13"/>
      <c r="ABU25" s="13"/>
      <c r="ABV25" s="13"/>
      <c r="ABW25" s="13"/>
      <c r="ABX25" s="13"/>
      <c r="ABY25" s="13"/>
      <c r="ABZ25" s="13"/>
      <c r="ACA25" s="13"/>
      <c r="ACB25" s="13"/>
      <c r="ACC25" s="13"/>
      <c r="ACD25" s="13"/>
      <c r="ACE25" s="13"/>
      <c r="ACF25" s="13"/>
      <c r="ACG25" s="13"/>
      <c r="ACH25" s="13"/>
      <c r="ACI25" s="13"/>
      <c r="ACJ25" s="13"/>
      <c r="ACK25" s="13"/>
      <c r="ACL25" s="13"/>
      <c r="ACM25" s="13"/>
      <c r="ACN25" s="13"/>
      <c r="ACO25" s="13"/>
      <c r="ACP25" s="13"/>
      <c r="ACQ25" s="13"/>
      <c r="ACR25" s="13"/>
      <c r="ACS25" s="13"/>
      <c r="ACT25" s="13"/>
      <c r="ACU25" s="13"/>
      <c r="ACV25" s="13"/>
      <c r="ACW25" s="13"/>
      <c r="ACX25" s="13"/>
      <c r="ACY25" s="13"/>
      <c r="ACZ25" s="13"/>
      <c r="ADA25" s="13"/>
      <c r="ADB25" s="13"/>
      <c r="ADC25" s="13"/>
      <c r="ADD25" s="13"/>
      <c r="ADE25" s="13"/>
      <c r="ADF25" s="13"/>
      <c r="ADG25" s="13"/>
      <c r="ADH25" s="13"/>
      <c r="ADI25" s="13"/>
      <c r="ADJ25" s="13"/>
      <c r="ADK25" s="13"/>
      <c r="ADL25" s="13"/>
      <c r="ADM25" s="13"/>
      <c r="ADN25" s="13"/>
      <c r="ADO25" s="13"/>
      <c r="ADP25" s="13"/>
      <c r="ADQ25" s="13"/>
      <c r="ADR25" s="13"/>
      <c r="ADS25" s="13"/>
      <c r="ADT25" s="13"/>
      <c r="ADU25" s="13"/>
      <c r="ADV25" s="13"/>
      <c r="ADW25" s="13"/>
      <c r="ADX25" s="13"/>
      <c r="ADY25" s="13"/>
      <c r="ADZ25" s="13"/>
      <c r="AEA25" s="13"/>
      <c r="AEB25" s="13"/>
      <c r="AEC25" s="13"/>
      <c r="AED25" s="13"/>
      <c r="AEE25" s="13"/>
      <c r="AEF25" s="13"/>
      <c r="AEG25" s="13"/>
      <c r="AEH25" s="13"/>
      <c r="AEI25" s="13"/>
      <c r="AEJ25" s="13"/>
      <c r="AEK25" s="13"/>
      <c r="AEL25" s="13"/>
      <c r="AEM25" s="13"/>
      <c r="AEN25" s="13"/>
      <c r="AEO25" s="13"/>
      <c r="AEP25" s="13"/>
      <c r="AEQ25" s="13"/>
      <c r="AER25" s="13"/>
      <c r="AES25" s="13"/>
      <c r="AET25" s="13"/>
      <c r="AEU25" s="13"/>
      <c r="AEV25" s="13"/>
      <c r="AEW25" s="13"/>
      <c r="AEX25" s="13"/>
      <c r="AEY25" s="13"/>
      <c r="AEZ25" s="13"/>
      <c r="AFA25" s="13"/>
      <c r="AFB25" s="13"/>
      <c r="AFC25" s="13"/>
      <c r="AFD25" s="13"/>
      <c r="AFE25" s="13"/>
      <c r="AFF25" s="13"/>
      <c r="AFG25" s="13"/>
      <c r="AFH25" s="13"/>
      <c r="AFI25" s="13"/>
      <c r="AFJ25" s="13"/>
      <c r="AFK25" s="13"/>
      <c r="AFL25" s="13"/>
      <c r="AFM25" s="13"/>
      <c r="AFN25" s="13"/>
      <c r="AFO25" s="13"/>
      <c r="AFP25" s="13"/>
      <c r="AFQ25" s="13"/>
      <c r="AFR25" s="13"/>
      <c r="AFS25" s="13"/>
      <c r="AFT25" s="13"/>
      <c r="AFU25" s="13"/>
      <c r="AFV25" s="13"/>
      <c r="AFW25" s="13"/>
      <c r="AFX25" s="13"/>
      <c r="AFY25" s="13"/>
      <c r="AFZ25" s="13"/>
      <c r="AGA25" s="13"/>
      <c r="AGB25" s="13"/>
      <c r="AGC25" s="13"/>
      <c r="AGD25" s="13"/>
      <c r="AGE25" s="13"/>
      <c r="AGF25" s="13"/>
      <c r="AGG25" s="13"/>
      <c r="AGH25" s="13"/>
      <c r="AGI25" s="13"/>
      <c r="AGJ25" s="13"/>
      <c r="AGK25" s="13"/>
      <c r="AGL25" s="13"/>
      <c r="AGM25" s="13"/>
      <c r="AGN25" s="13"/>
      <c r="AGO25" s="13"/>
      <c r="AGP25" s="13"/>
      <c r="AGQ25" s="13"/>
      <c r="AGR25" s="13"/>
      <c r="AGS25" s="13"/>
      <c r="AGT25" s="13"/>
      <c r="AGU25" s="13"/>
      <c r="AGV25" s="13"/>
      <c r="AGW25" s="13"/>
      <c r="AGX25" s="13"/>
      <c r="AGY25" s="13"/>
      <c r="AGZ25" s="13"/>
      <c r="AHA25" s="13"/>
      <c r="AHB25" s="13"/>
      <c r="AHC25" s="13"/>
      <c r="AHD25" s="13"/>
      <c r="AHE25" s="13"/>
      <c r="AHF25" s="13"/>
      <c r="AHG25" s="13"/>
      <c r="AHH25" s="13"/>
      <c r="AHI25" s="13"/>
      <c r="AHJ25" s="13"/>
      <c r="AHK25" s="13"/>
      <c r="AHL25" s="13"/>
      <c r="AHM25" s="13"/>
      <c r="AHN25" s="13"/>
      <c r="AHO25" s="13"/>
      <c r="AHP25" s="13"/>
      <c r="AHQ25" s="13"/>
      <c r="AHR25" s="13"/>
      <c r="AHS25" s="13"/>
      <c r="AHT25" s="13"/>
      <c r="AHU25" s="13"/>
      <c r="AHV25" s="13"/>
      <c r="AHW25" s="13"/>
      <c r="AHX25" s="13"/>
      <c r="AHY25" s="13"/>
      <c r="AHZ25" s="13"/>
      <c r="AIA25" s="13"/>
      <c r="AIB25" s="13"/>
      <c r="AIC25" s="13"/>
      <c r="AID25" s="13"/>
      <c r="AIE25" s="13"/>
      <c r="AIF25" s="13"/>
      <c r="AIG25" s="13"/>
      <c r="AIH25" s="13"/>
      <c r="AII25" s="13"/>
      <c r="AIJ25" s="13"/>
      <c r="AIK25" s="13"/>
      <c r="AIL25" s="13"/>
      <c r="AIM25" s="13"/>
      <c r="AIN25" s="13"/>
      <c r="AIO25" s="13"/>
      <c r="AIP25" s="13"/>
      <c r="AIQ25" s="13"/>
      <c r="AIR25" s="13"/>
      <c r="AIS25" s="13"/>
      <c r="AIT25" s="13"/>
      <c r="AIU25" s="13"/>
      <c r="AIV25" s="13"/>
      <c r="AIW25" s="13"/>
      <c r="AIX25" s="13"/>
      <c r="AIY25" s="13"/>
      <c r="AIZ25" s="13"/>
      <c r="AJA25" s="13"/>
      <c r="AJB25" s="13"/>
      <c r="AJC25" s="13"/>
      <c r="AJD25" s="13"/>
      <c r="AJE25" s="13"/>
      <c r="AJF25" s="13"/>
      <c r="AJG25" s="13"/>
      <c r="AJH25" s="13"/>
      <c r="AJI25" s="13"/>
      <c r="AJJ25" s="13"/>
      <c r="AJK25" s="13"/>
      <c r="AJL25" s="13"/>
      <c r="AJM25" s="13"/>
      <c r="AJN25" s="13"/>
      <c r="AJO25" s="13"/>
      <c r="AJP25" s="13"/>
      <c r="AJQ25" s="13"/>
      <c r="AJR25" s="13"/>
      <c r="AJS25" s="13"/>
      <c r="AJT25" s="13"/>
      <c r="AJU25" s="13"/>
      <c r="AJV25" s="13"/>
      <c r="AJW25" s="13"/>
      <c r="AJX25" s="13"/>
      <c r="AJY25" s="13"/>
      <c r="AJZ25" s="13"/>
      <c r="AKA25" s="13"/>
      <c r="AKB25" s="13"/>
      <c r="AKC25" s="13"/>
      <c r="AKD25" s="13"/>
      <c r="AKE25" s="13"/>
      <c r="AKF25" s="13"/>
      <c r="AKG25" s="13"/>
      <c r="AKH25" s="13"/>
      <c r="AKI25" s="13"/>
      <c r="AKJ25" s="13"/>
      <c r="AKK25" s="13"/>
      <c r="AKL25" s="13"/>
      <c r="AKM25" s="13"/>
      <c r="AKN25" s="13"/>
      <c r="AKO25" s="13"/>
      <c r="AKP25" s="13"/>
      <c r="AKQ25" s="13"/>
      <c r="AKR25" s="13"/>
      <c r="AKS25" s="13"/>
      <c r="AKT25" s="13"/>
      <c r="AKU25" s="13"/>
      <c r="AKV25" s="13"/>
      <c r="AKW25" s="13"/>
      <c r="AKX25" s="13"/>
      <c r="AKY25" s="13"/>
      <c r="AKZ25" s="13"/>
      <c r="ALA25" s="13"/>
      <c r="ALB25" s="13"/>
      <c r="ALC25" s="13"/>
      <c r="ALD25" s="13"/>
      <c r="ALE25" s="13"/>
      <c r="ALF25" s="13"/>
      <c r="ALG25" s="13"/>
      <c r="ALH25" s="13"/>
      <c r="ALI25" s="13"/>
      <c r="ALJ25" s="13"/>
      <c r="ALK25" s="13"/>
      <c r="ALL25" s="13"/>
      <c r="ALM25" s="13"/>
      <c r="ALN25" s="13"/>
      <c r="ALO25" s="13"/>
      <c r="ALP25" s="13"/>
      <c r="ALQ25" s="13"/>
      <c r="ALR25" s="13"/>
      <c r="ALS25" s="13"/>
      <c r="ALT25" s="13"/>
      <c r="ALU25" s="13"/>
      <c r="ALV25" s="13"/>
      <c r="ALW25" s="13"/>
      <c r="ALX25" s="13"/>
      <c r="ALY25" s="13"/>
      <c r="ALZ25" s="13"/>
    </row>
    <row r="26" spans="1:1024" s="168" customFormat="1" ht="22.15" customHeight="1" thickBot="1" x14ac:dyDescent="0.3">
      <c r="A26" s="166"/>
      <c r="B26" s="165"/>
      <c r="C26" s="165"/>
      <c r="D26" s="165"/>
      <c r="E26" s="165"/>
      <c r="F26" s="165"/>
      <c r="G26" s="165"/>
      <c r="H26" s="41"/>
      <c r="I26" s="41"/>
      <c r="J26" s="41"/>
      <c r="K26" s="41"/>
      <c r="L26" s="9"/>
      <c r="M26" s="9"/>
      <c r="N26" s="1"/>
      <c r="O26" s="65"/>
      <c r="P26" s="1"/>
      <c r="Q26" s="9"/>
      <c r="R26" s="165"/>
      <c r="S26" s="165"/>
      <c r="T26" s="165"/>
      <c r="U26" s="165"/>
      <c r="V26" s="165"/>
      <c r="W26" s="165"/>
      <c r="X26" s="165"/>
      <c r="Y26" s="165"/>
      <c r="Z26" s="165"/>
      <c r="AA26" s="165"/>
      <c r="AB26" s="165"/>
      <c r="AC26" s="165"/>
      <c r="AD26" s="165"/>
      <c r="AE26" s="165"/>
      <c r="AF26" s="165"/>
      <c r="AG26" s="165"/>
      <c r="AH26" s="165"/>
      <c r="AI26" s="165"/>
      <c r="AJ26" s="165"/>
      <c r="AK26" s="165"/>
      <c r="AL26" s="165"/>
      <c r="AM26" s="165"/>
      <c r="AN26" s="165"/>
      <c r="AO26" s="165"/>
      <c r="AP26" s="165"/>
      <c r="AQ26" s="165"/>
      <c r="AR26" s="165"/>
      <c r="AS26" s="165"/>
      <c r="AT26" s="165"/>
      <c r="AU26" s="165"/>
      <c r="AV26" s="165"/>
      <c r="AW26" s="165"/>
      <c r="AX26" s="165"/>
      <c r="AY26" s="165"/>
      <c r="AZ26" s="165"/>
      <c r="BA26" s="165"/>
      <c r="BB26" s="165"/>
      <c r="BC26" s="165"/>
      <c r="BD26" s="165"/>
      <c r="BE26" s="165"/>
      <c r="BF26" s="165"/>
      <c r="BG26" s="165"/>
      <c r="BH26" s="165"/>
      <c r="BI26" s="165"/>
      <c r="BJ26" s="165"/>
      <c r="BK26" s="165"/>
      <c r="BL26" s="165"/>
      <c r="BM26" s="165"/>
      <c r="BN26" s="165"/>
      <c r="BO26" s="165"/>
      <c r="BP26" s="165"/>
      <c r="BQ26" s="165"/>
      <c r="BR26" s="165"/>
      <c r="BS26" s="165"/>
      <c r="BT26" s="165"/>
      <c r="BU26" s="165"/>
      <c r="BV26" s="165"/>
      <c r="BW26" s="165"/>
      <c r="BX26" s="165"/>
      <c r="BY26" s="165"/>
      <c r="BZ26" s="165"/>
      <c r="CA26" s="165"/>
      <c r="CB26" s="165"/>
      <c r="CC26" s="165"/>
      <c r="CD26" s="165"/>
      <c r="CE26" s="165"/>
      <c r="CF26" s="165"/>
      <c r="CG26" s="165"/>
      <c r="CH26" s="165"/>
      <c r="CI26" s="165"/>
      <c r="CJ26" s="165"/>
      <c r="CK26" s="165"/>
      <c r="CL26" s="165"/>
      <c r="CM26" s="165"/>
      <c r="CN26" s="165"/>
      <c r="CO26" s="165"/>
      <c r="CP26" s="165"/>
      <c r="CQ26" s="165"/>
      <c r="CR26" s="165"/>
      <c r="CS26" s="165"/>
      <c r="CT26" s="165"/>
      <c r="CU26" s="165"/>
      <c r="CV26" s="165"/>
      <c r="CW26" s="165"/>
      <c r="CX26" s="165"/>
      <c r="CY26" s="165"/>
      <c r="CZ26" s="165"/>
      <c r="DA26" s="165"/>
      <c r="DB26" s="165"/>
      <c r="DC26" s="165"/>
      <c r="DD26" s="165"/>
      <c r="DE26" s="165"/>
      <c r="DF26" s="165"/>
      <c r="DG26" s="165"/>
      <c r="DH26" s="165"/>
      <c r="DI26" s="165"/>
      <c r="DJ26" s="165"/>
      <c r="DK26" s="165"/>
      <c r="DL26" s="165"/>
      <c r="DM26" s="165"/>
      <c r="DN26" s="165"/>
      <c r="DO26" s="165"/>
      <c r="DP26" s="165"/>
      <c r="DQ26" s="165"/>
      <c r="DR26" s="165"/>
      <c r="DS26" s="165"/>
      <c r="DT26" s="165"/>
      <c r="DU26" s="165"/>
      <c r="DV26" s="165"/>
      <c r="DW26" s="165"/>
      <c r="DX26" s="165"/>
      <c r="DY26" s="165"/>
      <c r="DZ26" s="165"/>
      <c r="EA26" s="165"/>
      <c r="EB26" s="165"/>
      <c r="EC26" s="165"/>
      <c r="ED26" s="165"/>
      <c r="EE26" s="165"/>
      <c r="EF26" s="165"/>
      <c r="EG26" s="165"/>
      <c r="EH26" s="165"/>
      <c r="EI26" s="165"/>
      <c r="EJ26" s="165"/>
      <c r="EK26" s="165"/>
      <c r="EL26" s="165"/>
      <c r="EM26" s="165"/>
      <c r="EN26" s="165"/>
      <c r="EO26" s="165"/>
      <c r="EP26" s="165"/>
      <c r="EQ26" s="165"/>
      <c r="ER26" s="165"/>
      <c r="ES26" s="165"/>
      <c r="ET26" s="165"/>
      <c r="EU26" s="165"/>
      <c r="EV26" s="165"/>
      <c r="EW26" s="165"/>
      <c r="EX26" s="165"/>
      <c r="EY26" s="165"/>
      <c r="EZ26" s="167"/>
      <c r="FA26" s="167"/>
      <c r="FB26" s="167"/>
      <c r="FC26" s="167"/>
      <c r="FD26" s="167"/>
      <c r="FE26" s="167"/>
      <c r="FF26" s="167"/>
      <c r="FG26" s="167"/>
      <c r="FH26" s="167"/>
      <c r="FI26" s="167"/>
      <c r="FJ26" s="167"/>
      <c r="FK26" s="167"/>
      <c r="FL26" s="167"/>
      <c r="FM26" s="167"/>
      <c r="FN26" s="167"/>
      <c r="FO26" s="167"/>
      <c r="FP26" s="167"/>
      <c r="FQ26" s="167"/>
      <c r="FR26" s="167"/>
      <c r="FS26" s="167"/>
      <c r="FT26" s="167"/>
      <c r="FU26" s="167"/>
      <c r="FV26" s="167"/>
      <c r="FW26" s="167"/>
      <c r="FX26" s="167"/>
      <c r="FY26" s="167"/>
      <c r="FZ26" s="167"/>
      <c r="GA26" s="167"/>
      <c r="GB26" s="167"/>
      <c r="GC26" s="167"/>
      <c r="GD26" s="167"/>
      <c r="GE26" s="167"/>
      <c r="GF26" s="167"/>
      <c r="GG26" s="167"/>
      <c r="GH26" s="167"/>
      <c r="GI26" s="167"/>
      <c r="GJ26" s="167"/>
      <c r="GK26" s="167"/>
      <c r="GL26" s="167"/>
      <c r="GM26" s="167"/>
      <c r="GN26" s="167"/>
      <c r="GO26" s="167"/>
      <c r="GP26" s="167"/>
      <c r="GQ26" s="167"/>
      <c r="GR26" s="167"/>
      <c r="GS26" s="167"/>
      <c r="GT26" s="167"/>
      <c r="GU26" s="167"/>
      <c r="GV26" s="167"/>
      <c r="GW26" s="167"/>
      <c r="GX26" s="167"/>
      <c r="GY26" s="167"/>
      <c r="GZ26" s="167"/>
      <c r="HA26" s="167"/>
      <c r="HB26" s="167"/>
      <c r="HC26" s="167"/>
      <c r="HD26" s="167"/>
      <c r="HE26" s="167"/>
      <c r="HF26" s="167"/>
      <c r="HG26" s="167"/>
      <c r="HH26" s="167"/>
      <c r="HI26" s="167"/>
      <c r="HJ26" s="167"/>
      <c r="HK26" s="167"/>
      <c r="HL26" s="167"/>
      <c r="HM26" s="167"/>
      <c r="HN26" s="167"/>
      <c r="HO26" s="167"/>
      <c r="HP26" s="167"/>
      <c r="HQ26" s="167"/>
      <c r="HR26" s="167"/>
      <c r="HS26" s="167"/>
      <c r="HT26" s="167"/>
      <c r="HU26" s="167"/>
      <c r="HV26" s="167"/>
      <c r="HW26" s="167"/>
      <c r="HX26" s="167"/>
      <c r="HY26" s="167"/>
      <c r="HZ26" s="167"/>
      <c r="IA26" s="167"/>
      <c r="IB26" s="167"/>
      <c r="IC26" s="167"/>
      <c r="ID26" s="167"/>
      <c r="IE26" s="167"/>
      <c r="IF26" s="167"/>
      <c r="IG26" s="167"/>
      <c r="IH26" s="167"/>
      <c r="II26" s="167"/>
      <c r="IJ26" s="167"/>
      <c r="IK26" s="167"/>
      <c r="IL26" s="167"/>
      <c r="IM26" s="167"/>
      <c r="IN26" s="167"/>
      <c r="IO26" s="167"/>
      <c r="IP26" s="167"/>
      <c r="IQ26" s="167"/>
      <c r="IR26" s="167"/>
      <c r="IS26" s="167"/>
      <c r="IT26" s="167"/>
      <c r="IU26" s="167"/>
      <c r="IV26" s="167"/>
      <c r="IW26" s="167"/>
      <c r="IX26" s="167"/>
      <c r="IY26" s="167"/>
      <c r="IZ26" s="167"/>
      <c r="JA26" s="167"/>
      <c r="JB26" s="167"/>
      <c r="JC26" s="167"/>
      <c r="JD26" s="167"/>
      <c r="JE26" s="167"/>
      <c r="JF26" s="167"/>
      <c r="JG26" s="167"/>
      <c r="JH26" s="167"/>
      <c r="JI26" s="167"/>
      <c r="JJ26" s="167"/>
      <c r="JK26" s="167"/>
      <c r="JL26" s="167"/>
      <c r="JM26" s="167"/>
      <c r="JN26" s="167"/>
      <c r="JO26" s="167"/>
      <c r="JP26" s="167"/>
      <c r="JQ26" s="167"/>
      <c r="JR26" s="167"/>
      <c r="JS26" s="167"/>
      <c r="JT26" s="167"/>
      <c r="JU26" s="167"/>
      <c r="JV26" s="167"/>
      <c r="JW26" s="167"/>
      <c r="JX26" s="167"/>
      <c r="JY26" s="167"/>
      <c r="JZ26" s="167"/>
      <c r="KA26" s="167"/>
      <c r="KB26" s="167"/>
      <c r="KC26" s="167"/>
      <c r="KD26" s="167"/>
      <c r="KE26" s="167"/>
      <c r="KF26" s="167"/>
      <c r="KG26" s="167"/>
      <c r="KH26" s="167"/>
      <c r="KI26" s="167"/>
      <c r="KJ26" s="167"/>
      <c r="KK26" s="167"/>
      <c r="KL26" s="167"/>
      <c r="KM26" s="167"/>
      <c r="KN26" s="167"/>
      <c r="KO26" s="167"/>
      <c r="KP26" s="167"/>
      <c r="KQ26" s="167"/>
      <c r="KR26" s="167"/>
      <c r="KS26" s="167"/>
      <c r="KT26" s="167"/>
      <c r="KU26" s="167"/>
      <c r="KV26" s="167"/>
      <c r="KW26" s="167"/>
      <c r="KX26" s="167"/>
      <c r="KY26" s="167"/>
      <c r="KZ26" s="167"/>
      <c r="LA26" s="167"/>
      <c r="LB26" s="167"/>
      <c r="LC26" s="167"/>
      <c r="LD26" s="167"/>
      <c r="LE26" s="167"/>
      <c r="LF26" s="167"/>
      <c r="LG26" s="167"/>
      <c r="LH26" s="167"/>
      <c r="LI26" s="167"/>
      <c r="LJ26" s="167"/>
      <c r="LK26" s="167"/>
      <c r="LL26" s="167"/>
      <c r="LM26" s="167"/>
      <c r="LN26" s="167"/>
      <c r="LO26" s="167"/>
      <c r="LP26" s="167"/>
      <c r="LQ26" s="167"/>
      <c r="LR26" s="167"/>
      <c r="LS26" s="167"/>
      <c r="LT26" s="167"/>
      <c r="LU26" s="167"/>
      <c r="LV26" s="167"/>
      <c r="LW26" s="167"/>
      <c r="LX26" s="167"/>
      <c r="LY26" s="167"/>
      <c r="LZ26" s="167"/>
      <c r="MA26" s="167"/>
      <c r="MB26" s="167"/>
      <c r="MC26" s="167"/>
      <c r="MD26" s="167"/>
      <c r="ME26" s="167"/>
      <c r="MF26" s="167"/>
      <c r="MG26" s="167"/>
      <c r="MH26" s="167"/>
      <c r="MI26" s="167"/>
      <c r="MJ26" s="167"/>
      <c r="MK26" s="167"/>
      <c r="ML26" s="167"/>
      <c r="MM26" s="167"/>
      <c r="MN26" s="167"/>
      <c r="MO26" s="167"/>
      <c r="MP26" s="167"/>
      <c r="MQ26" s="167"/>
      <c r="MR26" s="167"/>
      <c r="MS26" s="167"/>
      <c r="MT26" s="167"/>
      <c r="MU26" s="167"/>
      <c r="MV26" s="167"/>
      <c r="MW26" s="167"/>
      <c r="MX26" s="167"/>
      <c r="MY26" s="167"/>
      <c r="MZ26" s="167"/>
      <c r="NA26" s="167"/>
      <c r="NB26" s="167"/>
      <c r="NC26" s="167"/>
      <c r="ND26" s="167"/>
      <c r="NE26" s="167"/>
      <c r="NF26" s="167"/>
      <c r="NG26" s="167"/>
      <c r="NH26" s="167"/>
      <c r="NI26" s="167"/>
      <c r="NJ26" s="167"/>
      <c r="NK26" s="167"/>
      <c r="NL26" s="167"/>
      <c r="NM26" s="167"/>
      <c r="NN26" s="167"/>
      <c r="NO26" s="167"/>
      <c r="NP26" s="167"/>
      <c r="NQ26" s="167"/>
      <c r="NR26" s="167"/>
      <c r="NS26" s="167"/>
      <c r="NT26" s="167"/>
      <c r="NU26" s="167"/>
      <c r="NV26" s="167"/>
      <c r="NW26" s="167"/>
      <c r="NX26" s="167"/>
      <c r="NY26" s="167"/>
      <c r="NZ26" s="167"/>
      <c r="OA26" s="167"/>
      <c r="OB26" s="167"/>
      <c r="OC26" s="167"/>
      <c r="OD26" s="167"/>
      <c r="OE26" s="167"/>
      <c r="OF26" s="167"/>
      <c r="OG26" s="167"/>
      <c r="OH26" s="167"/>
      <c r="OI26" s="167"/>
      <c r="OJ26" s="167"/>
      <c r="OK26" s="167"/>
      <c r="OL26" s="167"/>
      <c r="OM26" s="167"/>
      <c r="ON26" s="167"/>
      <c r="OO26" s="167"/>
      <c r="OP26" s="167"/>
      <c r="OQ26" s="167"/>
      <c r="OR26" s="167"/>
      <c r="OS26" s="167"/>
      <c r="OT26" s="167"/>
      <c r="OU26" s="167"/>
      <c r="OV26" s="167"/>
      <c r="OW26" s="167"/>
      <c r="OX26" s="167"/>
      <c r="OY26" s="167"/>
      <c r="OZ26" s="167"/>
      <c r="PA26" s="167"/>
      <c r="PB26" s="167"/>
      <c r="PC26" s="167"/>
      <c r="PD26" s="167"/>
      <c r="PE26" s="167"/>
      <c r="PF26" s="167"/>
      <c r="PG26" s="167"/>
      <c r="PH26" s="167"/>
      <c r="PI26" s="167"/>
      <c r="PJ26" s="167"/>
      <c r="PK26" s="167"/>
      <c r="PL26" s="167"/>
      <c r="PM26" s="167"/>
      <c r="PN26" s="167"/>
      <c r="PO26" s="167"/>
      <c r="PP26" s="167"/>
      <c r="PQ26" s="167"/>
      <c r="PR26" s="167"/>
      <c r="PS26" s="167"/>
      <c r="PT26" s="167"/>
      <c r="PU26" s="167"/>
      <c r="PV26" s="167"/>
      <c r="PW26" s="167"/>
      <c r="PX26" s="167"/>
      <c r="PY26" s="167"/>
      <c r="PZ26" s="167"/>
      <c r="QA26" s="167"/>
      <c r="QB26" s="167"/>
      <c r="QC26" s="167"/>
      <c r="QD26" s="167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7"/>
      <c r="YY26" s="7"/>
      <c r="YZ26" s="7"/>
      <c r="ZA26" s="7"/>
      <c r="ZB26" s="7"/>
      <c r="ZC26" s="7"/>
      <c r="ZD26" s="7"/>
      <c r="ZE26" s="7"/>
      <c r="ZF26" s="7"/>
      <c r="ZG26" s="7"/>
      <c r="ZH26" s="7"/>
      <c r="ZI26" s="7"/>
      <c r="ZJ26" s="7"/>
      <c r="ZK26" s="7"/>
      <c r="ZL26" s="7"/>
      <c r="ZM26" s="7"/>
      <c r="ZN26" s="7"/>
      <c r="ZO26" s="7"/>
      <c r="ZP26" s="7"/>
      <c r="ZQ26" s="7"/>
      <c r="ZR26" s="7"/>
      <c r="ZS26" s="7"/>
      <c r="ZT26" s="7"/>
      <c r="ZU26" s="7"/>
      <c r="ZV26" s="7"/>
      <c r="ZW26" s="7"/>
      <c r="ZX26" s="7"/>
      <c r="ZY26" s="7"/>
      <c r="ZZ26" s="7"/>
      <c r="AAA26" s="7"/>
      <c r="AAB26" s="7"/>
      <c r="AAC26" s="7"/>
      <c r="AAD26" s="7"/>
      <c r="AAE26" s="7"/>
      <c r="AAF26" s="7"/>
      <c r="AAG26" s="7"/>
      <c r="AAH26" s="7"/>
      <c r="AAI26" s="7"/>
      <c r="AAJ26" s="7"/>
      <c r="AAK26" s="7"/>
      <c r="AAL26" s="7"/>
      <c r="AAM26" s="7"/>
      <c r="AAN26" s="7"/>
      <c r="AAO26" s="7"/>
      <c r="AAP26" s="7"/>
      <c r="AAQ26" s="7"/>
      <c r="AAR26" s="7"/>
      <c r="AAS26" s="7"/>
      <c r="AAT26" s="7"/>
      <c r="AAU26" s="7"/>
      <c r="AAV26" s="7"/>
      <c r="AAW26" s="7"/>
      <c r="AAX26" s="7"/>
      <c r="AAY26" s="7"/>
      <c r="AAZ26" s="7"/>
      <c r="ABA26" s="7"/>
      <c r="ABB26" s="7"/>
      <c r="ABC26" s="7"/>
      <c r="ABD26" s="7"/>
      <c r="ABE26" s="7"/>
      <c r="ABF26" s="7"/>
      <c r="ABG26" s="7"/>
      <c r="ABH26" s="7"/>
      <c r="ABI26" s="7"/>
      <c r="ABJ26" s="7"/>
      <c r="ABK26" s="7"/>
      <c r="ABL26" s="7"/>
      <c r="ABM26" s="7"/>
      <c r="ABN26" s="7"/>
      <c r="ABO26" s="7"/>
      <c r="ABP26" s="7"/>
      <c r="ABQ26" s="7"/>
      <c r="ABR26" s="7"/>
      <c r="ABS26" s="7"/>
      <c r="ABT26" s="7"/>
      <c r="ABU26" s="7"/>
      <c r="ABV26" s="7"/>
      <c r="ABW26" s="7"/>
      <c r="ABX26" s="7"/>
      <c r="ABY26" s="7"/>
      <c r="ABZ26" s="7"/>
      <c r="ACA26" s="7"/>
      <c r="ACB26" s="7"/>
      <c r="ACC26" s="7"/>
      <c r="ACD26" s="7"/>
      <c r="ACE26" s="7"/>
      <c r="ACF26" s="7"/>
      <c r="ACG26" s="7"/>
      <c r="ACH26" s="7"/>
      <c r="ACI26" s="7"/>
      <c r="ACJ26" s="7"/>
      <c r="ACK26" s="7"/>
      <c r="ACL26" s="7"/>
      <c r="ACM26" s="7"/>
      <c r="ACN26" s="7"/>
      <c r="ACO26" s="7"/>
      <c r="ACP26" s="7"/>
      <c r="ACQ26" s="7"/>
      <c r="ACR26" s="7"/>
      <c r="ACS26" s="7"/>
      <c r="ACT26" s="7"/>
      <c r="ACU26" s="7"/>
      <c r="ACV26" s="7"/>
      <c r="ACW26" s="7"/>
      <c r="ACX26" s="7"/>
      <c r="ACY26" s="7"/>
      <c r="ACZ26" s="7"/>
      <c r="ADA26" s="7"/>
      <c r="ADB26" s="7"/>
      <c r="ADC26" s="7"/>
      <c r="ADD26" s="7"/>
      <c r="ADE26" s="7"/>
      <c r="ADF26" s="7"/>
      <c r="ADG26" s="7"/>
      <c r="ADH26" s="7"/>
      <c r="ADI26" s="7"/>
      <c r="ADJ26" s="7"/>
      <c r="ADK26" s="7"/>
      <c r="ADL26" s="7"/>
      <c r="ADM26" s="7"/>
      <c r="ADN26" s="7"/>
      <c r="ADO26" s="7"/>
      <c r="ADP26" s="7"/>
      <c r="ADQ26" s="7"/>
      <c r="ADR26" s="7"/>
      <c r="ADS26" s="7"/>
      <c r="ADT26" s="7"/>
      <c r="ADU26" s="7"/>
      <c r="ADV26" s="7"/>
      <c r="ADW26" s="7"/>
      <c r="ADX26" s="7"/>
      <c r="ADY26" s="7"/>
      <c r="ADZ26" s="7"/>
      <c r="AEA26" s="7"/>
      <c r="AEB26" s="7"/>
      <c r="AEC26" s="7"/>
      <c r="AED26" s="7"/>
      <c r="AEE26" s="7"/>
      <c r="AEF26" s="7"/>
      <c r="AEG26" s="7"/>
      <c r="AEH26" s="7"/>
      <c r="AEI26" s="7"/>
      <c r="AEJ26" s="7"/>
      <c r="AEK26" s="7"/>
      <c r="AEL26" s="7"/>
      <c r="AEM26" s="7"/>
      <c r="AEN26" s="7"/>
      <c r="AEO26" s="7"/>
      <c r="AEP26" s="7"/>
      <c r="AEQ26" s="7"/>
      <c r="AER26" s="7"/>
      <c r="AES26" s="7"/>
      <c r="AET26" s="7"/>
      <c r="AEU26" s="7"/>
      <c r="AEV26" s="7"/>
      <c r="AEW26" s="7"/>
      <c r="AEX26" s="7"/>
      <c r="AEY26" s="7"/>
      <c r="AEZ26" s="7"/>
      <c r="AFA26" s="7"/>
      <c r="AFB26" s="7"/>
      <c r="AFC26" s="7"/>
      <c r="AFD26" s="7"/>
      <c r="AFE26" s="7"/>
      <c r="AFF26" s="7"/>
      <c r="AFG26" s="7"/>
      <c r="AFH26" s="7"/>
      <c r="AFI26" s="7"/>
      <c r="AFJ26" s="7"/>
      <c r="AFK26" s="7"/>
      <c r="AFL26" s="7"/>
      <c r="AFM26" s="7"/>
      <c r="AFN26" s="7"/>
      <c r="AFO26" s="7"/>
      <c r="AFP26" s="7"/>
      <c r="AFQ26" s="7"/>
      <c r="AFR26" s="7"/>
      <c r="AFS26" s="7"/>
      <c r="AFT26" s="7"/>
      <c r="AFU26" s="7"/>
      <c r="AFV26" s="7"/>
      <c r="AFW26" s="7"/>
      <c r="AFX26" s="7"/>
      <c r="AFY26" s="7"/>
      <c r="AFZ26" s="7"/>
      <c r="AGA26" s="7"/>
      <c r="AGB26" s="7"/>
      <c r="AGC26" s="7"/>
      <c r="AGD26" s="7"/>
      <c r="AGE26" s="7"/>
      <c r="AGF26" s="7"/>
      <c r="AGG26" s="7"/>
      <c r="AGH26" s="7"/>
      <c r="AGI26" s="7"/>
      <c r="AGJ26" s="7"/>
      <c r="AGK26" s="7"/>
      <c r="AGL26" s="7"/>
      <c r="AGM26" s="7"/>
      <c r="AGN26" s="7"/>
      <c r="AGO26" s="7"/>
      <c r="AGP26" s="7"/>
      <c r="AGQ26" s="7"/>
      <c r="AGR26" s="7"/>
      <c r="AGS26" s="7"/>
      <c r="AGT26" s="7"/>
      <c r="AGU26" s="7"/>
      <c r="AGV26" s="7"/>
      <c r="AGW26" s="7"/>
      <c r="AGX26" s="7"/>
      <c r="AGY26" s="7"/>
      <c r="AGZ26" s="7"/>
      <c r="AHA26" s="7"/>
      <c r="AHB26" s="7"/>
      <c r="AHC26" s="7"/>
      <c r="AHD26" s="7"/>
      <c r="AHE26" s="7"/>
      <c r="AHF26" s="7"/>
      <c r="AHG26" s="7"/>
      <c r="AHH26" s="7"/>
      <c r="AHI26" s="7"/>
      <c r="AHJ26" s="7"/>
      <c r="AHK26" s="7"/>
      <c r="AHL26" s="7"/>
      <c r="AHM26" s="7"/>
      <c r="AHN26" s="7"/>
      <c r="AHO26" s="7"/>
      <c r="AHP26" s="7"/>
      <c r="AHQ26" s="7"/>
      <c r="AHR26" s="7"/>
      <c r="AHS26" s="7"/>
      <c r="AHT26" s="7"/>
      <c r="AHU26" s="7"/>
      <c r="AHV26" s="7"/>
      <c r="AHW26" s="7"/>
      <c r="AHX26" s="7"/>
      <c r="AHY26" s="7"/>
      <c r="AHZ26" s="7"/>
      <c r="AIA26" s="7"/>
      <c r="AIB26" s="7"/>
      <c r="AIC26" s="7"/>
      <c r="AID26" s="7"/>
      <c r="AIE26" s="7"/>
      <c r="AIF26" s="7"/>
      <c r="AIG26" s="7"/>
      <c r="AIH26" s="7"/>
      <c r="AII26" s="7"/>
      <c r="AIJ26" s="7"/>
      <c r="AIK26" s="7"/>
      <c r="AIL26" s="7"/>
      <c r="AIM26" s="7"/>
      <c r="AIN26" s="7"/>
      <c r="AIO26" s="7"/>
      <c r="AIP26" s="7"/>
      <c r="AIQ26" s="7"/>
      <c r="AIR26" s="7"/>
      <c r="AIS26" s="7"/>
      <c r="AIT26" s="7"/>
      <c r="AIU26" s="7"/>
      <c r="AIV26" s="7"/>
      <c r="AIW26" s="7"/>
      <c r="AIX26" s="7"/>
      <c r="AIY26" s="7"/>
      <c r="AIZ26" s="7"/>
      <c r="AJA26" s="7"/>
      <c r="AJB26" s="7"/>
      <c r="AJC26" s="7"/>
      <c r="AJD26" s="7"/>
      <c r="AJE26" s="7"/>
      <c r="AJF26" s="7"/>
      <c r="AJG26" s="7"/>
      <c r="AJH26" s="7"/>
      <c r="AJI26" s="7"/>
      <c r="AJJ26" s="7"/>
      <c r="AJK26" s="7"/>
      <c r="AJL26" s="7"/>
      <c r="AJM26" s="7"/>
      <c r="AJN26" s="7"/>
      <c r="AJO26" s="7"/>
      <c r="AJP26" s="7"/>
      <c r="AJQ26" s="7"/>
      <c r="AJR26" s="7"/>
      <c r="AJS26" s="7"/>
      <c r="AJT26" s="7"/>
      <c r="AJU26" s="7"/>
      <c r="AJV26" s="7"/>
      <c r="AJW26" s="7"/>
      <c r="AJX26" s="7"/>
      <c r="AJY26" s="7"/>
      <c r="AJZ26" s="7"/>
      <c r="AKA26" s="7"/>
      <c r="AKB26" s="7"/>
      <c r="AKC26" s="7"/>
      <c r="AKD26" s="7"/>
      <c r="AKE26" s="7"/>
      <c r="AKF26" s="7"/>
      <c r="AKG26" s="7"/>
      <c r="AKH26" s="7"/>
      <c r="AKI26" s="7"/>
      <c r="AKJ26" s="7"/>
      <c r="AKK26" s="7"/>
      <c r="AKL26" s="7"/>
      <c r="AKM26" s="7"/>
      <c r="AKN26" s="7"/>
      <c r="AKO26" s="7"/>
      <c r="AKP26" s="7"/>
      <c r="AKQ26" s="7"/>
      <c r="AKR26" s="7"/>
      <c r="AKS26" s="7"/>
      <c r="AKT26" s="7"/>
      <c r="AKU26" s="7"/>
      <c r="AKV26" s="7"/>
      <c r="AKW26" s="7"/>
      <c r="AKX26" s="7"/>
      <c r="AKY26" s="7"/>
      <c r="AKZ26" s="7"/>
      <c r="ALA26" s="7"/>
      <c r="ALB26" s="7"/>
      <c r="ALC26" s="7"/>
      <c r="ALD26" s="7"/>
      <c r="ALE26" s="7"/>
      <c r="ALF26" s="7"/>
      <c r="ALG26" s="7"/>
      <c r="ALH26" s="7"/>
      <c r="ALI26" s="7"/>
      <c r="ALJ26" s="7"/>
      <c r="ALK26" s="7"/>
      <c r="ALL26" s="7"/>
      <c r="ALM26" s="7"/>
      <c r="ALN26" s="7"/>
      <c r="ALO26" s="7"/>
      <c r="ALP26" s="7"/>
      <c r="ALQ26" s="7"/>
      <c r="ALR26" s="7"/>
      <c r="ALS26" s="7"/>
      <c r="ALT26" s="7"/>
      <c r="ALU26" s="7"/>
      <c r="ALV26" s="7"/>
      <c r="ALW26" s="7"/>
      <c r="ALX26" s="7"/>
      <c r="ALY26" s="7"/>
    </row>
    <row r="27" spans="1:1024" s="1" customFormat="1" ht="22.15" customHeight="1" thickBot="1" x14ac:dyDescent="0.3">
      <c r="A27" s="300" t="s">
        <v>0</v>
      </c>
      <c r="B27" s="24" t="s">
        <v>14</v>
      </c>
      <c r="C27" s="134">
        <v>250</v>
      </c>
      <c r="D27" s="142">
        <f>C27-C32-D30-D29</f>
        <v>249.5</v>
      </c>
      <c r="E27" s="109">
        <f>D27-D32-E30-E29</f>
        <v>249.001</v>
      </c>
      <c r="F27" s="109">
        <f t="shared" ref="F27:BQ27" si="171">E27-E32-F30-F29</f>
        <v>248.50299799999999</v>
      </c>
      <c r="G27" s="109">
        <f>F27-F32-G30-G29</f>
        <v>248.00599200399998</v>
      </c>
      <c r="H27" s="109">
        <f>G27-G32-H30-H29</f>
        <v>247.50998001999199</v>
      </c>
      <c r="I27" s="109">
        <f t="shared" si="171"/>
        <v>247.01496005995199</v>
      </c>
      <c r="J27" s="109">
        <f t="shared" si="171"/>
        <v>246.52093013983207</v>
      </c>
      <c r="K27" s="109">
        <f t="shared" si="171"/>
        <v>246.0278882795524</v>
      </c>
      <c r="L27" s="109">
        <f>K27-K32-L30-L29</f>
        <v>245.53583250299329</v>
      </c>
      <c r="M27" s="109">
        <f t="shared" si="171"/>
        <v>245.0447608379873</v>
      </c>
      <c r="N27" s="109">
        <f t="shared" si="171"/>
        <v>244.55467131631133</v>
      </c>
      <c r="O27" s="109">
        <f t="shared" si="171"/>
        <v>244.06556197367871</v>
      </c>
      <c r="P27" s="109">
        <f t="shared" si="171"/>
        <v>243.57743084973134</v>
      </c>
      <c r="Q27" s="109">
        <f t="shared" si="171"/>
        <v>243.09027598803189</v>
      </c>
      <c r="R27" s="109">
        <f>Q27-Q32-R30-R29</f>
        <v>242.60409543605581</v>
      </c>
      <c r="S27" s="109">
        <f t="shared" si="171"/>
        <v>242.11888724518371</v>
      </c>
      <c r="T27" s="109">
        <f t="shared" si="171"/>
        <v>241.63464947069335</v>
      </c>
      <c r="U27" s="109">
        <f t="shared" si="171"/>
        <v>241.15138017175195</v>
      </c>
      <c r="V27" s="109">
        <f t="shared" si="171"/>
        <v>240.66907741140844</v>
      </c>
      <c r="W27" s="109">
        <f t="shared" si="171"/>
        <v>240.18773925658562</v>
      </c>
      <c r="X27" s="109">
        <f t="shared" si="171"/>
        <v>239.70736377807245</v>
      </c>
      <c r="Y27" s="109">
        <f t="shared" si="171"/>
        <v>239.22794905051632</v>
      </c>
      <c r="Z27" s="109">
        <f t="shared" si="171"/>
        <v>238.74949315241528</v>
      </c>
      <c r="AA27" s="109">
        <f t="shared" si="171"/>
        <v>238.27199416611046</v>
      </c>
      <c r="AB27" s="109">
        <f t="shared" si="171"/>
        <v>237.79545017777824</v>
      </c>
      <c r="AC27" s="109">
        <f t="shared" si="171"/>
        <v>237.31985927742267</v>
      </c>
      <c r="AD27" s="109">
        <f t="shared" si="171"/>
        <v>236.84521955886783</v>
      </c>
      <c r="AE27" s="109">
        <f t="shared" si="171"/>
        <v>236.37152911975008</v>
      </c>
      <c r="AF27" s="109">
        <f t="shared" si="171"/>
        <v>235.89878606151058</v>
      </c>
      <c r="AG27" s="109">
        <f t="shared" si="171"/>
        <v>235.42698848938755</v>
      </c>
      <c r="AH27" s="109">
        <f t="shared" si="171"/>
        <v>234.95613451240877</v>
      </c>
      <c r="AI27" s="109">
        <f t="shared" si="171"/>
        <v>234.48622224338393</v>
      </c>
      <c r="AJ27" s="109">
        <f t="shared" si="171"/>
        <v>234.01724979889715</v>
      </c>
      <c r="AK27" s="109">
        <f t="shared" si="171"/>
        <v>233.54921529929936</v>
      </c>
      <c r="AL27" s="109">
        <f t="shared" si="171"/>
        <v>233.08211686870075</v>
      </c>
      <c r="AM27" s="109">
        <f t="shared" si="171"/>
        <v>232.61595263496335</v>
      </c>
      <c r="AN27" s="109">
        <f t="shared" si="171"/>
        <v>232.15072072969343</v>
      </c>
      <c r="AO27" s="109">
        <f t="shared" si="171"/>
        <v>231.68641928823405</v>
      </c>
      <c r="AP27" s="109">
        <f t="shared" si="171"/>
        <v>231.22304644965757</v>
      </c>
      <c r="AQ27" s="109">
        <f t="shared" si="171"/>
        <v>230.76060035675826</v>
      </c>
      <c r="AR27" s="109">
        <f t="shared" si="171"/>
        <v>230.29907915604474</v>
      </c>
      <c r="AS27" s="109">
        <f t="shared" si="171"/>
        <v>229.83848099773266</v>
      </c>
      <c r="AT27" s="109">
        <f t="shared" si="171"/>
        <v>229.3788040357372</v>
      </c>
      <c r="AU27" s="109">
        <f t="shared" si="171"/>
        <v>228.92004642766574</v>
      </c>
      <c r="AV27" s="109">
        <f t="shared" si="171"/>
        <v>228.46220633481042</v>
      </c>
      <c r="AW27" s="109">
        <f t="shared" si="171"/>
        <v>228.0052819221408</v>
      </c>
      <c r="AX27" s="109">
        <f t="shared" si="171"/>
        <v>227.54927135829652</v>
      </c>
      <c r="AY27" s="109">
        <f t="shared" si="171"/>
        <v>227.09417281557992</v>
      </c>
      <c r="AZ27" s="109">
        <f t="shared" si="171"/>
        <v>226.63998446994876</v>
      </c>
      <c r="BA27" s="109">
        <f t="shared" si="171"/>
        <v>226.18670450100885</v>
      </c>
      <c r="BB27" s="144">
        <f>BA27-BA32-BB30-BB29</f>
        <v>225.73433109200684</v>
      </c>
      <c r="BC27" s="144">
        <f t="shared" si="171"/>
        <v>225.28286242982281</v>
      </c>
      <c r="BD27" s="144">
        <f t="shared" si="171"/>
        <v>224.83229670496317</v>
      </c>
      <c r="BE27" s="144">
        <f t="shared" si="171"/>
        <v>224.38263211155325</v>
      </c>
      <c r="BF27" s="144">
        <f t="shared" si="171"/>
        <v>223.93386684733014</v>
      </c>
      <c r="BG27" s="144">
        <f t="shared" si="171"/>
        <v>223.48599911363547</v>
      </c>
      <c r="BH27" s="144">
        <f t="shared" si="171"/>
        <v>223.0390271154082</v>
      </c>
      <c r="BI27" s="144">
        <f t="shared" si="171"/>
        <v>222.59294906117739</v>
      </c>
      <c r="BJ27" s="144">
        <f t="shared" si="171"/>
        <v>222.14776316305503</v>
      </c>
      <c r="BK27" s="144">
        <f t="shared" si="171"/>
        <v>221.70346763672893</v>
      </c>
      <c r="BL27" s="144">
        <f t="shared" si="171"/>
        <v>221.26006070145547</v>
      </c>
      <c r="BM27" s="144">
        <f t="shared" si="171"/>
        <v>220.81754058005257</v>
      </c>
      <c r="BN27" s="144">
        <f t="shared" si="171"/>
        <v>220.37590549889245</v>
      </c>
      <c r="BO27" s="144">
        <f t="shared" si="171"/>
        <v>219.93515368789465</v>
      </c>
      <c r="BP27" s="144">
        <f t="shared" si="171"/>
        <v>219.49528338051886</v>
      </c>
      <c r="BQ27" s="144">
        <f t="shared" si="171"/>
        <v>219.05629281375781</v>
      </c>
      <c r="BR27" s="144">
        <f t="shared" ref="BR27:EC27" si="172">BQ27-BQ32-BR30-BR29</f>
        <v>218.61818022813029</v>
      </c>
      <c r="BS27" s="144">
        <f t="shared" si="172"/>
        <v>218.18094386767402</v>
      </c>
      <c r="BT27" s="144">
        <f t="shared" si="172"/>
        <v>217.74458197993866</v>
      </c>
      <c r="BU27" s="144">
        <f t="shared" si="172"/>
        <v>217.30909281597877</v>
      </c>
      <c r="BV27" s="144">
        <f t="shared" si="172"/>
        <v>216.87447463034681</v>
      </c>
      <c r="BW27" s="144">
        <f t="shared" si="172"/>
        <v>216.44072568108612</v>
      </c>
      <c r="BX27" s="144">
        <f t="shared" si="172"/>
        <v>216.00784422972396</v>
      </c>
      <c r="BY27" s="144">
        <f t="shared" si="172"/>
        <v>215.57582854126451</v>
      </c>
      <c r="BZ27" s="144">
        <f t="shared" si="172"/>
        <v>215.14467688418199</v>
      </c>
      <c r="CA27" s="144">
        <f t="shared" si="172"/>
        <v>214.71438753041363</v>
      </c>
      <c r="CB27" s="144">
        <f t="shared" si="172"/>
        <v>214.28495875535282</v>
      </c>
      <c r="CC27" s="144">
        <f t="shared" si="172"/>
        <v>213.8563888378421</v>
      </c>
      <c r="CD27" s="144">
        <f t="shared" si="172"/>
        <v>213.42867606016642</v>
      </c>
      <c r="CE27" s="144">
        <f t="shared" si="172"/>
        <v>213.0018187080461</v>
      </c>
      <c r="CF27" s="144">
        <f t="shared" si="172"/>
        <v>212.57581507063</v>
      </c>
      <c r="CG27" s="144">
        <f t="shared" si="172"/>
        <v>212.15066344048873</v>
      </c>
      <c r="CH27" s="144">
        <f t="shared" si="172"/>
        <v>211.72636211360776</v>
      </c>
      <c r="CI27" s="144">
        <f t="shared" si="172"/>
        <v>211.30290938938055</v>
      </c>
      <c r="CJ27" s="144">
        <f t="shared" si="172"/>
        <v>210.8803035706018</v>
      </c>
      <c r="CK27" s="144">
        <f t="shared" si="172"/>
        <v>210.45854296346059</v>
      </c>
      <c r="CL27" s="144">
        <f t="shared" si="172"/>
        <v>210.03762587753366</v>
      </c>
      <c r="CM27" s="144">
        <f t="shared" si="172"/>
        <v>209.61755062577859</v>
      </c>
      <c r="CN27" s="144">
        <f t="shared" si="172"/>
        <v>209.19831552452703</v>
      </c>
      <c r="CO27" s="144">
        <f t="shared" si="172"/>
        <v>208.77991889347797</v>
      </c>
      <c r="CP27" s="144">
        <f t="shared" si="172"/>
        <v>208.362359055691</v>
      </c>
      <c r="CQ27" s="144">
        <f t="shared" si="172"/>
        <v>207.94563433757963</v>
      </c>
      <c r="CR27" s="144">
        <f t="shared" si="172"/>
        <v>207.52974306890448</v>
      </c>
      <c r="CS27" s="144">
        <f t="shared" si="172"/>
        <v>207.11468358276667</v>
      </c>
      <c r="CT27" s="144">
        <f t="shared" si="172"/>
        <v>206.70045421560113</v>
      </c>
      <c r="CU27" s="144">
        <f t="shared" si="172"/>
        <v>206.28705330716991</v>
      </c>
      <c r="CV27" s="144">
        <f t="shared" si="172"/>
        <v>205.87447920055558</v>
      </c>
      <c r="CW27" s="144">
        <f t="shared" si="172"/>
        <v>205.46273024215446</v>
      </c>
      <c r="CX27" s="144">
        <f t="shared" si="172"/>
        <v>205.05180478167014</v>
      </c>
      <c r="CY27" s="144">
        <f t="shared" si="172"/>
        <v>204.64170117210679</v>
      </c>
      <c r="CZ27" s="144">
        <f t="shared" si="172"/>
        <v>204.23241776976258</v>
      </c>
      <c r="DA27" s="154">
        <f>CZ27-CZ32-DA30-DA29</f>
        <v>203.82395293422306</v>
      </c>
      <c r="DB27" s="154">
        <f t="shared" si="172"/>
        <v>203.4163050283546</v>
      </c>
      <c r="DC27" s="154">
        <f t="shared" si="172"/>
        <v>203.00947241829789</v>
      </c>
      <c r="DD27" s="154">
        <f t="shared" si="172"/>
        <v>202.60345347346129</v>
      </c>
      <c r="DE27" s="154">
        <f t="shared" si="172"/>
        <v>202.19824656651437</v>
      </c>
      <c r="DF27" s="154">
        <f t="shared" si="172"/>
        <v>201.79385007338135</v>
      </c>
      <c r="DG27" s="154">
        <f t="shared" si="172"/>
        <v>201.39026237323458</v>
      </c>
      <c r="DH27" s="154">
        <f t="shared" si="172"/>
        <v>200.9874818484881</v>
      </c>
      <c r="DI27" s="154">
        <f t="shared" si="172"/>
        <v>200.58550688479113</v>
      </c>
      <c r="DJ27" s="154">
        <f t="shared" si="172"/>
        <v>200.18433587102155</v>
      </c>
      <c r="DK27" s="154">
        <f t="shared" si="172"/>
        <v>199.78396719927952</v>
      </c>
      <c r="DL27" s="154">
        <f t="shared" si="172"/>
        <v>199.38439926488095</v>
      </c>
      <c r="DM27" s="154">
        <f t="shared" si="172"/>
        <v>198.98563046635118</v>
      </c>
      <c r="DN27" s="154">
        <f t="shared" si="172"/>
        <v>198.58765920541848</v>
      </c>
      <c r="DO27" s="154">
        <f t="shared" si="172"/>
        <v>198.19048388700764</v>
      </c>
      <c r="DP27" s="154">
        <f t="shared" si="172"/>
        <v>197.79410291923364</v>
      </c>
      <c r="DQ27" s="154">
        <f t="shared" si="172"/>
        <v>197.39851471339517</v>
      </c>
      <c r="DR27" s="154">
        <f t="shared" si="172"/>
        <v>197.00371768396838</v>
      </c>
      <c r="DS27" s="154">
        <f t="shared" si="172"/>
        <v>196.60971024860044</v>
      </c>
      <c r="DT27" s="154">
        <f t="shared" si="172"/>
        <v>196.21649082810325</v>
      </c>
      <c r="DU27" s="154">
        <f t="shared" si="172"/>
        <v>195.82405784644703</v>
      </c>
      <c r="DV27" s="154">
        <f t="shared" si="172"/>
        <v>195.43240973075413</v>
      </c>
      <c r="DW27" s="154">
        <f t="shared" si="172"/>
        <v>195.04154491129262</v>
      </c>
      <c r="DX27" s="154">
        <f t="shared" si="172"/>
        <v>194.65146182147004</v>
      </c>
      <c r="DY27" s="154">
        <f t="shared" si="172"/>
        <v>194.26215889782711</v>
      </c>
      <c r="DZ27" s="154">
        <f t="shared" si="172"/>
        <v>193.87363458003145</v>
      </c>
      <c r="EA27" s="154">
        <f t="shared" si="172"/>
        <v>193.48588731087139</v>
      </c>
      <c r="EB27" s="179">
        <f t="shared" si="172"/>
        <v>168.91317962239071</v>
      </c>
      <c r="EC27" s="154">
        <f t="shared" si="172"/>
        <v>168.57535326314593</v>
      </c>
      <c r="ED27" s="179">
        <f t="shared" ref="ED27:EX27" si="173">EC27-EC32-ED30-ED29</f>
        <v>144.15600923331306</v>
      </c>
      <c r="EE27" s="154">
        <f t="shared" si="173"/>
        <v>143.86769721484643</v>
      </c>
      <c r="EF27" s="154">
        <f t="shared" si="173"/>
        <v>143.57996182041674</v>
      </c>
      <c r="EG27" s="154">
        <f t="shared" si="173"/>
        <v>143.2928018967759</v>
      </c>
      <c r="EH27" s="154">
        <f t="shared" si="173"/>
        <v>143.00621629298234</v>
      </c>
      <c r="EI27" s="179">
        <f t="shared" si="173"/>
        <v>118.88583447823264</v>
      </c>
      <c r="EJ27" s="154">
        <f t="shared" si="173"/>
        <v>118.64806280927617</v>
      </c>
      <c r="EK27" s="179">
        <f t="shared" si="173"/>
        <v>94.681154121802379</v>
      </c>
      <c r="EL27" s="154">
        <f t="shared" si="173"/>
        <v>94.491791813558777</v>
      </c>
      <c r="EM27" s="154">
        <f t="shared" si="173"/>
        <v>94.302808229931657</v>
      </c>
      <c r="EN27" s="154">
        <f t="shared" si="173"/>
        <v>94.11420261347179</v>
      </c>
      <c r="EO27" s="154">
        <f t="shared" si="173"/>
        <v>93.925974208244853</v>
      </c>
      <c r="EP27" s="179">
        <f t="shared" si="173"/>
        <v>70.256628707767149</v>
      </c>
      <c r="EQ27" s="154">
        <f t="shared" si="173"/>
        <v>70.116115450351614</v>
      </c>
      <c r="ER27" s="179">
        <f t="shared" si="173"/>
        <v>46.603844736000369</v>
      </c>
      <c r="ES27" s="154">
        <f t="shared" si="173"/>
        <v>46.510637046528366</v>
      </c>
      <c r="ET27" s="154">
        <f t="shared" si="173"/>
        <v>46.417615772435312</v>
      </c>
      <c r="EU27" s="154">
        <f t="shared" si="173"/>
        <v>46.324780540890444</v>
      </c>
      <c r="EV27" s="154">
        <f t="shared" si="173"/>
        <v>46.232130979808666</v>
      </c>
      <c r="EW27" s="179">
        <f t="shared" si="173"/>
        <v>23.023601227944713</v>
      </c>
      <c r="EX27" s="154">
        <f t="shared" si="173"/>
        <v>22.977554025488825</v>
      </c>
      <c r="EY27" s="179">
        <f>EX27-EX32-EY30-EY29</f>
        <v>-4.5955108050979021E-2</v>
      </c>
      <c r="EZ27" s="20"/>
      <c r="FA27" s="20"/>
      <c r="FB27" s="20"/>
      <c r="FC27" s="20"/>
      <c r="FD27" s="20"/>
      <c r="FE27" s="20"/>
      <c r="FF27" s="20"/>
      <c r="FG27" s="20"/>
      <c r="FH27" s="20"/>
      <c r="FI27" s="20"/>
      <c r="FJ27" s="20"/>
      <c r="FK27" s="20"/>
      <c r="FL27" s="20"/>
      <c r="FM27" s="20"/>
      <c r="FN27" s="20"/>
      <c r="FO27" s="20"/>
      <c r="FP27" s="20"/>
      <c r="FQ27" s="20"/>
      <c r="FR27" s="20"/>
      <c r="FS27" s="20"/>
      <c r="FT27" s="20"/>
      <c r="FU27" s="20"/>
      <c r="FV27" s="20"/>
      <c r="FW27" s="20"/>
      <c r="FX27" s="20"/>
      <c r="FY27" s="20"/>
      <c r="FZ27" s="20"/>
      <c r="GA27" s="20"/>
      <c r="GB27" s="20"/>
      <c r="GC27" s="20"/>
      <c r="GD27" s="20"/>
      <c r="GE27" s="20"/>
      <c r="GF27" s="20"/>
      <c r="GG27" s="20"/>
      <c r="GH27" s="20"/>
      <c r="GI27" s="20"/>
      <c r="GJ27" s="20"/>
      <c r="GK27" s="20"/>
      <c r="GL27" s="20"/>
      <c r="GM27" s="20"/>
      <c r="GN27" s="20"/>
      <c r="GO27" s="20"/>
      <c r="GP27" s="20"/>
      <c r="GQ27" s="20"/>
      <c r="GR27" s="20"/>
      <c r="GS27" s="20"/>
      <c r="GT27" s="20"/>
      <c r="GU27" s="20"/>
      <c r="GV27" s="20"/>
      <c r="GW27" s="20"/>
      <c r="GX27" s="20"/>
      <c r="GY27" s="20"/>
      <c r="GZ27" s="20"/>
      <c r="HA27" s="20"/>
      <c r="HB27" s="20"/>
      <c r="HC27" s="20"/>
      <c r="HD27" s="20"/>
      <c r="HE27" s="20"/>
      <c r="HF27" s="20"/>
      <c r="HG27" s="20"/>
      <c r="HH27" s="20"/>
      <c r="HI27" s="20"/>
      <c r="HJ27" s="20"/>
      <c r="HK27" s="20"/>
      <c r="HL27" s="20"/>
      <c r="HM27" s="20"/>
      <c r="HN27" s="20"/>
      <c r="HO27" s="20"/>
      <c r="HP27" s="20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/>
      <c r="ND27" s="23"/>
      <c r="NE27" s="23"/>
      <c r="NF27" s="23"/>
      <c r="NG27" s="23"/>
      <c r="NH27" s="23"/>
      <c r="NI27" s="23"/>
      <c r="NJ27" s="23"/>
      <c r="NK27" s="23"/>
      <c r="NL27" s="23"/>
      <c r="NM27" s="23"/>
      <c r="NN27" s="23"/>
      <c r="NO27" s="23"/>
      <c r="NP27" s="23"/>
      <c r="NQ27" s="23"/>
      <c r="NR27" s="23"/>
      <c r="NS27" s="23"/>
      <c r="NT27" s="23"/>
      <c r="NU27" s="23"/>
      <c r="NV27" s="23"/>
      <c r="NW27" s="23"/>
      <c r="NX27" s="23"/>
      <c r="NY27" s="23"/>
      <c r="NZ27" s="23"/>
      <c r="OA27" s="23"/>
      <c r="OB27" s="23"/>
      <c r="OC27" s="23"/>
      <c r="OD27" s="23"/>
      <c r="OE27" s="23"/>
      <c r="OF27" s="23"/>
      <c r="OG27" s="23"/>
      <c r="OH27" s="23"/>
      <c r="OI27" s="23"/>
      <c r="OJ27" s="23"/>
      <c r="OK27" s="23"/>
      <c r="OL27" s="23"/>
      <c r="OM27" s="23"/>
      <c r="ON27" s="23"/>
      <c r="OO27" s="23"/>
      <c r="OP27" s="23"/>
      <c r="OQ27" s="30"/>
      <c r="OR27" s="30"/>
      <c r="OS27" s="30"/>
      <c r="OT27" s="30"/>
      <c r="OU27" s="30"/>
      <c r="OV27" s="30"/>
      <c r="OW27" s="30"/>
      <c r="OX27" s="30"/>
      <c r="OY27" s="30"/>
      <c r="OZ27" s="30"/>
      <c r="PA27" s="30"/>
      <c r="PB27" s="30"/>
      <c r="PC27" s="30"/>
      <c r="PD27" s="30"/>
      <c r="PE27" s="30"/>
      <c r="PF27" s="30"/>
      <c r="PG27" s="30"/>
      <c r="PH27" s="30"/>
      <c r="PI27" s="30"/>
      <c r="PJ27" s="30"/>
      <c r="PK27" s="30"/>
      <c r="PL27" s="30"/>
      <c r="PM27" s="30"/>
      <c r="PN27" s="30"/>
      <c r="PO27" s="30"/>
      <c r="PP27" s="30"/>
      <c r="PQ27" s="30"/>
      <c r="PR27" s="30"/>
      <c r="PS27" s="30"/>
      <c r="PT27" s="30"/>
      <c r="PU27" s="30"/>
      <c r="PV27" s="30"/>
      <c r="PW27" s="30"/>
      <c r="PX27" s="30"/>
      <c r="PY27" s="30"/>
      <c r="PZ27" s="30"/>
      <c r="QA27" s="30"/>
      <c r="QB27" s="30"/>
      <c r="QC27" s="30"/>
      <c r="QD27" s="30"/>
      <c r="QE27" s="29"/>
      <c r="QF27" s="29"/>
      <c r="QG27" s="29"/>
      <c r="QH27" s="29"/>
      <c r="QI27" s="29"/>
      <c r="QJ27" s="29"/>
      <c r="QK27" s="29"/>
      <c r="QL27" s="29"/>
      <c r="QM27" s="29"/>
      <c r="QN27" s="29"/>
      <c r="QO27" s="29"/>
      <c r="QP27" s="29"/>
      <c r="QQ27" s="29"/>
      <c r="QR27" s="29"/>
      <c r="QS27" s="29"/>
      <c r="QT27" s="29"/>
      <c r="QU27" s="29"/>
      <c r="QV27" s="29"/>
      <c r="QW27" s="29"/>
      <c r="QX27" s="29"/>
      <c r="QY27" s="29"/>
      <c r="QZ27" s="29"/>
      <c r="RA27" s="29"/>
      <c r="RB27" s="29"/>
      <c r="RC27" s="29"/>
      <c r="RD27" s="29"/>
      <c r="RE27" s="29"/>
      <c r="RF27" s="29"/>
      <c r="RG27" s="29"/>
      <c r="RH27" s="29"/>
      <c r="RI27" s="29"/>
      <c r="RJ27" s="29"/>
      <c r="RK27" s="29"/>
      <c r="RL27" s="29"/>
      <c r="RM27" s="29"/>
      <c r="RN27" s="29"/>
      <c r="RO27" s="29"/>
      <c r="RP27" s="29"/>
      <c r="RQ27" s="29"/>
      <c r="RR27" s="29"/>
      <c r="RS27" s="29"/>
      <c r="RT27" s="29"/>
      <c r="RU27" s="29"/>
      <c r="RV27" s="29"/>
      <c r="RW27" s="29"/>
      <c r="RX27" s="29"/>
      <c r="RY27" s="29"/>
      <c r="RZ27" s="29"/>
      <c r="SA27" s="29"/>
      <c r="SB27" s="29"/>
      <c r="SC27" s="14"/>
      <c r="SD27" s="14"/>
      <c r="SE27" s="14"/>
      <c r="SF27" s="14"/>
      <c r="SG27" s="14"/>
      <c r="SH27" s="14"/>
      <c r="SI27" s="14"/>
      <c r="SJ27" s="14"/>
      <c r="SK27" s="14"/>
      <c r="SL27" s="14"/>
      <c r="SM27" s="14"/>
      <c r="SN27" s="14"/>
      <c r="SO27" s="14"/>
      <c r="SP27" s="14"/>
      <c r="SQ27" s="14"/>
      <c r="SR27" s="14"/>
      <c r="SS27" s="14"/>
      <c r="ST27" s="14"/>
      <c r="SU27" s="14"/>
      <c r="SV27" s="14"/>
      <c r="SW27" s="14"/>
      <c r="SX27" s="14"/>
      <c r="SY27" s="14"/>
      <c r="SZ27" s="14"/>
      <c r="TA27" s="14"/>
      <c r="TB27" s="14"/>
      <c r="TC27" s="13"/>
      <c r="TD27" s="13"/>
      <c r="TE27" s="13"/>
      <c r="TF27" s="13"/>
      <c r="TG27" s="13"/>
      <c r="TH27" s="13"/>
      <c r="TI27" s="13"/>
      <c r="TJ27" s="13"/>
      <c r="TK27" s="13"/>
      <c r="TL27" s="13"/>
      <c r="TM27" s="13"/>
      <c r="TN27" s="13"/>
      <c r="TO27" s="13"/>
      <c r="TP27" s="13"/>
      <c r="TQ27" s="13"/>
      <c r="TR27" s="13"/>
      <c r="TS27" s="13"/>
      <c r="TT27" s="13"/>
      <c r="TU27" s="13"/>
      <c r="TV27" s="13"/>
      <c r="TW27" s="13"/>
      <c r="TX27" s="13"/>
      <c r="TY27" s="13"/>
      <c r="TZ27" s="13"/>
      <c r="UA27" s="13"/>
      <c r="UB27" s="13"/>
      <c r="UC27" s="13"/>
      <c r="UD27" s="13"/>
      <c r="UE27" s="13"/>
      <c r="UF27" s="13"/>
      <c r="UG27" s="13"/>
      <c r="UH27" s="13"/>
      <c r="UI27" s="13"/>
      <c r="UJ27" s="13"/>
      <c r="UK27" s="13"/>
      <c r="UL27" s="13"/>
      <c r="UM27" s="13"/>
      <c r="UN27" s="13"/>
      <c r="UO27" s="13"/>
      <c r="UP27" s="13"/>
      <c r="UQ27" s="13"/>
      <c r="UR27" s="13"/>
      <c r="US27" s="13"/>
      <c r="UT27" s="13"/>
      <c r="UU27" s="13"/>
      <c r="UV27" s="13"/>
      <c r="UW27" s="13"/>
      <c r="UX27" s="13"/>
      <c r="UY27" s="13"/>
      <c r="UZ27" s="13"/>
      <c r="VA27" s="13"/>
      <c r="VB27" s="13"/>
      <c r="VC27" s="13"/>
      <c r="VD27" s="13"/>
      <c r="VE27" s="13"/>
      <c r="VF27" s="13"/>
      <c r="VG27" s="13"/>
      <c r="VH27" s="13"/>
      <c r="VI27" s="13"/>
      <c r="VJ27" s="13"/>
      <c r="VK27" s="13"/>
      <c r="VL27" s="13"/>
      <c r="VM27" s="13"/>
      <c r="VN27" s="13"/>
      <c r="VO27" s="13"/>
      <c r="VP27" s="13"/>
      <c r="VQ27" s="13"/>
      <c r="VR27" s="13"/>
      <c r="VS27" s="13"/>
      <c r="VT27" s="13"/>
      <c r="VU27" s="13"/>
      <c r="VV27" s="13"/>
      <c r="VW27" s="13"/>
      <c r="VX27" s="13"/>
      <c r="VY27" s="13"/>
      <c r="VZ27" s="13"/>
      <c r="WA27" s="13"/>
      <c r="WB27" s="13"/>
      <c r="WC27" s="13"/>
      <c r="WD27" s="13"/>
      <c r="WE27" s="13"/>
      <c r="WF27" s="13"/>
      <c r="WG27" s="13"/>
      <c r="WH27" s="13"/>
      <c r="WI27" s="13"/>
      <c r="WJ27" s="13"/>
      <c r="WK27" s="13"/>
      <c r="WL27" s="13"/>
      <c r="WM27" s="13"/>
      <c r="WN27" s="13"/>
      <c r="WO27" s="13"/>
      <c r="WP27" s="13"/>
      <c r="WQ27" s="13"/>
      <c r="WR27" s="13"/>
      <c r="WS27" s="13"/>
      <c r="WT27" s="13"/>
      <c r="WU27" s="13"/>
      <c r="WV27" s="13"/>
      <c r="WW27" s="13"/>
      <c r="WX27" s="13"/>
      <c r="WY27" s="13"/>
      <c r="WZ27" s="13"/>
      <c r="XA27" s="13"/>
      <c r="XB27" s="13"/>
      <c r="XC27" s="13"/>
      <c r="XD27" s="13"/>
      <c r="XE27" s="13"/>
      <c r="XF27" s="13"/>
      <c r="XG27" s="13"/>
      <c r="XH27" s="13"/>
      <c r="XI27" s="13"/>
      <c r="XJ27" s="13"/>
      <c r="XK27" s="13"/>
      <c r="XL27" s="13"/>
      <c r="XM27" s="13"/>
      <c r="XN27" s="13"/>
      <c r="XO27" s="13"/>
      <c r="XP27" s="13"/>
      <c r="XQ27" s="13"/>
      <c r="XR27" s="13"/>
      <c r="XS27" s="13"/>
      <c r="XT27" s="13"/>
      <c r="XU27" s="13"/>
      <c r="XV27" s="13"/>
      <c r="XW27" s="13"/>
      <c r="XX27" s="13"/>
      <c r="XY27" s="13"/>
      <c r="XZ27" s="13"/>
      <c r="YA27" s="13"/>
      <c r="YB27" s="13"/>
      <c r="YC27" s="13"/>
      <c r="YD27" s="13"/>
      <c r="YE27" s="13"/>
      <c r="YF27" s="13"/>
      <c r="YG27" s="13"/>
      <c r="YH27" s="13"/>
      <c r="YI27" s="13"/>
      <c r="YJ27" s="13"/>
      <c r="YK27" s="13"/>
      <c r="YL27" s="13"/>
      <c r="YM27" s="13"/>
      <c r="YN27" s="13"/>
      <c r="YO27" s="13"/>
      <c r="YP27" s="13"/>
      <c r="YQ27" s="13"/>
      <c r="YR27" s="13"/>
      <c r="YS27" s="13"/>
      <c r="YT27" s="13"/>
      <c r="YU27" s="13"/>
      <c r="YV27" s="13"/>
      <c r="YW27" s="13"/>
      <c r="YX27" s="13"/>
      <c r="YY27" s="13"/>
      <c r="YZ27" s="13"/>
      <c r="ZA27" s="13"/>
      <c r="ZB27" s="13"/>
      <c r="ZC27" s="13"/>
      <c r="ZD27" s="13"/>
      <c r="ZE27" s="13"/>
      <c r="ZF27" s="13"/>
      <c r="ZG27" s="13"/>
      <c r="ZH27" s="13"/>
      <c r="ZI27" s="13"/>
      <c r="ZJ27" s="13"/>
      <c r="ZK27" s="13"/>
      <c r="ZL27" s="13"/>
      <c r="ZM27" s="13"/>
      <c r="ZN27" s="13"/>
      <c r="ZO27" s="13"/>
      <c r="ZP27" s="13"/>
      <c r="ZQ27" s="13"/>
      <c r="ZR27" s="13"/>
      <c r="ZS27" s="13"/>
      <c r="ZT27" s="13"/>
      <c r="ZU27" s="13"/>
      <c r="ZV27" s="13"/>
      <c r="ZW27" s="13"/>
      <c r="ZX27" s="13"/>
      <c r="ZY27" s="13"/>
      <c r="ZZ27" s="13"/>
      <c r="AAA27" s="13"/>
      <c r="AAB27" s="13"/>
      <c r="AAC27" s="13"/>
      <c r="AAD27" s="13"/>
      <c r="AAE27" s="13"/>
      <c r="AAF27" s="13"/>
      <c r="AAG27" s="13"/>
      <c r="AAH27" s="13"/>
      <c r="AAI27" s="13"/>
      <c r="AAJ27" s="13"/>
      <c r="AAK27" s="13"/>
      <c r="AAL27" s="13"/>
      <c r="AAM27" s="13"/>
      <c r="AAN27" s="13"/>
      <c r="AAO27" s="13"/>
      <c r="AAP27" s="13"/>
      <c r="AAQ27" s="13"/>
      <c r="AAR27" s="13"/>
      <c r="AAS27" s="13"/>
      <c r="AAT27" s="13"/>
      <c r="AAU27" s="13"/>
      <c r="AAV27" s="13"/>
      <c r="AAW27" s="13"/>
      <c r="AAX27" s="13"/>
      <c r="AAY27" s="13"/>
      <c r="AAZ27" s="13"/>
      <c r="ABA27" s="13"/>
      <c r="ABB27" s="13"/>
      <c r="ABC27" s="13"/>
      <c r="ABD27" s="13"/>
      <c r="ABE27" s="13"/>
      <c r="ABF27" s="13"/>
      <c r="ABG27" s="13"/>
      <c r="ABH27" s="13"/>
      <c r="ABI27" s="13"/>
      <c r="ABJ27" s="13"/>
      <c r="ABK27" s="13"/>
      <c r="ABL27" s="13"/>
      <c r="ABM27" s="13"/>
      <c r="ABN27" s="13"/>
      <c r="ABO27" s="13"/>
      <c r="ABP27" s="13"/>
      <c r="ABQ27" s="13"/>
      <c r="ABR27" s="13"/>
      <c r="ABS27" s="13"/>
      <c r="ABT27" s="13"/>
      <c r="ABU27" s="13"/>
      <c r="ABV27" s="13"/>
      <c r="ABW27" s="13"/>
      <c r="ABX27" s="13"/>
      <c r="ABY27" s="13"/>
      <c r="ABZ27" s="13"/>
      <c r="ACA27" s="13"/>
      <c r="ACB27" s="13"/>
      <c r="ACC27" s="13"/>
      <c r="ACD27" s="13"/>
      <c r="ACE27" s="13"/>
      <c r="ACF27" s="13"/>
      <c r="ACG27" s="13"/>
      <c r="ACH27" s="13"/>
      <c r="ACI27" s="13"/>
      <c r="ACJ27" s="13"/>
      <c r="ACK27" s="13"/>
      <c r="ACL27" s="13"/>
      <c r="ACM27" s="13"/>
      <c r="ACN27" s="13"/>
      <c r="ACO27" s="13"/>
      <c r="ACP27" s="13"/>
      <c r="ACQ27" s="13"/>
      <c r="ACR27" s="13"/>
      <c r="ACS27" s="13"/>
      <c r="ACT27" s="13"/>
      <c r="ACU27" s="13"/>
      <c r="ACV27" s="13"/>
      <c r="ACW27" s="13"/>
      <c r="ACX27" s="13"/>
      <c r="ACY27" s="13"/>
      <c r="ACZ27" s="13"/>
      <c r="ADA27" s="13"/>
      <c r="ADB27" s="13"/>
      <c r="ADC27" s="13"/>
      <c r="ADD27" s="13"/>
      <c r="ADE27" s="13"/>
      <c r="ADF27" s="13"/>
      <c r="ADG27" s="13"/>
      <c r="ADH27" s="13"/>
      <c r="ADI27" s="13"/>
      <c r="ADJ27" s="13"/>
      <c r="ADK27" s="13"/>
      <c r="ADL27" s="13"/>
      <c r="ADM27" s="13"/>
      <c r="ADN27" s="13"/>
      <c r="ADO27" s="13"/>
      <c r="ADP27" s="13"/>
      <c r="ADQ27" s="13"/>
      <c r="ADR27" s="13"/>
      <c r="ADS27" s="13"/>
      <c r="ADT27" s="13"/>
      <c r="ADU27" s="13"/>
      <c r="ADV27" s="13"/>
      <c r="ADW27" s="13"/>
      <c r="ADX27" s="13"/>
      <c r="ADY27" s="13"/>
      <c r="ADZ27" s="13"/>
      <c r="AEA27" s="13"/>
      <c r="AEB27" s="13"/>
      <c r="AEC27" s="13"/>
      <c r="AED27" s="13"/>
      <c r="AEE27" s="13"/>
      <c r="AEF27" s="13"/>
      <c r="AEG27" s="13"/>
      <c r="AEH27" s="13"/>
      <c r="AEI27" s="13"/>
      <c r="AEJ27" s="13"/>
      <c r="AEK27" s="13"/>
      <c r="AEL27" s="13"/>
      <c r="AEM27" s="13"/>
      <c r="AEN27" s="13"/>
      <c r="AEO27" s="13"/>
      <c r="AEP27" s="13"/>
      <c r="AEQ27" s="13"/>
      <c r="AER27" s="13"/>
      <c r="AES27" s="13"/>
      <c r="AET27" s="13"/>
      <c r="AEU27" s="13"/>
      <c r="AEV27" s="13"/>
      <c r="AEW27" s="13"/>
      <c r="AEX27" s="13"/>
      <c r="AEY27" s="13"/>
      <c r="AEZ27" s="13"/>
      <c r="AFA27" s="13"/>
      <c r="AFB27" s="13"/>
      <c r="AFC27" s="13"/>
      <c r="AFD27" s="13"/>
      <c r="AFE27" s="13"/>
      <c r="AFF27" s="13"/>
      <c r="AFG27" s="13"/>
      <c r="AFH27" s="13"/>
      <c r="AFI27" s="13"/>
      <c r="AFJ27" s="13"/>
      <c r="AFK27" s="13"/>
      <c r="AFL27" s="13"/>
      <c r="AFM27" s="13"/>
      <c r="AFN27" s="13"/>
      <c r="AFO27" s="13"/>
      <c r="AFP27" s="13"/>
      <c r="AFQ27" s="13"/>
      <c r="AFR27" s="13"/>
      <c r="AFS27" s="13"/>
      <c r="AFT27" s="13"/>
      <c r="AFU27" s="13"/>
      <c r="AFV27" s="13"/>
      <c r="AFW27" s="13"/>
      <c r="AFX27" s="13"/>
      <c r="AFY27" s="13"/>
      <c r="AFZ27" s="13"/>
      <c r="AGA27" s="13"/>
      <c r="AGB27" s="13"/>
      <c r="AGC27" s="13"/>
      <c r="AGD27" s="13"/>
      <c r="AGE27" s="13"/>
      <c r="AGF27" s="13"/>
      <c r="AGG27" s="13"/>
      <c r="AGH27" s="13"/>
      <c r="AGI27" s="13"/>
      <c r="AGJ27" s="13"/>
      <c r="AGK27" s="13"/>
      <c r="AGL27" s="13"/>
      <c r="AGM27" s="13"/>
      <c r="AGN27" s="13"/>
      <c r="AGO27" s="13"/>
      <c r="AGP27" s="13"/>
      <c r="AGQ27" s="13"/>
      <c r="AGR27" s="13"/>
      <c r="AGS27" s="13"/>
      <c r="AGT27" s="13"/>
      <c r="AGU27" s="13"/>
      <c r="AGV27" s="13"/>
      <c r="AGW27" s="13"/>
      <c r="AGX27" s="13"/>
      <c r="AGY27" s="13"/>
      <c r="AGZ27" s="13"/>
      <c r="AHA27" s="13"/>
      <c r="AHB27" s="13"/>
      <c r="AHC27" s="13"/>
      <c r="AHD27" s="13"/>
      <c r="AHE27" s="13"/>
      <c r="AHF27" s="13"/>
      <c r="AHG27" s="13"/>
      <c r="AHH27" s="13"/>
      <c r="AHI27" s="13"/>
      <c r="AHJ27" s="13"/>
      <c r="AHK27" s="13"/>
      <c r="AHL27" s="13"/>
      <c r="AHM27" s="13"/>
      <c r="AHN27" s="13"/>
      <c r="AHO27" s="13"/>
      <c r="AHP27" s="13"/>
      <c r="AHQ27" s="13"/>
      <c r="AHR27" s="13"/>
      <c r="AHS27" s="13"/>
      <c r="AHT27" s="13"/>
      <c r="AHU27" s="13"/>
      <c r="AHV27" s="13"/>
      <c r="AHW27" s="13"/>
      <c r="AHX27" s="13"/>
      <c r="AHY27" s="13"/>
      <c r="AHZ27" s="13"/>
      <c r="AIA27" s="13"/>
      <c r="AIB27" s="13"/>
      <c r="AIC27" s="13"/>
      <c r="AID27" s="13"/>
      <c r="AIE27" s="13"/>
      <c r="AIF27" s="13"/>
      <c r="AIG27" s="13"/>
      <c r="AIH27" s="13"/>
      <c r="AII27" s="13"/>
      <c r="AIJ27" s="13"/>
      <c r="AIK27" s="13"/>
      <c r="AIL27" s="13"/>
      <c r="AIM27" s="13"/>
      <c r="AIN27" s="13"/>
      <c r="AIO27" s="13"/>
      <c r="AIP27" s="13"/>
      <c r="AIQ27" s="13"/>
      <c r="AIR27" s="13"/>
      <c r="AIS27" s="13"/>
      <c r="AIT27" s="13"/>
      <c r="AIU27" s="13"/>
      <c r="AIV27" s="13"/>
      <c r="AIW27" s="13"/>
      <c r="AIX27" s="13"/>
      <c r="AIY27" s="13"/>
      <c r="AIZ27" s="13"/>
      <c r="AJA27" s="13"/>
      <c r="AJB27" s="13"/>
      <c r="AJC27" s="13"/>
      <c r="AJD27" s="13"/>
      <c r="AJE27" s="13"/>
      <c r="AJF27" s="13"/>
      <c r="AJG27" s="13"/>
      <c r="AJH27" s="13"/>
      <c r="AJI27" s="13"/>
      <c r="AJJ27" s="13"/>
      <c r="AJK27" s="13"/>
      <c r="AJL27" s="13"/>
      <c r="AJM27" s="13"/>
      <c r="AJN27" s="13"/>
      <c r="AJO27" s="13"/>
      <c r="AJP27" s="13"/>
      <c r="AJQ27" s="13"/>
      <c r="AJR27" s="13"/>
      <c r="AJS27" s="13"/>
      <c r="AJT27" s="13"/>
      <c r="AJU27" s="13"/>
      <c r="AJV27" s="13"/>
      <c r="AJW27" s="13"/>
      <c r="AJX27" s="13"/>
      <c r="AJY27" s="13"/>
      <c r="AJZ27" s="13"/>
      <c r="AKA27" s="13"/>
      <c r="AKB27" s="13"/>
      <c r="AKC27" s="13"/>
      <c r="AKD27" s="13"/>
      <c r="AKE27" s="13"/>
      <c r="AKF27" s="13"/>
      <c r="AKG27" s="13"/>
      <c r="AKH27" s="13"/>
      <c r="AKI27" s="13"/>
      <c r="AKJ27" s="13"/>
      <c r="AKK27" s="13"/>
      <c r="AKL27" s="13"/>
      <c r="AKM27" s="13"/>
      <c r="AKN27" s="13"/>
      <c r="AKO27" s="13"/>
      <c r="AKP27" s="13"/>
      <c r="AKQ27" s="13"/>
      <c r="AKR27" s="13"/>
      <c r="AKS27" s="13"/>
      <c r="AKT27" s="13"/>
      <c r="AKU27" s="13"/>
      <c r="AKV27" s="13"/>
      <c r="AKW27" s="13"/>
      <c r="AKX27" s="13"/>
      <c r="AKY27" s="13"/>
      <c r="AKZ27" s="13"/>
      <c r="ALA27" s="13"/>
      <c r="ALB27" s="13"/>
      <c r="ALC27" s="13"/>
      <c r="ALD27" s="13"/>
      <c r="ALE27" s="13"/>
      <c r="ALF27" s="13"/>
      <c r="ALG27" s="13"/>
      <c r="ALH27" s="13"/>
      <c r="ALI27" s="13"/>
      <c r="ALJ27" s="13"/>
      <c r="ALK27" s="13"/>
      <c r="ALL27" s="13"/>
      <c r="ALM27" s="13"/>
      <c r="ALN27" s="13"/>
      <c r="ALO27" s="13"/>
      <c r="ALP27" s="13"/>
      <c r="ALQ27" s="13"/>
      <c r="ALR27" s="13"/>
      <c r="ALS27" s="13"/>
      <c r="ALT27" s="13"/>
      <c r="ALU27" s="13"/>
      <c r="ALV27" s="13"/>
      <c r="ALW27" s="13"/>
      <c r="ALX27" s="13"/>
      <c r="ALY27" s="13"/>
    </row>
    <row r="28" spans="1:1024" s="1" customFormat="1" ht="22.15" customHeight="1" thickBot="1" x14ac:dyDescent="0.3">
      <c r="A28" s="301"/>
      <c r="B28" s="25" t="s">
        <v>1</v>
      </c>
      <c r="C28" s="128" t="s">
        <v>9</v>
      </c>
      <c r="D28" s="108" t="s">
        <v>9</v>
      </c>
      <c r="E28" s="108" t="s">
        <v>9</v>
      </c>
      <c r="F28" s="108" t="s">
        <v>9</v>
      </c>
      <c r="G28" s="108" t="s">
        <v>9</v>
      </c>
      <c r="H28" s="108" t="s">
        <v>9</v>
      </c>
      <c r="I28" s="108" t="s">
        <v>9</v>
      </c>
      <c r="J28" s="108" t="s">
        <v>9</v>
      </c>
      <c r="K28" s="108" t="s">
        <v>9</v>
      </c>
      <c r="L28" s="108" t="s">
        <v>9</v>
      </c>
      <c r="M28" s="108" t="s">
        <v>9</v>
      </c>
      <c r="N28" s="108" t="s">
        <v>9</v>
      </c>
      <c r="O28" s="108" t="s">
        <v>9</v>
      </c>
      <c r="P28" s="108" t="s">
        <v>9</v>
      </c>
      <c r="Q28" s="108" t="s">
        <v>9</v>
      </c>
      <c r="R28" s="108" t="s">
        <v>9</v>
      </c>
      <c r="S28" s="108" t="s">
        <v>9</v>
      </c>
      <c r="T28" s="108" t="s">
        <v>9</v>
      </c>
      <c r="U28" s="108" t="s">
        <v>9</v>
      </c>
      <c r="V28" s="108" t="s">
        <v>9</v>
      </c>
      <c r="W28" s="108" t="s">
        <v>9</v>
      </c>
      <c r="X28" s="108" t="s">
        <v>9</v>
      </c>
      <c r="Y28" s="108" t="s">
        <v>9</v>
      </c>
      <c r="Z28" s="108" t="s">
        <v>9</v>
      </c>
      <c r="AA28" s="108" t="s">
        <v>9</v>
      </c>
      <c r="AB28" s="108" t="s">
        <v>9</v>
      </c>
      <c r="AC28" s="108" t="s">
        <v>9</v>
      </c>
      <c r="AD28" s="108" t="s">
        <v>9</v>
      </c>
      <c r="AE28" s="108" t="s">
        <v>9</v>
      </c>
      <c r="AF28" s="108" t="s">
        <v>9</v>
      </c>
      <c r="AG28" s="108" t="s">
        <v>9</v>
      </c>
      <c r="AH28" s="108" t="s">
        <v>9</v>
      </c>
      <c r="AI28" s="108" t="s">
        <v>9</v>
      </c>
      <c r="AJ28" s="108" t="s">
        <v>9</v>
      </c>
      <c r="AK28" s="108" t="s">
        <v>9</v>
      </c>
      <c r="AL28" s="108" t="s">
        <v>9</v>
      </c>
      <c r="AM28" s="108" t="s">
        <v>9</v>
      </c>
      <c r="AN28" s="108" t="s">
        <v>9</v>
      </c>
      <c r="AO28" s="108" t="s">
        <v>9</v>
      </c>
      <c r="AP28" s="108" t="s">
        <v>9</v>
      </c>
      <c r="AQ28" s="108" t="s">
        <v>9</v>
      </c>
      <c r="AR28" s="108" t="s">
        <v>9</v>
      </c>
      <c r="AS28" s="108" t="s">
        <v>9</v>
      </c>
      <c r="AT28" s="108" t="s">
        <v>9</v>
      </c>
      <c r="AU28" s="108" t="s">
        <v>9</v>
      </c>
      <c r="AV28" s="108" t="s">
        <v>9</v>
      </c>
      <c r="AW28" s="108" t="s">
        <v>9</v>
      </c>
      <c r="AX28" s="108" t="s">
        <v>9</v>
      </c>
      <c r="AY28" s="108" t="s">
        <v>9</v>
      </c>
      <c r="AZ28" s="108" t="s">
        <v>9</v>
      </c>
      <c r="BA28" s="108" t="s">
        <v>9</v>
      </c>
      <c r="BB28" s="145" t="s">
        <v>9</v>
      </c>
      <c r="BC28" s="145" t="s">
        <v>9</v>
      </c>
      <c r="BD28" s="145" t="s">
        <v>9</v>
      </c>
      <c r="BE28" s="145" t="s">
        <v>9</v>
      </c>
      <c r="BF28" s="145" t="s">
        <v>9</v>
      </c>
      <c r="BG28" s="145" t="s">
        <v>9</v>
      </c>
      <c r="BH28" s="145" t="s">
        <v>9</v>
      </c>
      <c r="BI28" s="145" t="s">
        <v>9</v>
      </c>
      <c r="BJ28" s="145" t="s">
        <v>9</v>
      </c>
      <c r="BK28" s="145" t="s">
        <v>9</v>
      </c>
      <c r="BL28" s="145" t="s">
        <v>9</v>
      </c>
      <c r="BM28" s="145" t="s">
        <v>9</v>
      </c>
      <c r="BN28" s="145" t="s">
        <v>9</v>
      </c>
      <c r="BO28" s="145" t="s">
        <v>9</v>
      </c>
      <c r="BP28" s="145" t="s">
        <v>9</v>
      </c>
      <c r="BQ28" s="145" t="s">
        <v>9</v>
      </c>
      <c r="BR28" s="145" t="s">
        <v>9</v>
      </c>
      <c r="BS28" s="145" t="s">
        <v>9</v>
      </c>
      <c r="BT28" s="145" t="s">
        <v>9</v>
      </c>
      <c r="BU28" s="145" t="s">
        <v>9</v>
      </c>
      <c r="BV28" s="145" t="s">
        <v>9</v>
      </c>
      <c r="BW28" s="145" t="s">
        <v>9</v>
      </c>
      <c r="BX28" s="145" t="s">
        <v>9</v>
      </c>
      <c r="BY28" s="145" t="s">
        <v>9</v>
      </c>
      <c r="BZ28" s="145" t="s">
        <v>9</v>
      </c>
      <c r="CA28" s="145" t="s">
        <v>9</v>
      </c>
      <c r="CB28" s="145" t="s">
        <v>9</v>
      </c>
      <c r="CC28" s="145" t="s">
        <v>9</v>
      </c>
      <c r="CD28" s="145" t="s">
        <v>9</v>
      </c>
      <c r="CE28" s="145" t="s">
        <v>9</v>
      </c>
      <c r="CF28" s="145" t="s">
        <v>9</v>
      </c>
      <c r="CG28" s="145" t="s">
        <v>9</v>
      </c>
      <c r="CH28" s="145" t="s">
        <v>9</v>
      </c>
      <c r="CI28" s="145" t="s">
        <v>9</v>
      </c>
      <c r="CJ28" s="145" t="s">
        <v>9</v>
      </c>
      <c r="CK28" s="145" t="s">
        <v>9</v>
      </c>
      <c r="CL28" s="145" t="s">
        <v>9</v>
      </c>
      <c r="CM28" s="145" t="s">
        <v>9</v>
      </c>
      <c r="CN28" s="145" t="s">
        <v>9</v>
      </c>
      <c r="CO28" s="145" t="s">
        <v>9</v>
      </c>
      <c r="CP28" s="145" t="s">
        <v>9</v>
      </c>
      <c r="CQ28" s="145" t="s">
        <v>9</v>
      </c>
      <c r="CR28" s="145" t="s">
        <v>9</v>
      </c>
      <c r="CS28" s="145" t="s">
        <v>9</v>
      </c>
      <c r="CT28" s="145" t="s">
        <v>9</v>
      </c>
      <c r="CU28" s="145" t="s">
        <v>9</v>
      </c>
      <c r="CV28" s="145" t="s">
        <v>9</v>
      </c>
      <c r="CW28" s="145" t="s">
        <v>9</v>
      </c>
      <c r="CX28" s="145" t="s">
        <v>9</v>
      </c>
      <c r="CY28" s="145" t="s">
        <v>9</v>
      </c>
      <c r="CZ28" s="145" t="s">
        <v>9</v>
      </c>
      <c r="DA28" s="155" t="s">
        <v>9</v>
      </c>
      <c r="DB28" s="155" t="s">
        <v>9</v>
      </c>
      <c r="DC28" s="155" t="s">
        <v>9</v>
      </c>
      <c r="DD28" s="155" t="s">
        <v>9</v>
      </c>
      <c r="DE28" s="155" t="s">
        <v>9</v>
      </c>
      <c r="DF28" s="155" t="s">
        <v>9</v>
      </c>
      <c r="DG28" s="155" t="s">
        <v>9</v>
      </c>
      <c r="DH28" s="155" t="s">
        <v>9</v>
      </c>
      <c r="DI28" s="155" t="s">
        <v>9</v>
      </c>
      <c r="DJ28" s="155" t="s">
        <v>9</v>
      </c>
      <c r="DK28" s="155" t="s">
        <v>9</v>
      </c>
      <c r="DL28" s="155" t="s">
        <v>9</v>
      </c>
      <c r="DM28" s="155" t="s">
        <v>9</v>
      </c>
      <c r="DN28" s="155" t="s">
        <v>9</v>
      </c>
      <c r="DO28" s="155" t="s">
        <v>9</v>
      </c>
      <c r="DP28" s="155" t="s">
        <v>9</v>
      </c>
      <c r="DQ28" s="155" t="s">
        <v>9</v>
      </c>
      <c r="DR28" s="155" t="s">
        <v>9</v>
      </c>
      <c r="DS28" s="155" t="s">
        <v>9</v>
      </c>
      <c r="DT28" s="155" t="s">
        <v>9</v>
      </c>
      <c r="DU28" s="155" t="s">
        <v>9</v>
      </c>
      <c r="DV28" s="155" t="s">
        <v>9</v>
      </c>
      <c r="DW28" s="155" t="s">
        <v>9</v>
      </c>
      <c r="DX28" s="155" t="s">
        <v>9</v>
      </c>
      <c r="DY28" s="155" t="s">
        <v>9</v>
      </c>
      <c r="DZ28" s="155" t="s">
        <v>9</v>
      </c>
      <c r="EA28" s="177" t="s">
        <v>9</v>
      </c>
      <c r="EB28" s="181" t="s">
        <v>26</v>
      </c>
      <c r="EC28" s="177" t="s">
        <v>9</v>
      </c>
      <c r="ED28" s="181" t="s">
        <v>26</v>
      </c>
      <c r="EE28" s="155" t="s">
        <v>9</v>
      </c>
      <c r="EF28" s="155" t="s">
        <v>9</v>
      </c>
      <c r="EG28" s="155" t="s">
        <v>9</v>
      </c>
      <c r="EH28" s="177" t="s">
        <v>9</v>
      </c>
      <c r="EI28" s="181" t="s">
        <v>26</v>
      </c>
      <c r="EJ28" s="177" t="s">
        <v>9</v>
      </c>
      <c r="EK28" s="181" t="s">
        <v>26</v>
      </c>
      <c r="EL28" s="155" t="s">
        <v>9</v>
      </c>
      <c r="EM28" s="155" t="s">
        <v>9</v>
      </c>
      <c r="EN28" s="155" t="s">
        <v>9</v>
      </c>
      <c r="EO28" s="177" t="s">
        <v>9</v>
      </c>
      <c r="EP28" s="181" t="s">
        <v>26</v>
      </c>
      <c r="EQ28" s="177" t="s">
        <v>9</v>
      </c>
      <c r="ER28" s="181" t="s">
        <v>26</v>
      </c>
      <c r="ES28" s="155" t="s">
        <v>9</v>
      </c>
      <c r="ET28" s="155" t="s">
        <v>9</v>
      </c>
      <c r="EU28" s="155" t="s">
        <v>9</v>
      </c>
      <c r="EV28" s="177" t="s">
        <v>9</v>
      </c>
      <c r="EW28" s="181" t="s">
        <v>26</v>
      </c>
      <c r="EX28" s="177" t="s">
        <v>9</v>
      </c>
      <c r="EY28" s="181" t="s">
        <v>26</v>
      </c>
      <c r="EZ28" s="20"/>
      <c r="FA28" s="20"/>
      <c r="FB28" s="20"/>
      <c r="FC28" s="20"/>
      <c r="FD28" s="20"/>
      <c r="FE28" s="20"/>
      <c r="FF28" s="20"/>
      <c r="FG28" s="20"/>
      <c r="FH28" s="20"/>
      <c r="FI28" s="20"/>
      <c r="FJ28" s="20"/>
      <c r="FK28" s="20"/>
      <c r="FL28" s="20"/>
      <c r="FM28" s="20"/>
      <c r="FN28" s="20"/>
      <c r="FO28" s="20"/>
      <c r="FP28" s="20"/>
      <c r="FQ28" s="20"/>
      <c r="FR28" s="20"/>
      <c r="FS28" s="20"/>
      <c r="FT28" s="20"/>
      <c r="FU28" s="20"/>
      <c r="FV28" s="20"/>
      <c r="FW28" s="20"/>
      <c r="FX28" s="20"/>
      <c r="FY28" s="20"/>
      <c r="FZ28" s="20"/>
      <c r="GA28" s="20"/>
      <c r="GB28" s="20"/>
      <c r="GC28" s="20"/>
      <c r="GD28" s="20"/>
      <c r="GE28" s="20"/>
      <c r="GF28" s="20"/>
      <c r="GG28" s="20"/>
      <c r="GH28" s="20"/>
      <c r="GI28" s="20"/>
      <c r="GJ28" s="20"/>
      <c r="GK28" s="20"/>
      <c r="GL28" s="20"/>
      <c r="GM28" s="20"/>
      <c r="GN28" s="20"/>
      <c r="GO28" s="20"/>
      <c r="GP28" s="20"/>
      <c r="GQ28" s="20"/>
      <c r="GR28" s="20"/>
      <c r="GS28" s="20"/>
      <c r="GT28" s="20"/>
      <c r="GU28" s="20"/>
      <c r="GV28" s="20"/>
      <c r="GW28" s="20"/>
      <c r="GX28" s="23"/>
      <c r="GY28" s="20"/>
      <c r="GZ28" s="20"/>
      <c r="HA28" s="20"/>
      <c r="HB28" s="20"/>
      <c r="HC28" s="20"/>
      <c r="HD28" s="23"/>
      <c r="HE28" s="20"/>
      <c r="HF28" s="20"/>
      <c r="HG28" s="20"/>
      <c r="HH28" s="20"/>
      <c r="HI28" s="20"/>
      <c r="HJ28" s="23"/>
      <c r="HK28" s="20"/>
      <c r="HL28" s="20"/>
      <c r="HM28" s="20"/>
      <c r="HN28" s="20"/>
      <c r="HO28" s="20"/>
      <c r="HP28" s="129"/>
      <c r="HQ28" s="22"/>
      <c r="HR28" s="22"/>
      <c r="HS28" s="22"/>
      <c r="HT28" s="22"/>
      <c r="HU28" s="22"/>
      <c r="HV28" s="22"/>
      <c r="HW28" s="22"/>
      <c r="HX28" s="22"/>
      <c r="HY28" s="22"/>
      <c r="HZ28" s="22"/>
      <c r="IA28" s="22"/>
      <c r="IB28" s="22"/>
      <c r="IC28" s="22"/>
      <c r="ID28" s="22"/>
      <c r="IE28" s="22"/>
      <c r="IF28" s="22"/>
      <c r="IG28" s="22"/>
      <c r="IH28" s="22"/>
      <c r="II28" s="22"/>
      <c r="IJ28" s="22"/>
      <c r="IK28" s="22"/>
      <c r="IL28" s="22"/>
      <c r="IM28" s="22"/>
      <c r="IN28" s="22"/>
      <c r="IO28" s="22"/>
      <c r="IP28" s="22"/>
      <c r="IQ28" s="22"/>
      <c r="IR28" s="22"/>
      <c r="IS28" s="22"/>
      <c r="IT28" s="22"/>
      <c r="IU28" s="22"/>
      <c r="IV28" s="22"/>
      <c r="IW28" s="22"/>
      <c r="IX28" s="22"/>
      <c r="IY28" s="22"/>
      <c r="IZ28" s="22"/>
      <c r="JA28" s="22"/>
      <c r="JB28" s="22"/>
      <c r="JC28" s="22"/>
      <c r="JD28" s="22"/>
      <c r="JE28" s="22"/>
      <c r="JF28" s="22"/>
      <c r="JG28" s="22"/>
      <c r="JH28" s="22"/>
      <c r="JI28" s="22"/>
      <c r="JJ28" s="22"/>
      <c r="JK28" s="22"/>
      <c r="JL28" s="22"/>
      <c r="JM28" s="22"/>
      <c r="JN28" s="23"/>
      <c r="JO28" s="23"/>
      <c r="JP28" s="22"/>
      <c r="JQ28" s="22"/>
      <c r="JR28" s="22"/>
      <c r="JS28" s="22"/>
      <c r="JT28" s="22"/>
      <c r="JU28" s="22"/>
      <c r="JV28" s="22"/>
      <c r="JW28" s="22"/>
      <c r="JX28" s="22"/>
      <c r="JY28" s="22"/>
      <c r="JZ28" s="22"/>
      <c r="KA28" s="22"/>
      <c r="KB28" s="22"/>
      <c r="KC28" s="22"/>
      <c r="KD28" s="22"/>
      <c r="KE28" s="22"/>
      <c r="KF28" s="22"/>
      <c r="KG28" s="22"/>
      <c r="KH28" s="22"/>
      <c r="KI28" s="22"/>
      <c r="KJ28" s="22"/>
      <c r="KK28" s="22"/>
      <c r="KL28" s="22"/>
      <c r="KM28" s="22"/>
      <c r="KN28" s="22"/>
      <c r="KO28" s="22"/>
      <c r="KP28" s="22"/>
      <c r="KQ28" s="22"/>
      <c r="KR28" s="22"/>
      <c r="KS28" s="22"/>
      <c r="KT28" s="22"/>
      <c r="KU28" s="22"/>
      <c r="KV28" s="22"/>
      <c r="KW28" s="22"/>
      <c r="KX28" s="22"/>
      <c r="KY28" s="22"/>
      <c r="KZ28" s="22"/>
      <c r="LA28" s="22"/>
      <c r="LB28" s="22"/>
      <c r="LC28" s="22"/>
      <c r="LD28" s="22"/>
      <c r="LE28" s="22"/>
      <c r="LF28" s="22"/>
      <c r="LG28" s="22"/>
      <c r="LH28" s="22"/>
      <c r="LI28" s="22"/>
      <c r="LJ28" s="22"/>
      <c r="LK28" s="22"/>
      <c r="LL28" s="22"/>
      <c r="LM28" s="22"/>
      <c r="LN28" s="22"/>
      <c r="LO28" s="22"/>
      <c r="LP28" s="22"/>
      <c r="LQ28" s="22"/>
      <c r="LR28" s="22"/>
      <c r="LS28" s="22"/>
      <c r="LT28" s="22"/>
      <c r="LU28" s="22"/>
      <c r="LV28" s="22"/>
      <c r="LW28" s="22"/>
      <c r="LX28" s="22"/>
      <c r="LY28" s="22"/>
      <c r="LZ28" s="22"/>
      <c r="MA28" s="22"/>
      <c r="MB28" s="23"/>
      <c r="MC28" s="23"/>
      <c r="MD28" s="22"/>
      <c r="ME28" s="22"/>
      <c r="MF28" s="22"/>
      <c r="MG28" s="22"/>
      <c r="MH28" s="22"/>
      <c r="MI28" s="22"/>
      <c r="MJ28" s="22"/>
      <c r="MK28" s="22"/>
      <c r="ML28" s="22"/>
      <c r="MM28" s="22"/>
      <c r="MN28" s="22"/>
      <c r="MO28" s="22"/>
      <c r="MP28" s="22"/>
      <c r="MQ28" s="22"/>
      <c r="MR28" s="22"/>
      <c r="MS28" s="22"/>
      <c r="MT28" s="22"/>
      <c r="MU28" s="22"/>
      <c r="MV28" s="22"/>
      <c r="MW28" s="22"/>
      <c r="MX28" s="22"/>
      <c r="MY28" s="22"/>
      <c r="MZ28" s="22"/>
      <c r="NA28" s="22"/>
      <c r="NB28" s="22"/>
      <c r="NC28" s="22"/>
      <c r="ND28" s="22"/>
      <c r="NE28" s="22"/>
      <c r="NF28" s="22"/>
      <c r="NG28" s="31"/>
      <c r="NH28" s="22"/>
      <c r="NI28" s="22"/>
      <c r="NJ28" s="22"/>
      <c r="NK28" s="22"/>
      <c r="NL28" s="22"/>
      <c r="NM28" s="22"/>
      <c r="NN28" s="22"/>
      <c r="NO28" s="22"/>
      <c r="NP28" s="22"/>
      <c r="NQ28" s="22"/>
      <c r="NR28" s="22"/>
      <c r="NS28" s="22"/>
      <c r="NT28" s="22"/>
      <c r="NU28" s="22"/>
      <c r="NV28" s="31"/>
      <c r="NW28" s="22"/>
      <c r="NX28" s="22"/>
      <c r="NY28" s="22"/>
      <c r="NZ28" s="22"/>
      <c r="OA28" s="22"/>
      <c r="OB28" s="22"/>
      <c r="OC28" s="22"/>
      <c r="OD28" s="22"/>
      <c r="OE28" s="22"/>
      <c r="OF28" s="22"/>
      <c r="OG28" s="22"/>
      <c r="OH28" s="22"/>
      <c r="OI28" s="22"/>
      <c r="OJ28" s="22"/>
      <c r="OK28" s="22"/>
      <c r="OL28" s="22"/>
      <c r="OM28" s="22"/>
      <c r="ON28" s="22"/>
      <c r="OO28" s="22"/>
      <c r="OP28" s="23"/>
      <c r="OQ28" s="30"/>
      <c r="OR28" s="30"/>
      <c r="OS28" s="30"/>
      <c r="OT28" s="30"/>
      <c r="OU28" s="30"/>
      <c r="OV28" s="30"/>
      <c r="OW28" s="30"/>
      <c r="OX28" s="30"/>
      <c r="OY28" s="30"/>
      <c r="OZ28" s="30"/>
      <c r="PA28" s="30"/>
      <c r="PB28" s="30"/>
      <c r="PC28" s="30"/>
      <c r="PD28" s="30"/>
      <c r="PE28" s="30"/>
      <c r="PF28" s="30"/>
      <c r="PG28" s="30"/>
      <c r="PH28" s="30"/>
      <c r="PI28" s="30"/>
      <c r="PJ28" s="30"/>
      <c r="PK28" s="30"/>
      <c r="PL28" s="30"/>
      <c r="PM28" s="30"/>
      <c r="PN28" s="30"/>
      <c r="PO28" s="30"/>
      <c r="PP28" s="30"/>
      <c r="PQ28" s="30"/>
      <c r="PR28" s="30"/>
      <c r="PS28" s="30"/>
      <c r="PT28" s="30"/>
      <c r="PU28" s="30"/>
      <c r="PV28" s="30"/>
      <c r="PW28" s="30"/>
      <c r="PX28" s="30"/>
      <c r="PY28" s="30"/>
      <c r="PZ28" s="30"/>
      <c r="QA28" s="30"/>
      <c r="QB28" s="30"/>
      <c r="QC28" s="30"/>
      <c r="QD28" s="30"/>
      <c r="QE28" s="29"/>
      <c r="QF28" s="29"/>
      <c r="QG28" s="29"/>
      <c r="QH28" s="29"/>
      <c r="QI28" s="29"/>
      <c r="QJ28" s="29"/>
      <c r="QK28" s="29"/>
      <c r="QL28" s="29"/>
      <c r="QM28" s="29"/>
      <c r="QN28" s="29"/>
      <c r="QO28" s="29"/>
      <c r="QP28" s="29"/>
      <c r="QQ28" s="29"/>
      <c r="QR28" s="29"/>
      <c r="QS28" s="29"/>
      <c r="QT28" s="29"/>
      <c r="QU28" s="29"/>
      <c r="QV28" s="29"/>
      <c r="QW28" s="29"/>
      <c r="QX28" s="29"/>
      <c r="QY28" s="29"/>
      <c r="QZ28" s="29"/>
      <c r="RA28" s="29"/>
      <c r="RB28" s="29"/>
      <c r="RC28" s="29"/>
      <c r="RD28" s="29"/>
      <c r="RE28" s="29"/>
      <c r="RF28" s="29"/>
      <c r="RG28" s="29"/>
      <c r="RH28" s="29"/>
      <c r="RI28" s="29"/>
      <c r="RJ28" s="29"/>
      <c r="RK28" s="29"/>
      <c r="RL28" s="29"/>
      <c r="RM28" s="29"/>
      <c r="RN28" s="29"/>
      <c r="RO28" s="29"/>
      <c r="RP28" s="29"/>
      <c r="RQ28" s="29"/>
      <c r="RR28" s="29"/>
      <c r="RS28" s="29"/>
      <c r="RT28" s="29"/>
      <c r="RU28" s="29"/>
      <c r="RV28" s="29"/>
      <c r="RW28" s="29"/>
      <c r="RX28" s="29"/>
      <c r="RY28" s="29"/>
      <c r="RZ28" s="29"/>
      <c r="SA28" s="29"/>
      <c r="SB28" s="29"/>
      <c r="SC28" s="14"/>
      <c r="SD28" s="14"/>
      <c r="SE28" s="14"/>
      <c r="SF28" s="14"/>
      <c r="SG28" s="14"/>
      <c r="SH28" s="14"/>
      <c r="SI28" s="14"/>
      <c r="SJ28" s="14"/>
      <c r="SK28" s="14"/>
      <c r="SL28" s="14"/>
      <c r="SM28" s="14"/>
      <c r="SN28" s="14"/>
      <c r="SO28" s="14"/>
      <c r="SP28" s="14"/>
      <c r="SQ28" s="14"/>
      <c r="SR28" s="14"/>
      <c r="SS28" s="14"/>
      <c r="ST28" s="14"/>
      <c r="SU28" s="14"/>
      <c r="SV28" s="14"/>
      <c r="SW28" s="14"/>
      <c r="SX28" s="14"/>
      <c r="SY28" s="14"/>
      <c r="SZ28" s="14"/>
      <c r="TA28" s="14"/>
      <c r="TB28" s="14"/>
      <c r="TC28" s="13"/>
      <c r="TD28" s="13"/>
      <c r="TE28" s="13"/>
      <c r="TF28" s="13"/>
      <c r="TG28" s="13"/>
      <c r="TH28" s="13"/>
      <c r="TI28" s="13"/>
      <c r="TJ28" s="13"/>
      <c r="TK28" s="13"/>
      <c r="TL28" s="13"/>
      <c r="TM28" s="13"/>
      <c r="TN28" s="13"/>
      <c r="TO28" s="13"/>
      <c r="TP28" s="13"/>
      <c r="TQ28" s="13"/>
      <c r="TR28" s="13"/>
      <c r="TS28" s="13"/>
      <c r="TT28" s="13"/>
      <c r="TU28" s="13"/>
      <c r="TV28" s="13"/>
      <c r="TW28" s="13"/>
      <c r="TX28" s="13"/>
      <c r="TY28" s="13"/>
      <c r="TZ28" s="13"/>
      <c r="UA28" s="13"/>
      <c r="UB28" s="13"/>
      <c r="UC28" s="13"/>
      <c r="UD28" s="13"/>
      <c r="UE28" s="13"/>
      <c r="UF28" s="13"/>
      <c r="UG28" s="13"/>
      <c r="UH28" s="13"/>
      <c r="UI28" s="13"/>
      <c r="UJ28" s="13"/>
      <c r="UK28" s="13"/>
      <c r="UL28" s="13"/>
      <c r="UM28" s="13"/>
      <c r="UN28" s="13"/>
      <c r="UO28" s="13"/>
      <c r="UP28" s="13"/>
      <c r="UQ28" s="13"/>
      <c r="UR28" s="13"/>
      <c r="US28" s="13"/>
      <c r="UT28" s="13"/>
      <c r="UU28" s="13"/>
      <c r="UV28" s="13"/>
      <c r="UW28" s="13"/>
      <c r="UX28" s="13"/>
      <c r="UY28" s="13"/>
      <c r="UZ28" s="13"/>
      <c r="VA28" s="13"/>
      <c r="VB28" s="13"/>
      <c r="VC28" s="13"/>
      <c r="VD28" s="13"/>
      <c r="VE28" s="13"/>
      <c r="VF28" s="13"/>
      <c r="VG28" s="13"/>
      <c r="VH28" s="13"/>
      <c r="VI28" s="13"/>
      <c r="VJ28" s="13"/>
      <c r="VK28" s="13"/>
      <c r="VL28" s="13"/>
      <c r="VM28" s="13"/>
      <c r="VN28" s="13"/>
      <c r="VO28" s="13"/>
      <c r="VP28" s="13"/>
      <c r="VQ28" s="13"/>
      <c r="VR28" s="13"/>
      <c r="VS28" s="13"/>
      <c r="VT28" s="13"/>
      <c r="VU28" s="13"/>
      <c r="VV28" s="13"/>
      <c r="VW28" s="13"/>
      <c r="VX28" s="13"/>
      <c r="VY28" s="13"/>
      <c r="VZ28" s="13"/>
      <c r="WA28" s="13"/>
      <c r="WB28" s="13"/>
      <c r="WC28" s="13"/>
      <c r="WD28" s="13"/>
      <c r="WE28" s="13"/>
      <c r="WF28" s="13"/>
      <c r="WG28" s="13"/>
      <c r="WH28" s="13"/>
      <c r="WI28" s="13"/>
      <c r="WJ28" s="13"/>
      <c r="WK28" s="13"/>
      <c r="WL28" s="13"/>
      <c r="WM28" s="13"/>
      <c r="WN28" s="13"/>
      <c r="WO28" s="13"/>
      <c r="WP28" s="13"/>
      <c r="WQ28" s="13"/>
      <c r="WR28" s="13"/>
      <c r="WS28" s="13"/>
      <c r="WT28" s="13"/>
      <c r="WU28" s="13"/>
      <c r="WV28" s="13"/>
      <c r="WW28" s="13"/>
      <c r="WX28" s="13"/>
      <c r="WY28" s="13"/>
      <c r="WZ28" s="13"/>
      <c r="XA28" s="13"/>
      <c r="XB28" s="13"/>
      <c r="XC28" s="13"/>
      <c r="XD28" s="13"/>
      <c r="XE28" s="13"/>
      <c r="XF28" s="13"/>
      <c r="XG28" s="13"/>
      <c r="XH28" s="13"/>
      <c r="XI28" s="13"/>
      <c r="XJ28" s="13"/>
      <c r="XK28" s="13"/>
      <c r="XL28" s="13"/>
      <c r="XM28" s="13"/>
      <c r="XN28" s="13"/>
      <c r="XO28" s="13"/>
      <c r="XP28" s="13"/>
      <c r="XQ28" s="13"/>
      <c r="XR28" s="13"/>
      <c r="XS28" s="13"/>
      <c r="XT28" s="13"/>
      <c r="XU28" s="13"/>
      <c r="XV28" s="13"/>
      <c r="XW28" s="13"/>
      <c r="XX28" s="13"/>
      <c r="XY28" s="13"/>
      <c r="XZ28" s="13"/>
      <c r="YA28" s="13"/>
      <c r="YB28" s="13"/>
      <c r="YC28" s="13"/>
      <c r="YD28" s="13"/>
      <c r="YE28" s="13"/>
      <c r="YF28" s="13"/>
      <c r="YG28" s="13"/>
      <c r="YH28" s="13"/>
      <c r="YI28" s="13"/>
      <c r="YJ28" s="13"/>
      <c r="YK28" s="13"/>
      <c r="YL28" s="13"/>
      <c r="YM28" s="13"/>
      <c r="YN28" s="13"/>
      <c r="YO28" s="13"/>
      <c r="YP28" s="13"/>
      <c r="YQ28" s="13"/>
      <c r="YR28" s="13"/>
      <c r="YS28" s="13"/>
      <c r="YT28" s="13"/>
      <c r="YU28" s="13"/>
      <c r="YV28" s="13"/>
      <c r="YW28" s="13"/>
      <c r="YX28" s="13"/>
      <c r="YY28" s="13"/>
      <c r="YZ28" s="13"/>
      <c r="ZA28" s="13"/>
      <c r="ZB28" s="13"/>
      <c r="ZC28" s="13"/>
      <c r="ZD28" s="13"/>
      <c r="ZE28" s="13"/>
      <c r="ZF28" s="13"/>
      <c r="ZG28" s="13"/>
      <c r="ZH28" s="13"/>
      <c r="ZI28" s="13"/>
      <c r="ZJ28" s="13"/>
      <c r="ZK28" s="13"/>
      <c r="ZL28" s="13"/>
      <c r="ZM28" s="13"/>
      <c r="ZN28" s="13"/>
      <c r="ZO28" s="13"/>
      <c r="ZP28" s="13"/>
      <c r="ZQ28" s="13"/>
      <c r="ZR28" s="13"/>
      <c r="ZS28" s="13"/>
      <c r="ZT28" s="13"/>
      <c r="ZU28" s="13"/>
      <c r="ZV28" s="13"/>
      <c r="ZW28" s="13"/>
      <c r="ZX28" s="13"/>
      <c r="ZY28" s="13"/>
      <c r="ZZ28" s="13"/>
      <c r="AAA28" s="13"/>
      <c r="AAB28" s="13"/>
      <c r="AAC28" s="13"/>
      <c r="AAD28" s="13"/>
      <c r="AAE28" s="13"/>
      <c r="AAF28" s="13"/>
      <c r="AAG28" s="13"/>
      <c r="AAH28" s="13"/>
      <c r="AAI28" s="13"/>
      <c r="AAJ28" s="13"/>
      <c r="AAK28" s="13"/>
      <c r="AAL28" s="13"/>
      <c r="AAM28" s="13"/>
      <c r="AAN28" s="13"/>
      <c r="AAO28" s="13"/>
      <c r="AAP28" s="13"/>
      <c r="AAQ28" s="13"/>
      <c r="AAR28" s="13"/>
      <c r="AAS28" s="13"/>
      <c r="AAT28" s="13"/>
      <c r="AAU28" s="13"/>
      <c r="AAV28" s="13"/>
      <c r="AAW28" s="13"/>
      <c r="AAX28" s="13"/>
      <c r="AAY28" s="13"/>
      <c r="AAZ28" s="13"/>
      <c r="ABA28" s="13"/>
      <c r="ABB28" s="13"/>
      <c r="ABC28" s="13"/>
      <c r="ABD28" s="13"/>
      <c r="ABE28" s="13"/>
      <c r="ABF28" s="13"/>
      <c r="ABG28" s="13"/>
      <c r="ABH28" s="13"/>
      <c r="ABI28" s="13"/>
      <c r="ABJ28" s="13"/>
      <c r="ABK28" s="13"/>
      <c r="ABL28" s="13"/>
      <c r="ABM28" s="13"/>
      <c r="ABN28" s="13"/>
      <c r="ABO28" s="13"/>
      <c r="ABP28" s="13"/>
      <c r="ABQ28" s="13"/>
      <c r="ABR28" s="13"/>
      <c r="ABS28" s="13"/>
      <c r="ABT28" s="13"/>
      <c r="ABU28" s="13"/>
      <c r="ABV28" s="13"/>
      <c r="ABW28" s="13"/>
      <c r="ABX28" s="13"/>
      <c r="ABY28" s="13"/>
      <c r="ABZ28" s="13"/>
      <c r="ACA28" s="13"/>
      <c r="ACB28" s="13"/>
      <c r="ACC28" s="13"/>
      <c r="ACD28" s="13"/>
      <c r="ACE28" s="13"/>
      <c r="ACF28" s="13"/>
      <c r="ACG28" s="13"/>
      <c r="ACH28" s="13"/>
      <c r="ACI28" s="13"/>
      <c r="ACJ28" s="13"/>
      <c r="ACK28" s="13"/>
      <c r="ACL28" s="13"/>
      <c r="ACM28" s="13"/>
      <c r="ACN28" s="13"/>
      <c r="ACO28" s="13"/>
      <c r="ACP28" s="13"/>
      <c r="ACQ28" s="13"/>
      <c r="ACR28" s="13"/>
      <c r="ACS28" s="13"/>
      <c r="ACT28" s="13"/>
      <c r="ACU28" s="13"/>
      <c r="ACV28" s="13"/>
      <c r="ACW28" s="13"/>
      <c r="ACX28" s="13"/>
      <c r="ACY28" s="13"/>
      <c r="ACZ28" s="13"/>
      <c r="ADA28" s="13"/>
      <c r="ADB28" s="13"/>
      <c r="ADC28" s="13"/>
      <c r="ADD28" s="13"/>
      <c r="ADE28" s="13"/>
      <c r="ADF28" s="13"/>
      <c r="ADG28" s="13"/>
      <c r="ADH28" s="13"/>
      <c r="ADI28" s="13"/>
      <c r="ADJ28" s="13"/>
      <c r="ADK28" s="13"/>
      <c r="ADL28" s="13"/>
      <c r="ADM28" s="13"/>
      <c r="ADN28" s="13"/>
      <c r="ADO28" s="13"/>
      <c r="ADP28" s="13"/>
      <c r="ADQ28" s="13"/>
      <c r="ADR28" s="13"/>
      <c r="ADS28" s="13"/>
      <c r="ADT28" s="13"/>
      <c r="ADU28" s="13"/>
      <c r="ADV28" s="13"/>
      <c r="ADW28" s="13"/>
      <c r="ADX28" s="13"/>
      <c r="ADY28" s="13"/>
      <c r="ADZ28" s="13"/>
      <c r="AEA28" s="13"/>
      <c r="AEB28" s="13"/>
      <c r="AEC28" s="13"/>
      <c r="AED28" s="13"/>
      <c r="AEE28" s="13"/>
      <c r="AEF28" s="13"/>
      <c r="AEG28" s="13"/>
      <c r="AEH28" s="13"/>
      <c r="AEI28" s="13"/>
      <c r="AEJ28" s="13"/>
      <c r="AEK28" s="13"/>
      <c r="AEL28" s="13"/>
      <c r="AEM28" s="13"/>
      <c r="AEN28" s="13"/>
      <c r="AEO28" s="13"/>
      <c r="AEP28" s="13"/>
      <c r="AEQ28" s="13"/>
      <c r="AER28" s="13"/>
      <c r="AES28" s="13"/>
      <c r="AET28" s="13"/>
      <c r="AEU28" s="13"/>
      <c r="AEV28" s="13"/>
      <c r="AEW28" s="13"/>
      <c r="AEX28" s="13"/>
      <c r="AEY28" s="13"/>
      <c r="AEZ28" s="13"/>
      <c r="AFA28" s="13"/>
      <c r="AFB28" s="13"/>
      <c r="AFC28" s="13"/>
      <c r="AFD28" s="13"/>
      <c r="AFE28" s="13"/>
      <c r="AFF28" s="13"/>
      <c r="AFG28" s="13"/>
      <c r="AFH28" s="13"/>
      <c r="AFI28" s="13"/>
      <c r="AFJ28" s="13"/>
      <c r="AFK28" s="13"/>
      <c r="AFL28" s="13"/>
      <c r="AFM28" s="13"/>
      <c r="AFN28" s="13"/>
      <c r="AFO28" s="13"/>
      <c r="AFP28" s="13"/>
      <c r="AFQ28" s="13"/>
      <c r="AFR28" s="13"/>
      <c r="AFS28" s="13"/>
      <c r="AFT28" s="13"/>
      <c r="AFU28" s="13"/>
      <c r="AFV28" s="13"/>
      <c r="AFW28" s="13"/>
      <c r="AFX28" s="13"/>
      <c r="AFY28" s="13"/>
      <c r="AFZ28" s="13"/>
      <c r="AGA28" s="13"/>
      <c r="AGB28" s="13"/>
      <c r="AGC28" s="13"/>
      <c r="AGD28" s="13"/>
      <c r="AGE28" s="13"/>
      <c r="AGF28" s="13"/>
      <c r="AGG28" s="13"/>
      <c r="AGH28" s="13"/>
      <c r="AGI28" s="13"/>
      <c r="AGJ28" s="13"/>
      <c r="AGK28" s="13"/>
      <c r="AGL28" s="13"/>
      <c r="AGM28" s="13"/>
      <c r="AGN28" s="13"/>
      <c r="AGO28" s="13"/>
      <c r="AGP28" s="13"/>
      <c r="AGQ28" s="13"/>
      <c r="AGR28" s="13"/>
      <c r="AGS28" s="13"/>
      <c r="AGT28" s="13"/>
      <c r="AGU28" s="13"/>
      <c r="AGV28" s="13"/>
      <c r="AGW28" s="13"/>
      <c r="AGX28" s="13"/>
      <c r="AGY28" s="13"/>
      <c r="AGZ28" s="13"/>
      <c r="AHA28" s="13"/>
      <c r="AHB28" s="13"/>
      <c r="AHC28" s="13"/>
      <c r="AHD28" s="13"/>
      <c r="AHE28" s="13"/>
      <c r="AHF28" s="13"/>
      <c r="AHG28" s="13"/>
      <c r="AHH28" s="13"/>
      <c r="AHI28" s="13"/>
      <c r="AHJ28" s="13"/>
      <c r="AHK28" s="13"/>
      <c r="AHL28" s="13"/>
      <c r="AHM28" s="13"/>
      <c r="AHN28" s="13"/>
      <c r="AHO28" s="13"/>
      <c r="AHP28" s="13"/>
      <c r="AHQ28" s="13"/>
      <c r="AHR28" s="13"/>
      <c r="AHS28" s="13"/>
      <c r="AHT28" s="13"/>
      <c r="AHU28" s="13"/>
      <c r="AHV28" s="13"/>
      <c r="AHW28" s="13"/>
      <c r="AHX28" s="13"/>
      <c r="AHY28" s="13"/>
      <c r="AHZ28" s="13"/>
      <c r="AIA28" s="13"/>
      <c r="AIB28" s="13"/>
      <c r="AIC28" s="13"/>
      <c r="AID28" s="13"/>
      <c r="AIE28" s="13"/>
      <c r="AIF28" s="13"/>
      <c r="AIG28" s="13"/>
      <c r="AIH28" s="13"/>
      <c r="AII28" s="13"/>
      <c r="AIJ28" s="13"/>
      <c r="AIK28" s="13"/>
      <c r="AIL28" s="13"/>
      <c r="AIM28" s="13"/>
      <c r="AIN28" s="13"/>
      <c r="AIO28" s="13"/>
      <c r="AIP28" s="13"/>
      <c r="AIQ28" s="13"/>
      <c r="AIR28" s="13"/>
      <c r="AIS28" s="13"/>
      <c r="AIT28" s="13"/>
      <c r="AIU28" s="13"/>
      <c r="AIV28" s="13"/>
      <c r="AIW28" s="13"/>
      <c r="AIX28" s="13"/>
      <c r="AIY28" s="13"/>
      <c r="AIZ28" s="13"/>
      <c r="AJA28" s="13"/>
      <c r="AJB28" s="13"/>
      <c r="AJC28" s="13"/>
      <c r="AJD28" s="13"/>
      <c r="AJE28" s="13"/>
      <c r="AJF28" s="13"/>
      <c r="AJG28" s="13"/>
      <c r="AJH28" s="13"/>
      <c r="AJI28" s="13"/>
      <c r="AJJ28" s="13"/>
      <c r="AJK28" s="13"/>
      <c r="AJL28" s="13"/>
      <c r="AJM28" s="13"/>
      <c r="AJN28" s="13"/>
      <c r="AJO28" s="13"/>
      <c r="AJP28" s="13"/>
      <c r="AJQ28" s="13"/>
      <c r="AJR28" s="13"/>
      <c r="AJS28" s="13"/>
      <c r="AJT28" s="13"/>
      <c r="AJU28" s="13"/>
      <c r="AJV28" s="13"/>
      <c r="AJW28" s="13"/>
      <c r="AJX28" s="13"/>
      <c r="AJY28" s="13"/>
      <c r="AJZ28" s="13"/>
      <c r="AKA28" s="13"/>
      <c r="AKB28" s="13"/>
      <c r="AKC28" s="13"/>
      <c r="AKD28" s="13"/>
      <c r="AKE28" s="13"/>
      <c r="AKF28" s="13"/>
      <c r="AKG28" s="13"/>
      <c r="AKH28" s="13"/>
      <c r="AKI28" s="13"/>
      <c r="AKJ28" s="13"/>
      <c r="AKK28" s="13"/>
      <c r="AKL28" s="13"/>
      <c r="AKM28" s="13"/>
      <c r="AKN28" s="13"/>
      <c r="AKO28" s="13"/>
      <c r="AKP28" s="13"/>
      <c r="AKQ28" s="13"/>
      <c r="AKR28" s="13"/>
      <c r="AKS28" s="13"/>
      <c r="AKT28" s="13"/>
      <c r="AKU28" s="13"/>
      <c r="AKV28" s="13"/>
      <c r="AKW28" s="13"/>
      <c r="AKX28" s="13"/>
      <c r="AKY28" s="13"/>
      <c r="AKZ28" s="13"/>
      <c r="ALA28" s="13"/>
      <c r="ALB28" s="13"/>
      <c r="ALC28" s="13"/>
      <c r="ALD28" s="13"/>
      <c r="ALE28" s="13"/>
      <c r="ALF28" s="13"/>
      <c r="ALG28" s="13"/>
      <c r="ALH28" s="13"/>
      <c r="ALI28" s="13"/>
      <c r="ALJ28" s="13"/>
      <c r="ALK28" s="13"/>
      <c r="ALL28" s="13"/>
      <c r="ALM28" s="13"/>
      <c r="ALN28" s="13"/>
      <c r="ALO28" s="13"/>
      <c r="ALP28" s="13"/>
      <c r="ALQ28" s="13"/>
      <c r="ALR28" s="13"/>
      <c r="ALS28" s="13"/>
      <c r="ALT28" s="13"/>
      <c r="ALU28" s="13"/>
      <c r="ALV28" s="13"/>
      <c r="ALW28" s="13"/>
      <c r="ALX28" s="13"/>
      <c r="ALY28" s="13"/>
    </row>
    <row r="29" spans="1:1024" s="1" customFormat="1" ht="22.15" customHeight="1" thickBot="1" x14ac:dyDescent="0.3">
      <c r="A29" s="301"/>
      <c r="B29" s="25" t="s">
        <v>27</v>
      </c>
      <c r="C29" s="121">
        <v>0</v>
      </c>
      <c r="D29" s="108">
        <v>0</v>
      </c>
      <c r="E29" s="108">
        <v>0</v>
      </c>
      <c r="F29" s="108">
        <v>0</v>
      </c>
      <c r="G29" s="108">
        <v>0</v>
      </c>
      <c r="H29" s="108">
        <v>0</v>
      </c>
      <c r="I29" s="108">
        <v>0</v>
      </c>
      <c r="J29" s="108">
        <v>0</v>
      </c>
      <c r="K29" s="108">
        <v>0</v>
      </c>
      <c r="L29" s="108">
        <v>0</v>
      </c>
      <c r="M29" s="108">
        <v>0</v>
      </c>
      <c r="N29" s="108">
        <v>0</v>
      </c>
      <c r="O29" s="108">
        <v>0</v>
      </c>
      <c r="P29" s="108">
        <v>0</v>
      </c>
      <c r="Q29" s="108">
        <v>0</v>
      </c>
      <c r="R29" s="108">
        <v>0</v>
      </c>
      <c r="S29" s="108">
        <v>0</v>
      </c>
      <c r="T29" s="108">
        <v>0</v>
      </c>
      <c r="U29" s="108">
        <v>0</v>
      </c>
      <c r="V29" s="108">
        <v>0</v>
      </c>
      <c r="W29" s="108">
        <v>0</v>
      </c>
      <c r="X29" s="108">
        <v>0</v>
      </c>
      <c r="Y29" s="108">
        <v>0</v>
      </c>
      <c r="Z29" s="108">
        <v>0</v>
      </c>
      <c r="AA29" s="108">
        <v>0</v>
      </c>
      <c r="AB29" s="108">
        <v>0</v>
      </c>
      <c r="AC29" s="108">
        <v>0</v>
      </c>
      <c r="AD29" s="108">
        <v>0</v>
      </c>
      <c r="AE29" s="108">
        <v>0</v>
      </c>
      <c r="AF29" s="108">
        <v>0</v>
      </c>
      <c r="AG29" s="108">
        <v>0</v>
      </c>
      <c r="AH29" s="108">
        <v>0</v>
      </c>
      <c r="AI29" s="108">
        <v>0</v>
      </c>
      <c r="AJ29" s="108">
        <v>0</v>
      </c>
      <c r="AK29" s="108">
        <v>0</v>
      </c>
      <c r="AL29" s="108">
        <v>0</v>
      </c>
      <c r="AM29" s="108">
        <v>0</v>
      </c>
      <c r="AN29" s="108">
        <v>0</v>
      </c>
      <c r="AO29" s="108">
        <v>0</v>
      </c>
      <c r="AP29" s="108">
        <v>0</v>
      </c>
      <c r="AQ29" s="108">
        <v>0</v>
      </c>
      <c r="AR29" s="108">
        <v>0</v>
      </c>
      <c r="AS29" s="108">
        <v>0</v>
      </c>
      <c r="AT29" s="108">
        <v>0</v>
      </c>
      <c r="AU29" s="108">
        <v>0</v>
      </c>
      <c r="AV29" s="108">
        <v>0</v>
      </c>
      <c r="AW29" s="108">
        <v>0</v>
      </c>
      <c r="AX29" s="108">
        <v>0</v>
      </c>
      <c r="AY29" s="108">
        <v>0</v>
      </c>
      <c r="AZ29" s="108">
        <v>0</v>
      </c>
      <c r="BA29" s="108">
        <v>0</v>
      </c>
      <c r="BB29" s="145">
        <v>0</v>
      </c>
      <c r="BC29" s="145">
        <v>0</v>
      </c>
      <c r="BD29" s="145">
        <v>0</v>
      </c>
      <c r="BE29" s="145">
        <v>0</v>
      </c>
      <c r="BF29" s="145">
        <v>0</v>
      </c>
      <c r="BG29" s="145">
        <v>0</v>
      </c>
      <c r="BH29" s="145">
        <v>0</v>
      </c>
      <c r="BI29" s="145">
        <v>0</v>
      </c>
      <c r="BJ29" s="145">
        <v>0</v>
      </c>
      <c r="BK29" s="145">
        <v>0</v>
      </c>
      <c r="BL29" s="145">
        <v>0</v>
      </c>
      <c r="BM29" s="145">
        <v>0</v>
      </c>
      <c r="BN29" s="145">
        <v>0</v>
      </c>
      <c r="BO29" s="145">
        <v>0</v>
      </c>
      <c r="BP29" s="145">
        <v>0</v>
      </c>
      <c r="BQ29" s="145">
        <v>0</v>
      </c>
      <c r="BR29" s="145">
        <v>0</v>
      </c>
      <c r="BS29" s="145">
        <v>0</v>
      </c>
      <c r="BT29" s="145">
        <v>0</v>
      </c>
      <c r="BU29" s="145">
        <v>0</v>
      </c>
      <c r="BV29" s="145">
        <v>0</v>
      </c>
      <c r="BW29" s="145">
        <v>0</v>
      </c>
      <c r="BX29" s="145">
        <v>0</v>
      </c>
      <c r="BY29" s="146">
        <v>0</v>
      </c>
      <c r="BZ29" s="146">
        <v>0</v>
      </c>
      <c r="CA29" s="146">
        <v>0</v>
      </c>
      <c r="CB29" s="146">
        <v>0</v>
      </c>
      <c r="CC29" s="146">
        <v>0</v>
      </c>
      <c r="CD29" s="146">
        <v>0</v>
      </c>
      <c r="CE29" s="146">
        <v>0</v>
      </c>
      <c r="CF29" s="146">
        <v>0</v>
      </c>
      <c r="CG29" s="146">
        <v>0</v>
      </c>
      <c r="CH29" s="146">
        <v>0</v>
      </c>
      <c r="CI29" s="146">
        <v>0</v>
      </c>
      <c r="CJ29" s="146">
        <v>0</v>
      </c>
      <c r="CK29" s="146">
        <v>0</v>
      </c>
      <c r="CL29" s="146">
        <v>0</v>
      </c>
      <c r="CM29" s="146">
        <v>0</v>
      </c>
      <c r="CN29" s="146">
        <v>0</v>
      </c>
      <c r="CO29" s="146">
        <v>0</v>
      </c>
      <c r="CP29" s="146">
        <v>0</v>
      </c>
      <c r="CQ29" s="146">
        <v>0</v>
      </c>
      <c r="CR29" s="146">
        <v>0</v>
      </c>
      <c r="CS29" s="146">
        <v>0</v>
      </c>
      <c r="CT29" s="146">
        <v>0</v>
      </c>
      <c r="CU29" s="146">
        <v>0</v>
      </c>
      <c r="CV29" s="146">
        <v>0</v>
      </c>
      <c r="CW29" s="146">
        <v>0</v>
      </c>
      <c r="CX29" s="146">
        <v>0</v>
      </c>
      <c r="CY29" s="146">
        <v>0</v>
      </c>
      <c r="CZ29" s="146">
        <v>0</v>
      </c>
      <c r="DA29" s="156">
        <v>0</v>
      </c>
      <c r="DB29" s="156">
        <v>0</v>
      </c>
      <c r="DC29" s="156">
        <v>0</v>
      </c>
      <c r="DD29" s="156">
        <v>0</v>
      </c>
      <c r="DE29" s="156">
        <v>0</v>
      </c>
      <c r="DF29" s="156">
        <v>0</v>
      </c>
      <c r="DG29" s="156">
        <v>0</v>
      </c>
      <c r="DH29" s="156">
        <v>0</v>
      </c>
      <c r="DI29" s="156">
        <v>0</v>
      </c>
      <c r="DJ29" s="156">
        <v>0</v>
      </c>
      <c r="DK29" s="156">
        <v>0</v>
      </c>
      <c r="DL29" s="156">
        <v>0</v>
      </c>
      <c r="DM29" s="156">
        <v>0</v>
      </c>
      <c r="DN29" s="156">
        <v>0</v>
      </c>
      <c r="DO29" s="156">
        <v>0</v>
      </c>
      <c r="DP29" s="156">
        <v>0</v>
      </c>
      <c r="DQ29" s="156">
        <v>0</v>
      </c>
      <c r="DR29" s="156">
        <v>0</v>
      </c>
      <c r="DS29" s="156">
        <v>0</v>
      </c>
      <c r="DT29" s="156">
        <v>0</v>
      </c>
      <c r="DU29" s="156">
        <v>0</v>
      </c>
      <c r="DV29" s="156">
        <v>0</v>
      </c>
      <c r="DW29" s="156">
        <v>0</v>
      </c>
      <c r="DX29" s="156">
        <v>0</v>
      </c>
      <c r="DY29" s="156">
        <v>0</v>
      </c>
      <c r="DZ29" s="156">
        <v>0</v>
      </c>
      <c r="EA29" s="156">
        <v>0</v>
      </c>
      <c r="EB29" s="179">
        <v>0</v>
      </c>
      <c r="EC29" s="156">
        <v>0</v>
      </c>
      <c r="ED29" s="179">
        <v>0</v>
      </c>
      <c r="EE29" s="156">
        <v>0</v>
      </c>
      <c r="EF29" s="156">
        <v>0</v>
      </c>
      <c r="EG29" s="156">
        <v>0</v>
      </c>
      <c r="EH29" s="156">
        <v>0</v>
      </c>
      <c r="EI29" s="179">
        <v>0</v>
      </c>
      <c r="EJ29" s="156">
        <v>0</v>
      </c>
      <c r="EK29" s="179">
        <v>0</v>
      </c>
      <c r="EL29" s="156">
        <v>0</v>
      </c>
      <c r="EM29" s="156">
        <v>0</v>
      </c>
      <c r="EN29" s="156">
        <v>0</v>
      </c>
      <c r="EO29" s="156">
        <v>0</v>
      </c>
      <c r="EP29" s="179">
        <v>0</v>
      </c>
      <c r="EQ29" s="156">
        <v>0</v>
      </c>
      <c r="ER29" s="179">
        <v>0</v>
      </c>
      <c r="ES29" s="156">
        <v>0</v>
      </c>
      <c r="ET29" s="156">
        <v>0</v>
      </c>
      <c r="EU29" s="156">
        <v>0</v>
      </c>
      <c r="EV29" s="156">
        <v>0</v>
      </c>
      <c r="EW29" s="179">
        <v>0</v>
      </c>
      <c r="EX29" s="156">
        <v>0</v>
      </c>
      <c r="EY29" s="179">
        <v>0</v>
      </c>
      <c r="EZ29" s="20"/>
      <c r="FA29" s="20"/>
      <c r="FB29" s="20"/>
      <c r="FC29" s="20"/>
      <c r="FD29" s="20"/>
      <c r="FE29" s="20"/>
      <c r="FF29" s="20"/>
      <c r="FG29" s="20"/>
      <c r="FH29" s="20"/>
      <c r="FI29" s="20"/>
      <c r="FJ29" s="20"/>
      <c r="FK29" s="20"/>
      <c r="FL29" s="20"/>
      <c r="FM29" s="20"/>
      <c r="FN29" s="20"/>
      <c r="FO29" s="20"/>
      <c r="FP29" s="20"/>
      <c r="FQ29" s="20"/>
      <c r="FR29" s="20"/>
      <c r="FS29" s="20"/>
      <c r="FT29" s="20"/>
      <c r="FU29" s="20"/>
      <c r="FV29" s="20"/>
      <c r="FW29" s="20"/>
      <c r="FX29" s="20"/>
      <c r="FY29" s="20"/>
      <c r="FZ29" s="20"/>
      <c r="GA29" s="20"/>
      <c r="GB29" s="20"/>
      <c r="GC29" s="20"/>
      <c r="GD29" s="20"/>
      <c r="GE29" s="20"/>
      <c r="GF29" s="20"/>
      <c r="GG29" s="20"/>
      <c r="GH29" s="20"/>
      <c r="GI29" s="20"/>
      <c r="GJ29" s="20"/>
      <c r="GK29" s="20"/>
      <c r="GL29" s="20"/>
      <c r="GM29" s="20"/>
      <c r="GN29" s="20"/>
      <c r="GO29" s="20"/>
      <c r="GP29" s="20"/>
      <c r="GQ29" s="20"/>
      <c r="GR29" s="20"/>
      <c r="GS29" s="20"/>
      <c r="GT29" s="20"/>
      <c r="GU29" s="20"/>
      <c r="GV29" s="20"/>
      <c r="GW29" s="20"/>
      <c r="GX29" s="20"/>
      <c r="GY29" s="20"/>
      <c r="GZ29" s="20"/>
      <c r="HA29" s="20"/>
      <c r="HB29" s="20"/>
      <c r="HC29" s="20"/>
      <c r="HD29" s="20"/>
      <c r="HE29" s="20"/>
      <c r="HF29" s="20"/>
      <c r="HG29" s="20"/>
      <c r="HH29" s="20"/>
      <c r="HI29" s="20"/>
      <c r="HJ29" s="20"/>
      <c r="HK29" s="20"/>
      <c r="HL29" s="20"/>
      <c r="HM29" s="20"/>
      <c r="HN29" s="20"/>
      <c r="HO29" s="20"/>
      <c r="HP29" s="20"/>
      <c r="HQ29" s="22"/>
      <c r="HR29" s="22"/>
      <c r="HS29" s="22"/>
      <c r="HT29" s="22"/>
      <c r="HU29" s="22"/>
      <c r="HV29" s="22"/>
      <c r="HW29" s="22"/>
      <c r="HX29" s="22"/>
      <c r="HY29" s="22"/>
      <c r="HZ29" s="22"/>
      <c r="IA29" s="22"/>
      <c r="IB29" s="22"/>
      <c r="IC29" s="22"/>
      <c r="ID29" s="22"/>
      <c r="IE29" s="22"/>
      <c r="IF29" s="22"/>
      <c r="IG29" s="22"/>
      <c r="IH29" s="22"/>
      <c r="II29" s="22"/>
      <c r="IJ29" s="22"/>
      <c r="IK29" s="22"/>
      <c r="IL29" s="22"/>
      <c r="IM29" s="22"/>
      <c r="IN29" s="22"/>
      <c r="IO29" s="22"/>
      <c r="IP29" s="22"/>
      <c r="IQ29" s="22"/>
      <c r="IR29" s="22"/>
      <c r="IS29" s="22"/>
      <c r="IT29" s="22"/>
      <c r="IU29" s="22"/>
      <c r="IV29" s="22"/>
      <c r="IW29" s="22"/>
      <c r="IX29" s="22"/>
      <c r="IY29" s="22"/>
      <c r="IZ29" s="22"/>
      <c r="JA29" s="22"/>
      <c r="JB29" s="22"/>
      <c r="JC29" s="22"/>
      <c r="JD29" s="22"/>
      <c r="JE29" s="22"/>
      <c r="JF29" s="22"/>
      <c r="JG29" s="22"/>
      <c r="JH29" s="22"/>
      <c r="JI29" s="22"/>
      <c r="JJ29" s="22"/>
      <c r="JK29" s="22"/>
      <c r="JL29" s="22"/>
      <c r="JM29" s="22"/>
      <c r="JN29" s="23"/>
      <c r="JO29" s="23"/>
      <c r="JP29" s="22"/>
      <c r="JQ29" s="22"/>
      <c r="JR29" s="22"/>
      <c r="JS29" s="22"/>
      <c r="JT29" s="22"/>
      <c r="JU29" s="22"/>
      <c r="JV29" s="22"/>
      <c r="JW29" s="22"/>
      <c r="JX29" s="22"/>
      <c r="JY29" s="22"/>
      <c r="JZ29" s="22"/>
      <c r="KA29" s="22"/>
      <c r="KB29" s="22"/>
      <c r="KC29" s="22"/>
      <c r="KD29" s="22"/>
      <c r="KE29" s="22"/>
      <c r="KF29" s="22"/>
      <c r="KG29" s="22"/>
      <c r="KH29" s="22"/>
      <c r="KI29" s="22"/>
      <c r="KJ29" s="22"/>
      <c r="KK29" s="22"/>
      <c r="KL29" s="22"/>
      <c r="KM29" s="22"/>
      <c r="KN29" s="22"/>
      <c r="KO29" s="22"/>
      <c r="KP29" s="22"/>
      <c r="KQ29" s="22"/>
      <c r="KR29" s="22"/>
      <c r="KS29" s="22"/>
      <c r="KT29" s="22"/>
      <c r="KU29" s="22"/>
      <c r="KV29" s="22"/>
      <c r="KW29" s="22"/>
      <c r="KX29" s="22"/>
      <c r="KY29" s="22"/>
      <c r="KZ29" s="22"/>
      <c r="LA29" s="22"/>
      <c r="LB29" s="22"/>
      <c r="LC29" s="22"/>
      <c r="LD29" s="22"/>
      <c r="LE29" s="22"/>
      <c r="LF29" s="22"/>
      <c r="LG29" s="22"/>
      <c r="LH29" s="22"/>
      <c r="LI29" s="22"/>
      <c r="LJ29" s="22"/>
      <c r="LK29" s="22"/>
      <c r="LL29" s="22"/>
      <c r="LM29" s="22"/>
      <c r="LN29" s="22"/>
      <c r="LO29" s="22"/>
      <c r="LP29" s="22"/>
      <c r="LQ29" s="22"/>
      <c r="LR29" s="22"/>
      <c r="LS29" s="22"/>
      <c r="LT29" s="22"/>
      <c r="LU29" s="22"/>
      <c r="LV29" s="22"/>
      <c r="LW29" s="22"/>
      <c r="LX29" s="22"/>
      <c r="LY29" s="22"/>
      <c r="LZ29" s="22"/>
      <c r="MA29" s="22"/>
      <c r="MB29" s="23"/>
      <c r="MC29" s="23"/>
      <c r="MD29" s="22"/>
      <c r="ME29" s="22"/>
      <c r="MF29" s="22"/>
      <c r="MG29" s="22"/>
      <c r="MH29" s="22"/>
      <c r="MI29" s="22"/>
      <c r="MJ29" s="22"/>
      <c r="MK29" s="22"/>
      <c r="ML29" s="22"/>
      <c r="MM29" s="22"/>
      <c r="MN29" s="22"/>
      <c r="MO29" s="22"/>
      <c r="MP29" s="22"/>
      <c r="MQ29" s="22"/>
      <c r="MR29" s="22"/>
      <c r="MS29" s="22"/>
      <c r="MT29" s="22"/>
      <c r="MU29" s="22"/>
      <c r="MV29" s="22"/>
      <c r="MW29" s="22"/>
      <c r="MX29" s="22"/>
      <c r="MY29" s="22"/>
      <c r="MZ29" s="22"/>
      <c r="NA29" s="22"/>
      <c r="NB29" s="22"/>
      <c r="NC29" s="22"/>
      <c r="ND29" s="22"/>
      <c r="NE29" s="22"/>
      <c r="NF29" s="22"/>
      <c r="NG29" s="22"/>
      <c r="NH29" s="22"/>
      <c r="NI29" s="22"/>
      <c r="NJ29" s="22"/>
      <c r="NK29" s="22"/>
      <c r="NL29" s="22"/>
      <c r="NM29" s="22"/>
      <c r="NN29" s="22"/>
      <c r="NO29" s="22"/>
      <c r="NP29" s="22"/>
      <c r="NQ29" s="22"/>
      <c r="NR29" s="22"/>
      <c r="NS29" s="22"/>
      <c r="NT29" s="22"/>
      <c r="NU29" s="22"/>
      <c r="NV29" s="22"/>
      <c r="NW29" s="22"/>
      <c r="NX29" s="22"/>
      <c r="NY29" s="22"/>
      <c r="NZ29" s="22"/>
      <c r="OA29" s="22"/>
      <c r="OB29" s="22"/>
      <c r="OC29" s="22"/>
      <c r="OD29" s="22"/>
      <c r="OE29" s="22"/>
      <c r="OF29" s="22"/>
      <c r="OG29" s="22"/>
      <c r="OH29" s="22"/>
      <c r="OI29" s="22"/>
      <c r="OJ29" s="22"/>
      <c r="OK29" s="22"/>
      <c r="OL29" s="22"/>
      <c r="OM29" s="22"/>
      <c r="ON29" s="22"/>
      <c r="OO29" s="22"/>
      <c r="OP29" s="23"/>
      <c r="OQ29" s="30"/>
      <c r="OR29" s="30"/>
      <c r="OS29" s="30"/>
      <c r="OT29" s="30"/>
      <c r="OU29" s="30"/>
      <c r="OV29" s="30"/>
      <c r="OW29" s="30"/>
      <c r="OX29" s="30"/>
      <c r="OY29" s="30"/>
      <c r="OZ29" s="30"/>
      <c r="PA29" s="30"/>
      <c r="PB29" s="30"/>
      <c r="PC29" s="30"/>
      <c r="PD29" s="30"/>
      <c r="PE29" s="30"/>
      <c r="PF29" s="30"/>
      <c r="PG29" s="30"/>
      <c r="PH29" s="30"/>
      <c r="PI29" s="30"/>
      <c r="PJ29" s="30"/>
      <c r="PK29" s="30"/>
      <c r="PL29" s="30"/>
      <c r="PM29" s="30"/>
      <c r="PN29" s="30"/>
      <c r="PO29" s="30"/>
      <c r="PP29" s="30"/>
      <c r="PQ29" s="30"/>
      <c r="PR29" s="30"/>
      <c r="PS29" s="30"/>
      <c r="PT29" s="30"/>
      <c r="PU29" s="30"/>
      <c r="PV29" s="30"/>
      <c r="PW29" s="30"/>
      <c r="PX29" s="30"/>
      <c r="PY29" s="30"/>
      <c r="PZ29" s="30"/>
      <c r="QA29" s="30"/>
      <c r="QB29" s="30"/>
      <c r="QC29" s="30"/>
      <c r="QD29" s="30"/>
      <c r="QE29" s="29"/>
      <c r="QF29" s="29"/>
      <c r="QG29" s="29"/>
      <c r="QH29" s="29"/>
      <c r="QI29" s="29"/>
      <c r="QJ29" s="29"/>
      <c r="QK29" s="29"/>
      <c r="QL29" s="29"/>
      <c r="QM29" s="29"/>
      <c r="QN29" s="29"/>
      <c r="QO29" s="29"/>
      <c r="QP29" s="29"/>
      <c r="QQ29" s="29"/>
      <c r="QR29" s="29"/>
      <c r="QS29" s="29"/>
      <c r="QT29" s="29"/>
      <c r="QU29" s="29"/>
      <c r="QV29" s="29"/>
      <c r="QW29" s="29"/>
      <c r="QX29" s="29"/>
      <c r="QY29" s="29"/>
      <c r="QZ29" s="29"/>
      <c r="RA29" s="29"/>
      <c r="RB29" s="29"/>
      <c r="RC29" s="29"/>
      <c r="RD29" s="29"/>
      <c r="RE29" s="29"/>
      <c r="RF29" s="29"/>
      <c r="RG29" s="29"/>
      <c r="RH29" s="29"/>
      <c r="RI29" s="29"/>
      <c r="RJ29" s="29"/>
      <c r="RK29" s="29"/>
      <c r="RL29" s="29"/>
      <c r="RM29" s="29"/>
      <c r="RN29" s="29"/>
      <c r="RO29" s="29"/>
      <c r="RP29" s="29"/>
      <c r="RQ29" s="29"/>
      <c r="RR29" s="29"/>
      <c r="RS29" s="29"/>
      <c r="RT29" s="29"/>
      <c r="RU29" s="29"/>
      <c r="RV29" s="29"/>
      <c r="RW29" s="29"/>
      <c r="RX29" s="29"/>
      <c r="RY29" s="29"/>
      <c r="RZ29" s="29"/>
      <c r="SA29" s="29"/>
      <c r="SB29" s="29"/>
      <c r="SC29" s="14"/>
      <c r="SD29" s="14"/>
      <c r="SE29" s="14"/>
      <c r="SF29" s="14"/>
      <c r="SG29" s="14"/>
      <c r="SH29" s="14"/>
      <c r="SI29" s="14"/>
      <c r="SJ29" s="14"/>
      <c r="SK29" s="14"/>
      <c r="SL29" s="14"/>
      <c r="SM29" s="14"/>
      <c r="SN29" s="14"/>
      <c r="SO29" s="14"/>
      <c r="SP29" s="14"/>
      <c r="SQ29" s="14"/>
      <c r="SR29" s="14"/>
      <c r="SS29" s="14"/>
      <c r="ST29" s="14"/>
      <c r="SU29" s="14"/>
      <c r="SV29" s="14"/>
      <c r="SW29" s="14"/>
      <c r="SX29" s="14"/>
      <c r="SY29" s="14"/>
      <c r="SZ29" s="14"/>
      <c r="TA29" s="14"/>
      <c r="TB29" s="14"/>
      <c r="TC29" s="13"/>
      <c r="TD29" s="13"/>
      <c r="TE29" s="13"/>
      <c r="TF29" s="13"/>
      <c r="TG29" s="13"/>
      <c r="TH29" s="13"/>
      <c r="TI29" s="13"/>
      <c r="TJ29" s="13"/>
      <c r="TK29" s="13"/>
      <c r="TL29" s="13"/>
      <c r="TM29" s="13"/>
      <c r="TN29" s="13"/>
      <c r="TO29" s="13"/>
      <c r="TP29" s="13"/>
      <c r="TQ29" s="13"/>
      <c r="TR29" s="13"/>
      <c r="TS29" s="13"/>
      <c r="TT29" s="13"/>
      <c r="TU29" s="13"/>
      <c r="TV29" s="13"/>
      <c r="TW29" s="13"/>
      <c r="TX29" s="13"/>
      <c r="TY29" s="13"/>
      <c r="TZ29" s="13"/>
      <c r="UA29" s="13"/>
      <c r="UB29" s="13"/>
      <c r="UC29" s="13"/>
      <c r="UD29" s="13"/>
      <c r="UE29" s="13"/>
      <c r="UF29" s="13"/>
      <c r="UG29" s="13"/>
      <c r="UH29" s="13"/>
      <c r="UI29" s="13"/>
      <c r="UJ29" s="13"/>
      <c r="UK29" s="13"/>
      <c r="UL29" s="13"/>
      <c r="UM29" s="13"/>
      <c r="UN29" s="13"/>
      <c r="UO29" s="13"/>
      <c r="UP29" s="13"/>
      <c r="UQ29" s="13"/>
      <c r="UR29" s="13"/>
      <c r="US29" s="13"/>
      <c r="UT29" s="13"/>
      <c r="UU29" s="13"/>
      <c r="UV29" s="13"/>
      <c r="UW29" s="13"/>
      <c r="UX29" s="13"/>
      <c r="UY29" s="13"/>
      <c r="UZ29" s="13"/>
      <c r="VA29" s="13"/>
      <c r="VB29" s="13"/>
      <c r="VC29" s="13"/>
      <c r="VD29" s="13"/>
      <c r="VE29" s="13"/>
      <c r="VF29" s="13"/>
      <c r="VG29" s="13"/>
      <c r="VH29" s="13"/>
      <c r="VI29" s="13"/>
      <c r="VJ29" s="13"/>
      <c r="VK29" s="13"/>
      <c r="VL29" s="13"/>
      <c r="VM29" s="13"/>
      <c r="VN29" s="13"/>
      <c r="VO29" s="13"/>
      <c r="VP29" s="13"/>
      <c r="VQ29" s="13"/>
      <c r="VR29" s="13"/>
      <c r="VS29" s="13"/>
      <c r="VT29" s="13"/>
      <c r="VU29" s="13"/>
      <c r="VV29" s="13"/>
      <c r="VW29" s="13"/>
      <c r="VX29" s="13"/>
      <c r="VY29" s="13"/>
      <c r="VZ29" s="13"/>
      <c r="WA29" s="13"/>
      <c r="WB29" s="13"/>
      <c r="WC29" s="13"/>
      <c r="WD29" s="13"/>
      <c r="WE29" s="13"/>
      <c r="WF29" s="13"/>
      <c r="WG29" s="13"/>
      <c r="WH29" s="13"/>
      <c r="WI29" s="13"/>
      <c r="WJ29" s="13"/>
      <c r="WK29" s="13"/>
      <c r="WL29" s="13"/>
      <c r="WM29" s="13"/>
      <c r="WN29" s="13"/>
      <c r="WO29" s="13"/>
      <c r="WP29" s="13"/>
      <c r="WQ29" s="13"/>
      <c r="WR29" s="13"/>
      <c r="WS29" s="13"/>
      <c r="WT29" s="13"/>
      <c r="WU29" s="13"/>
      <c r="WV29" s="13"/>
      <c r="WW29" s="13"/>
      <c r="WX29" s="13"/>
      <c r="WY29" s="13"/>
      <c r="WZ29" s="13"/>
      <c r="XA29" s="13"/>
      <c r="XB29" s="13"/>
      <c r="XC29" s="13"/>
      <c r="XD29" s="13"/>
      <c r="XE29" s="13"/>
      <c r="XF29" s="13"/>
      <c r="XG29" s="13"/>
      <c r="XH29" s="13"/>
      <c r="XI29" s="13"/>
      <c r="XJ29" s="13"/>
      <c r="XK29" s="13"/>
      <c r="XL29" s="13"/>
      <c r="XM29" s="13"/>
      <c r="XN29" s="13"/>
      <c r="XO29" s="13"/>
      <c r="XP29" s="13"/>
      <c r="XQ29" s="13"/>
      <c r="XR29" s="13"/>
      <c r="XS29" s="13"/>
      <c r="XT29" s="13"/>
      <c r="XU29" s="13"/>
      <c r="XV29" s="13"/>
      <c r="XW29" s="13"/>
      <c r="XX29" s="13"/>
      <c r="XY29" s="13"/>
      <c r="XZ29" s="13"/>
      <c r="YA29" s="13"/>
      <c r="YB29" s="13"/>
      <c r="YC29" s="13"/>
      <c r="YD29" s="13"/>
      <c r="YE29" s="13"/>
      <c r="YF29" s="13"/>
      <c r="YG29" s="13"/>
      <c r="YH29" s="13"/>
      <c r="YI29" s="13"/>
      <c r="YJ29" s="13"/>
      <c r="YK29" s="13"/>
      <c r="YL29" s="13"/>
      <c r="YM29" s="13"/>
      <c r="YN29" s="13"/>
      <c r="YO29" s="13"/>
      <c r="YP29" s="13"/>
      <c r="YQ29" s="13"/>
      <c r="YR29" s="13"/>
      <c r="YS29" s="13"/>
      <c r="YT29" s="13"/>
      <c r="YU29" s="13"/>
      <c r="YV29" s="13"/>
      <c r="YW29" s="13"/>
      <c r="YX29" s="13"/>
      <c r="YY29" s="13"/>
      <c r="YZ29" s="13"/>
      <c r="ZA29" s="13"/>
      <c r="ZB29" s="13"/>
      <c r="ZC29" s="13"/>
      <c r="ZD29" s="13"/>
      <c r="ZE29" s="13"/>
      <c r="ZF29" s="13"/>
      <c r="ZG29" s="13"/>
      <c r="ZH29" s="13"/>
      <c r="ZI29" s="13"/>
      <c r="ZJ29" s="13"/>
      <c r="ZK29" s="13"/>
      <c r="ZL29" s="13"/>
      <c r="ZM29" s="13"/>
      <c r="ZN29" s="13"/>
      <c r="ZO29" s="13"/>
      <c r="ZP29" s="13"/>
      <c r="ZQ29" s="13"/>
      <c r="ZR29" s="13"/>
      <c r="ZS29" s="13"/>
      <c r="ZT29" s="13"/>
      <c r="ZU29" s="13"/>
      <c r="ZV29" s="13"/>
      <c r="ZW29" s="13"/>
      <c r="ZX29" s="13"/>
      <c r="ZY29" s="13"/>
      <c r="ZZ29" s="13"/>
      <c r="AAA29" s="13"/>
      <c r="AAB29" s="13"/>
      <c r="AAC29" s="13"/>
      <c r="AAD29" s="13"/>
      <c r="AAE29" s="13"/>
      <c r="AAF29" s="13"/>
      <c r="AAG29" s="13"/>
      <c r="AAH29" s="13"/>
      <c r="AAI29" s="13"/>
      <c r="AAJ29" s="13"/>
      <c r="AAK29" s="13"/>
      <c r="AAL29" s="13"/>
      <c r="AAM29" s="13"/>
      <c r="AAN29" s="13"/>
      <c r="AAO29" s="13"/>
      <c r="AAP29" s="13"/>
      <c r="AAQ29" s="13"/>
      <c r="AAR29" s="13"/>
      <c r="AAS29" s="13"/>
      <c r="AAT29" s="13"/>
      <c r="AAU29" s="13"/>
      <c r="AAV29" s="13"/>
      <c r="AAW29" s="13"/>
      <c r="AAX29" s="13"/>
      <c r="AAY29" s="13"/>
      <c r="AAZ29" s="13"/>
      <c r="ABA29" s="13"/>
      <c r="ABB29" s="13"/>
      <c r="ABC29" s="13"/>
      <c r="ABD29" s="13"/>
      <c r="ABE29" s="13"/>
      <c r="ABF29" s="13"/>
      <c r="ABG29" s="13"/>
      <c r="ABH29" s="13"/>
      <c r="ABI29" s="13"/>
      <c r="ABJ29" s="13"/>
      <c r="ABK29" s="13"/>
      <c r="ABL29" s="13"/>
      <c r="ABM29" s="13"/>
      <c r="ABN29" s="13"/>
      <c r="ABO29" s="13"/>
      <c r="ABP29" s="13"/>
      <c r="ABQ29" s="13"/>
      <c r="ABR29" s="13"/>
      <c r="ABS29" s="13"/>
      <c r="ABT29" s="13"/>
      <c r="ABU29" s="13"/>
      <c r="ABV29" s="13"/>
      <c r="ABW29" s="13"/>
      <c r="ABX29" s="13"/>
      <c r="ABY29" s="13"/>
      <c r="ABZ29" s="13"/>
      <c r="ACA29" s="13"/>
      <c r="ACB29" s="13"/>
      <c r="ACC29" s="13"/>
      <c r="ACD29" s="13"/>
      <c r="ACE29" s="13"/>
      <c r="ACF29" s="13"/>
      <c r="ACG29" s="13"/>
      <c r="ACH29" s="13"/>
      <c r="ACI29" s="13"/>
      <c r="ACJ29" s="13"/>
      <c r="ACK29" s="13"/>
      <c r="ACL29" s="13"/>
      <c r="ACM29" s="13"/>
      <c r="ACN29" s="13"/>
      <c r="ACO29" s="13"/>
      <c r="ACP29" s="13"/>
      <c r="ACQ29" s="13"/>
      <c r="ACR29" s="13"/>
      <c r="ACS29" s="13"/>
      <c r="ACT29" s="13"/>
      <c r="ACU29" s="13"/>
      <c r="ACV29" s="13"/>
      <c r="ACW29" s="13"/>
      <c r="ACX29" s="13"/>
      <c r="ACY29" s="13"/>
      <c r="ACZ29" s="13"/>
      <c r="ADA29" s="13"/>
      <c r="ADB29" s="13"/>
      <c r="ADC29" s="13"/>
      <c r="ADD29" s="13"/>
      <c r="ADE29" s="13"/>
      <c r="ADF29" s="13"/>
      <c r="ADG29" s="13"/>
      <c r="ADH29" s="13"/>
      <c r="ADI29" s="13"/>
      <c r="ADJ29" s="13"/>
      <c r="ADK29" s="13"/>
      <c r="ADL29" s="13"/>
      <c r="ADM29" s="13"/>
      <c r="ADN29" s="13"/>
      <c r="ADO29" s="13"/>
      <c r="ADP29" s="13"/>
      <c r="ADQ29" s="13"/>
      <c r="ADR29" s="13"/>
      <c r="ADS29" s="13"/>
      <c r="ADT29" s="13"/>
      <c r="ADU29" s="13"/>
      <c r="ADV29" s="13"/>
      <c r="ADW29" s="13"/>
      <c r="ADX29" s="13"/>
      <c r="ADY29" s="13"/>
      <c r="ADZ29" s="13"/>
      <c r="AEA29" s="13"/>
      <c r="AEB29" s="13"/>
      <c r="AEC29" s="13"/>
      <c r="AED29" s="13"/>
      <c r="AEE29" s="13"/>
      <c r="AEF29" s="13"/>
      <c r="AEG29" s="13"/>
      <c r="AEH29" s="13"/>
      <c r="AEI29" s="13"/>
      <c r="AEJ29" s="13"/>
      <c r="AEK29" s="13"/>
      <c r="AEL29" s="13"/>
      <c r="AEM29" s="13"/>
      <c r="AEN29" s="13"/>
      <c r="AEO29" s="13"/>
      <c r="AEP29" s="13"/>
      <c r="AEQ29" s="13"/>
      <c r="AER29" s="13"/>
      <c r="AES29" s="13"/>
      <c r="AET29" s="13"/>
      <c r="AEU29" s="13"/>
      <c r="AEV29" s="13"/>
      <c r="AEW29" s="13"/>
      <c r="AEX29" s="13"/>
      <c r="AEY29" s="13"/>
      <c r="AEZ29" s="13"/>
      <c r="AFA29" s="13"/>
      <c r="AFB29" s="13"/>
      <c r="AFC29" s="13"/>
      <c r="AFD29" s="13"/>
      <c r="AFE29" s="13"/>
      <c r="AFF29" s="13"/>
      <c r="AFG29" s="13"/>
      <c r="AFH29" s="13"/>
      <c r="AFI29" s="13"/>
      <c r="AFJ29" s="13"/>
      <c r="AFK29" s="13"/>
      <c r="AFL29" s="13"/>
      <c r="AFM29" s="13"/>
      <c r="AFN29" s="13"/>
      <c r="AFO29" s="13"/>
      <c r="AFP29" s="13"/>
      <c r="AFQ29" s="13"/>
      <c r="AFR29" s="13"/>
      <c r="AFS29" s="13"/>
      <c r="AFT29" s="13"/>
      <c r="AFU29" s="13"/>
      <c r="AFV29" s="13"/>
      <c r="AFW29" s="13"/>
      <c r="AFX29" s="13"/>
      <c r="AFY29" s="13"/>
      <c r="AFZ29" s="13"/>
      <c r="AGA29" s="13"/>
      <c r="AGB29" s="13"/>
      <c r="AGC29" s="13"/>
      <c r="AGD29" s="13"/>
      <c r="AGE29" s="13"/>
      <c r="AGF29" s="13"/>
      <c r="AGG29" s="13"/>
      <c r="AGH29" s="13"/>
      <c r="AGI29" s="13"/>
      <c r="AGJ29" s="13"/>
      <c r="AGK29" s="13"/>
      <c r="AGL29" s="13"/>
      <c r="AGM29" s="13"/>
      <c r="AGN29" s="13"/>
      <c r="AGO29" s="13"/>
      <c r="AGP29" s="13"/>
      <c r="AGQ29" s="13"/>
      <c r="AGR29" s="13"/>
      <c r="AGS29" s="13"/>
      <c r="AGT29" s="13"/>
      <c r="AGU29" s="13"/>
      <c r="AGV29" s="13"/>
      <c r="AGW29" s="13"/>
      <c r="AGX29" s="13"/>
      <c r="AGY29" s="13"/>
      <c r="AGZ29" s="13"/>
      <c r="AHA29" s="13"/>
      <c r="AHB29" s="13"/>
      <c r="AHC29" s="13"/>
      <c r="AHD29" s="13"/>
      <c r="AHE29" s="13"/>
      <c r="AHF29" s="13"/>
      <c r="AHG29" s="13"/>
      <c r="AHH29" s="13"/>
      <c r="AHI29" s="13"/>
      <c r="AHJ29" s="13"/>
      <c r="AHK29" s="13"/>
      <c r="AHL29" s="13"/>
      <c r="AHM29" s="13"/>
      <c r="AHN29" s="13"/>
      <c r="AHO29" s="13"/>
      <c r="AHP29" s="13"/>
      <c r="AHQ29" s="13"/>
      <c r="AHR29" s="13"/>
      <c r="AHS29" s="13"/>
      <c r="AHT29" s="13"/>
      <c r="AHU29" s="13"/>
      <c r="AHV29" s="13"/>
      <c r="AHW29" s="13"/>
      <c r="AHX29" s="13"/>
      <c r="AHY29" s="13"/>
      <c r="AHZ29" s="13"/>
      <c r="AIA29" s="13"/>
      <c r="AIB29" s="13"/>
      <c r="AIC29" s="13"/>
      <c r="AID29" s="13"/>
      <c r="AIE29" s="13"/>
      <c r="AIF29" s="13"/>
      <c r="AIG29" s="13"/>
      <c r="AIH29" s="13"/>
      <c r="AII29" s="13"/>
      <c r="AIJ29" s="13"/>
      <c r="AIK29" s="13"/>
      <c r="AIL29" s="13"/>
      <c r="AIM29" s="13"/>
      <c r="AIN29" s="13"/>
      <c r="AIO29" s="13"/>
      <c r="AIP29" s="13"/>
      <c r="AIQ29" s="13"/>
      <c r="AIR29" s="13"/>
      <c r="AIS29" s="13"/>
      <c r="AIT29" s="13"/>
      <c r="AIU29" s="13"/>
      <c r="AIV29" s="13"/>
      <c r="AIW29" s="13"/>
      <c r="AIX29" s="13"/>
      <c r="AIY29" s="13"/>
      <c r="AIZ29" s="13"/>
      <c r="AJA29" s="13"/>
      <c r="AJB29" s="13"/>
      <c r="AJC29" s="13"/>
      <c r="AJD29" s="13"/>
      <c r="AJE29" s="13"/>
      <c r="AJF29" s="13"/>
      <c r="AJG29" s="13"/>
      <c r="AJH29" s="13"/>
      <c r="AJI29" s="13"/>
      <c r="AJJ29" s="13"/>
      <c r="AJK29" s="13"/>
      <c r="AJL29" s="13"/>
      <c r="AJM29" s="13"/>
      <c r="AJN29" s="13"/>
      <c r="AJO29" s="13"/>
      <c r="AJP29" s="13"/>
      <c r="AJQ29" s="13"/>
      <c r="AJR29" s="13"/>
      <c r="AJS29" s="13"/>
      <c r="AJT29" s="13"/>
      <c r="AJU29" s="13"/>
      <c r="AJV29" s="13"/>
      <c r="AJW29" s="13"/>
      <c r="AJX29" s="13"/>
      <c r="AJY29" s="13"/>
      <c r="AJZ29" s="13"/>
      <c r="AKA29" s="13"/>
      <c r="AKB29" s="13"/>
      <c r="AKC29" s="13"/>
      <c r="AKD29" s="13"/>
      <c r="AKE29" s="13"/>
      <c r="AKF29" s="13"/>
      <c r="AKG29" s="13"/>
      <c r="AKH29" s="13"/>
      <c r="AKI29" s="13"/>
      <c r="AKJ29" s="13"/>
      <c r="AKK29" s="13"/>
      <c r="AKL29" s="13"/>
      <c r="AKM29" s="13"/>
      <c r="AKN29" s="13"/>
      <c r="AKO29" s="13"/>
      <c r="AKP29" s="13"/>
      <c r="AKQ29" s="13"/>
      <c r="AKR29" s="13"/>
      <c r="AKS29" s="13"/>
      <c r="AKT29" s="13"/>
      <c r="AKU29" s="13"/>
      <c r="AKV29" s="13"/>
      <c r="AKW29" s="13"/>
      <c r="AKX29" s="13"/>
      <c r="AKY29" s="13"/>
      <c r="AKZ29" s="13"/>
      <c r="ALA29" s="13"/>
      <c r="ALB29" s="13"/>
      <c r="ALC29" s="13"/>
      <c r="ALD29" s="13"/>
      <c r="ALE29" s="13"/>
      <c r="ALF29" s="13"/>
      <c r="ALG29" s="13"/>
      <c r="ALH29" s="13"/>
      <c r="ALI29" s="13"/>
      <c r="ALJ29" s="13"/>
      <c r="ALK29" s="13"/>
      <c r="ALL29" s="13"/>
      <c r="ALM29" s="13"/>
      <c r="ALN29" s="13"/>
      <c r="ALO29" s="13"/>
      <c r="ALP29" s="13"/>
      <c r="ALQ29" s="13"/>
      <c r="ALR29" s="13"/>
      <c r="ALS29" s="13"/>
      <c r="ALT29" s="13"/>
      <c r="ALU29" s="13"/>
      <c r="ALV29" s="13"/>
      <c r="ALW29" s="13"/>
      <c r="ALX29" s="13"/>
      <c r="ALY29" s="13"/>
    </row>
    <row r="30" spans="1:1024" s="1" customFormat="1" ht="22.15" customHeight="1" thickBot="1" x14ac:dyDescent="0.3">
      <c r="A30" s="301"/>
      <c r="B30" s="25" t="s">
        <v>25</v>
      </c>
      <c r="C30" s="138">
        <v>0</v>
      </c>
      <c r="D30" s="108">
        <v>0</v>
      </c>
      <c r="E30" s="108">
        <v>0</v>
      </c>
      <c r="F30" s="108">
        <v>0</v>
      </c>
      <c r="G30" s="108">
        <v>0</v>
      </c>
      <c r="H30" s="108">
        <v>0</v>
      </c>
      <c r="I30" s="108">
        <v>0</v>
      </c>
      <c r="J30" s="108">
        <v>0</v>
      </c>
      <c r="K30" s="108">
        <v>0</v>
      </c>
      <c r="L30" s="108">
        <v>0</v>
      </c>
      <c r="M30" s="108">
        <v>0</v>
      </c>
      <c r="N30" s="108">
        <v>0</v>
      </c>
      <c r="O30" s="108">
        <v>0</v>
      </c>
      <c r="P30" s="108">
        <v>0</v>
      </c>
      <c r="Q30" s="108">
        <v>0</v>
      </c>
      <c r="R30" s="108">
        <v>0</v>
      </c>
      <c r="S30" s="108">
        <v>0</v>
      </c>
      <c r="T30" s="108">
        <v>0</v>
      </c>
      <c r="U30" s="108">
        <v>0</v>
      </c>
      <c r="V30" s="108">
        <v>0</v>
      </c>
      <c r="W30" s="108">
        <v>0</v>
      </c>
      <c r="X30" s="108">
        <v>0</v>
      </c>
      <c r="Y30" s="108">
        <v>0</v>
      </c>
      <c r="Z30" s="108">
        <v>0</v>
      </c>
      <c r="AA30" s="108">
        <v>0</v>
      </c>
      <c r="AB30" s="108">
        <v>0</v>
      </c>
      <c r="AC30" s="108">
        <v>0</v>
      </c>
      <c r="AD30" s="108">
        <v>0</v>
      </c>
      <c r="AE30" s="108">
        <v>0</v>
      </c>
      <c r="AF30" s="108">
        <v>0</v>
      </c>
      <c r="AG30" s="108">
        <v>0</v>
      </c>
      <c r="AH30" s="108">
        <v>0</v>
      </c>
      <c r="AI30" s="108">
        <v>0</v>
      </c>
      <c r="AJ30" s="108">
        <v>0</v>
      </c>
      <c r="AK30" s="108">
        <v>0</v>
      </c>
      <c r="AL30" s="108">
        <v>0</v>
      </c>
      <c r="AM30" s="108">
        <v>0</v>
      </c>
      <c r="AN30" s="108">
        <v>0</v>
      </c>
      <c r="AO30" s="108">
        <v>0</v>
      </c>
      <c r="AP30" s="108">
        <v>0</v>
      </c>
      <c r="AQ30" s="108">
        <v>0</v>
      </c>
      <c r="AR30" s="108">
        <v>0</v>
      </c>
      <c r="AS30" s="108">
        <v>0</v>
      </c>
      <c r="AT30" s="108">
        <v>0</v>
      </c>
      <c r="AU30" s="108">
        <v>0</v>
      </c>
      <c r="AV30" s="108">
        <v>0</v>
      </c>
      <c r="AW30" s="108">
        <v>0</v>
      </c>
      <c r="AX30" s="108">
        <v>0</v>
      </c>
      <c r="AY30" s="108">
        <v>0</v>
      </c>
      <c r="AZ30" s="108">
        <v>0</v>
      </c>
      <c r="BA30" s="108">
        <v>0</v>
      </c>
      <c r="BB30" s="145">
        <v>0</v>
      </c>
      <c r="BC30" s="145">
        <v>0</v>
      </c>
      <c r="BD30" s="145">
        <v>0</v>
      </c>
      <c r="BE30" s="145">
        <v>0</v>
      </c>
      <c r="BF30" s="145">
        <v>0</v>
      </c>
      <c r="BG30" s="145">
        <v>0</v>
      </c>
      <c r="BH30" s="145">
        <v>0</v>
      </c>
      <c r="BI30" s="145">
        <v>0</v>
      </c>
      <c r="BJ30" s="145">
        <v>0</v>
      </c>
      <c r="BK30" s="145">
        <v>0</v>
      </c>
      <c r="BL30" s="145">
        <v>0</v>
      </c>
      <c r="BM30" s="145">
        <v>0</v>
      </c>
      <c r="BN30" s="145">
        <v>0</v>
      </c>
      <c r="BO30" s="145">
        <v>0</v>
      </c>
      <c r="BP30" s="145">
        <v>0</v>
      </c>
      <c r="BQ30" s="145">
        <v>0</v>
      </c>
      <c r="BR30" s="145">
        <v>0</v>
      </c>
      <c r="BS30" s="145">
        <v>0</v>
      </c>
      <c r="BT30" s="145">
        <v>0</v>
      </c>
      <c r="BU30" s="145">
        <v>0</v>
      </c>
      <c r="BV30" s="145">
        <v>0</v>
      </c>
      <c r="BW30" s="145">
        <v>0</v>
      </c>
      <c r="BX30" s="145">
        <v>0</v>
      </c>
      <c r="BY30" s="146">
        <v>0</v>
      </c>
      <c r="BZ30" s="146">
        <v>0</v>
      </c>
      <c r="CA30" s="146">
        <v>0</v>
      </c>
      <c r="CB30" s="146">
        <v>0</v>
      </c>
      <c r="CC30" s="146">
        <v>0</v>
      </c>
      <c r="CD30" s="146">
        <v>0</v>
      </c>
      <c r="CE30" s="146">
        <v>0</v>
      </c>
      <c r="CF30" s="146">
        <v>0</v>
      </c>
      <c r="CG30" s="146">
        <v>0</v>
      </c>
      <c r="CH30" s="146">
        <v>0</v>
      </c>
      <c r="CI30" s="146">
        <v>0</v>
      </c>
      <c r="CJ30" s="146">
        <v>0</v>
      </c>
      <c r="CK30" s="146">
        <v>0</v>
      </c>
      <c r="CL30" s="146">
        <v>0</v>
      </c>
      <c r="CM30" s="146">
        <v>0</v>
      </c>
      <c r="CN30" s="146">
        <v>0</v>
      </c>
      <c r="CO30" s="146">
        <v>0</v>
      </c>
      <c r="CP30" s="146">
        <v>0</v>
      </c>
      <c r="CQ30" s="146">
        <v>0</v>
      </c>
      <c r="CR30" s="146">
        <v>0</v>
      </c>
      <c r="CS30" s="146">
        <v>0</v>
      </c>
      <c r="CT30" s="146">
        <v>0</v>
      </c>
      <c r="CU30" s="146">
        <v>0</v>
      </c>
      <c r="CV30" s="146">
        <v>0</v>
      </c>
      <c r="CW30" s="146">
        <v>0</v>
      </c>
      <c r="CX30" s="146">
        <v>0</v>
      </c>
      <c r="CY30" s="146">
        <v>0</v>
      </c>
      <c r="CZ30" s="146">
        <v>0</v>
      </c>
      <c r="DA30" s="156">
        <v>0</v>
      </c>
      <c r="DB30" s="156">
        <v>0</v>
      </c>
      <c r="DC30" s="156">
        <v>0</v>
      </c>
      <c r="DD30" s="156">
        <v>0</v>
      </c>
      <c r="DE30" s="156">
        <v>0</v>
      </c>
      <c r="DF30" s="156">
        <v>0</v>
      </c>
      <c r="DG30" s="156">
        <v>0</v>
      </c>
      <c r="DH30" s="156">
        <v>0</v>
      </c>
      <c r="DI30" s="156">
        <v>0</v>
      </c>
      <c r="DJ30" s="156">
        <v>0</v>
      </c>
      <c r="DK30" s="156">
        <v>0</v>
      </c>
      <c r="DL30" s="156">
        <v>0</v>
      </c>
      <c r="DM30" s="156">
        <v>0</v>
      </c>
      <c r="DN30" s="156">
        <v>0</v>
      </c>
      <c r="DO30" s="156">
        <v>0</v>
      </c>
      <c r="DP30" s="156">
        <v>0</v>
      </c>
      <c r="DQ30" s="156">
        <v>0</v>
      </c>
      <c r="DR30" s="156">
        <v>0</v>
      </c>
      <c r="DS30" s="156">
        <v>0</v>
      </c>
      <c r="DT30" s="156">
        <v>0</v>
      </c>
      <c r="DU30" s="156">
        <v>0</v>
      </c>
      <c r="DV30" s="156">
        <v>0</v>
      </c>
      <c r="DW30" s="156">
        <v>0</v>
      </c>
      <c r="DX30" s="156">
        <v>0</v>
      </c>
      <c r="DY30" s="156">
        <v>0</v>
      </c>
      <c r="DZ30" s="156">
        <v>0</v>
      </c>
      <c r="EA30" s="178">
        <v>0</v>
      </c>
      <c r="EB30" s="181">
        <f>EA27*(1/8)</f>
        <v>24.185735913858924</v>
      </c>
      <c r="EC30" s="177">
        <v>0</v>
      </c>
      <c r="ED30" s="181">
        <f>EC27*(1/7)</f>
        <v>24.082193323306559</v>
      </c>
      <c r="EE30" s="155">
        <v>0</v>
      </c>
      <c r="EF30" s="156">
        <v>0</v>
      </c>
      <c r="EG30" s="156">
        <v>0</v>
      </c>
      <c r="EH30" s="178">
        <v>0</v>
      </c>
      <c r="EI30" s="181">
        <f>EH27*1/6</f>
        <v>23.834369382163725</v>
      </c>
      <c r="EJ30" s="177">
        <v>0</v>
      </c>
      <c r="EK30" s="181">
        <f>EJ27*(1/5)</f>
        <v>23.729612561855234</v>
      </c>
      <c r="EL30" s="155">
        <v>0</v>
      </c>
      <c r="EM30" s="156">
        <v>0</v>
      </c>
      <c r="EN30" s="156">
        <v>0</v>
      </c>
      <c r="EO30" s="178">
        <v>0</v>
      </c>
      <c r="EP30" s="181">
        <f>EO27*(1/4)</f>
        <v>23.481493552061213</v>
      </c>
      <c r="EQ30" s="177">
        <v>0</v>
      </c>
      <c r="ER30" s="181">
        <f>EQ27*(1/3)</f>
        <v>23.372038483450538</v>
      </c>
      <c r="ES30" s="155">
        <v>0</v>
      </c>
      <c r="ET30" s="156">
        <v>0</v>
      </c>
      <c r="EU30" s="156">
        <v>0</v>
      </c>
      <c r="EV30" s="178">
        <v>0</v>
      </c>
      <c r="EW30" s="181">
        <f>EV27*(1/2)</f>
        <v>23.116065489904333</v>
      </c>
      <c r="EX30" s="177">
        <v>0</v>
      </c>
      <c r="EY30" s="181">
        <f>EX27*1</f>
        <v>22.977554025488825</v>
      </c>
      <c r="EZ30" s="20"/>
      <c r="FA30" s="20"/>
      <c r="FB30" s="20"/>
      <c r="FC30" s="20"/>
      <c r="FD30" s="20"/>
      <c r="FE30" s="20"/>
      <c r="FF30" s="20"/>
      <c r="FG30" s="20"/>
      <c r="FH30" s="20"/>
      <c r="FI30" s="20"/>
      <c r="FJ30" s="20"/>
      <c r="FK30" s="20"/>
      <c r="FL30" s="20"/>
      <c r="FM30" s="20"/>
      <c r="FN30" s="20"/>
      <c r="FO30" s="20"/>
      <c r="FP30" s="20"/>
      <c r="FQ30" s="20"/>
      <c r="FR30" s="20"/>
      <c r="FS30" s="20"/>
      <c r="FT30" s="20"/>
      <c r="FU30" s="20"/>
      <c r="FV30" s="20"/>
      <c r="FW30" s="20"/>
      <c r="FX30" s="20"/>
      <c r="FY30" s="20"/>
      <c r="FZ30" s="20"/>
      <c r="GA30" s="20"/>
      <c r="GB30" s="20"/>
      <c r="GC30" s="20"/>
      <c r="GD30" s="20"/>
      <c r="GE30" s="20"/>
      <c r="GF30" s="20"/>
      <c r="GG30" s="20"/>
      <c r="GH30" s="20"/>
      <c r="GI30" s="20"/>
      <c r="GJ30" s="20"/>
      <c r="GK30" s="20"/>
      <c r="GL30" s="20"/>
      <c r="GM30" s="20"/>
      <c r="GN30" s="20"/>
      <c r="GO30" s="20"/>
      <c r="GP30" s="20"/>
      <c r="GQ30" s="20"/>
      <c r="GR30" s="20"/>
      <c r="GS30" s="20"/>
      <c r="GT30" s="20"/>
      <c r="GU30" s="20"/>
      <c r="GV30" s="20"/>
      <c r="GW30" s="20"/>
      <c r="GX30" s="20"/>
      <c r="GY30" s="20"/>
      <c r="GZ30" s="20"/>
      <c r="HA30" s="20"/>
      <c r="HB30" s="20"/>
      <c r="HC30" s="20"/>
      <c r="HD30" s="20"/>
      <c r="HE30" s="20"/>
      <c r="HF30" s="20"/>
      <c r="HG30" s="20"/>
      <c r="HH30" s="20"/>
      <c r="HI30" s="20"/>
      <c r="HJ30" s="20"/>
      <c r="HK30" s="20"/>
      <c r="HL30" s="20"/>
      <c r="HM30" s="20"/>
      <c r="HN30" s="20"/>
      <c r="HO30" s="20"/>
      <c r="HP30" s="20"/>
      <c r="HQ30" s="22"/>
      <c r="HR30" s="22"/>
      <c r="HS30" s="22"/>
      <c r="HT30" s="22"/>
      <c r="HU30" s="22"/>
      <c r="HV30" s="22"/>
      <c r="HW30" s="22"/>
      <c r="HX30" s="22"/>
      <c r="HY30" s="22"/>
      <c r="HZ30" s="22"/>
      <c r="IA30" s="22"/>
      <c r="IB30" s="22"/>
      <c r="IC30" s="22"/>
      <c r="ID30" s="22"/>
      <c r="IE30" s="22"/>
      <c r="IF30" s="22"/>
      <c r="IG30" s="22"/>
      <c r="IH30" s="22"/>
      <c r="II30" s="22"/>
      <c r="IJ30" s="22"/>
      <c r="IK30" s="22"/>
      <c r="IL30" s="22"/>
      <c r="IM30" s="22"/>
      <c r="IN30" s="22"/>
      <c r="IO30" s="22"/>
      <c r="IP30" s="22"/>
      <c r="IQ30" s="22"/>
      <c r="IR30" s="22"/>
      <c r="IS30" s="22"/>
      <c r="IT30" s="22"/>
      <c r="IU30" s="22"/>
      <c r="IV30" s="22"/>
      <c r="IW30" s="22"/>
      <c r="IX30" s="22"/>
      <c r="IY30" s="22"/>
      <c r="IZ30" s="22"/>
      <c r="JA30" s="22"/>
      <c r="JB30" s="22"/>
      <c r="JC30" s="22"/>
      <c r="JD30" s="22"/>
      <c r="JE30" s="22"/>
      <c r="JF30" s="22"/>
      <c r="JG30" s="22"/>
      <c r="JH30" s="22"/>
      <c r="JI30" s="22"/>
      <c r="JJ30" s="22"/>
      <c r="JK30" s="22"/>
      <c r="JL30" s="22"/>
      <c r="JM30" s="22"/>
      <c r="JN30" s="23"/>
      <c r="JO30" s="23"/>
      <c r="JP30" s="22"/>
      <c r="JQ30" s="22"/>
      <c r="JR30" s="22"/>
      <c r="JS30" s="22"/>
      <c r="JT30" s="22"/>
      <c r="JU30" s="22"/>
      <c r="JV30" s="22"/>
      <c r="JW30" s="22"/>
      <c r="JX30" s="22"/>
      <c r="JY30" s="22"/>
      <c r="JZ30" s="22"/>
      <c r="KA30" s="22"/>
      <c r="KB30" s="22"/>
      <c r="KC30" s="22"/>
      <c r="KD30" s="22"/>
      <c r="KE30" s="22"/>
      <c r="KF30" s="22"/>
      <c r="KG30" s="22"/>
      <c r="KH30" s="22"/>
      <c r="KI30" s="22"/>
      <c r="KJ30" s="22"/>
      <c r="KK30" s="22"/>
      <c r="KL30" s="22"/>
      <c r="KM30" s="22"/>
      <c r="KN30" s="22"/>
      <c r="KO30" s="22"/>
      <c r="KP30" s="22"/>
      <c r="KQ30" s="22"/>
      <c r="KR30" s="22"/>
      <c r="KS30" s="22"/>
      <c r="KT30" s="22"/>
      <c r="KU30" s="22"/>
      <c r="KV30" s="22"/>
      <c r="KW30" s="22"/>
      <c r="KX30" s="22"/>
      <c r="KY30" s="22"/>
      <c r="KZ30" s="22"/>
      <c r="LA30" s="22"/>
      <c r="LB30" s="22"/>
      <c r="LC30" s="22"/>
      <c r="LD30" s="22"/>
      <c r="LE30" s="22"/>
      <c r="LF30" s="22"/>
      <c r="LG30" s="22"/>
      <c r="LH30" s="22"/>
      <c r="LI30" s="22"/>
      <c r="LJ30" s="22"/>
      <c r="LK30" s="22"/>
      <c r="LL30" s="22"/>
      <c r="LM30" s="22"/>
      <c r="LN30" s="22"/>
      <c r="LO30" s="22"/>
      <c r="LP30" s="22"/>
      <c r="LQ30" s="22"/>
      <c r="LR30" s="22"/>
      <c r="LS30" s="22"/>
      <c r="LT30" s="22"/>
      <c r="LU30" s="22"/>
      <c r="LV30" s="22"/>
      <c r="LW30" s="22"/>
      <c r="LX30" s="22"/>
      <c r="LY30" s="22"/>
      <c r="LZ30" s="22"/>
      <c r="MA30" s="22"/>
      <c r="MB30" s="23"/>
      <c r="MC30" s="23"/>
      <c r="MD30" s="22"/>
      <c r="ME30" s="22"/>
      <c r="MF30" s="22"/>
      <c r="MG30" s="22"/>
      <c r="MH30" s="22"/>
      <c r="MI30" s="22"/>
      <c r="MJ30" s="22"/>
      <c r="MK30" s="22"/>
      <c r="ML30" s="22"/>
      <c r="MM30" s="22"/>
      <c r="MN30" s="22"/>
      <c r="MO30" s="22"/>
      <c r="MP30" s="22"/>
      <c r="MQ30" s="22"/>
      <c r="MR30" s="22"/>
      <c r="MS30" s="22"/>
      <c r="MT30" s="22"/>
      <c r="MU30" s="22"/>
      <c r="MV30" s="22"/>
      <c r="MW30" s="22"/>
      <c r="MX30" s="22"/>
      <c r="MY30" s="22"/>
      <c r="MZ30" s="22"/>
      <c r="NA30" s="22"/>
      <c r="NB30" s="22"/>
      <c r="NC30" s="22"/>
      <c r="ND30" s="22"/>
      <c r="NE30" s="22"/>
      <c r="NF30" s="22"/>
      <c r="NG30" s="22"/>
      <c r="NH30" s="22"/>
      <c r="NI30" s="22"/>
      <c r="NJ30" s="22"/>
      <c r="NK30" s="22"/>
      <c r="NL30" s="22"/>
      <c r="NM30" s="22"/>
      <c r="NN30" s="22"/>
      <c r="NO30" s="22"/>
      <c r="NP30" s="22"/>
      <c r="NQ30" s="22"/>
      <c r="NR30" s="22"/>
      <c r="NS30" s="22"/>
      <c r="NT30" s="22"/>
      <c r="NU30" s="22"/>
      <c r="NV30" s="22"/>
      <c r="NW30" s="22"/>
      <c r="NX30" s="22"/>
      <c r="NY30" s="22"/>
      <c r="NZ30" s="22"/>
      <c r="OA30" s="22"/>
      <c r="OB30" s="22"/>
      <c r="OC30" s="22"/>
      <c r="OD30" s="22"/>
      <c r="OE30" s="22"/>
      <c r="OF30" s="22"/>
      <c r="OG30" s="22"/>
      <c r="OH30" s="22"/>
      <c r="OI30" s="22"/>
      <c r="OJ30" s="22"/>
      <c r="OK30" s="22"/>
      <c r="OL30" s="22"/>
      <c r="OM30" s="22"/>
      <c r="ON30" s="22"/>
      <c r="OO30" s="22"/>
      <c r="OP30" s="23"/>
      <c r="OQ30" s="30"/>
      <c r="OR30" s="30"/>
      <c r="OS30" s="30"/>
      <c r="OT30" s="30"/>
      <c r="OU30" s="30"/>
      <c r="OV30" s="30"/>
      <c r="OW30" s="30"/>
      <c r="OX30" s="30"/>
      <c r="OY30" s="30"/>
      <c r="OZ30" s="30"/>
      <c r="PA30" s="30"/>
      <c r="PB30" s="30"/>
      <c r="PC30" s="30"/>
      <c r="PD30" s="30"/>
      <c r="PE30" s="30"/>
      <c r="PF30" s="30"/>
      <c r="PG30" s="30"/>
      <c r="PH30" s="30"/>
      <c r="PI30" s="30"/>
      <c r="PJ30" s="30"/>
      <c r="PK30" s="30"/>
      <c r="PL30" s="30"/>
      <c r="PM30" s="30"/>
      <c r="PN30" s="30"/>
      <c r="PO30" s="30"/>
      <c r="PP30" s="30"/>
      <c r="PQ30" s="30"/>
      <c r="PR30" s="30"/>
      <c r="PS30" s="30"/>
      <c r="PT30" s="30"/>
      <c r="PU30" s="30"/>
      <c r="PV30" s="30"/>
      <c r="PW30" s="30"/>
      <c r="PX30" s="30"/>
      <c r="PY30" s="30"/>
      <c r="PZ30" s="30"/>
      <c r="QA30" s="30"/>
      <c r="QB30" s="30"/>
      <c r="QC30" s="30"/>
      <c r="QD30" s="30"/>
      <c r="QE30" s="29"/>
      <c r="QF30" s="29"/>
      <c r="QG30" s="29"/>
      <c r="QH30" s="29"/>
      <c r="QI30" s="29"/>
      <c r="QJ30" s="29"/>
      <c r="QK30" s="29"/>
      <c r="QL30" s="29"/>
      <c r="QM30" s="29"/>
      <c r="QN30" s="29"/>
      <c r="QO30" s="29"/>
      <c r="QP30" s="29"/>
      <c r="QQ30" s="29"/>
      <c r="QR30" s="29"/>
      <c r="QS30" s="29"/>
      <c r="QT30" s="29"/>
      <c r="QU30" s="29"/>
      <c r="QV30" s="29"/>
      <c r="QW30" s="29"/>
      <c r="QX30" s="29"/>
      <c r="QY30" s="29"/>
      <c r="QZ30" s="29"/>
      <c r="RA30" s="29"/>
      <c r="RB30" s="29"/>
      <c r="RC30" s="29"/>
      <c r="RD30" s="29"/>
      <c r="RE30" s="29"/>
      <c r="RF30" s="29"/>
      <c r="RG30" s="29"/>
      <c r="RH30" s="29"/>
      <c r="RI30" s="29"/>
      <c r="RJ30" s="29"/>
      <c r="RK30" s="29"/>
      <c r="RL30" s="29"/>
      <c r="RM30" s="29"/>
      <c r="RN30" s="29"/>
      <c r="RO30" s="29"/>
      <c r="RP30" s="29"/>
      <c r="RQ30" s="29"/>
      <c r="RR30" s="29"/>
      <c r="RS30" s="29"/>
      <c r="RT30" s="29"/>
      <c r="RU30" s="29"/>
      <c r="RV30" s="29"/>
      <c r="RW30" s="29"/>
      <c r="RX30" s="29"/>
      <c r="RY30" s="29"/>
      <c r="RZ30" s="29"/>
      <c r="SA30" s="29"/>
      <c r="SB30" s="29"/>
      <c r="SC30" s="14"/>
      <c r="SD30" s="14"/>
      <c r="SE30" s="14"/>
      <c r="SF30" s="14"/>
      <c r="SG30" s="14"/>
      <c r="SH30" s="14"/>
      <c r="SI30" s="14"/>
      <c r="SJ30" s="14"/>
      <c r="SK30" s="14"/>
      <c r="SL30" s="14"/>
      <c r="SM30" s="14"/>
      <c r="SN30" s="14"/>
      <c r="SO30" s="14"/>
      <c r="SP30" s="14"/>
      <c r="SQ30" s="14"/>
      <c r="SR30" s="14"/>
      <c r="SS30" s="14"/>
      <c r="ST30" s="14"/>
      <c r="SU30" s="14"/>
      <c r="SV30" s="14"/>
      <c r="SW30" s="14"/>
      <c r="SX30" s="14"/>
      <c r="SY30" s="14"/>
      <c r="SZ30" s="14"/>
      <c r="TA30" s="14"/>
      <c r="TB30" s="14"/>
      <c r="TC30" s="13"/>
      <c r="TD30" s="13"/>
      <c r="TE30" s="13"/>
      <c r="TF30" s="13"/>
      <c r="TG30" s="13"/>
      <c r="TH30" s="13"/>
      <c r="TI30" s="13"/>
      <c r="TJ30" s="13"/>
      <c r="TK30" s="13"/>
      <c r="TL30" s="13"/>
      <c r="TM30" s="13"/>
      <c r="TN30" s="13"/>
      <c r="TO30" s="13"/>
      <c r="TP30" s="13"/>
      <c r="TQ30" s="13"/>
      <c r="TR30" s="13"/>
      <c r="TS30" s="13"/>
      <c r="TT30" s="13"/>
      <c r="TU30" s="13"/>
      <c r="TV30" s="13"/>
      <c r="TW30" s="13"/>
      <c r="TX30" s="13"/>
      <c r="TY30" s="13"/>
      <c r="TZ30" s="13"/>
      <c r="UA30" s="13"/>
      <c r="UB30" s="13"/>
      <c r="UC30" s="13"/>
      <c r="UD30" s="13"/>
      <c r="UE30" s="13"/>
      <c r="UF30" s="13"/>
      <c r="UG30" s="13"/>
      <c r="UH30" s="13"/>
      <c r="UI30" s="13"/>
      <c r="UJ30" s="13"/>
      <c r="UK30" s="13"/>
      <c r="UL30" s="13"/>
      <c r="UM30" s="13"/>
      <c r="UN30" s="13"/>
      <c r="UO30" s="13"/>
      <c r="UP30" s="13"/>
      <c r="UQ30" s="13"/>
      <c r="UR30" s="13"/>
      <c r="US30" s="13"/>
      <c r="UT30" s="13"/>
      <c r="UU30" s="13"/>
      <c r="UV30" s="13"/>
      <c r="UW30" s="13"/>
      <c r="UX30" s="13"/>
      <c r="UY30" s="13"/>
      <c r="UZ30" s="13"/>
      <c r="VA30" s="13"/>
      <c r="VB30" s="13"/>
      <c r="VC30" s="13"/>
      <c r="VD30" s="13"/>
      <c r="VE30" s="13"/>
      <c r="VF30" s="13"/>
      <c r="VG30" s="13"/>
      <c r="VH30" s="13"/>
      <c r="VI30" s="13"/>
      <c r="VJ30" s="13"/>
      <c r="VK30" s="13"/>
      <c r="VL30" s="13"/>
      <c r="VM30" s="13"/>
      <c r="VN30" s="13"/>
      <c r="VO30" s="13"/>
      <c r="VP30" s="13"/>
      <c r="VQ30" s="13"/>
      <c r="VR30" s="13"/>
      <c r="VS30" s="13"/>
      <c r="VT30" s="13"/>
      <c r="VU30" s="13"/>
      <c r="VV30" s="13"/>
      <c r="VW30" s="13"/>
      <c r="VX30" s="13"/>
      <c r="VY30" s="13"/>
      <c r="VZ30" s="13"/>
      <c r="WA30" s="13"/>
      <c r="WB30" s="13"/>
      <c r="WC30" s="13"/>
      <c r="WD30" s="13"/>
      <c r="WE30" s="13"/>
      <c r="WF30" s="13"/>
      <c r="WG30" s="13"/>
      <c r="WH30" s="13"/>
      <c r="WI30" s="13"/>
      <c r="WJ30" s="13"/>
      <c r="WK30" s="13"/>
      <c r="WL30" s="13"/>
      <c r="WM30" s="13"/>
      <c r="WN30" s="13"/>
      <c r="WO30" s="13"/>
      <c r="WP30" s="13"/>
      <c r="WQ30" s="13"/>
      <c r="WR30" s="13"/>
      <c r="WS30" s="13"/>
      <c r="WT30" s="13"/>
      <c r="WU30" s="13"/>
      <c r="WV30" s="13"/>
      <c r="WW30" s="13"/>
      <c r="WX30" s="13"/>
      <c r="WY30" s="13"/>
      <c r="WZ30" s="13"/>
      <c r="XA30" s="13"/>
      <c r="XB30" s="13"/>
      <c r="XC30" s="13"/>
      <c r="XD30" s="13"/>
      <c r="XE30" s="13"/>
      <c r="XF30" s="13"/>
      <c r="XG30" s="13"/>
      <c r="XH30" s="13"/>
      <c r="XI30" s="13"/>
      <c r="XJ30" s="13"/>
      <c r="XK30" s="13"/>
      <c r="XL30" s="13"/>
      <c r="XM30" s="13"/>
      <c r="XN30" s="13"/>
      <c r="XO30" s="13"/>
      <c r="XP30" s="13"/>
      <c r="XQ30" s="13"/>
      <c r="XR30" s="13"/>
      <c r="XS30" s="13"/>
      <c r="XT30" s="13"/>
      <c r="XU30" s="13"/>
      <c r="XV30" s="13"/>
      <c r="XW30" s="13"/>
      <c r="XX30" s="13"/>
      <c r="XY30" s="13"/>
      <c r="XZ30" s="13"/>
      <c r="YA30" s="13"/>
      <c r="YB30" s="13"/>
      <c r="YC30" s="13"/>
      <c r="YD30" s="13"/>
      <c r="YE30" s="13"/>
      <c r="YF30" s="13"/>
      <c r="YG30" s="13"/>
      <c r="YH30" s="13"/>
      <c r="YI30" s="13"/>
      <c r="YJ30" s="13"/>
      <c r="YK30" s="13"/>
      <c r="YL30" s="13"/>
      <c r="YM30" s="13"/>
      <c r="YN30" s="13"/>
      <c r="YO30" s="13"/>
      <c r="YP30" s="13"/>
      <c r="YQ30" s="13"/>
      <c r="YR30" s="13"/>
      <c r="YS30" s="13"/>
      <c r="YT30" s="13"/>
      <c r="YU30" s="13"/>
      <c r="YV30" s="13"/>
      <c r="YW30" s="13"/>
      <c r="YX30" s="13"/>
      <c r="YY30" s="13"/>
      <c r="YZ30" s="13"/>
      <c r="ZA30" s="13"/>
      <c r="ZB30" s="13"/>
      <c r="ZC30" s="13"/>
      <c r="ZD30" s="13"/>
      <c r="ZE30" s="13"/>
      <c r="ZF30" s="13"/>
      <c r="ZG30" s="13"/>
      <c r="ZH30" s="13"/>
      <c r="ZI30" s="13"/>
      <c r="ZJ30" s="13"/>
      <c r="ZK30" s="13"/>
      <c r="ZL30" s="13"/>
      <c r="ZM30" s="13"/>
      <c r="ZN30" s="13"/>
      <c r="ZO30" s="13"/>
      <c r="ZP30" s="13"/>
      <c r="ZQ30" s="13"/>
      <c r="ZR30" s="13"/>
      <c r="ZS30" s="13"/>
      <c r="ZT30" s="13"/>
      <c r="ZU30" s="13"/>
      <c r="ZV30" s="13"/>
      <c r="ZW30" s="13"/>
      <c r="ZX30" s="13"/>
      <c r="ZY30" s="13"/>
      <c r="ZZ30" s="13"/>
      <c r="AAA30" s="13"/>
      <c r="AAB30" s="13"/>
      <c r="AAC30" s="13"/>
      <c r="AAD30" s="13"/>
      <c r="AAE30" s="13"/>
      <c r="AAF30" s="13"/>
      <c r="AAG30" s="13"/>
      <c r="AAH30" s="13"/>
      <c r="AAI30" s="13"/>
      <c r="AAJ30" s="13"/>
      <c r="AAK30" s="13"/>
      <c r="AAL30" s="13"/>
      <c r="AAM30" s="13"/>
      <c r="AAN30" s="13"/>
      <c r="AAO30" s="13"/>
      <c r="AAP30" s="13"/>
      <c r="AAQ30" s="13"/>
      <c r="AAR30" s="13"/>
      <c r="AAS30" s="13"/>
      <c r="AAT30" s="13"/>
      <c r="AAU30" s="13"/>
      <c r="AAV30" s="13"/>
      <c r="AAW30" s="13"/>
      <c r="AAX30" s="13"/>
      <c r="AAY30" s="13"/>
      <c r="AAZ30" s="13"/>
      <c r="ABA30" s="13"/>
      <c r="ABB30" s="13"/>
      <c r="ABC30" s="13"/>
      <c r="ABD30" s="13"/>
      <c r="ABE30" s="13"/>
      <c r="ABF30" s="13"/>
      <c r="ABG30" s="13"/>
      <c r="ABH30" s="13"/>
      <c r="ABI30" s="13"/>
      <c r="ABJ30" s="13"/>
      <c r="ABK30" s="13"/>
      <c r="ABL30" s="13"/>
      <c r="ABM30" s="13"/>
      <c r="ABN30" s="13"/>
      <c r="ABO30" s="13"/>
      <c r="ABP30" s="13"/>
      <c r="ABQ30" s="13"/>
      <c r="ABR30" s="13"/>
      <c r="ABS30" s="13"/>
      <c r="ABT30" s="13"/>
      <c r="ABU30" s="13"/>
      <c r="ABV30" s="13"/>
      <c r="ABW30" s="13"/>
      <c r="ABX30" s="13"/>
      <c r="ABY30" s="13"/>
      <c r="ABZ30" s="13"/>
      <c r="ACA30" s="13"/>
      <c r="ACB30" s="13"/>
      <c r="ACC30" s="13"/>
      <c r="ACD30" s="13"/>
      <c r="ACE30" s="13"/>
      <c r="ACF30" s="13"/>
      <c r="ACG30" s="13"/>
      <c r="ACH30" s="13"/>
      <c r="ACI30" s="13"/>
      <c r="ACJ30" s="13"/>
      <c r="ACK30" s="13"/>
      <c r="ACL30" s="13"/>
      <c r="ACM30" s="13"/>
      <c r="ACN30" s="13"/>
      <c r="ACO30" s="13"/>
      <c r="ACP30" s="13"/>
      <c r="ACQ30" s="13"/>
      <c r="ACR30" s="13"/>
      <c r="ACS30" s="13"/>
      <c r="ACT30" s="13"/>
      <c r="ACU30" s="13"/>
      <c r="ACV30" s="13"/>
      <c r="ACW30" s="13"/>
      <c r="ACX30" s="13"/>
      <c r="ACY30" s="13"/>
      <c r="ACZ30" s="13"/>
      <c r="ADA30" s="13"/>
      <c r="ADB30" s="13"/>
      <c r="ADC30" s="13"/>
      <c r="ADD30" s="13"/>
      <c r="ADE30" s="13"/>
      <c r="ADF30" s="13"/>
      <c r="ADG30" s="13"/>
      <c r="ADH30" s="13"/>
      <c r="ADI30" s="13"/>
      <c r="ADJ30" s="13"/>
      <c r="ADK30" s="13"/>
      <c r="ADL30" s="13"/>
      <c r="ADM30" s="13"/>
      <c r="ADN30" s="13"/>
      <c r="ADO30" s="13"/>
      <c r="ADP30" s="13"/>
      <c r="ADQ30" s="13"/>
      <c r="ADR30" s="13"/>
      <c r="ADS30" s="13"/>
      <c r="ADT30" s="13"/>
      <c r="ADU30" s="13"/>
      <c r="ADV30" s="13"/>
      <c r="ADW30" s="13"/>
      <c r="ADX30" s="13"/>
      <c r="ADY30" s="13"/>
      <c r="ADZ30" s="13"/>
      <c r="AEA30" s="13"/>
      <c r="AEB30" s="13"/>
      <c r="AEC30" s="13"/>
      <c r="AED30" s="13"/>
      <c r="AEE30" s="13"/>
      <c r="AEF30" s="13"/>
      <c r="AEG30" s="13"/>
      <c r="AEH30" s="13"/>
      <c r="AEI30" s="13"/>
      <c r="AEJ30" s="13"/>
      <c r="AEK30" s="13"/>
      <c r="AEL30" s="13"/>
      <c r="AEM30" s="13"/>
      <c r="AEN30" s="13"/>
      <c r="AEO30" s="13"/>
      <c r="AEP30" s="13"/>
      <c r="AEQ30" s="13"/>
      <c r="AER30" s="13"/>
      <c r="AES30" s="13"/>
      <c r="AET30" s="13"/>
      <c r="AEU30" s="13"/>
      <c r="AEV30" s="13"/>
      <c r="AEW30" s="13"/>
      <c r="AEX30" s="13"/>
      <c r="AEY30" s="13"/>
      <c r="AEZ30" s="13"/>
      <c r="AFA30" s="13"/>
      <c r="AFB30" s="13"/>
      <c r="AFC30" s="13"/>
      <c r="AFD30" s="13"/>
      <c r="AFE30" s="13"/>
      <c r="AFF30" s="13"/>
      <c r="AFG30" s="13"/>
      <c r="AFH30" s="13"/>
      <c r="AFI30" s="13"/>
      <c r="AFJ30" s="13"/>
      <c r="AFK30" s="13"/>
      <c r="AFL30" s="13"/>
      <c r="AFM30" s="13"/>
      <c r="AFN30" s="13"/>
      <c r="AFO30" s="13"/>
      <c r="AFP30" s="13"/>
      <c r="AFQ30" s="13"/>
      <c r="AFR30" s="13"/>
      <c r="AFS30" s="13"/>
      <c r="AFT30" s="13"/>
      <c r="AFU30" s="13"/>
      <c r="AFV30" s="13"/>
      <c r="AFW30" s="13"/>
      <c r="AFX30" s="13"/>
      <c r="AFY30" s="13"/>
      <c r="AFZ30" s="13"/>
      <c r="AGA30" s="13"/>
      <c r="AGB30" s="13"/>
      <c r="AGC30" s="13"/>
      <c r="AGD30" s="13"/>
      <c r="AGE30" s="13"/>
      <c r="AGF30" s="13"/>
      <c r="AGG30" s="13"/>
      <c r="AGH30" s="13"/>
      <c r="AGI30" s="13"/>
      <c r="AGJ30" s="13"/>
      <c r="AGK30" s="13"/>
      <c r="AGL30" s="13"/>
      <c r="AGM30" s="13"/>
      <c r="AGN30" s="13"/>
      <c r="AGO30" s="13"/>
      <c r="AGP30" s="13"/>
      <c r="AGQ30" s="13"/>
      <c r="AGR30" s="13"/>
      <c r="AGS30" s="13"/>
      <c r="AGT30" s="13"/>
      <c r="AGU30" s="13"/>
      <c r="AGV30" s="13"/>
      <c r="AGW30" s="13"/>
      <c r="AGX30" s="13"/>
      <c r="AGY30" s="13"/>
      <c r="AGZ30" s="13"/>
      <c r="AHA30" s="13"/>
      <c r="AHB30" s="13"/>
      <c r="AHC30" s="13"/>
      <c r="AHD30" s="13"/>
      <c r="AHE30" s="13"/>
      <c r="AHF30" s="13"/>
      <c r="AHG30" s="13"/>
      <c r="AHH30" s="13"/>
      <c r="AHI30" s="13"/>
      <c r="AHJ30" s="13"/>
      <c r="AHK30" s="13"/>
      <c r="AHL30" s="13"/>
      <c r="AHM30" s="13"/>
      <c r="AHN30" s="13"/>
      <c r="AHO30" s="13"/>
      <c r="AHP30" s="13"/>
      <c r="AHQ30" s="13"/>
      <c r="AHR30" s="13"/>
      <c r="AHS30" s="13"/>
      <c r="AHT30" s="13"/>
      <c r="AHU30" s="13"/>
      <c r="AHV30" s="13"/>
      <c r="AHW30" s="13"/>
      <c r="AHX30" s="13"/>
      <c r="AHY30" s="13"/>
      <c r="AHZ30" s="13"/>
      <c r="AIA30" s="13"/>
      <c r="AIB30" s="13"/>
      <c r="AIC30" s="13"/>
      <c r="AID30" s="13"/>
      <c r="AIE30" s="13"/>
      <c r="AIF30" s="13"/>
      <c r="AIG30" s="13"/>
      <c r="AIH30" s="13"/>
      <c r="AII30" s="13"/>
      <c r="AIJ30" s="13"/>
      <c r="AIK30" s="13"/>
      <c r="AIL30" s="13"/>
      <c r="AIM30" s="13"/>
      <c r="AIN30" s="13"/>
      <c r="AIO30" s="13"/>
      <c r="AIP30" s="13"/>
      <c r="AIQ30" s="13"/>
      <c r="AIR30" s="13"/>
      <c r="AIS30" s="13"/>
      <c r="AIT30" s="13"/>
      <c r="AIU30" s="13"/>
      <c r="AIV30" s="13"/>
      <c r="AIW30" s="13"/>
      <c r="AIX30" s="13"/>
      <c r="AIY30" s="13"/>
      <c r="AIZ30" s="13"/>
      <c r="AJA30" s="13"/>
      <c r="AJB30" s="13"/>
      <c r="AJC30" s="13"/>
      <c r="AJD30" s="13"/>
      <c r="AJE30" s="13"/>
      <c r="AJF30" s="13"/>
      <c r="AJG30" s="13"/>
      <c r="AJH30" s="13"/>
      <c r="AJI30" s="13"/>
      <c r="AJJ30" s="13"/>
      <c r="AJK30" s="13"/>
      <c r="AJL30" s="13"/>
      <c r="AJM30" s="13"/>
      <c r="AJN30" s="13"/>
      <c r="AJO30" s="13"/>
      <c r="AJP30" s="13"/>
      <c r="AJQ30" s="13"/>
      <c r="AJR30" s="13"/>
      <c r="AJS30" s="13"/>
      <c r="AJT30" s="13"/>
      <c r="AJU30" s="13"/>
      <c r="AJV30" s="13"/>
      <c r="AJW30" s="13"/>
      <c r="AJX30" s="13"/>
      <c r="AJY30" s="13"/>
      <c r="AJZ30" s="13"/>
      <c r="AKA30" s="13"/>
      <c r="AKB30" s="13"/>
      <c r="AKC30" s="13"/>
      <c r="AKD30" s="13"/>
      <c r="AKE30" s="13"/>
      <c r="AKF30" s="13"/>
      <c r="AKG30" s="13"/>
      <c r="AKH30" s="13"/>
      <c r="AKI30" s="13"/>
      <c r="AKJ30" s="13"/>
      <c r="AKK30" s="13"/>
      <c r="AKL30" s="13"/>
      <c r="AKM30" s="13"/>
      <c r="AKN30" s="13"/>
      <c r="AKO30" s="13"/>
      <c r="AKP30" s="13"/>
      <c r="AKQ30" s="13"/>
      <c r="AKR30" s="13"/>
      <c r="AKS30" s="13"/>
      <c r="AKT30" s="13"/>
      <c r="AKU30" s="13"/>
      <c r="AKV30" s="13"/>
      <c r="AKW30" s="13"/>
      <c r="AKX30" s="13"/>
      <c r="AKY30" s="13"/>
      <c r="AKZ30" s="13"/>
      <c r="ALA30" s="13"/>
      <c r="ALB30" s="13"/>
      <c r="ALC30" s="13"/>
      <c r="ALD30" s="13"/>
      <c r="ALE30" s="13"/>
      <c r="ALF30" s="13"/>
      <c r="ALG30" s="13"/>
      <c r="ALH30" s="13"/>
      <c r="ALI30" s="13"/>
      <c r="ALJ30" s="13"/>
      <c r="ALK30" s="13"/>
      <c r="ALL30" s="13"/>
      <c r="ALM30" s="13"/>
      <c r="ALN30" s="13"/>
      <c r="ALO30" s="13"/>
      <c r="ALP30" s="13"/>
      <c r="ALQ30" s="13"/>
      <c r="ALR30" s="13"/>
      <c r="ALS30" s="13"/>
      <c r="ALT30" s="13"/>
      <c r="ALU30" s="13"/>
      <c r="ALV30" s="13"/>
      <c r="ALW30" s="13"/>
      <c r="ALX30" s="13"/>
      <c r="ALY30" s="13"/>
    </row>
    <row r="31" spans="1:1024" s="1" customFormat="1" ht="22.15" customHeight="1" thickBot="1" x14ac:dyDescent="0.3">
      <c r="A31" s="301"/>
      <c r="B31" s="25" t="s">
        <v>2</v>
      </c>
      <c r="C31" s="135">
        <v>2E-3</v>
      </c>
      <c r="D31" s="112">
        <f>C31</f>
        <v>2E-3</v>
      </c>
      <c r="E31" s="113">
        <f>D31</f>
        <v>2E-3</v>
      </c>
      <c r="F31" s="113">
        <f t="shared" ref="F31:BQ31" si="174">E31</f>
        <v>2E-3</v>
      </c>
      <c r="G31" s="113">
        <f>F31</f>
        <v>2E-3</v>
      </c>
      <c r="H31" s="113">
        <f>G31</f>
        <v>2E-3</v>
      </c>
      <c r="I31" s="113">
        <f t="shared" si="174"/>
        <v>2E-3</v>
      </c>
      <c r="J31" s="113">
        <f t="shared" si="174"/>
        <v>2E-3</v>
      </c>
      <c r="K31" s="113">
        <f t="shared" si="174"/>
        <v>2E-3</v>
      </c>
      <c r="L31" s="113">
        <f t="shared" si="174"/>
        <v>2E-3</v>
      </c>
      <c r="M31" s="113">
        <f t="shared" si="174"/>
        <v>2E-3</v>
      </c>
      <c r="N31" s="113">
        <f t="shared" si="174"/>
        <v>2E-3</v>
      </c>
      <c r="O31" s="113">
        <f t="shared" si="174"/>
        <v>2E-3</v>
      </c>
      <c r="P31" s="113">
        <f t="shared" si="174"/>
        <v>2E-3</v>
      </c>
      <c r="Q31" s="113">
        <f t="shared" si="174"/>
        <v>2E-3</v>
      </c>
      <c r="R31" s="113">
        <f>Q31</f>
        <v>2E-3</v>
      </c>
      <c r="S31" s="113">
        <f t="shared" si="174"/>
        <v>2E-3</v>
      </c>
      <c r="T31" s="113">
        <f t="shared" si="174"/>
        <v>2E-3</v>
      </c>
      <c r="U31" s="113">
        <f t="shared" si="174"/>
        <v>2E-3</v>
      </c>
      <c r="V31" s="113">
        <f t="shared" si="174"/>
        <v>2E-3</v>
      </c>
      <c r="W31" s="113">
        <f t="shared" si="174"/>
        <v>2E-3</v>
      </c>
      <c r="X31" s="113">
        <f t="shared" si="174"/>
        <v>2E-3</v>
      </c>
      <c r="Y31" s="113">
        <f t="shared" si="174"/>
        <v>2E-3</v>
      </c>
      <c r="Z31" s="113">
        <f t="shared" si="174"/>
        <v>2E-3</v>
      </c>
      <c r="AA31" s="113">
        <f t="shared" si="174"/>
        <v>2E-3</v>
      </c>
      <c r="AB31" s="113">
        <f t="shared" si="174"/>
        <v>2E-3</v>
      </c>
      <c r="AC31" s="113">
        <f t="shared" si="174"/>
        <v>2E-3</v>
      </c>
      <c r="AD31" s="113">
        <f t="shared" si="174"/>
        <v>2E-3</v>
      </c>
      <c r="AE31" s="113">
        <f t="shared" si="174"/>
        <v>2E-3</v>
      </c>
      <c r="AF31" s="113">
        <f t="shared" si="174"/>
        <v>2E-3</v>
      </c>
      <c r="AG31" s="113">
        <f t="shared" si="174"/>
        <v>2E-3</v>
      </c>
      <c r="AH31" s="113">
        <f t="shared" si="174"/>
        <v>2E-3</v>
      </c>
      <c r="AI31" s="113">
        <f t="shared" si="174"/>
        <v>2E-3</v>
      </c>
      <c r="AJ31" s="113">
        <f t="shared" si="174"/>
        <v>2E-3</v>
      </c>
      <c r="AK31" s="113">
        <f t="shared" si="174"/>
        <v>2E-3</v>
      </c>
      <c r="AL31" s="113">
        <f t="shared" si="174"/>
        <v>2E-3</v>
      </c>
      <c r="AM31" s="113">
        <f t="shared" si="174"/>
        <v>2E-3</v>
      </c>
      <c r="AN31" s="113">
        <f t="shared" si="174"/>
        <v>2E-3</v>
      </c>
      <c r="AO31" s="113">
        <f t="shared" si="174"/>
        <v>2E-3</v>
      </c>
      <c r="AP31" s="113">
        <f t="shared" si="174"/>
        <v>2E-3</v>
      </c>
      <c r="AQ31" s="113">
        <f t="shared" si="174"/>
        <v>2E-3</v>
      </c>
      <c r="AR31" s="113">
        <f t="shared" si="174"/>
        <v>2E-3</v>
      </c>
      <c r="AS31" s="113">
        <f t="shared" si="174"/>
        <v>2E-3</v>
      </c>
      <c r="AT31" s="113">
        <f t="shared" si="174"/>
        <v>2E-3</v>
      </c>
      <c r="AU31" s="113">
        <f t="shared" si="174"/>
        <v>2E-3</v>
      </c>
      <c r="AV31" s="113">
        <f t="shared" si="174"/>
        <v>2E-3</v>
      </c>
      <c r="AW31" s="113">
        <f t="shared" si="174"/>
        <v>2E-3</v>
      </c>
      <c r="AX31" s="113">
        <f t="shared" si="174"/>
        <v>2E-3</v>
      </c>
      <c r="AY31" s="113">
        <f t="shared" si="174"/>
        <v>2E-3</v>
      </c>
      <c r="AZ31" s="113">
        <f t="shared" si="174"/>
        <v>2E-3</v>
      </c>
      <c r="BA31" s="113">
        <f t="shared" si="174"/>
        <v>2E-3</v>
      </c>
      <c r="BB31" s="147">
        <f>BA31</f>
        <v>2E-3</v>
      </c>
      <c r="BC31" s="147">
        <f t="shared" si="174"/>
        <v>2E-3</v>
      </c>
      <c r="BD31" s="147">
        <f t="shared" si="174"/>
        <v>2E-3</v>
      </c>
      <c r="BE31" s="147">
        <f t="shared" si="174"/>
        <v>2E-3</v>
      </c>
      <c r="BF31" s="147">
        <f t="shared" si="174"/>
        <v>2E-3</v>
      </c>
      <c r="BG31" s="147">
        <f t="shared" si="174"/>
        <v>2E-3</v>
      </c>
      <c r="BH31" s="147">
        <f t="shared" si="174"/>
        <v>2E-3</v>
      </c>
      <c r="BI31" s="147">
        <f t="shared" si="174"/>
        <v>2E-3</v>
      </c>
      <c r="BJ31" s="147">
        <f t="shared" si="174"/>
        <v>2E-3</v>
      </c>
      <c r="BK31" s="147">
        <f t="shared" si="174"/>
        <v>2E-3</v>
      </c>
      <c r="BL31" s="147">
        <f t="shared" si="174"/>
        <v>2E-3</v>
      </c>
      <c r="BM31" s="147">
        <f t="shared" si="174"/>
        <v>2E-3</v>
      </c>
      <c r="BN31" s="147">
        <f t="shared" si="174"/>
        <v>2E-3</v>
      </c>
      <c r="BO31" s="147">
        <f t="shared" si="174"/>
        <v>2E-3</v>
      </c>
      <c r="BP31" s="147">
        <f t="shared" si="174"/>
        <v>2E-3</v>
      </c>
      <c r="BQ31" s="147">
        <f t="shared" si="174"/>
        <v>2E-3</v>
      </c>
      <c r="BR31" s="147">
        <f t="shared" ref="BR31:BX31" si="175">BQ31</f>
        <v>2E-3</v>
      </c>
      <c r="BS31" s="147">
        <f t="shared" si="175"/>
        <v>2E-3</v>
      </c>
      <c r="BT31" s="147">
        <f t="shared" si="175"/>
        <v>2E-3</v>
      </c>
      <c r="BU31" s="147">
        <f t="shared" si="175"/>
        <v>2E-3</v>
      </c>
      <c r="BV31" s="147">
        <f t="shared" si="175"/>
        <v>2E-3</v>
      </c>
      <c r="BW31" s="147">
        <f t="shared" si="175"/>
        <v>2E-3</v>
      </c>
      <c r="BX31" s="147">
        <f t="shared" si="175"/>
        <v>2E-3</v>
      </c>
      <c r="BY31" s="147">
        <f>BX31</f>
        <v>2E-3</v>
      </c>
      <c r="BZ31" s="147">
        <f t="shared" ref="BZ31:EK31" si="176">BY31</f>
        <v>2E-3</v>
      </c>
      <c r="CA31" s="147">
        <f t="shared" si="176"/>
        <v>2E-3</v>
      </c>
      <c r="CB31" s="147">
        <f t="shared" si="176"/>
        <v>2E-3</v>
      </c>
      <c r="CC31" s="147">
        <f t="shared" si="176"/>
        <v>2E-3</v>
      </c>
      <c r="CD31" s="147">
        <f t="shared" si="176"/>
        <v>2E-3</v>
      </c>
      <c r="CE31" s="147">
        <f t="shared" si="176"/>
        <v>2E-3</v>
      </c>
      <c r="CF31" s="147">
        <f t="shared" si="176"/>
        <v>2E-3</v>
      </c>
      <c r="CG31" s="147">
        <f t="shared" si="176"/>
        <v>2E-3</v>
      </c>
      <c r="CH31" s="147">
        <f t="shared" si="176"/>
        <v>2E-3</v>
      </c>
      <c r="CI31" s="147">
        <f t="shared" si="176"/>
        <v>2E-3</v>
      </c>
      <c r="CJ31" s="147">
        <f t="shared" si="176"/>
        <v>2E-3</v>
      </c>
      <c r="CK31" s="147">
        <f t="shared" si="176"/>
        <v>2E-3</v>
      </c>
      <c r="CL31" s="147">
        <f t="shared" si="176"/>
        <v>2E-3</v>
      </c>
      <c r="CM31" s="147">
        <f t="shared" si="176"/>
        <v>2E-3</v>
      </c>
      <c r="CN31" s="147">
        <f t="shared" si="176"/>
        <v>2E-3</v>
      </c>
      <c r="CO31" s="147">
        <f t="shared" si="176"/>
        <v>2E-3</v>
      </c>
      <c r="CP31" s="147">
        <f t="shared" si="176"/>
        <v>2E-3</v>
      </c>
      <c r="CQ31" s="147">
        <f t="shared" si="176"/>
        <v>2E-3</v>
      </c>
      <c r="CR31" s="147">
        <f t="shared" si="176"/>
        <v>2E-3</v>
      </c>
      <c r="CS31" s="147">
        <f t="shared" si="176"/>
        <v>2E-3</v>
      </c>
      <c r="CT31" s="147">
        <f t="shared" si="176"/>
        <v>2E-3</v>
      </c>
      <c r="CU31" s="147">
        <f t="shared" si="176"/>
        <v>2E-3</v>
      </c>
      <c r="CV31" s="147">
        <f t="shared" si="176"/>
        <v>2E-3</v>
      </c>
      <c r="CW31" s="147">
        <f t="shared" si="176"/>
        <v>2E-3</v>
      </c>
      <c r="CX31" s="147">
        <f t="shared" si="176"/>
        <v>2E-3</v>
      </c>
      <c r="CY31" s="147">
        <f t="shared" si="176"/>
        <v>2E-3</v>
      </c>
      <c r="CZ31" s="147">
        <f t="shared" si="176"/>
        <v>2E-3</v>
      </c>
      <c r="DA31" s="157">
        <f>CZ31</f>
        <v>2E-3</v>
      </c>
      <c r="DB31" s="157">
        <f t="shared" si="176"/>
        <v>2E-3</v>
      </c>
      <c r="DC31" s="157">
        <f t="shared" si="176"/>
        <v>2E-3</v>
      </c>
      <c r="DD31" s="157">
        <f t="shared" si="176"/>
        <v>2E-3</v>
      </c>
      <c r="DE31" s="157">
        <f t="shared" si="176"/>
        <v>2E-3</v>
      </c>
      <c r="DF31" s="157">
        <f t="shared" si="176"/>
        <v>2E-3</v>
      </c>
      <c r="DG31" s="157">
        <f t="shared" si="176"/>
        <v>2E-3</v>
      </c>
      <c r="DH31" s="157">
        <f t="shared" si="176"/>
        <v>2E-3</v>
      </c>
      <c r="DI31" s="157">
        <f t="shared" si="176"/>
        <v>2E-3</v>
      </c>
      <c r="DJ31" s="157">
        <f t="shared" si="176"/>
        <v>2E-3</v>
      </c>
      <c r="DK31" s="157">
        <f t="shared" si="176"/>
        <v>2E-3</v>
      </c>
      <c r="DL31" s="157">
        <f t="shared" si="176"/>
        <v>2E-3</v>
      </c>
      <c r="DM31" s="157">
        <f t="shared" si="176"/>
        <v>2E-3</v>
      </c>
      <c r="DN31" s="157">
        <f t="shared" si="176"/>
        <v>2E-3</v>
      </c>
      <c r="DO31" s="157">
        <f t="shared" si="176"/>
        <v>2E-3</v>
      </c>
      <c r="DP31" s="157">
        <f t="shared" si="176"/>
        <v>2E-3</v>
      </c>
      <c r="DQ31" s="157">
        <f t="shared" si="176"/>
        <v>2E-3</v>
      </c>
      <c r="DR31" s="157">
        <f t="shared" si="176"/>
        <v>2E-3</v>
      </c>
      <c r="DS31" s="157">
        <f t="shared" si="176"/>
        <v>2E-3</v>
      </c>
      <c r="DT31" s="157">
        <f t="shared" si="176"/>
        <v>2E-3</v>
      </c>
      <c r="DU31" s="157">
        <f t="shared" si="176"/>
        <v>2E-3</v>
      </c>
      <c r="DV31" s="157">
        <f t="shared" si="176"/>
        <v>2E-3</v>
      </c>
      <c r="DW31" s="157">
        <f t="shared" si="176"/>
        <v>2E-3</v>
      </c>
      <c r="DX31" s="157">
        <f t="shared" si="176"/>
        <v>2E-3</v>
      </c>
      <c r="DY31" s="157">
        <f t="shared" si="176"/>
        <v>2E-3</v>
      </c>
      <c r="DZ31" s="157">
        <f t="shared" si="176"/>
        <v>2E-3</v>
      </c>
      <c r="EA31" s="157">
        <f t="shared" si="176"/>
        <v>2E-3</v>
      </c>
      <c r="EB31" s="180">
        <f t="shared" si="176"/>
        <v>2E-3</v>
      </c>
      <c r="EC31" s="157">
        <f t="shared" si="176"/>
        <v>2E-3</v>
      </c>
      <c r="ED31" s="180">
        <f t="shared" si="176"/>
        <v>2E-3</v>
      </c>
      <c r="EE31" s="157">
        <f t="shared" si="176"/>
        <v>2E-3</v>
      </c>
      <c r="EF31" s="157">
        <f t="shared" si="176"/>
        <v>2E-3</v>
      </c>
      <c r="EG31" s="157">
        <f t="shared" si="176"/>
        <v>2E-3</v>
      </c>
      <c r="EH31" s="157">
        <f t="shared" si="176"/>
        <v>2E-3</v>
      </c>
      <c r="EI31" s="180">
        <f t="shared" si="176"/>
        <v>2E-3</v>
      </c>
      <c r="EJ31" s="157">
        <f t="shared" si="176"/>
        <v>2E-3</v>
      </c>
      <c r="EK31" s="180">
        <f t="shared" si="176"/>
        <v>2E-3</v>
      </c>
      <c r="EL31" s="157">
        <f t="shared" ref="EL31:EY31" si="177">EK31</f>
        <v>2E-3</v>
      </c>
      <c r="EM31" s="157">
        <f t="shared" si="177"/>
        <v>2E-3</v>
      </c>
      <c r="EN31" s="157">
        <f t="shared" si="177"/>
        <v>2E-3</v>
      </c>
      <c r="EO31" s="157">
        <f t="shared" si="177"/>
        <v>2E-3</v>
      </c>
      <c r="EP31" s="180">
        <f t="shared" si="177"/>
        <v>2E-3</v>
      </c>
      <c r="EQ31" s="157">
        <f t="shared" si="177"/>
        <v>2E-3</v>
      </c>
      <c r="ER31" s="180">
        <f t="shared" si="177"/>
        <v>2E-3</v>
      </c>
      <c r="ES31" s="157">
        <f t="shared" si="177"/>
        <v>2E-3</v>
      </c>
      <c r="ET31" s="157">
        <f t="shared" si="177"/>
        <v>2E-3</v>
      </c>
      <c r="EU31" s="157">
        <f t="shared" si="177"/>
        <v>2E-3</v>
      </c>
      <c r="EV31" s="157">
        <f t="shared" si="177"/>
        <v>2E-3</v>
      </c>
      <c r="EW31" s="180">
        <f t="shared" si="177"/>
        <v>2E-3</v>
      </c>
      <c r="EX31" s="157">
        <f t="shared" si="177"/>
        <v>2E-3</v>
      </c>
      <c r="EY31" s="180">
        <f t="shared" si="177"/>
        <v>2E-3</v>
      </c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32"/>
      <c r="HR31" s="32"/>
      <c r="HS31" s="32"/>
      <c r="HT31" s="32"/>
      <c r="HU31" s="32"/>
      <c r="HV31" s="32"/>
      <c r="HW31" s="32"/>
      <c r="HX31" s="32"/>
      <c r="HY31" s="32"/>
      <c r="HZ31" s="32"/>
      <c r="IA31" s="32"/>
      <c r="IB31" s="32"/>
      <c r="IC31" s="32"/>
      <c r="ID31" s="32"/>
      <c r="IE31" s="32"/>
      <c r="IF31" s="32"/>
      <c r="IG31" s="32"/>
      <c r="IH31" s="32"/>
      <c r="II31" s="32"/>
      <c r="IJ31" s="32"/>
      <c r="IK31" s="32"/>
      <c r="IL31" s="32"/>
      <c r="IM31" s="32"/>
      <c r="IN31" s="32"/>
      <c r="IO31" s="32"/>
      <c r="IP31" s="32"/>
      <c r="IQ31" s="32"/>
      <c r="IR31" s="32"/>
      <c r="IS31" s="32"/>
      <c r="IT31" s="32"/>
      <c r="IU31" s="32"/>
      <c r="IV31" s="32"/>
      <c r="IW31" s="32"/>
      <c r="IX31" s="32"/>
      <c r="IY31" s="32"/>
      <c r="IZ31" s="32"/>
      <c r="JA31" s="32"/>
      <c r="JB31" s="32"/>
      <c r="JC31" s="32"/>
      <c r="JD31" s="32"/>
      <c r="JE31" s="32"/>
      <c r="JF31" s="32"/>
      <c r="JG31" s="32"/>
      <c r="JH31" s="32"/>
      <c r="JI31" s="32"/>
      <c r="JJ31" s="32"/>
      <c r="JK31" s="32"/>
      <c r="JL31" s="32"/>
      <c r="JM31" s="32"/>
      <c r="JN31" s="32"/>
      <c r="JO31" s="32"/>
      <c r="JP31" s="32"/>
      <c r="JQ31" s="32"/>
      <c r="JR31" s="32"/>
      <c r="JS31" s="32"/>
      <c r="JT31" s="32"/>
      <c r="JU31" s="32"/>
      <c r="JV31" s="32"/>
      <c r="JW31" s="32"/>
      <c r="JX31" s="32"/>
      <c r="JY31" s="32"/>
      <c r="JZ31" s="32"/>
      <c r="KA31" s="32"/>
      <c r="KB31" s="32"/>
      <c r="KC31" s="32"/>
      <c r="KD31" s="32"/>
      <c r="KE31" s="32"/>
      <c r="KF31" s="32"/>
      <c r="KG31" s="32"/>
      <c r="KH31" s="32"/>
      <c r="KI31" s="32"/>
      <c r="KJ31" s="32"/>
      <c r="KK31" s="32"/>
      <c r="KL31" s="32"/>
      <c r="KM31" s="32"/>
      <c r="KN31" s="32"/>
      <c r="KO31" s="32"/>
      <c r="KP31" s="32"/>
      <c r="KQ31" s="32"/>
      <c r="KR31" s="32"/>
      <c r="KS31" s="32"/>
      <c r="KT31" s="32"/>
      <c r="KU31" s="32"/>
      <c r="KV31" s="32"/>
      <c r="KW31" s="32"/>
      <c r="KX31" s="32"/>
      <c r="KY31" s="32"/>
      <c r="KZ31" s="32"/>
      <c r="LA31" s="32"/>
      <c r="LB31" s="32"/>
      <c r="LC31" s="32"/>
      <c r="LD31" s="32"/>
      <c r="LE31" s="32"/>
      <c r="LF31" s="32"/>
      <c r="LG31" s="32"/>
      <c r="LH31" s="32"/>
      <c r="LI31" s="32"/>
      <c r="LJ31" s="32"/>
      <c r="LK31" s="32"/>
      <c r="LL31" s="32"/>
      <c r="LM31" s="32"/>
      <c r="LN31" s="32"/>
      <c r="LO31" s="32"/>
      <c r="LP31" s="32"/>
      <c r="LQ31" s="32"/>
      <c r="LR31" s="32"/>
      <c r="LS31" s="32"/>
      <c r="LT31" s="32"/>
      <c r="LU31" s="32"/>
      <c r="LV31" s="32"/>
      <c r="LW31" s="32"/>
      <c r="LX31" s="32"/>
      <c r="LY31" s="32"/>
      <c r="LZ31" s="32"/>
      <c r="MA31" s="32"/>
      <c r="MB31" s="32"/>
      <c r="MC31" s="32"/>
      <c r="MD31" s="32"/>
      <c r="ME31" s="32"/>
      <c r="MF31" s="32"/>
      <c r="MG31" s="32"/>
      <c r="MH31" s="32"/>
      <c r="MI31" s="32"/>
      <c r="MJ31" s="32"/>
      <c r="MK31" s="32"/>
      <c r="ML31" s="32"/>
      <c r="MM31" s="32"/>
      <c r="MN31" s="32"/>
      <c r="MO31" s="32"/>
      <c r="MP31" s="32"/>
      <c r="MQ31" s="32"/>
      <c r="MR31" s="32"/>
      <c r="MS31" s="32"/>
      <c r="MT31" s="32"/>
      <c r="MU31" s="32"/>
      <c r="MV31" s="32"/>
      <c r="MW31" s="32"/>
      <c r="MX31" s="32"/>
      <c r="MY31" s="32"/>
      <c r="MZ31" s="32"/>
      <c r="NA31" s="32"/>
      <c r="NB31" s="32"/>
      <c r="NC31" s="32"/>
      <c r="ND31" s="32"/>
      <c r="NE31" s="32"/>
      <c r="NF31" s="32"/>
      <c r="NG31" s="32"/>
      <c r="NH31" s="32"/>
      <c r="NI31" s="32"/>
      <c r="NJ31" s="32"/>
      <c r="NK31" s="32"/>
      <c r="NL31" s="32"/>
      <c r="NM31" s="32"/>
      <c r="NN31" s="32"/>
      <c r="NO31" s="32"/>
      <c r="NP31" s="32"/>
      <c r="NQ31" s="32"/>
      <c r="NR31" s="32"/>
      <c r="NS31" s="32"/>
      <c r="NT31" s="32"/>
      <c r="NU31" s="32"/>
      <c r="NV31" s="32"/>
      <c r="NW31" s="32"/>
      <c r="NX31" s="32"/>
      <c r="NY31" s="32"/>
      <c r="NZ31" s="32"/>
      <c r="OA31" s="32"/>
      <c r="OB31" s="32"/>
      <c r="OC31" s="32"/>
      <c r="OD31" s="32"/>
      <c r="OE31" s="32"/>
      <c r="OF31" s="32"/>
      <c r="OG31" s="32"/>
      <c r="OH31" s="32"/>
      <c r="OI31" s="32"/>
      <c r="OJ31" s="32"/>
      <c r="OK31" s="32"/>
      <c r="OL31" s="32"/>
      <c r="OM31" s="32"/>
      <c r="ON31" s="32"/>
      <c r="OO31" s="32"/>
      <c r="OP31" s="32"/>
      <c r="OQ31" s="30"/>
      <c r="OR31" s="30"/>
      <c r="OS31" s="30"/>
      <c r="OT31" s="30"/>
      <c r="OU31" s="30"/>
      <c r="OV31" s="30"/>
      <c r="OW31" s="30"/>
      <c r="OX31" s="30"/>
      <c r="OY31" s="30"/>
      <c r="OZ31" s="30"/>
      <c r="PA31" s="30"/>
      <c r="PB31" s="30"/>
      <c r="PC31" s="30"/>
      <c r="PD31" s="30"/>
      <c r="PE31" s="30"/>
      <c r="PF31" s="30"/>
      <c r="PG31" s="30"/>
      <c r="PH31" s="30"/>
      <c r="PI31" s="30"/>
      <c r="PJ31" s="30"/>
      <c r="PK31" s="30"/>
      <c r="PL31" s="30"/>
      <c r="PM31" s="30"/>
      <c r="PN31" s="30"/>
      <c r="PO31" s="30"/>
      <c r="PP31" s="30"/>
      <c r="PQ31" s="30"/>
      <c r="PR31" s="30"/>
      <c r="PS31" s="30"/>
      <c r="PT31" s="30"/>
      <c r="PU31" s="30"/>
      <c r="PV31" s="30"/>
      <c r="PW31" s="30"/>
      <c r="PX31" s="30"/>
      <c r="PY31" s="30"/>
      <c r="PZ31" s="30"/>
      <c r="QA31" s="30"/>
      <c r="QB31" s="30"/>
      <c r="QC31" s="30"/>
      <c r="QD31" s="30"/>
      <c r="QE31" s="29"/>
      <c r="QF31" s="29"/>
      <c r="QG31" s="29"/>
      <c r="QH31" s="29"/>
      <c r="QI31" s="29"/>
      <c r="QJ31" s="29"/>
      <c r="QK31" s="29"/>
      <c r="QL31" s="29"/>
      <c r="QM31" s="29"/>
      <c r="QN31" s="29"/>
      <c r="QO31" s="29"/>
      <c r="QP31" s="29"/>
      <c r="QQ31" s="29"/>
      <c r="QR31" s="29"/>
      <c r="QS31" s="29"/>
      <c r="QT31" s="29"/>
      <c r="QU31" s="29"/>
      <c r="QV31" s="29"/>
      <c r="QW31" s="29"/>
      <c r="QX31" s="29"/>
      <c r="QY31" s="29"/>
      <c r="QZ31" s="29"/>
      <c r="RA31" s="29"/>
      <c r="RB31" s="29"/>
      <c r="RC31" s="29"/>
      <c r="RD31" s="29"/>
      <c r="RE31" s="29"/>
      <c r="RF31" s="29"/>
      <c r="RG31" s="29"/>
      <c r="RH31" s="29"/>
      <c r="RI31" s="29"/>
      <c r="RJ31" s="29"/>
      <c r="RK31" s="29"/>
      <c r="RL31" s="29"/>
      <c r="RM31" s="29"/>
      <c r="RN31" s="29"/>
      <c r="RO31" s="29"/>
      <c r="RP31" s="29"/>
      <c r="RQ31" s="29"/>
      <c r="RR31" s="29"/>
      <c r="RS31" s="29"/>
      <c r="RT31" s="29"/>
      <c r="RU31" s="29"/>
      <c r="RV31" s="29"/>
      <c r="RW31" s="29"/>
      <c r="RX31" s="29"/>
      <c r="RY31" s="29"/>
      <c r="RZ31" s="29"/>
      <c r="SA31" s="29"/>
      <c r="SB31" s="29"/>
      <c r="SC31" s="14"/>
      <c r="SD31" s="14"/>
      <c r="SE31" s="14"/>
      <c r="SF31" s="14"/>
      <c r="SG31" s="14"/>
      <c r="SH31" s="14"/>
      <c r="SI31" s="14"/>
      <c r="SJ31" s="14"/>
      <c r="SK31" s="14"/>
      <c r="SL31" s="14"/>
      <c r="SM31" s="14"/>
      <c r="SN31" s="14"/>
      <c r="SO31" s="14"/>
      <c r="SP31" s="14"/>
      <c r="SQ31" s="14"/>
      <c r="SR31" s="14"/>
      <c r="SS31" s="14"/>
      <c r="ST31" s="14"/>
      <c r="SU31" s="14"/>
      <c r="SV31" s="14"/>
      <c r="SW31" s="14"/>
      <c r="SX31" s="14"/>
      <c r="SY31" s="14"/>
      <c r="SZ31" s="14"/>
      <c r="TA31" s="14"/>
      <c r="TB31" s="14"/>
      <c r="TC31" s="13"/>
      <c r="TD31" s="13"/>
      <c r="TE31" s="13"/>
      <c r="TF31" s="13"/>
      <c r="TG31" s="13"/>
      <c r="TH31" s="13"/>
      <c r="TI31" s="13"/>
      <c r="TJ31" s="13"/>
      <c r="TK31" s="13"/>
      <c r="TL31" s="13"/>
      <c r="TM31" s="13"/>
      <c r="TN31" s="13"/>
      <c r="TO31" s="13"/>
      <c r="TP31" s="13"/>
      <c r="TQ31" s="13"/>
      <c r="TR31" s="13"/>
      <c r="TS31" s="13"/>
      <c r="TT31" s="13"/>
      <c r="TU31" s="13"/>
      <c r="TV31" s="13"/>
      <c r="TW31" s="13"/>
      <c r="TX31" s="13"/>
      <c r="TY31" s="13"/>
      <c r="TZ31" s="13"/>
      <c r="UA31" s="13"/>
      <c r="UB31" s="13"/>
      <c r="UC31" s="13"/>
      <c r="UD31" s="13"/>
      <c r="UE31" s="13"/>
      <c r="UF31" s="13"/>
      <c r="UG31" s="13"/>
      <c r="UH31" s="13"/>
      <c r="UI31" s="13"/>
      <c r="UJ31" s="13"/>
      <c r="UK31" s="13"/>
      <c r="UL31" s="13"/>
      <c r="UM31" s="13"/>
      <c r="UN31" s="13"/>
      <c r="UO31" s="13"/>
      <c r="UP31" s="13"/>
      <c r="UQ31" s="13"/>
      <c r="UR31" s="13"/>
      <c r="US31" s="13"/>
      <c r="UT31" s="13"/>
      <c r="UU31" s="13"/>
      <c r="UV31" s="13"/>
      <c r="UW31" s="13"/>
      <c r="UX31" s="13"/>
      <c r="UY31" s="13"/>
      <c r="UZ31" s="13"/>
      <c r="VA31" s="13"/>
      <c r="VB31" s="13"/>
      <c r="VC31" s="13"/>
      <c r="VD31" s="13"/>
      <c r="VE31" s="13"/>
      <c r="VF31" s="13"/>
      <c r="VG31" s="13"/>
      <c r="VH31" s="13"/>
      <c r="VI31" s="13"/>
      <c r="VJ31" s="13"/>
      <c r="VK31" s="13"/>
      <c r="VL31" s="13"/>
      <c r="VM31" s="13"/>
      <c r="VN31" s="13"/>
      <c r="VO31" s="13"/>
      <c r="VP31" s="13"/>
      <c r="VQ31" s="13"/>
      <c r="VR31" s="13"/>
      <c r="VS31" s="13"/>
      <c r="VT31" s="13"/>
      <c r="VU31" s="13"/>
      <c r="VV31" s="13"/>
      <c r="VW31" s="13"/>
      <c r="VX31" s="13"/>
      <c r="VY31" s="13"/>
      <c r="VZ31" s="13"/>
      <c r="WA31" s="13"/>
      <c r="WB31" s="13"/>
      <c r="WC31" s="13"/>
      <c r="WD31" s="13"/>
      <c r="WE31" s="13"/>
      <c r="WF31" s="13"/>
      <c r="WG31" s="13"/>
      <c r="WH31" s="13"/>
      <c r="WI31" s="13"/>
      <c r="WJ31" s="13"/>
      <c r="WK31" s="13"/>
      <c r="WL31" s="13"/>
      <c r="WM31" s="13"/>
      <c r="WN31" s="13"/>
      <c r="WO31" s="13"/>
      <c r="WP31" s="13"/>
      <c r="WQ31" s="13"/>
      <c r="WR31" s="13"/>
      <c r="WS31" s="13"/>
      <c r="WT31" s="13"/>
      <c r="WU31" s="13"/>
      <c r="WV31" s="13"/>
      <c r="WW31" s="13"/>
      <c r="WX31" s="13"/>
      <c r="WY31" s="13"/>
      <c r="WZ31" s="13"/>
      <c r="XA31" s="13"/>
      <c r="XB31" s="13"/>
      <c r="XC31" s="13"/>
      <c r="XD31" s="13"/>
      <c r="XE31" s="13"/>
      <c r="XF31" s="13"/>
      <c r="XG31" s="13"/>
      <c r="XH31" s="13"/>
      <c r="XI31" s="13"/>
      <c r="XJ31" s="13"/>
      <c r="XK31" s="13"/>
      <c r="XL31" s="13"/>
      <c r="XM31" s="13"/>
      <c r="XN31" s="13"/>
      <c r="XO31" s="13"/>
      <c r="XP31" s="13"/>
      <c r="XQ31" s="13"/>
      <c r="XR31" s="13"/>
      <c r="XS31" s="13"/>
      <c r="XT31" s="13"/>
      <c r="XU31" s="13"/>
      <c r="XV31" s="13"/>
      <c r="XW31" s="13"/>
      <c r="XX31" s="13"/>
      <c r="XY31" s="13"/>
      <c r="XZ31" s="13"/>
      <c r="YA31" s="13"/>
      <c r="YB31" s="13"/>
      <c r="YC31" s="13"/>
      <c r="YD31" s="13"/>
      <c r="YE31" s="13"/>
      <c r="YF31" s="13"/>
      <c r="YG31" s="13"/>
      <c r="YH31" s="13"/>
      <c r="YI31" s="13"/>
      <c r="YJ31" s="13"/>
      <c r="YK31" s="13"/>
      <c r="YL31" s="13"/>
      <c r="YM31" s="13"/>
      <c r="YN31" s="13"/>
      <c r="YO31" s="13"/>
      <c r="YP31" s="13"/>
      <c r="YQ31" s="13"/>
      <c r="YR31" s="13"/>
      <c r="YS31" s="13"/>
      <c r="YT31" s="13"/>
      <c r="YU31" s="13"/>
      <c r="YV31" s="13"/>
      <c r="YW31" s="13"/>
      <c r="YX31" s="13"/>
      <c r="YY31" s="13"/>
      <c r="YZ31" s="13"/>
      <c r="ZA31" s="13"/>
      <c r="ZB31" s="13"/>
      <c r="ZC31" s="13"/>
      <c r="ZD31" s="13"/>
      <c r="ZE31" s="13"/>
      <c r="ZF31" s="13"/>
      <c r="ZG31" s="13"/>
      <c r="ZH31" s="13"/>
      <c r="ZI31" s="13"/>
      <c r="ZJ31" s="13"/>
      <c r="ZK31" s="13"/>
      <c r="ZL31" s="13"/>
      <c r="ZM31" s="13"/>
      <c r="ZN31" s="13"/>
      <c r="ZO31" s="13"/>
      <c r="ZP31" s="13"/>
      <c r="ZQ31" s="13"/>
      <c r="ZR31" s="13"/>
      <c r="ZS31" s="13"/>
      <c r="ZT31" s="13"/>
      <c r="ZU31" s="13"/>
      <c r="ZV31" s="13"/>
      <c r="ZW31" s="13"/>
      <c r="ZX31" s="13"/>
      <c r="ZY31" s="13"/>
      <c r="ZZ31" s="13"/>
      <c r="AAA31" s="13"/>
      <c r="AAB31" s="13"/>
      <c r="AAC31" s="13"/>
      <c r="AAD31" s="13"/>
      <c r="AAE31" s="13"/>
      <c r="AAF31" s="13"/>
      <c r="AAG31" s="13"/>
      <c r="AAH31" s="13"/>
      <c r="AAI31" s="13"/>
      <c r="AAJ31" s="13"/>
      <c r="AAK31" s="13"/>
      <c r="AAL31" s="13"/>
      <c r="AAM31" s="13"/>
      <c r="AAN31" s="13"/>
      <c r="AAO31" s="13"/>
      <c r="AAP31" s="13"/>
      <c r="AAQ31" s="13"/>
      <c r="AAR31" s="13"/>
      <c r="AAS31" s="13"/>
      <c r="AAT31" s="13"/>
      <c r="AAU31" s="13"/>
      <c r="AAV31" s="13"/>
      <c r="AAW31" s="13"/>
      <c r="AAX31" s="13"/>
      <c r="AAY31" s="13"/>
      <c r="AAZ31" s="13"/>
      <c r="ABA31" s="13"/>
      <c r="ABB31" s="13"/>
      <c r="ABC31" s="13"/>
      <c r="ABD31" s="13"/>
      <c r="ABE31" s="13"/>
      <c r="ABF31" s="13"/>
      <c r="ABG31" s="13"/>
      <c r="ABH31" s="13"/>
      <c r="ABI31" s="13"/>
      <c r="ABJ31" s="13"/>
      <c r="ABK31" s="13"/>
      <c r="ABL31" s="13"/>
      <c r="ABM31" s="13"/>
      <c r="ABN31" s="13"/>
      <c r="ABO31" s="13"/>
      <c r="ABP31" s="13"/>
      <c r="ABQ31" s="13"/>
      <c r="ABR31" s="13"/>
      <c r="ABS31" s="13"/>
      <c r="ABT31" s="13"/>
      <c r="ABU31" s="13"/>
      <c r="ABV31" s="13"/>
      <c r="ABW31" s="13"/>
      <c r="ABX31" s="13"/>
      <c r="ABY31" s="13"/>
      <c r="ABZ31" s="13"/>
      <c r="ACA31" s="13"/>
      <c r="ACB31" s="13"/>
      <c r="ACC31" s="13"/>
      <c r="ACD31" s="13"/>
      <c r="ACE31" s="13"/>
      <c r="ACF31" s="13"/>
      <c r="ACG31" s="13"/>
      <c r="ACH31" s="13"/>
      <c r="ACI31" s="13"/>
      <c r="ACJ31" s="13"/>
      <c r="ACK31" s="13"/>
      <c r="ACL31" s="13"/>
      <c r="ACM31" s="13"/>
      <c r="ACN31" s="13"/>
      <c r="ACO31" s="13"/>
      <c r="ACP31" s="13"/>
      <c r="ACQ31" s="13"/>
      <c r="ACR31" s="13"/>
      <c r="ACS31" s="13"/>
      <c r="ACT31" s="13"/>
      <c r="ACU31" s="13"/>
      <c r="ACV31" s="13"/>
      <c r="ACW31" s="13"/>
      <c r="ACX31" s="13"/>
      <c r="ACY31" s="13"/>
      <c r="ACZ31" s="13"/>
      <c r="ADA31" s="13"/>
      <c r="ADB31" s="13"/>
      <c r="ADC31" s="13"/>
      <c r="ADD31" s="13"/>
      <c r="ADE31" s="13"/>
      <c r="ADF31" s="13"/>
      <c r="ADG31" s="13"/>
      <c r="ADH31" s="13"/>
      <c r="ADI31" s="13"/>
      <c r="ADJ31" s="13"/>
      <c r="ADK31" s="13"/>
      <c r="ADL31" s="13"/>
      <c r="ADM31" s="13"/>
      <c r="ADN31" s="13"/>
      <c r="ADO31" s="13"/>
      <c r="ADP31" s="13"/>
      <c r="ADQ31" s="13"/>
      <c r="ADR31" s="13"/>
      <c r="ADS31" s="13"/>
      <c r="ADT31" s="13"/>
      <c r="ADU31" s="13"/>
      <c r="ADV31" s="13"/>
      <c r="ADW31" s="13"/>
      <c r="ADX31" s="13"/>
      <c r="ADY31" s="13"/>
      <c r="ADZ31" s="13"/>
      <c r="AEA31" s="13"/>
      <c r="AEB31" s="13"/>
      <c r="AEC31" s="13"/>
      <c r="AED31" s="13"/>
      <c r="AEE31" s="13"/>
      <c r="AEF31" s="13"/>
      <c r="AEG31" s="13"/>
      <c r="AEH31" s="13"/>
      <c r="AEI31" s="13"/>
      <c r="AEJ31" s="13"/>
      <c r="AEK31" s="13"/>
      <c r="AEL31" s="13"/>
      <c r="AEM31" s="13"/>
      <c r="AEN31" s="13"/>
      <c r="AEO31" s="13"/>
      <c r="AEP31" s="13"/>
      <c r="AEQ31" s="13"/>
      <c r="AER31" s="13"/>
      <c r="AES31" s="13"/>
      <c r="AET31" s="13"/>
      <c r="AEU31" s="13"/>
      <c r="AEV31" s="13"/>
      <c r="AEW31" s="13"/>
      <c r="AEX31" s="13"/>
      <c r="AEY31" s="13"/>
      <c r="AEZ31" s="13"/>
      <c r="AFA31" s="13"/>
      <c r="AFB31" s="13"/>
      <c r="AFC31" s="13"/>
      <c r="AFD31" s="13"/>
      <c r="AFE31" s="13"/>
      <c r="AFF31" s="13"/>
      <c r="AFG31" s="13"/>
      <c r="AFH31" s="13"/>
      <c r="AFI31" s="13"/>
      <c r="AFJ31" s="13"/>
      <c r="AFK31" s="13"/>
      <c r="AFL31" s="13"/>
      <c r="AFM31" s="13"/>
      <c r="AFN31" s="13"/>
      <c r="AFO31" s="13"/>
      <c r="AFP31" s="13"/>
      <c r="AFQ31" s="13"/>
      <c r="AFR31" s="13"/>
      <c r="AFS31" s="13"/>
      <c r="AFT31" s="13"/>
      <c r="AFU31" s="13"/>
      <c r="AFV31" s="13"/>
      <c r="AFW31" s="13"/>
      <c r="AFX31" s="13"/>
      <c r="AFY31" s="13"/>
      <c r="AFZ31" s="13"/>
      <c r="AGA31" s="13"/>
      <c r="AGB31" s="13"/>
      <c r="AGC31" s="13"/>
      <c r="AGD31" s="13"/>
      <c r="AGE31" s="13"/>
      <c r="AGF31" s="13"/>
      <c r="AGG31" s="13"/>
      <c r="AGH31" s="13"/>
      <c r="AGI31" s="13"/>
      <c r="AGJ31" s="13"/>
      <c r="AGK31" s="13"/>
      <c r="AGL31" s="13"/>
      <c r="AGM31" s="13"/>
      <c r="AGN31" s="13"/>
      <c r="AGO31" s="13"/>
      <c r="AGP31" s="13"/>
      <c r="AGQ31" s="13"/>
      <c r="AGR31" s="13"/>
      <c r="AGS31" s="13"/>
      <c r="AGT31" s="13"/>
      <c r="AGU31" s="13"/>
      <c r="AGV31" s="13"/>
      <c r="AGW31" s="13"/>
      <c r="AGX31" s="13"/>
      <c r="AGY31" s="13"/>
      <c r="AGZ31" s="13"/>
      <c r="AHA31" s="13"/>
      <c r="AHB31" s="13"/>
      <c r="AHC31" s="13"/>
      <c r="AHD31" s="13"/>
      <c r="AHE31" s="13"/>
      <c r="AHF31" s="13"/>
      <c r="AHG31" s="13"/>
      <c r="AHH31" s="13"/>
      <c r="AHI31" s="13"/>
      <c r="AHJ31" s="13"/>
      <c r="AHK31" s="13"/>
      <c r="AHL31" s="13"/>
      <c r="AHM31" s="13"/>
      <c r="AHN31" s="13"/>
      <c r="AHO31" s="13"/>
      <c r="AHP31" s="13"/>
      <c r="AHQ31" s="13"/>
      <c r="AHR31" s="13"/>
      <c r="AHS31" s="13"/>
      <c r="AHT31" s="13"/>
      <c r="AHU31" s="13"/>
      <c r="AHV31" s="13"/>
      <c r="AHW31" s="13"/>
      <c r="AHX31" s="13"/>
      <c r="AHY31" s="13"/>
      <c r="AHZ31" s="13"/>
      <c r="AIA31" s="13"/>
      <c r="AIB31" s="13"/>
      <c r="AIC31" s="13"/>
      <c r="AID31" s="13"/>
      <c r="AIE31" s="13"/>
      <c r="AIF31" s="13"/>
      <c r="AIG31" s="13"/>
      <c r="AIH31" s="13"/>
      <c r="AII31" s="13"/>
      <c r="AIJ31" s="13"/>
      <c r="AIK31" s="13"/>
      <c r="AIL31" s="13"/>
      <c r="AIM31" s="13"/>
      <c r="AIN31" s="13"/>
      <c r="AIO31" s="13"/>
      <c r="AIP31" s="13"/>
      <c r="AIQ31" s="13"/>
      <c r="AIR31" s="13"/>
      <c r="AIS31" s="13"/>
      <c r="AIT31" s="13"/>
      <c r="AIU31" s="13"/>
      <c r="AIV31" s="13"/>
      <c r="AIW31" s="13"/>
      <c r="AIX31" s="13"/>
      <c r="AIY31" s="13"/>
      <c r="AIZ31" s="13"/>
      <c r="AJA31" s="13"/>
      <c r="AJB31" s="13"/>
      <c r="AJC31" s="13"/>
      <c r="AJD31" s="13"/>
      <c r="AJE31" s="13"/>
      <c r="AJF31" s="13"/>
      <c r="AJG31" s="13"/>
      <c r="AJH31" s="13"/>
      <c r="AJI31" s="13"/>
      <c r="AJJ31" s="13"/>
      <c r="AJK31" s="13"/>
      <c r="AJL31" s="13"/>
      <c r="AJM31" s="13"/>
      <c r="AJN31" s="13"/>
      <c r="AJO31" s="13"/>
      <c r="AJP31" s="13"/>
      <c r="AJQ31" s="13"/>
      <c r="AJR31" s="13"/>
      <c r="AJS31" s="13"/>
      <c r="AJT31" s="13"/>
      <c r="AJU31" s="13"/>
      <c r="AJV31" s="13"/>
      <c r="AJW31" s="13"/>
      <c r="AJX31" s="13"/>
      <c r="AJY31" s="13"/>
      <c r="AJZ31" s="13"/>
      <c r="AKA31" s="13"/>
      <c r="AKB31" s="13"/>
      <c r="AKC31" s="13"/>
      <c r="AKD31" s="13"/>
      <c r="AKE31" s="13"/>
      <c r="AKF31" s="13"/>
      <c r="AKG31" s="13"/>
      <c r="AKH31" s="13"/>
      <c r="AKI31" s="13"/>
      <c r="AKJ31" s="13"/>
      <c r="AKK31" s="13"/>
      <c r="AKL31" s="13"/>
      <c r="AKM31" s="13"/>
      <c r="AKN31" s="13"/>
      <c r="AKO31" s="13"/>
      <c r="AKP31" s="13"/>
      <c r="AKQ31" s="13"/>
      <c r="AKR31" s="13"/>
      <c r="AKS31" s="13"/>
      <c r="AKT31" s="13"/>
      <c r="AKU31" s="13"/>
      <c r="AKV31" s="13"/>
      <c r="AKW31" s="13"/>
      <c r="AKX31" s="13"/>
      <c r="AKY31" s="13"/>
      <c r="AKZ31" s="13"/>
      <c r="ALA31" s="13"/>
      <c r="ALB31" s="13"/>
      <c r="ALC31" s="13"/>
      <c r="ALD31" s="13"/>
      <c r="ALE31" s="13"/>
      <c r="ALF31" s="13"/>
      <c r="ALG31" s="13"/>
      <c r="ALH31" s="13"/>
      <c r="ALI31" s="13"/>
      <c r="ALJ31" s="13"/>
      <c r="ALK31" s="13"/>
      <c r="ALL31" s="13"/>
      <c r="ALM31" s="13"/>
      <c r="ALN31" s="13"/>
      <c r="ALO31" s="13"/>
      <c r="ALP31" s="13"/>
      <c r="ALQ31" s="13"/>
      <c r="ALR31" s="13"/>
      <c r="ALS31" s="13"/>
      <c r="ALT31" s="13"/>
      <c r="ALU31" s="13"/>
      <c r="ALV31" s="13"/>
      <c r="ALW31" s="13"/>
      <c r="ALX31" s="13"/>
      <c r="ALY31" s="13"/>
    </row>
    <row r="32" spans="1:1024" s="1" customFormat="1" ht="22.15" customHeight="1" x14ac:dyDescent="0.25">
      <c r="A32" s="301"/>
      <c r="B32" s="25" t="s">
        <v>15</v>
      </c>
      <c r="C32" s="139">
        <f>C31*C27</f>
        <v>0.5</v>
      </c>
      <c r="D32" s="110">
        <f>D31*D27</f>
        <v>0.499</v>
      </c>
      <c r="E32" s="110">
        <f t="shared" ref="E32:BF32" si="178">E31*E27</f>
        <v>0.498002</v>
      </c>
      <c r="F32" s="110">
        <f t="shared" si="178"/>
        <v>0.49700599600000001</v>
      </c>
      <c r="G32" s="110">
        <f t="shared" si="178"/>
        <v>0.49601198400799995</v>
      </c>
      <c r="H32" s="110">
        <f t="shared" si="178"/>
        <v>0.495019960039984</v>
      </c>
      <c r="I32" s="110">
        <f t="shared" si="178"/>
        <v>0.49402992011990399</v>
      </c>
      <c r="J32" s="110">
        <f t="shared" si="178"/>
        <v>0.49304186027966418</v>
      </c>
      <c r="K32" s="110">
        <f t="shared" si="178"/>
        <v>0.49205577655910482</v>
      </c>
      <c r="L32" s="110">
        <f t="shared" si="178"/>
        <v>0.49107166500598659</v>
      </c>
      <c r="M32" s="110">
        <f t="shared" si="178"/>
        <v>0.49008952167597458</v>
      </c>
      <c r="N32" s="110">
        <f t="shared" si="178"/>
        <v>0.48910934263262268</v>
      </c>
      <c r="O32" s="110">
        <f t="shared" si="178"/>
        <v>0.48813112394735741</v>
      </c>
      <c r="P32" s="110">
        <f t="shared" si="178"/>
        <v>0.4871548616994627</v>
      </c>
      <c r="Q32" s="110">
        <f t="shared" si="178"/>
        <v>0.4861805519760638</v>
      </c>
      <c r="R32" s="110">
        <f t="shared" si="178"/>
        <v>0.48520819087211164</v>
      </c>
      <c r="S32" s="110">
        <f t="shared" si="178"/>
        <v>0.48423777449036742</v>
      </c>
      <c r="T32" s="110">
        <f t="shared" si="178"/>
        <v>0.4832692989413867</v>
      </c>
      <c r="U32" s="110">
        <f t="shared" si="178"/>
        <v>0.48230276034350389</v>
      </c>
      <c r="V32" s="110">
        <f t="shared" si="178"/>
        <v>0.48133815482281689</v>
      </c>
      <c r="W32" s="110">
        <f t="shared" si="178"/>
        <v>0.48037547851317125</v>
      </c>
      <c r="X32" s="110">
        <f t="shared" si="178"/>
        <v>0.47941472755614489</v>
      </c>
      <c r="Y32" s="110">
        <f t="shared" si="178"/>
        <v>0.47845589810103262</v>
      </c>
      <c r="Z32" s="110">
        <f t="shared" si="178"/>
        <v>0.47749898630483056</v>
      </c>
      <c r="AA32" s="110">
        <f t="shared" si="178"/>
        <v>0.47654398833222095</v>
      </c>
      <c r="AB32" s="110">
        <f t="shared" si="178"/>
        <v>0.47559090035555646</v>
      </c>
      <c r="AC32" s="110">
        <f t="shared" si="178"/>
        <v>0.47463971855484532</v>
      </c>
      <c r="AD32" s="110">
        <f t="shared" si="178"/>
        <v>0.47369043911773567</v>
      </c>
      <c r="AE32" s="110">
        <f t="shared" si="178"/>
        <v>0.47274305823950019</v>
      </c>
      <c r="AF32" s="110">
        <f t="shared" si="178"/>
        <v>0.47179757212302115</v>
      </c>
      <c r="AG32" s="110">
        <f t="shared" si="178"/>
        <v>0.47085397697877512</v>
      </c>
      <c r="AH32" s="110">
        <f t="shared" si="178"/>
        <v>0.46991226902481753</v>
      </c>
      <c r="AI32" s="110">
        <f t="shared" si="178"/>
        <v>0.46897244448676789</v>
      </c>
      <c r="AJ32" s="110">
        <f t="shared" si="178"/>
        <v>0.46803449959779431</v>
      </c>
      <c r="AK32" s="110">
        <f t="shared" si="178"/>
        <v>0.46709843059859874</v>
      </c>
      <c r="AL32" s="110">
        <f t="shared" si="178"/>
        <v>0.46616423373740151</v>
      </c>
      <c r="AM32" s="110">
        <f t="shared" si="178"/>
        <v>0.46523190526992669</v>
      </c>
      <c r="AN32" s="110">
        <f t="shared" si="178"/>
        <v>0.4643014414593869</v>
      </c>
      <c r="AO32" s="110">
        <f t="shared" si="178"/>
        <v>0.4633728385764681</v>
      </c>
      <c r="AP32" s="110">
        <f t="shared" si="178"/>
        <v>0.46244609289931515</v>
      </c>
      <c r="AQ32" s="110">
        <f t="shared" si="178"/>
        <v>0.46152120071351654</v>
      </c>
      <c r="AR32" s="110">
        <f t="shared" si="178"/>
        <v>0.4605981583120895</v>
      </c>
      <c r="AS32" s="110">
        <f t="shared" si="178"/>
        <v>0.45967696199546532</v>
      </c>
      <c r="AT32" s="110">
        <f t="shared" si="178"/>
        <v>0.45875760807147442</v>
      </c>
      <c r="AU32" s="110">
        <f t="shared" si="178"/>
        <v>0.4578400928553315</v>
      </c>
      <c r="AV32" s="110">
        <f t="shared" si="178"/>
        <v>0.45692441266962086</v>
      </c>
      <c r="AW32" s="110">
        <f t="shared" si="178"/>
        <v>0.45601056384428162</v>
      </c>
      <c r="AX32" s="110">
        <f t="shared" si="178"/>
        <v>0.45509854271659306</v>
      </c>
      <c r="AY32" s="110">
        <f t="shared" si="178"/>
        <v>0.45418834563115984</v>
      </c>
      <c r="AZ32" s="110">
        <f t="shared" si="178"/>
        <v>0.45327996893989753</v>
      </c>
      <c r="BA32" s="110">
        <f t="shared" si="178"/>
        <v>0.45237340900201772</v>
      </c>
      <c r="BB32" s="148">
        <f>BB31*BB27</f>
        <v>0.45146866218401371</v>
      </c>
      <c r="BC32" s="148">
        <f t="shared" si="178"/>
        <v>0.45056572485964563</v>
      </c>
      <c r="BD32" s="148">
        <f t="shared" si="178"/>
        <v>0.44966459340992637</v>
      </c>
      <c r="BE32" s="148">
        <f t="shared" si="178"/>
        <v>0.44876526422310653</v>
      </c>
      <c r="BF32" s="148">
        <f t="shared" si="178"/>
        <v>0.44786773369466026</v>
      </c>
      <c r="BG32" s="148">
        <f>BG31*BG27</f>
        <v>0.44697199822727096</v>
      </c>
      <c r="BH32" s="148">
        <f t="shared" ref="BH32:BO32" si="179">BH31*BH27</f>
        <v>0.44607805423081642</v>
      </c>
      <c r="BI32" s="148">
        <f t="shared" si="179"/>
        <v>0.44518589812235482</v>
      </c>
      <c r="BJ32" s="148">
        <f t="shared" si="179"/>
        <v>0.44429552632611008</v>
      </c>
      <c r="BK32" s="148">
        <f t="shared" si="179"/>
        <v>0.44340693527345787</v>
      </c>
      <c r="BL32" s="148">
        <f t="shared" si="179"/>
        <v>0.44252012140291097</v>
      </c>
      <c r="BM32" s="148">
        <f t="shared" si="179"/>
        <v>0.44163508116010514</v>
      </c>
      <c r="BN32" s="148">
        <f t="shared" si="179"/>
        <v>0.44075181099778493</v>
      </c>
      <c r="BO32" s="148">
        <f t="shared" si="179"/>
        <v>0.4398703073757893</v>
      </c>
      <c r="BP32" s="148">
        <f>BP31*BP27</f>
        <v>0.4389905667610377</v>
      </c>
      <c r="BQ32" s="148">
        <f t="shared" ref="BQ32:BX32" si="180">BQ31*BQ27</f>
        <v>0.43811258562751565</v>
      </c>
      <c r="BR32" s="148">
        <f t="shared" si="180"/>
        <v>0.43723636045626058</v>
      </c>
      <c r="BS32" s="148">
        <f t="shared" si="180"/>
        <v>0.43636188773534806</v>
      </c>
      <c r="BT32" s="148">
        <f t="shared" si="180"/>
        <v>0.4354891639598773</v>
      </c>
      <c r="BU32" s="148">
        <f t="shared" si="180"/>
        <v>0.43461818563195753</v>
      </c>
      <c r="BV32" s="148">
        <f t="shared" si="180"/>
        <v>0.43374894926069363</v>
      </c>
      <c r="BW32" s="148">
        <f t="shared" si="180"/>
        <v>0.43288145136217226</v>
      </c>
      <c r="BX32" s="148">
        <f t="shared" si="180"/>
        <v>0.43201568845944793</v>
      </c>
      <c r="BY32" s="148">
        <f>BY31*BY27</f>
        <v>0.43115165708252906</v>
      </c>
      <c r="BZ32" s="148">
        <f>BZ31*BZ27</f>
        <v>0.43028935376836397</v>
      </c>
      <c r="CA32" s="148">
        <f t="shared" ref="CA32:EL32" si="181">CA31*CA27</f>
        <v>0.42942877506082727</v>
      </c>
      <c r="CB32" s="148">
        <f t="shared" si="181"/>
        <v>0.42856991751070567</v>
      </c>
      <c r="CC32" s="148">
        <f t="shared" si="181"/>
        <v>0.42771277767568422</v>
      </c>
      <c r="CD32" s="148">
        <f t="shared" si="181"/>
        <v>0.42685735212033288</v>
      </c>
      <c r="CE32" s="148">
        <f t="shared" si="181"/>
        <v>0.42600363741609221</v>
      </c>
      <c r="CF32" s="148">
        <f t="shared" si="181"/>
        <v>0.42515163014126001</v>
      </c>
      <c r="CG32" s="148">
        <f t="shared" si="181"/>
        <v>0.42430132688097749</v>
      </c>
      <c r="CH32" s="148">
        <f t="shared" si="181"/>
        <v>0.42345272422721553</v>
      </c>
      <c r="CI32" s="148">
        <f t="shared" si="181"/>
        <v>0.42260581877876108</v>
      </c>
      <c r="CJ32" s="148">
        <f t="shared" si="181"/>
        <v>0.42176060714120361</v>
      </c>
      <c r="CK32" s="148">
        <f t="shared" si="181"/>
        <v>0.42091708592692118</v>
      </c>
      <c r="CL32" s="148">
        <f t="shared" si="181"/>
        <v>0.42007525175506732</v>
      </c>
      <c r="CM32" s="148">
        <f t="shared" si="181"/>
        <v>0.41923510125155722</v>
      </c>
      <c r="CN32" s="148">
        <f t="shared" si="181"/>
        <v>0.41839663104905406</v>
      </c>
      <c r="CO32" s="148">
        <f t="shared" si="181"/>
        <v>0.41755983778695593</v>
      </c>
      <c r="CP32" s="148">
        <f t="shared" si="181"/>
        <v>0.41672471811138201</v>
      </c>
      <c r="CQ32" s="148">
        <f t="shared" si="181"/>
        <v>0.4158912686751593</v>
      </c>
      <c r="CR32" s="148">
        <f t="shared" si="181"/>
        <v>0.41505948613780896</v>
      </c>
      <c r="CS32" s="148">
        <f t="shared" si="181"/>
        <v>0.41422936716553338</v>
      </c>
      <c r="CT32" s="148">
        <f t="shared" si="181"/>
        <v>0.41340090843120225</v>
      </c>
      <c r="CU32" s="148">
        <f t="shared" si="181"/>
        <v>0.41257410661433985</v>
      </c>
      <c r="CV32" s="148">
        <f t="shared" si="181"/>
        <v>0.4117489584011112</v>
      </c>
      <c r="CW32" s="148">
        <f t="shared" si="181"/>
        <v>0.41092546048430895</v>
      </c>
      <c r="CX32" s="148">
        <f t="shared" si="181"/>
        <v>0.4101036095633403</v>
      </c>
      <c r="CY32" s="148">
        <f t="shared" si="181"/>
        <v>0.40928340234421362</v>
      </c>
      <c r="CZ32" s="148">
        <f t="shared" si="181"/>
        <v>0.40846483553952517</v>
      </c>
      <c r="DA32" s="158">
        <f t="shared" si="181"/>
        <v>0.40764790586844613</v>
      </c>
      <c r="DB32" s="158">
        <f t="shared" si="181"/>
        <v>0.40683261005670923</v>
      </c>
      <c r="DC32" s="158">
        <f t="shared" si="181"/>
        <v>0.40601894483659579</v>
      </c>
      <c r="DD32" s="158">
        <f t="shared" si="181"/>
        <v>0.40520690694692257</v>
      </c>
      <c r="DE32" s="158">
        <f t="shared" si="181"/>
        <v>0.40439649313302872</v>
      </c>
      <c r="DF32" s="158">
        <f t="shared" si="181"/>
        <v>0.40358770014676271</v>
      </c>
      <c r="DG32" s="158">
        <f t="shared" si="181"/>
        <v>0.40278052474646914</v>
      </c>
      <c r="DH32" s="158">
        <f t="shared" si="181"/>
        <v>0.40197496369697622</v>
      </c>
      <c r="DI32" s="158">
        <f t="shared" si="181"/>
        <v>0.40117101376958225</v>
      </c>
      <c r="DJ32" s="158">
        <f t="shared" si="181"/>
        <v>0.4003686717420431</v>
      </c>
      <c r="DK32" s="158">
        <f t="shared" si="181"/>
        <v>0.39956793439855903</v>
      </c>
      <c r="DL32" s="158">
        <f t="shared" si="181"/>
        <v>0.39876879852976194</v>
      </c>
      <c r="DM32" s="158">
        <f t="shared" si="181"/>
        <v>0.39797126093270235</v>
      </c>
      <c r="DN32" s="158">
        <f t="shared" si="181"/>
        <v>0.39717531841083697</v>
      </c>
      <c r="DO32" s="158">
        <f t="shared" si="181"/>
        <v>0.39638096777401532</v>
      </c>
      <c r="DP32" s="158">
        <f t="shared" si="181"/>
        <v>0.39558820583846727</v>
      </c>
      <c r="DQ32" s="158">
        <f t="shared" si="181"/>
        <v>0.39479702942679035</v>
      </c>
      <c r="DR32" s="158">
        <f t="shared" si="181"/>
        <v>0.39400743536793675</v>
      </c>
      <c r="DS32" s="158">
        <f t="shared" si="181"/>
        <v>0.39321942049720088</v>
      </c>
      <c r="DT32" s="158">
        <f t="shared" si="181"/>
        <v>0.39243298165620649</v>
      </c>
      <c r="DU32" s="158">
        <f t="shared" si="181"/>
        <v>0.39164811569289409</v>
      </c>
      <c r="DV32" s="158">
        <f t="shared" si="181"/>
        <v>0.39086481946150825</v>
      </c>
      <c r="DW32" s="158">
        <f t="shared" si="181"/>
        <v>0.39008308982258527</v>
      </c>
      <c r="DX32" s="158">
        <f t="shared" si="181"/>
        <v>0.38930292364294006</v>
      </c>
      <c r="DY32" s="158">
        <f t="shared" si="181"/>
        <v>0.38852431779565422</v>
      </c>
      <c r="DZ32" s="158">
        <f t="shared" si="181"/>
        <v>0.38774726916006291</v>
      </c>
      <c r="EA32" s="158">
        <f t="shared" si="181"/>
        <v>0.38697177462174281</v>
      </c>
      <c r="EB32" s="158">
        <f t="shared" si="181"/>
        <v>0.33782635924478144</v>
      </c>
      <c r="EC32" s="158">
        <f t="shared" si="181"/>
        <v>0.33715070652629187</v>
      </c>
      <c r="ED32" s="158">
        <f t="shared" si="181"/>
        <v>0.28831201846662613</v>
      </c>
      <c r="EE32" s="158">
        <f t="shared" si="181"/>
        <v>0.28773539442969287</v>
      </c>
      <c r="EF32" s="158">
        <f t="shared" si="181"/>
        <v>0.28715992364083348</v>
      </c>
      <c r="EG32" s="158">
        <f t="shared" si="181"/>
        <v>0.2865856037935518</v>
      </c>
      <c r="EH32" s="158">
        <f t="shared" si="181"/>
        <v>0.2860124325859647</v>
      </c>
      <c r="EI32" s="158">
        <f t="shared" si="181"/>
        <v>0.23777166895646529</v>
      </c>
      <c r="EJ32" s="158">
        <f t="shared" si="181"/>
        <v>0.23729612561855234</v>
      </c>
      <c r="EK32" s="158">
        <f t="shared" si="181"/>
        <v>0.18936230824360475</v>
      </c>
      <c r="EL32" s="158">
        <f t="shared" si="181"/>
        <v>0.18898358362711756</v>
      </c>
      <c r="EM32" s="158">
        <f t="shared" ref="EM32:EY32" si="182">EM31*EM27</f>
        <v>0.18860561645986332</v>
      </c>
      <c r="EN32" s="158">
        <f t="shared" si="182"/>
        <v>0.18822840522694359</v>
      </c>
      <c r="EO32" s="158">
        <f t="shared" si="182"/>
        <v>0.18785194841648972</v>
      </c>
      <c r="EP32" s="158">
        <f t="shared" si="182"/>
        <v>0.1405132574155343</v>
      </c>
      <c r="EQ32" s="158">
        <f t="shared" si="182"/>
        <v>0.14023223090070322</v>
      </c>
      <c r="ER32" s="158">
        <f t="shared" si="182"/>
        <v>9.320768947200074E-2</v>
      </c>
      <c r="ES32" s="158">
        <f t="shared" si="182"/>
        <v>9.302127409305673E-2</v>
      </c>
      <c r="ET32" s="158">
        <f t="shared" si="182"/>
        <v>9.2835231544870625E-2</v>
      </c>
      <c r="EU32" s="158">
        <f t="shared" si="182"/>
        <v>9.2649561081780893E-2</v>
      </c>
      <c r="EV32" s="158">
        <f t="shared" si="182"/>
        <v>9.2464261959617336E-2</v>
      </c>
      <c r="EW32" s="158">
        <f t="shared" si="182"/>
        <v>4.6047202455889426E-2</v>
      </c>
      <c r="EX32" s="158">
        <f t="shared" si="182"/>
        <v>4.5955108050977654E-2</v>
      </c>
      <c r="EY32" s="158">
        <f t="shared" si="182"/>
        <v>-9.1910216101958044E-5</v>
      </c>
      <c r="EZ32" s="23"/>
      <c r="FA32" s="23"/>
      <c r="FB32" s="23"/>
      <c r="FC32" s="23"/>
      <c r="FD32" s="23"/>
      <c r="FE32" s="23"/>
      <c r="FF32" s="23"/>
      <c r="FG32" s="23"/>
      <c r="FH32" s="23"/>
      <c r="FI32" s="23"/>
      <c r="FJ32" s="23"/>
      <c r="FK32" s="23"/>
      <c r="FL32" s="23"/>
      <c r="FM32" s="23"/>
      <c r="FN32" s="23"/>
      <c r="FO32" s="23"/>
      <c r="FP32" s="23"/>
      <c r="FQ32" s="23"/>
      <c r="FR32" s="23"/>
      <c r="FS32" s="23"/>
      <c r="FT32" s="23"/>
      <c r="FU32" s="23"/>
      <c r="FV32" s="23"/>
      <c r="FW32" s="23"/>
      <c r="FX32" s="23"/>
      <c r="FY32" s="23"/>
      <c r="FZ32" s="23"/>
      <c r="GA32" s="23"/>
      <c r="GB32" s="23"/>
      <c r="GC32" s="23"/>
      <c r="GD32" s="23"/>
      <c r="GE32" s="23"/>
      <c r="GF32" s="23"/>
      <c r="GG32" s="23"/>
      <c r="GH32" s="23"/>
      <c r="GI32" s="23"/>
      <c r="GJ32" s="23"/>
      <c r="GK32" s="23"/>
      <c r="GL32" s="23"/>
      <c r="GM32" s="23"/>
      <c r="GN32" s="23"/>
      <c r="GO32" s="23"/>
      <c r="GP32" s="23"/>
      <c r="GQ32" s="23"/>
      <c r="GR32" s="23"/>
      <c r="GS32" s="23"/>
      <c r="GT32" s="23"/>
      <c r="GU32" s="23"/>
      <c r="GV32" s="23"/>
      <c r="GW32" s="23"/>
      <c r="GX32" s="23"/>
      <c r="GY32" s="23"/>
      <c r="GZ32" s="23"/>
      <c r="HA32" s="23"/>
      <c r="HB32" s="23"/>
      <c r="HC32" s="23"/>
      <c r="HD32" s="23"/>
      <c r="HE32" s="23"/>
      <c r="HF32" s="23"/>
      <c r="HG32" s="23"/>
      <c r="HH32" s="23"/>
      <c r="HI32" s="23"/>
      <c r="HJ32" s="23"/>
      <c r="HK32" s="23"/>
      <c r="HL32" s="23"/>
      <c r="HM32" s="23"/>
      <c r="HN32" s="23"/>
      <c r="HO32" s="23"/>
      <c r="HP32" s="23"/>
      <c r="HQ32" s="22"/>
      <c r="HR32" s="22"/>
      <c r="HS32" s="22"/>
      <c r="HT32" s="22"/>
      <c r="HU32" s="22"/>
      <c r="HV32" s="22"/>
      <c r="HW32" s="22"/>
      <c r="HX32" s="22"/>
      <c r="HY32" s="22"/>
      <c r="HZ32" s="22"/>
      <c r="IA32" s="22"/>
      <c r="IB32" s="22"/>
      <c r="IC32" s="22"/>
      <c r="ID32" s="22"/>
      <c r="IE32" s="22"/>
      <c r="IF32" s="22"/>
      <c r="IG32" s="22"/>
      <c r="IH32" s="22"/>
      <c r="II32" s="22"/>
      <c r="IJ32" s="22"/>
      <c r="IK32" s="22"/>
      <c r="IL32" s="22"/>
      <c r="IM32" s="22"/>
      <c r="IN32" s="22"/>
      <c r="IO32" s="22"/>
      <c r="IP32" s="22"/>
      <c r="IQ32" s="22"/>
      <c r="IR32" s="22"/>
      <c r="IS32" s="22"/>
      <c r="IT32" s="22"/>
      <c r="IU32" s="22"/>
      <c r="IV32" s="22"/>
      <c r="IW32" s="22"/>
      <c r="IX32" s="22"/>
      <c r="IY32" s="22"/>
      <c r="IZ32" s="22"/>
      <c r="JA32" s="22"/>
      <c r="JB32" s="22"/>
      <c r="JC32" s="22"/>
      <c r="JD32" s="22"/>
      <c r="JE32" s="22"/>
      <c r="JF32" s="22"/>
      <c r="JG32" s="22"/>
      <c r="JH32" s="22"/>
      <c r="JI32" s="22"/>
      <c r="JJ32" s="22"/>
      <c r="JK32" s="22"/>
      <c r="JL32" s="22"/>
      <c r="JM32" s="22"/>
      <c r="JN32" s="23"/>
      <c r="JO32" s="23"/>
      <c r="JP32" s="22"/>
      <c r="JQ32" s="22"/>
      <c r="JR32" s="22"/>
      <c r="JS32" s="22"/>
      <c r="JT32" s="22"/>
      <c r="JU32" s="22"/>
      <c r="JV32" s="22"/>
      <c r="JW32" s="22"/>
      <c r="JX32" s="22"/>
      <c r="JY32" s="22"/>
      <c r="JZ32" s="22"/>
      <c r="KA32" s="22"/>
      <c r="KB32" s="22"/>
      <c r="KC32" s="22"/>
      <c r="KD32" s="22"/>
      <c r="KE32" s="22"/>
      <c r="KF32" s="22"/>
      <c r="KG32" s="22"/>
      <c r="KH32" s="22"/>
      <c r="KI32" s="22"/>
      <c r="KJ32" s="22"/>
      <c r="KK32" s="22"/>
      <c r="KL32" s="22"/>
      <c r="KM32" s="22"/>
      <c r="KN32" s="22"/>
      <c r="KO32" s="22"/>
      <c r="KP32" s="22"/>
      <c r="KQ32" s="22"/>
      <c r="KR32" s="22"/>
      <c r="KS32" s="22"/>
      <c r="KT32" s="22"/>
      <c r="KU32" s="22"/>
      <c r="KV32" s="22"/>
      <c r="KW32" s="22"/>
      <c r="KX32" s="22"/>
      <c r="KY32" s="22"/>
      <c r="KZ32" s="22"/>
      <c r="LA32" s="22"/>
      <c r="LB32" s="22"/>
      <c r="LC32" s="22"/>
      <c r="LD32" s="22"/>
      <c r="LE32" s="22"/>
      <c r="LF32" s="22"/>
      <c r="LG32" s="22"/>
      <c r="LH32" s="22"/>
      <c r="LI32" s="22"/>
      <c r="LJ32" s="22"/>
      <c r="LK32" s="22"/>
      <c r="LL32" s="22"/>
      <c r="LM32" s="22"/>
      <c r="LN32" s="22"/>
      <c r="LO32" s="22"/>
      <c r="LP32" s="22"/>
      <c r="LQ32" s="22"/>
      <c r="LR32" s="22"/>
      <c r="LS32" s="22"/>
      <c r="LT32" s="22"/>
      <c r="LU32" s="22"/>
      <c r="LV32" s="22"/>
      <c r="LW32" s="22"/>
      <c r="LX32" s="22"/>
      <c r="LY32" s="22"/>
      <c r="LZ32" s="22"/>
      <c r="MA32" s="22"/>
      <c r="MB32" s="23"/>
      <c r="MC32" s="23"/>
      <c r="MD32" s="22"/>
      <c r="ME32" s="22"/>
      <c r="MF32" s="22"/>
      <c r="MG32" s="22"/>
      <c r="MH32" s="22"/>
      <c r="MI32" s="22"/>
      <c r="MJ32" s="22"/>
      <c r="MK32" s="22"/>
      <c r="ML32" s="22"/>
      <c r="MM32" s="22"/>
      <c r="MN32" s="22"/>
      <c r="MO32" s="22"/>
      <c r="MP32" s="22"/>
      <c r="MQ32" s="22"/>
      <c r="MR32" s="22"/>
      <c r="MS32" s="22"/>
      <c r="MT32" s="22"/>
      <c r="MU32" s="22"/>
      <c r="MV32" s="22"/>
      <c r="MW32" s="22"/>
      <c r="MX32" s="22"/>
      <c r="MY32" s="22"/>
      <c r="MZ32" s="22"/>
      <c r="NA32" s="22"/>
      <c r="NB32" s="22"/>
      <c r="NC32" s="22"/>
      <c r="ND32" s="22"/>
      <c r="NE32" s="22"/>
      <c r="NF32" s="22"/>
      <c r="NG32" s="22"/>
      <c r="NH32" s="22"/>
      <c r="NI32" s="22"/>
      <c r="NJ32" s="22"/>
      <c r="NK32" s="22"/>
      <c r="NL32" s="22"/>
      <c r="NM32" s="22"/>
      <c r="NN32" s="22"/>
      <c r="NO32" s="22"/>
      <c r="NP32" s="22"/>
      <c r="NQ32" s="22"/>
      <c r="NR32" s="22"/>
      <c r="NS32" s="22"/>
      <c r="NT32" s="22"/>
      <c r="NU32" s="22"/>
      <c r="NV32" s="22"/>
      <c r="NW32" s="22"/>
      <c r="NX32" s="22"/>
      <c r="NY32" s="22"/>
      <c r="NZ32" s="22"/>
      <c r="OA32" s="22"/>
      <c r="OB32" s="22"/>
      <c r="OC32" s="22"/>
      <c r="OD32" s="22"/>
      <c r="OE32" s="22"/>
      <c r="OF32" s="22"/>
      <c r="OG32" s="22"/>
      <c r="OH32" s="22"/>
      <c r="OI32" s="22"/>
      <c r="OJ32" s="22"/>
      <c r="OK32" s="22"/>
      <c r="OL32" s="22"/>
      <c r="OM32" s="22"/>
      <c r="ON32" s="22"/>
      <c r="OO32" s="22"/>
      <c r="OP32" s="23"/>
      <c r="OQ32" s="30"/>
      <c r="OR32" s="30"/>
      <c r="OS32" s="30"/>
      <c r="OT32" s="30"/>
      <c r="OU32" s="30"/>
      <c r="OV32" s="30"/>
      <c r="OW32" s="30"/>
      <c r="OX32" s="30"/>
      <c r="OY32" s="30"/>
      <c r="OZ32" s="30"/>
      <c r="PA32" s="30"/>
      <c r="PB32" s="30"/>
      <c r="PC32" s="30"/>
      <c r="PD32" s="30"/>
      <c r="PE32" s="30"/>
      <c r="PF32" s="30"/>
      <c r="PG32" s="30"/>
      <c r="PH32" s="30"/>
      <c r="PI32" s="30"/>
      <c r="PJ32" s="30"/>
      <c r="PK32" s="30"/>
      <c r="PL32" s="30"/>
      <c r="PM32" s="30"/>
      <c r="PN32" s="30"/>
      <c r="PO32" s="30"/>
      <c r="PP32" s="30"/>
      <c r="PQ32" s="30"/>
      <c r="PR32" s="30"/>
      <c r="PS32" s="30"/>
      <c r="PT32" s="30"/>
      <c r="PU32" s="30"/>
      <c r="PV32" s="30"/>
      <c r="PW32" s="30"/>
      <c r="PX32" s="30"/>
      <c r="PY32" s="30"/>
      <c r="PZ32" s="30"/>
      <c r="QA32" s="30"/>
      <c r="QB32" s="30"/>
      <c r="QC32" s="30"/>
      <c r="QD32" s="30"/>
      <c r="QE32" s="29"/>
      <c r="QF32" s="29"/>
      <c r="QG32" s="29"/>
      <c r="QH32" s="29"/>
      <c r="QI32" s="29"/>
      <c r="QJ32" s="29"/>
      <c r="QK32" s="29"/>
      <c r="QL32" s="29"/>
      <c r="QM32" s="29"/>
      <c r="QN32" s="29"/>
      <c r="QO32" s="29"/>
      <c r="QP32" s="29"/>
      <c r="QQ32" s="29"/>
      <c r="QR32" s="29"/>
      <c r="QS32" s="29"/>
      <c r="QT32" s="29"/>
      <c r="QU32" s="29"/>
      <c r="QV32" s="29"/>
      <c r="QW32" s="29"/>
      <c r="QX32" s="29"/>
      <c r="QY32" s="29"/>
      <c r="QZ32" s="29"/>
      <c r="RA32" s="29"/>
      <c r="RB32" s="29"/>
      <c r="RC32" s="29"/>
      <c r="RD32" s="29"/>
      <c r="RE32" s="29"/>
      <c r="RF32" s="29"/>
      <c r="RG32" s="29"/>
      <c r="RH32" s="29"/>
      <c r="RI32" s="29"/>
      <c r="RJ32" s="29"/>
      <c r="RK32" s="29"/>
      <c r="RL32" s="29"/>
      <c r="RM32" s="29"/>
      <c r="RN32" s="29"/>
      <c r="RO32" s="29"/>
      <c r="RP32" s="29"/>
      <c r="RQ32" s="29"/>
      <c r="RR32" s="29"/>
      <c r="RS32" s="29"/>
      <c r="RT32" s="29"/>
      <c r="RU32" s="29"/>
      <c r="RV32" s="29"/>
      <c r="RW32" s="29"/>
      <c r="RX32" s="29"/>
      <c r="RY32" s="29"/>
      <c r="RZ32" s="29"/>
      <c r="SA32" s="29"/>
      <c r="SB32" s="29"/>
      <c r="SC32" s="14"/>
      <c r="SD32" s="14"/>
      <c r="SE32" s="14"/>
      <c r="SF32" s="14"/>
      <c r="SG32" s="14"/>
      <c r="SH32" s="14"/>
      <c r="SI32" s="14"/>
      <c r="SJ32" s="14"/>
      <c r="SK32" s="14"/>
      <c r="SL32" s="14"/>
      <c r="SM32" s="14"/>
      <c r="SN32" s="14"/>
      <c r="SO32" s="14"/>
      <c r="SP32" s="14"/>
      <c r="SQ32" s="14"/>
      <c r="SR32" s="14"/>
      <c r="SS32" s="14"/>
      <c r="ST32" s="14"/>
      <c r="SU32" s="14"/>
      <c r="SV32" s="14"/>
      <c r="SW32" s="14"/>
      <c r="SX32" s="14"/>
      <c r="SY32" s="14"/>
      <c r="SZ32" s="14"/>
      <c r="TA32" s="14"/>
      <c r="TB32" s="14"/>
      <c r="TC32" s="13"/>
      <c r="TD32" s="13"/>
      <c r="TE32" s="13"/>
      <c r="TF32" s="13"/>
      <c r="TG32" s="13"/>
      <c r="TH32" s="13"/>
      <c r="TI32" s="13"/>
      <c r="TJ32" s="13"/>
      <c r="TK32" s="13"/>
      <c r="TL32" s="13"/>
      <c r="TM32" s="13"/>
      <c r="TN32" s="13"/>
      <c r="TO32" s="13"/>
      <c r="TP32" s="13"/>
      <c r="TQ32" s="13"/>
      <c r="TR32" s="13"/>
      <c r="TS32" s="13"/>
      <c r="TT32" s="13"/>
      <c r="TU32" s="13"/>
      <c r="TV32" s="13"/>
      <c r="TW32" s="13"/>
      <c r="TX32" s="13"/>
      <c r="TY32" s="13"/>
      <c r="TZ32" s="13"/>
      <c r="UA32" s="13"/>
      <c r="UB32" s="13"/>
      <c r="UC32" s="13"/>
      <c r="UD32" s="13"/>
      <c r="UE32" s="13"/>
      <c r="UF32" s="13"/>
      <c r="UG32" s="13"/>
      <c r="UH32" s="13"/>
      <c r="UI32" s="13"/>
      <c r="UJ32" s="13"/>
      <c r="UK32" s="13"/>
      <c r="UL32" s="13"/>
      <c r="UM32" s="13"/>
      <c r="UN32" s="13"/>
      <c r="UO32" s="13"/>
      <c r="UP32" s="13"/>
      <c r="UQ32" s="13"/>
      <c r="UR32" s="13"/>
      <c r="US32" s="13"/>
      <c r="UT32" s="13"/>
      <c r="UU32" s="13"/>
      <c r="UV32" s="13"/>
      <c r="UW32" s="13"/>
      <c r="UX32" s="13"/>
      <c r="UY32" s="13"/>
      <c r="UZ32" s="13"/>
      <c r="VA32" s="13"/>
      <c r="VB32" s="13"/>
      <c r="VC32" s="13"/>
      <c r="VD32" s="13"/>
      <c r="VE32" s="13"/>
      <c r="VF32" s="13"/>
      <c r="VG32" s="13"/>
      <c r="VH32" s="13"/>
      <c r="VI32" s="13"/>
      <c r="VJ32" s="13"/>
      <c r="VK32" s="13"/>
      <c r="VL32" s="13"/>
      <c r="VM32" s="13"/>
      <c r="VN32" s="13"/>
      <c r="VO32" s="13"/>
      <c r="VP32" s="13"/>
      <c r="VQ32" s="13"/>
      <c r="VR32" s="13"/>
      <c r="VS32" s="13"/>
      <c r="VT32" s="13"/>
      <c r="VU32" s="13"/>
      <c r="VV32" s="13"/>
      <c r="VW32" s="13"/>
      <c r="VX32" s="13"/>
      <c r="VY32" s="13"/>
      <c r="VZ32" s="13"/>
      <c r="WA32" s="13"/>
      <c r="WB32" s="13"/>
      <c r="WC32" s="13"/>
      <c r="WD32" s="13"/>
      <c r="WE32" s="13"/>
      <c r="WF32" s="13"/>
      <c r="WG32" s="13"/>
      <c r="WH32" s="13"/>
      <c r="WI32" s="13"/>
      <c r="WJ32" s="13"/>
      <c r="WK32" s="13"/>
      <c r="WL32" s="13"/>
      <c r="WM32" s="13"/>
      <c r="WN32" s="13"/>
      <c r="WO32" s="13"/>
      <c r="WP32" s="13"/>
      <c r="WQ32" s="13"/>
      <c r="WR32" s="13"/>
      <c r="WS32" s="13"/>
      <c r="WT32" s="13"/>
      <c r="WU32" s="13"/>
      <c r="WV32" s="13"/>
      <c r="WW32" s="13"/>
      <c r="WX32" s="13"/>
      <c r="WY32" s="13"/>
      <c r="WZ32" s="13"/>
      <c r="XA32" s="13"/>
      <c r="XB32" s="13"/>
      <c r="XC32" s="13"/>
      <c r="XD32" s="13"/>
      <c r="XE32" s="13"/>
      <c r="XF32" s="13"/>
      <c r="XG32" s="13"/>
      <c r="XH32" s="13"/>
      <c r="XI32" s="13"/>
      <c r="XJ32" s="13"/>
      <c r="XK32" s="13"/>
      <c r="XL32" s="13"/>
      <c r="XM32" s="13"/>
      <c r="XN32" s="13"/>
      <c r="XO32" s="13"/>
      <c r="XP32" s="13"/>
      <c r="XQ32" s="13"/>
      <c r="XR32" s="13"/>
      <c r="XS32" s="13"/>
      <c r="XT32" s="13"/>
      <c r="XU32" s="13"/>
      <c r="XV32" s="13"/>
      <c r="XW32" s="13"/>
      <c r="XX32" s="13"/>
      <c r="XY32" s="13"/>
      <c r="XZ32" s="13"/>
      <c r="YA32" s="13"/>
      <c r="YB32" s="13"/>
      <c r="YC32" s="13"/>
      <c r="YD32" s="13"/>
      <c r="YE32" s="13"/>
      <c r="YF32" s="13"/>
      <c r="YG32" s="13"/>
      <c r="YH32" s="13"/>
      <c r="YI32" s="13"/>
      <c r="YJ32" s="13"/>
      <c r="YK32" s="13"/>
      <c r="YL32" s="13"/>
      <c r="YM32" s="13"/>
      <c r="YN32" s="13"/>
      <c r="YO32" s="13"/>
      <c r="YP32" s="13"/>
      <c r="YQ32" s="13"/>
      <c r="YR32" s="13"/>
      <c r="YS32" s="13"/>
      <c r="YT32" s="13"/>
      <c r="YU32" s="13"/>
      <c r="YV32" s="13"/>
      <c r="YW32" s="13"/>
      <c r="YX32" s="13"/>
      <c r="YY32" s="13"/>
      <c r="YZ32" s="13"/>
      <c r="ZA32" s="13"/>
      <c r="ZB32" s="13"/>
      <c r="ZC32" s="13"/>
      <c r="ZD32" s="13"/>
      <c r="ZE32" s="13"/>
      <c r="ZF32" s="13"/>
      <c r="ZG32" s="13"/>
      <c r="ZH32" s="13"/>
      <c r="ZI32" s="13"/>
      <c r="ZJ32" s="13"/>
      <c r="ZK32" s="13"/>
      <c r="ZL32" s="13"/>
      <c r="ZM32" s="13"/>
      <c r="ZN32" s="13"/>
      <c r="ZO32" s="13"/>
      <c r="ZP32" s="13"/>
      <c r="ZQ32" s="13"/>
      <c r="ZR32" s="13"/>
      <c r="ZS32" s="13"/>
      <c r="ZT32" s="13"/>
      <c r="ZU32" s="13"/>
      <c r="ZV32" s="13"/>
      <c r="ZW32" s="13"/>
      <c r="ZX32" s="13"/>
      <c r="ZY32" s="13"/>
      <c r="ZZ32" s="13"/>
      <c r="AAA32" s="13"/>
      <c r="AAB32" s="13"/>
      <c r="AAC32" s="13"/>
      <c r="AAD32" s="13"/>
      <c r="AAE32" s="13"/>
      <c r="AAF32" s="13"/>
      <c r="AAG32" s="13"/>
      <c r="AAH32" s="13"/>
      <c r="AAI32" s="13"/>
      <c r="AAJ32" s="13"/>
      <c r="AAK32" s="13"/>
      <c r="AAL32" s="13"/>
      <c r="AAM32" s="13"/>
      <c r="AAN32" s="13"/>
      <c r="AAO32" s="13"/>
      <c r="AAP32" s="13"/>
      <c r="AAQ32" s="13"/>
      <c r="AAR32" s="13"/>
      <c r="AAS32" s="13"/>
      <c r="AAT32" s="13"/>
      <c r="AAU32" s="13"/>
      <c r="AAV32" s="13"/>
      <c r="AAW32" s="13"/>
      <c r="AAX32" s="13"/>
      <c r="AAY32" s="13"/>
      <c r="AAZ32" s="13"/>
      <c r="ABA32" s="13"/>
      <c r="ABB32" s="13"/>
      <c r="ABC32" s="13"/>
      <c r="ABD32" s="13"/>
      <c r="ABE32" s="13"/>
      <c r="ABF32" s="13"/>
      <c r="ABG32" s="13"/>
      <c r="ABH32" s="13"/>
      <c r="ABI32" s="13"/>
      <c r="ABJ32" s="13"/>
      <c r="ABK32" s="13"/>
      <c r="ABL32" s="13"/>
      <c r="ABM32" s="13"/>
      <c r="ABN32" s="13"/>
      <c r="ABO32" s="13"/>
      <c r="ABP32" s="13"/>
      <c r="ABQ32" s="13"/>
      <c r="ABR32" s="13"/>
      <c r="ABS32" s="13"/>
      <c r="ABT32" s="13"/>
      <c r="ABU32" s="13"/>
      <c r="ABV32" s="13"/>
      <c r="ABW32" s="13"/>
      <c r="ABX32" s="13"/>
      <c r="ABY32" s="13"/>
      <c r="ABZ32" s="13"/>
      <c r="ACA32" s="13"/>
      <c r="ACB32" s="13"/>
      <c r="ACC32" s="13"/>
      <c r="ACD32" s="13"/>
      <c r="ACE32" s="13"/>
      <c r="ACF32" s="13"/>
      <c r="ACG32" s="13"/>
      <c r="ACH32" s="13"/>
      <c r="ACI32" s="13"/>
      <c r="ACJ32" s="13"/>
      <c r="ACK32" s="13"/>
      <c r="ACL32" s="13"/>
      <c r="ACM32" s="13"/>
      <c r="ACN32" s="13"/>
      <c r="ACO32" s="13"/>
      <c r="ACP32" s="13"/>
      <c r="ACQ32" s="13"/>
      <c r="ACR32" s="13"/>
      <c r="ACS32" s="13"/>
      <c r="ACT32" s="13"/>
      <c r="ACU32" s="13"/>
      <c r="ACV32" s="13"/>
      <c r="ACW32" s="13"/>
      <c r="ACX32" s="13"/>
      <c r="ACY32" s="13"/>
      <c r="ACZ32" s="13"/>
      <c r="ADA32" s="13"/>
      <c r="ADB32" s="13"/>
      <c r="ADC32" s="13"/>
      <c r="ADD32" s="13"/>
      <c r="ADE32" s="13"/>
      <c r="ADF32" s="13"/>
      <c r="ADG32" s="13"/>
      <c r="ADH32" s="13"/>
      <c r="ADI32" s="13"/>
      <c r="ADJ32" s="13"/>
      <c r="ADK32" s="13"/>
      <c r="ADL32" s="13"/>
      <c r="ADM32" s="13"/>
      <c r="ADN32" s="13"/>
      <c r="ADO32" s="13"/>
      <c r="ADP32" s="13"/>
      <c r="ADQ32" s="13"/>
      <c r="ADR32" s="13"/>
      <c r="ADS32" s="13"/>
      <c r="ADT32" s="13"/>
      <c r="ADU32" s="13"/>
      <c r="ADV32" s="13"/>
      <c r="ADW32" s="13"/>
      <c r="ADX32" s="13"/>
      <c r="ADY32" s="13"/>
      <c r="ADZ32" s="13"/>
      <c r="AEA32" s="13"/>
      <c r="AEB32" s="13"/>
      <c r="AEC32" s="13"/>
      <c r="AED32" s="13"/>
      <c r="AEE32" s="13"/>
      <c r="AEF32" s="13"/>
      <c r="AEG32" s="13"/>
      <c r="AEH32" s="13"/>
      <c r="AEI32" s="13"/>
      <c r="AEJ32" s="13"/>
      <c r="AEK32" s="13"/>
      <c r="AEL32" s="13"/>
      <c r="AEM32" s="13"/>
      <c r="AEN32" s="13"/>
      <c r="AEO32" s="13"/>
      <c r="AEP32" s="13"/>
      <c r="AEQ32" s="13"/>
      <c r="AER32" s="13"/>
      <c r="AES32" s="13"/>
      <c r="AET32" s="13"/>
      <c r="AEU32" s="13"/>
      <c r="AEV32" s="13"/>
      <c r="AEW32" s="13"/>
      <c r="AEX32" s="13"/>
      <c r="AEY32" s="13"/>
      <c r="AEZ32" s="13"/>
      <c r="AFA32" s="13"/>
      <c r="AFB32" s="13"/>
      <c r="AFC32" s="13"/>
      <c r="AFD32" s="13"/>
      <c r="AFE32" s="13"/>
      <c r="AFF32" s="13"/>
      <c r="AFG32" s="13"/>
      <c r="AFH32" s="13"/>
      <c r="AFI32" s="13"/>
      <c r="AFJ32" s="13"/>
      <c r="AFK32" s="13"/>
      <c r="AFL32" s="13"/>
      <c r="AFM32" s="13"/>
      <c r="AFN32" s="13"/>
      <c r="AFO32" s="13"/>
      <c r="AFP32" s="13"/>
      <c r="AFQ32" s="13"/>
      <c r="AFR32" s="13"/>
      <c r="AFS32" s="13"/>
      <c r="AFT32" s="13"/>
      <c r="AFU32" s="13"/>
      <c r="AFV32" s="13"/>
      <c r="AFW32" s="13"/>
      <c r="AFX32" s="13"/>
      <c r="AFY32" s="13"/>
      <c r="AFZ32" s="13"/>
      <c r="AGA32" s="13"/>
      <c r="AGB32" s="13"/>
      <c r="AGC32" s="13"/>
      <c r="AGD32" s="13"/>
      <c r="AGE32" s="13"/>
      <c r="AGF32" s="13"/>
      <c r="AGG32" s="13"/>
      <c r="AGH32" s="13"/>
      <c r="AGI32" s="13"/>
      <c r="AGJ32" s="13"/>
      <c r="AGK32" s="13"/>
      <c r="AGL32" s="13"/>
      <c r="AGM32" s="13"/>
      <c r="AGN32" s="13"/>
      <c r="AGO32" s="13"/>
      <c r="AGP32" s="13"/>
      <c r="AGQ32" s="13"/>
      <c r="AGR32" s="13"/>
      <c r="AGS32" s="13"/>
      <c r="AGT32" s="13"/>
      <c r="AGU32" s="13"/>
      <c r="AGV32" s="13"/>
      <c r="AGW32" s="13"/>
      <c r="AGX32" s="13"/>
      <c r="AGY32" s="13"/>
      <c r="AGZ32" s="13"/>
      <c r="AHA32" s="13"/>
      <c r="AHB32" s="13"/>
      <c r="AHC32" s="13"/>
      <c r="AHD32" s="13"/>
      <c r="AHE32" s="13"/>
      <c r="AHF32" s="13"/>
      <c r="AHG32" s="13"/>
      <c r="AHH32" s="13"/>
      <c r="AHI32" s="13"/>
      <c r="AHJ32" s="13"/>
      <c r="AHK32" s="13"/>
      <c r="AHL32" s="13"/>
      <c r="AHM32" s="13"/>
      <c r="AHN32" s="13"/>
      <c r="AHO32" s="13"/>
      <c r="AHP32" s="13"/>
      <c r="AHQ32" s="13"/>
      <c r="AHR32" s="13"/>
      <c r="AHS32" s="13"/>
      <c r="AHT32" s="13"/>
      <c r="AHU32" s="13"/>
      <c r="AHV32" s="13"/>
      <c r="AHW32" s="13"/>
      <c r="AHX32" s="13"/>
      <c r="AHY32" s="13"/>
      <c r="AHZ32" s="13"/>
      <c r="AIA32" s="13"/>
      <c r="AIB32" s="13"/>
      <c r="AIC32" s="13"/>
      <c r="AID32" s="13"/>
      <c r="AIE32" s="13"/>
      <c r="AIF32" s="13"/>
      <c r="AIG32" s="13"/>
      <c r="AIH32" s="13"/>
      <c r="AII32" s="13"/>
      <c r="AIJ32" s="13"/>
      <c r="AIK32" s="13"/>
      <c r="AIL32" s="13"/>
      <c r="AIM32" s="13"/>
      <c r="AIN32" s="13"/>
      <c r="AIO32" s="13"/>
      <c r="AIP32" s="13"/>
      <c r="AIQ32" s="13"/>
      <c r="AIR32" s="13"/>
      <c r="AIS32" s="13"/>
      <c r="AIT32" s="13"/>
      <c r="AIU32" s="13"/>
      <c r="AIV32" s="13"/>
      <c r="AIW32" s="13"/>
      <c r="AIX32" s="13"/>
      <c r="AIY32" s="13"/>
      <c r="AIZ32" s="13"/>
      <c r="AJA32" s="13"/>
      <c r="AJB32" s="13"/>
      <c r="AJC32" s="13"/>
      <c r="AJD32" s="13"/>
      <c r="AJE32" s="13"/>
      <c r="AJF32" s="13"/>
      <c r="AJG32" s="13"/>
      <c r="AJH32" s="13"/>
      <c r="AJI32" s="13"/>
      <c r="AJJ32" s="13"/>
      <c r="AJK32" s="13"/>
      <c r="AJL32" s="13"/>
      <c r="AJM32" s="13"/>
      <c r="AJN32" s="13"/>
      <c r="AJO32" s="13"/>
      <c r="AJP32" s="13"/>
      <c r="AJQ32" s="13"/>
      <c r="AJR32" s="13"/>
      <c r="AJS32" s="13"/>
      <c r="AJT32" s="13"/>
      <c r="AJU32" s="13"/>
      <c r="AJV32" s="13"/>
      <c r="AJW32" s="13"/>
      <c r="AJX32" s="13"/>
      <c r="AJY32" s="13"/>
      <c r="AJZ32" s="13"/>
      <c r="AKA32" s="13"/>
      <c r="AKB32" s="13"/>
      <c r="AKC32" s="13"/>
      <c r="AKD32" s="13"/>
      <c r="AKE32" s="13"/>
      <c r="AKF32" s="13"/>
      <c r="AKG32" s="13"/>
      <c r="AKH32" s="13"/>
      <c r="AKI32" s="13"/>
      <c r="AKJ32" s="13"/>
      <c r="AKK32" s="13"/>
      <c r="AKL32" s="13"/>
      <c r="AKM32" s="13"/>
      <c r="AKN32" s="13"/>
      <c r="AKO32" s="13"/>
      <c r="AKP32" s="13"/>
      <c r="AKQ32" s="13"/>
      <c r="AKR32" s="13"/>
      <c r="AKS32" s="13"/>
      <c r="AKT32" s="13"/>
      <c r="AKU32" s="13"/>
      <c r="AKV32" s="13"/>
      <c r="AKW32" s="13"/>
      <c r="AKX32" s="13"/>
      <c r="AKY32" s="13"/>
      <c r="AKZ32" s="13"/>
      <c r="ALA32" s="13"/>
      <c r="ALB32" s="13"/>
      <c r="ALC32" s="13"/>
      <c r="ALD32" s="13"/>
      <c r="ALE32" s="13"/>
      <c r="ALF32" s="13"/>
      <c r="ALG32" s="13"/>
      <c r="ALH32" s="13"/>
      <c r="ALI32" s="13"/>
      <c r="ALJ32" s="13"/>
      <c r="ALK32" s="13"/>
      <c r="ALL32" s="13"/>
      <c r="ALM32" s="13"/>
      <c r="ALN32" s="13"/>
      <c r="ALO32" s="13"/>
      <c r="ALP32" s="13"/>
      <c r="ALQ32" s="13"/>
      <c r="ALR32" s="13"/>
      <c r="ALS32" s="13"/>
      <c r="ALT32" s="13"/>
      <c r="ALU32" s="13"/>
      <c r="ALV32" s="13"/>
      <c r="ALW32" s="13"/>
      <c r="ALX32" s="13"/>
      <c r="ALY32" s="13"/>
    </row>
    <row r="33" spans="1:1013" s="1" customFormat="1" ht="22.15" customHeight="1" x14ac:dyDescent="0.25">
      <c r="A33" s="301"/>
      <c r="B33" s="25" t="s">
        <v>10</v>
      </c>
      <c r="C33" s="122">
        <v>0.01</v>
      </c>
      <c r="D33" s="115">
        <f>C33+((C36/C37)/D27)</f>
        <v>1.1005582593758946E-2</v>
      </c>
      <c r="E33" s="115">
        <f>D33+((D36/D37)/E27)</f>
        <v>1.2106377159660616E-2</v>
      </c>
      <c r="F33" s="115">
        <f t="shared" ref="F33:BP33" si="183">E33+((E36/E37)/F27)</f>
        <v>1.329177463494996E-2</v>
      </c>
      <c r="G33" s="115">
        <f>F33+((F36/F37)/G27)</f>
        <v>1.4588567329531619E-2</v>
      </c>
      <c r="H33" s="115">
        <f>G33+((G36/G37)/H27)</f>
        <v>1.6001621613287186E-2</v>
      </c>
      <c r="I33" s="115">
        <f t="shared" si="183"/>
        <v>1.7513764350912106E-2</v>
      </c>
      <c r="J33" s="115">
        <f t="shared" si="183"/>
        <v>1.9159726586917943E-2</v>
      </c>
      <c r="K33" s="115">
        <f t="shared" si="183"/>
        <v>2.0916842913967924E-2</v>
      </c>
      <c r="L33" s="115">
        <f>K33+((K36/K37)/L27)</f>
        <v>2.2820893014488763E-2</v>
      </c>
      <c r="M33" s="115">
        <f t="shared" si="183"/>
        <v>2.4875013679153523E-2</v>
      </c>
      <c r="N33" s="115">
        <f t="shared" si="183"/>
        <v>2.7051785083274507E-2</v>
      </c>
      <c r="O33" s="115">
        <f t="shared" si="183"/>
        <v>2.9391936164292577E-2</v>
      </c>
      <c r="P33" s="115">
        <f t="shared" si="183"/>
        <v>3.1863875340368962E-2</v>
      </c>
      <c r="Q33" s="115">
        <f t="shared" si="183"/>
        <v>3.4512306780663762E-2</v>
      </c>
      <c r="R33" s="115">
        <f>Q33+((Q36/Q37)/R27)</f>
        <v>3.7295557327491485E-2</v>
      </c>
      <c r="S33" s="115">
        <f t="shared" si="183"/>
        <v>4.026107129173058E-2</v>
      </c>
      <c r="T33" s="115">
        <f t="shared" si="183"/>
        <v>4.3360342612975861E-2</v>
      </c>
      <c r="U33" s="115">
        <f t="shared" si="183"/>
        <v>4.664991913528866E-2</v>
      </c>
      <c r="V33" s="115">
        <f t="shared" si="183"/>
        <v>5.0082638009534913E-2</v>
      </c>
      <c r="W33" s="115">
        <f t="shared" si="183"/>
        <v>5.3713064706430995E-2</v>
      </c>
      <c r="X33" s="115">
        <f t="shared" si="183"/>
        <v>5.7488794243371416E-2</v>
      </c>
      <c r="Y33" s="115">
        <f t="shared" si="183"/>
        <v>6.1459039321378257E-2</v>
      </c>
      <c r="Z33" s="115">
        <f t="shared" si="183"/>
        <v>6.5573850206895934E-2</v>
      </c>
      <c r="AA33" s="115">
        <f t="shared" si="183"/>
        <v>6.9894468866911849E-2</v>
      </c>
      <c r="AB33" s="115">
        <f t="shared" si="183"/>
        <v>7.4436102539565979E-2</v>
      </c>
      <c r="AC33" s="115">
        <f t="shared" si="183"/>
        <v>7.9133861530936309E-2</v>
      </c>
      <c r="AD33" s="115">
        <f t="shared" si="183"/>
        <v>8.405709402530856E-2</v>
      </c>
      <c r="AE33" s="115">
        <f t="shared" si="183"/>
        <v>8.9135398951392567E-2</v>
      </c>
      <c r="AF33" s="115">
        <f t="shared" si="183"/>
        <v>9.4441702908772407E-2</v>
      </c>
      <c r="AG33" s="115">
        <f t="shared" si="183"/>
        <v>9.9980397615493405E-2</v>
      </c>
      <c r="AH33" s="115">
        <f t="shared" si="183"/>
        <v>0.10567182625033895</v>
      </c>
      <c r="AI33" s="115">
        <f t="shared" si="183"/>
        <v>0.11159516930349321</v>
      </c>
      <c r="AJ33" s="115">
        <f t="shared" si="183"/>
        <v>0.11775330649604171</v>
      </c>
      <c r="AK33" s="115">
        <f t="shared" si="183"/>
        <v>0.12405730544100586</v>
      </c>
      <c r="AL33" s="115">
        <f t="shared" si="183"/>
        <v>0.13059224509206371</v>
      </c>
      <c r="AM33" s="115">
        <f t="shared" si="183"/>
        <v>0.13724552354731717</v>
      </c>
      <c r="AN33" s="115">
        <f t="shared" si="183"/>
        <v>0.14412155178115069</v>
      </c>
      <c r="AO33" s="115">
        <f t="shared" si="183"/>
        <v>0.15119969398384345</v>
      </c>
      <c r="AP33" s="115">
        <f t="shared" si="183"/>
        <v>0.15839607220451735</v>
      </c>
      <c r="AQ33" s="115">
        <f t="shared" si="183"/>
        <v>0.16580270216732043</v>
      </c>
      <c r="AR33" s="115">
        <f t="shared" si="183"/>
        <v>0.17339414742075068</v>
      </c>
      <c r="AS33" s="115">
        <f t="shared" si="183"/>
        <v>0.18108161957284974</v>
      </c>
      <c r="AT33" s="115">
        <f t="shared" si="183"/>
        <v>0.18893592980770582</v>
      </c>
      <c r="AU33" s="115">
        <f t="shared" si="183"/>
        <v>0.19697531518673633</v>
      </c>
      <c r="AV33" s="115">
        <f t="shared" si="183"/>
        <v>0.20508349043138344</v>
      </c>
      <c r="AW33" s="115">
        <f t="shared" si="183"/>
        <v>0.21335880865547383</v>
      </c>
      <c r="AX33" s="115">
        <f t="shared" si="183"/>
        <v>0.22179470370603419</v>
      </c>
      <c r="AY33" s="115">
        <f t="shared" si="183"/>
        <v>0.2302694245156435</v>
      </c>
      <c r="AZ33" s="115">
        <f t="shared" si="183"/>
        <v>0.23888337760373704</v>
      </c>
      <c r="BA33" s="115">
        <f t="shared" si="183"/>
        <v>0.24751301127415998</v>
      </c>
      <c r="BB33" s="149">
        <f>BA33+((BA36/BA37)/BB27)</f>
        <v>0.24751301127415998</v>
      </c>
      <c r="BC33" s="149">
        <f t="shared" si="183"/>
        <v>0.25606279623273898</v>
      </c>
      <c r="BD33" s="149">
        <f t="shared" si="183"/>
        <v>0.26459311346923547</v>
      </c>
      <c r="BE33" s="149">
        <f t="shared" si="183"/>
        <v>0.27320101477409309</v>
      </c>
      <c r="BF33" s="149">
        <f t="shared" si="183"/>
        <v>0.28194674644970757</v>
      </c>
      <c r="BG33" s="149">
        <f t="shared" si="183"/>
        <v>0.29071185521092607</v>
      </c>
      <c r="BH33" s="149">
        <f t="shared" si="183"/>
        <v>0.29956272485855329</v>
      </c>
      <c r="BI33" s="149">
        <f t="shared" si="183"/>
        <v>0.3085291339449367</v>
      </c>
      <c r="BJ33" s="149">
        <f t="shared" si="183"/>
        <v>0.31760538538029337</v>
      </c>
      <c r="BK33" s="149">
        <f t="shared" si="183"/>
        <v>0.32666923608303633</v>
      </c>
      <c r="BL33" s="149">
        <f t="shared" si="183"/>
        <v>0.33582601815025315</v>
      </c>
      <c r="BM33" s="149">
        <f t="shared" si="183"/>
        <v>0.34502649758005638</v>
      </c>
      <c r="BN33" s="149">
        <f t="shared" si="183"/>
        <v>0.35430399149027836</v>
      </c>
      <c r="BO33" s="149">
        <f t="shared" si="183"/>
        <v>0.36353435599804113</v>
      </c>
      <c r="BP33" s="149">
        <f t="shared" si="183"/>
        <v>0.3728685923431812</v>
      </c>
      <c r="BQ33" s="149">
        <f t="shared" ref="BQ33:BW33" si="184">BP33+((BP36/BP37)/BQ27)</f>
        <v>0.38230239189895809</v>
      </c>
      <c r="BR33" s="149">
        <f t="shared" si="184"/>
        <v>0.39183122155676026</v>
      </c>
      <c r="BS33" s="149">
        <f t="shared" si="184"/>
        <v>0.4014503246911697</v>
      </c>
      <c r="BT33" s="149">
        <f t="shared" si="184"/>
        <v>0.41103491518888063</v>
      </c>
      <c r="BU33" s="149">
        <f t="shared" si="184"/>
        <v>0.42069579669088308</v>
      </c>
      <c r="BV33" s="149">
        <f t="shared" si="184"/>
        <v>0.43042762008844304</v>
      </c>
      <c r="BW33" s="149">
        <f t="shared" si="184"/>
        <v>0.44022482958104225</v>
      </c>
      <c r="BX33" s="149">
        <f>BW33+((BW36/BW37)/BX27)</f>
        <v>0.44996146066689308</v>
      </c>
      <c r="BY33" s="149">
        <f>BX33+((BX36/BX37)/BY27)</f>
        <v>0.45974849082461178</v>
      </c>
      <c r="BZ33" s="149">
        <f t="shared" ref="BZ33:EK33" si="185">BY33+((BY36/BY37)/BZ27)</f>
        <v>0.46963603840576573</v>
      </c>
      <c r="CA33" s="149">
        <f t="shared" si="185"/>
        <v>0.47962145688694802</v>
      </c>
      <c r="CB33" s="149">
        <f t="shared" si="185"/>
        <v>0.48970197042433439</v>
      </c>
      <c r="CC33" s="149">
        <f t="shared" si="185"/>
        <v>0.49975211106370188</v>
      </c>
      <c r="CD33" s="149">
        <f t="shared" si="185"/>
        <v>0.50988784695218992</v>
      </c>
      <c r="CE33" s="149">
        <f t="shared" si="185"/>
        <v>0.5201060402778851</v>
      </c>
      <c r="CF33" s="149">
        <f t="shared" si="185"/>
        <v>0.53040342910440241</v>
      </c>
      <c r="CG33" s="149">
        <f t="shared" si="185"/>
        <v>0.54077662797381754</v>
      </c>
      <c r="CH33" s="149">
        <f t="shared" si="185"/>
        <v>0.55122212867109288</v>
      </c>
      <c r="CI33" s="149">
        <f t="shared" si="185"/>
        <v>0.56173630115220363</v>
      </c>
      <c r="CJ33" s="149">
        <f t="shared" si="185"/>
        <v>0.57225646043277623</v>
      </c>
      <c r="CK33" s="149">
        <f t="shared" si="185"/>
        <v>0.58290537824787225</v>
      </c>
      <c r="CL33" s="149">
        <f t="shared" si="185"/>
        <v>0.59368292544087975</v>
      </c>
      <c r="CM33" s="149">
        <f t="shared" si="185"/>
        <v>0.6045889244052246</v>
      </c>
      <c r="CN33" s="149">
        <f t="shared" si="185"/>
        <v>0.61562314826174713</v>
      </c>
      <c r="CO33" s="149">
        <f t="shared" si="185"/>
        <v>0.62678532005006016</v>
      </c>
      <c r="CP33" s="149">
        <f t="shared" si="185"/>
        <v>0.63794229085373333</v>
      </c>
      <c r="CQ33" s="149">
        <f t="shared" si="185"/>
        <v>0.64922265671817514</v>
      </c>
      <c r="CR33" s="149">
        <f t="shared" si="185"/>
        <v>0.66062595459050899</v>
      </c>
      <c r="CS33" s="149">
        <f t="shared" si="185"/>
        <v>0.67215166970065821</v>
      </c>
      <c r="CT33" s="149">
        <f t="shared" si="185"/>
        <v>0.68379923488349403</v>
      </c>
      <c r="CU33" s="149">
        <f t="shared" si="185"/>
        <v>0.69556802991980082</v>
      </c>
      <c r="CV33" s="149">
        <f t="shared" si="185"/>
        <v>0.70745738089685739</v>
      </c>
      <c r="CW33" s="149">
        <f t="shared" si="185"/>
        <v>0.71946655958943639</v>
      </c>
      <c r="CX33" s="149">
        <f t="shared" si="185"/>
        <v>0.73145375701000881</v>
      </c>
      <c r="CY33" s="149">
        <f t="shared" si="185"/>
        <v>0.74355545266823475</v>
      </c>
      <c r="CZ33" s="149">
        <f t="shared" si="185"/>
        <v>0.75577073425771846</v>
      </c>
      <c r="DA33" s="159">
        <f>CZ33+((CZ36/CZ37)/DA27)</f>
        <v>0.75577073425771846</v>
      </c>
      <c r="DB33" s="159">
        <f t="shared" si="185"/>
        <v>0.76801057813871565</v>
      </c>
      <c r="DC33" s="159">
        <f t="shared" si="185"/>
        <v>0.78035916598687038</v>
      </c>
      <c r="DD33" s="159">
        <f t="shared" si="185"/>
        <v>0.7928153814107648</v>
      </c>
      <c r="DE33" s="159">
        <f t="shared" si="185"/>
        <v>0.80537805231907722</v>
      </c>
      <c r="DF33" s="159">
        <f t="shared" si="185"/>
        <v>0.81790034253895094</v>
      </c>
      <c r="DG33" s="159">
        <f t="shared" si="185"/>
        <v>0.83052313362689922</v>
      </c>
      <c r="DH33" s="159">
        <f t="shared" si="185"/>
        <v>0.84334073433475221</v>
      </c>
      <c r="DI33" s="159">
        <f t="shared" si="185"/>
        <v>0.85625902121500952</v>
      </c>
      <c r="DJ33" s="159">
        <f t="shared" si="185"/>
        <v>0.86927657250153445</v>
      </c>
      <c r="DK33" s="159">
        <f t="shared" si="185"/>
        <v>0.88239191018813767</v>
      </c>
      <c r="DL33" s="159">
        <f t="shared" si="185"/>
        <v>0.8956034998415201</v>
      </c>
      <c r="DM33" s="159">
        <f t="shared" si="185"/>
        <v>0.9087585430506151</v>
      </c>
      <c r="DN33" s="159">
        <f t="shared" si="185"/>
        <v>0.92200333872269546</v>
      </c>
      <c r="DO33" s="159">
        <f t="shared" si="185"/>
        <v>0.93533618897066662</v>
      </c>
      <c r="DP33" s="159">
        <f t="shared" si="185"/>
        <v>0.94886184209501467</v>
      </c>
      <c r="DQ33" s="159">
        <f t="shared" si="185"/>
        <v>0.96247504487602809</v>
      </c>
      <c r="DR33" s="159">
        <f t="shared" si="185"/>
        <v>0.97617396323655636</v>
      </c>
      <c r="DS33" s="159">
        <f t="shared" si="185"/>
        <v>0.98995670729755714</v>
      </c>
      <c r="DT33" s="159">
        <f t="shared" si="185"/>
        <v>1.0036655491382722</v>
      </c>
      <c r="DU33" s="159">
        <f t="shared" si="185"/>
        <v>1.0175642299317702</v>
      </c>
      <c r="DV33" s="159">
        <f t="shared" si="185"/>
        <v>1.0315408163688777</v>
      </c>
      <c r="DW33" s="159">
        <f t="shared" si="185"/>
        <v>1.0455932401806174</v>
      </c>
      <c r="DX33" s="159">
        <f t="shared" si="185"/>
        <v>1.0597193788423986</v>
      </c>
      <c r="DY33" s="159">
        <f t="shared" si="185"/>
        <v>1.0739170557785458</v>
      </c>
      <c r="DZ33" s="159">
        <f t="shared" si="185"/>
        <v>1.0881840406000842</v>
      </c>
      <c r="EA33" s="159">
        <f t="shared" si="185"/>
        <v>1.102358782611909</v>
      </c>
      <c r="EB33" s="159">
        <f t="shared" si="185"/>
        <v>1.1187742054915824</v>
      </c>
      <c r="EC33" s="159">
        <f t="shared" si="185"/>
        <v>1.1332228592253859</v>
      </c>
      <c r="ED33" s="159">
        <f t="shared" si="185"/>
        <v>1.1501557842295889</v>
      </c>
      <c r="EE33" s="159">
        <f t="shared" si="185"/>
        <v>1.1647536198343733</v>
      </c>
      <c r="EF33" s="159">
        <f t="shared" si="185"/>
        <v>1.1794070554880456</v>
      </c>
      <c r="EG33" s="159">
        <f t="shared" si="185"/>
        <v>1.1941135340245252</v>
      </c>
      <c r="EH33" s="159">
        <f t="shared" si="185"/>
        <v>1.2087082842146553</v>
      </c>
      <c r="EI33" s="159">
        <f t="shared" si="185"/>
        <v>1.2262833758099052</v>
      </c>
      <c r="EJ33" s="159">
        <f t="shared" si="185"/>
        <v>1.2411362872744927</v>
      </c>
      <c r="EK33" s="159">
        <f t="shared" si="185"/>
        <v>1.2597658082352627</v>
      </c>
      <c r="EL33" s="159">
        <f>EK33+((EK36/EK37)/EL27)</f>
        <v>1.274746837027948</v>
      </c>
      <c r="EM33" s="159">
        <f>EL33+((EL36/EL37)/EM27)</f>
        <v>1.2897656561565338</v>
      </c>
      <c r="EN33" s="159">
        <f t="shared" ref="EN33:EW33" si="186">EM33+((EM36/EM37)/EN27)</f>
        <v>1.3048194075662316</v>
      </c>
      <c r="EO33" s="159">
        <f t="shared" si="186"/>
        <v>1.3200488617715675</v>
      </c>
      <c r="EP33" s="159">
        <f t="shared" si="186"/>
        <v>1.3404116064513016</v>
      </c>
      <c r="EQ33" s="159">
        <f t="shared" si="186"/>
        <v>1.3557612956176492</v>
      </c>
      <c r="ER33" s="159">
        <f t="shared" si="186"/>
        <v>1.3788487029134848</v>
      </c>
      <c r="ES33" s="159">
        <f t="shared" si="186"/>
        <v>1.3943167494848983</v>
      </c>
      <c r="ET33" s="159">
        <f t="shared" si="186"/>
        <v>1.4098064580811625</v>
      </c>
      <c r="EU33" s="159">
        <f t="shared" si="186"/>
        <v>1.4254682445589308</v>
      </c>
      <c r="EV33" s="159">
        <f t="shared" si="186"/>
        <v>1.4411487678555732</v>
      </c>
      <c r="EW33" s="159">
        <f t="shared" si="186"/>
        <v>1.4726039094623389</v>
      </c>
      <c r="EX33" s="159">
        <f>EW33+((EW36/EW37)/EX27)</f>
        <v>1.4886425509786578</v>
      </c>
      <c r="EY33" s="159">
        <f>EX33+((EX36/EX37)/EX27)</f>
        <v>1.5046616392989716</v>
      </c>
      <c r="EZ33" s="131"/>
      <c r="FA33" s="131"/>
      <c r="FB33" s="131"/>
      <c r="FC33" s="131"/>
      <c r="FD33" s="131"/>
      <c r="FE33" s="131"/>
      <c r="FF33" s="131"/>
      <c r="FG33" s="131"/>
      <c r="FH33" s="131"/>
      <c r="FI33" s="131"/>
      <c r="FJ33" s="131"/>
      <c r="FK33" s="131"/>
      <c r="FL33" s="131"/>
      <c r="FM33" s="131"/>
      <c r="FN33" s="131"/>
      <c r="FO33" s="131"/>
      <c r="FP33" s="131"/>
      <c r="FQ33" s="131"/>
      <c r="FR33" s="131"/>
      <c r="FS33" s="131"/>
      <c r="FT33" s="131"/>
      <c r="FU33" s="131"/>
      <c r="FV33" s="131"/>
      <c r="FW33" s="131"/>
      <c r="FX33" s="131"/>
      <c r="FY33" s="131"/>
      <c r="FZ33" s="131"/>
      <c r="GA33" s="131"/>
      <c r="GB33" s="131"/>
      <c r="GC33" s="131"/>
      <c r="GD33" s="131"/>
      <c r="GE33" s="131"/>
      <c r="GF33" s="131"/>
      <c r="GG33" s="131"/>
      <c r="GH33" s="131"/>
      <c r="GI33" s="131"/>
      <c r="GJ33" s="131"/>
      <c r="GK33" s="131"/>
      <c r="GL33" s="131"/>
      <c r="GM33" s="131"/>
      <c r="GN33" s="131"/>
      <c r="GO33" s="131"/>
      <c r="GP33" s="131"/>
      <c r="GQ33" s="131"/>
      <c r="GR33" s="131"/>
      <c r="GS33" s="131"/>
      <c r="GT33" s="131"/>
      <c r="GU33" s="131"/>
      <c r="GV33" s="131"/>
      <c r="GW33" s="131"/>
      <c r="GX33" s="131"/>
      <c r="GY33" s="131"/>
      <c r="GZ33" s="131"/>
      <c r="HA33" s="131"/>
      <c r="HB33" s="131"/>
      <c r="HC33" s="131"/>
      <c r="HD33" s="131"/>
      <c r="HE33" s="131"/>
      <c r="HF33" s="131"/>
      <c r="HG33" s="131"/>
      <c r="HH33" s="131"/>
      <c r="HI33" s="131"/>
      <c r="HJ33" s="131"/>
      <c r="HK33" s="131"/>
      <c r="HL33" s="131"/>
      <c r="HM33" s="131"/>
      <c r="HN33" s="131"/>
      <c r="HO33" s="131"/>
      <c r="HP33" s="131"/>
      <c r="HQ33" s="22"/>
      <c r="HR33" s="22"/>
      <c r="HS33" s="22"/>
      <c r="HT33" s="22"/>
      <c r="HU33" s="22"/>
      <c r="HV33" s="22"/>
      <c r="HW33" s="22"/>
      <c r="HX33" s="22"/>
      <c r="HY33" s="22"/>
      <c r="HZ33" s="22"/>
      <c r="IA33" s="22"/>
      <c r="IB33" s="22"/>
      <c r="IC33" s="22"/>
      <c r="ID33" s="22"/>
      <c r="IE33" s="22"/>
      <c r="IF33" s="22"/>
      <c r="IG33" s="22"/>
      <c r="IH33" s="22"/>
      <c r="II33" s="22"/>
      <c r="IJ33" s="22"/>
      <c r="IK33" s="22"/>
      <c r="IL33" s="22"/>
      <c r="IM33" s="22"/>
      <c r="IN33" s="22"/>
      <c r="IO33" s="22"/>
      <c r="IP33" s="22"/>
      <c r="IQ33" s="22"/>
      <c r="IR33" s="22"/>
      <c r="IS33" s="22"/>
      <c r="IT33" s="22"/>
      <c r="IU33" s="22"/>
      <c r="IV33" s="22"/>
      <c r="IW33" s="22"/>
      <c r="IX33" s="22"/>
      <c r="IY33" s="22"/>
      <c r="IZ33" s="22"/>
      <c r="JA33" s="22"/>
      <c r="JB33" s="22"/>
      <c r="JC33" s="22"/>
      <c r="JD33" s="22"/>
      <c r="JE33" s="22"/>
      <c r="JF33" s="22"/>
      <c r="JG33" s="22"/>
      <c r="JH33" s="22"/>
      <c r="JI33" s="22"/>
      <c r="JJ33" s="22"/>
      <c r="JK33" s="22"/>
      <c r="JL33" s="22"/>
      <c r="JM33" s="22"/>
      <c r="JN33" s="23"/>
      <c r="JO33" s="23"/>
      <c r="JP33" s="22"/>
      <c r="JQ33" s="22"/>
      <c r="JR33" s="22"/>
      <c r="JS33" s="22"/>
      <c r="JT33" s="22"/>
      <c r="JU33" s="22"/>
      <c r="JV33" s="22"/>
      <c r="JW33" s="22"/>
      <c r="JX33" s="22"/>
      <c r="JY33" s="22"/>
      <c r="JZ33" s="22"/>
      <c r="KA33" s="22"/>
      <c r="KB33" s="22"/>
      <c r="KC33" s="22"/>
      <c r="KD33" s="22"/>
      <c r="KE33" s="22"/>
      <c r="KF33" s="22"/>
      <c r="KG33" s="22"/>
      <c r="KH33" s="22"/>
      <c r="KI33" s="22"/>
      <c r="KJ33" s="22"/>
      <c r="KK33" s="22"/>
      <c r="KL33" s="22"/>
      <c r="KM33" s="22"/>
      <c r="KN33" s="22"/>
      <c r="KO33" s="22"/>
      <c r="KP33" s="22"/>
      <c r="KQ33" s="22"/>
      <c r="KR33" s="22"/>
      <c r="KS33" s="22"/>
      <c r="KT33" s="22"/>
      <c r="KU33" s="22"/>
      <c r="KV33" s="22"/>
      <c r="KW33" s="22"/>
      <c r="KX33" s="22"/>
      <c r="KY33" s="22"/>
      <c r="KZ33" s="22"/>
      <c r="LA33" s="22"/>
      <c r="LB33" s="22"/>
      <c r="LC33" s="22"/>
      <c r="LD33" s="22"/>
      <c r="LE33" s="22"/>
      <c r="LF33" s="22"/>
      <c r="LG33" s="22"/>
      <c r="LH33" s="22"/>
      <c r="LI33" s="22"/>
      <c r="LJ33" s="22"/>
      <c r="LK33" s="22"/>
      <c r="LL33" s="22"/>
      <c r="LM33" s="22"/>
      <c r="LN33" s="22"/>
      <c r="LO33" s="22"/>
      <c r="LP33" s="22"/>
      <c r="LQ33" s="22"/>
      <c r="LR33" s="22"/>
      <c r="LS33" s="22"/>
      <c r="LT33" s="22"/>
      <c r="LU33" s="22"/>
      <c r="LV33" s="22"/>
      <c r="LW33" s="22"/>
      <c r="LX33" s="22"/>
      <c r="LY33" s="22"/>
      <c r="LZ33" s="22"/>
      <c r="MA33" s="22"/>
      <c r="MB33" s="23"/>
      <c r="MC33" s="23"/>
      <c r="MD33" s="22"/>
      <c r="ME33" s="22"/>
      <c r="MF33" s="22"/>
      <c r="MG33" s="22"/>
      <c r="MH33" s="22"/>
      <c r="MI33" s="22"/>
      <c r="MJ33" s="22"/>
      <c r="MK33" s="22"/>
      <c r="ML33" s="22"/>
      <c r="MM33" s="22"/>
      <c r="MN33" s="22"/>
      <c r="MO33" s="22"/>
      <c r="MP33" s="22"/>
      <c r="MQ33" s="22"/>
      <c r="MR33" s="22"/>
      <c r="MS33" s="22"/>
      <c r="MT33" s="22"/>
      <c r="MU33" s="22"/>
      <c r="MV33" s="22"/>
      <c r="MW33" s="22"/>
      <c r="MX33" s="22"/>
      <c r="MY33" s="22"/>
      <c r="MZ33" s="22"/>
      <c r="NA33" s="22"/>
      <c r="NB33" s="22"/>
      <c r="NC33" s="22"/>
      <c r="ND33" s="22"/>
      <c r="NE33" s="22"/>
      <c r="NF33" s="22"/>
      <c r="NG33" s="22"/>
      <c r="NH33" s="22"/>
      <c r="NI33" s="22"/>
      <c r="NJ33" s="22"/>
      <c r="NK33" s="22"/>
      <c r="NL33" s="22"/>
      <c r="NM33" s="22"/>
      <c r="NN33" s="22"/>
      <c r="NO33" s="22"/>
      <c r="NP33" s="22"/>
      <c r="NQ33" s="22"/>
      <c r="NR33" s="22"/>
      <c r="NS33" s="22"/>
      <c r="NT33" s="22"/>
      <c r="NU33" s="22"/>
      <c r="NV33" s="22"/>
      <c r="NW33" s="22"/>
      <c r="NX33" s="22"/>
      <c r="NY33" s="22"/>
      <c r="NZ33" s="22"/>
      <c r="OA33" s="22"/>
      <c r="OB33" s="22"/>
      <c r="OC33" s="22"/>
      <c r="OD33" s="22"/>
      <c r="OE33" s="22"/>
      <c r="OF33" s="22"/>
      <c r="OG33" s="22"/>
      <c r="OH33" s="22"/>
      <c r="OI33" s="22"/>
      <c r="OJ33" s="22"/>
      <c r="OK33" s="22"/>
      <c r="OL33" s="22"/>
      <c r="OM33" s="22"/>
      <c r="ON33" s="22"/>
      <c r="OO33" s="22"/>
      <c r="OP33" s="23"/>
      <c r="OQ33" s="30"/>
      <c r="OR33" s="30"/>
      <c r="OS33" s="30"/>
      <c r="OT33" s="30"/>
      <c r="OU33" s="30"/>
      <c r="OV33" s="30"/>
      <c r="OW33" s="30"/>
      <c r="OX33" s="30"/>
      <c r="OY33" s="30"/>
      <c r="OZ33" s="30"/>
      <c r="PA33" s="30"/>
      <c r="PB33" s="30"/>
      <c r="PC33" s="30"/>
      <c r="PD33" s="30"/>
      <c r="PE33" s="30"/>
      <c r="PF33" s="30"/>
      <c r="PG33" s="30"/>
      <c r="PH33" s="30"/>
      <c r="PI33" s="30"/>
      <c r="PJ33" s="30"/>
      <c r="PK33" s="30"/>
      <c r="PL33" s="30"/>
      <c r="PM33" s="30"/>
      <c r="PN33" s="30"/>
      <c r="PO33" s="30"/>
      <c r="PP33" s="30"/>
      <c r="PQ33" s="30"/>
      <c r="PR33" s="30"/>
      <c r="PS33" s="30"/>
      <c r="PT33" s="30"/>
      <c r="PU33" s="30"/>
      <c r="PV33" s="30"/>
      <c r="PW33" s="30"/>
      <c r="PX33" s="30"/>
      <c r="PY33" s="30"/>
      <c r="PZ33" s="30"/>
      <c r="QA33" s="30"/>
      <c r="QB33" s="30"/>
      <c r="QC33" s="30"/>
      <c r="QD33" s="30"/>
      <c r="QE33" s="29"/>
      <c r="QF33" s="29"/>
      <c r="QG33" s="29"/>
      <c r="QH33" s="29"/>
      <c r="QI33" s="29"/>
      <c r="QJ33" s="29"/>
      <c r="QK33" s="29"/>
      <c r="QL33" s="29"/>
      <c r="QM33" s="29"/>
      <c r="QN33" s="29"/>
      <c r="QO33" s="29"/>
      <c r="QP33" s="29"/>
      <c r="QQ33" s="29"/>
      <c r="QR33" s="29"/>
      <c r="QS33" s="29"/>
      <c r="QT33" s="29"/>
      <c r="QU33" s="29"/>
      <c r="QV33" s="29"/>
      <c r="QW33" s="29"/>
      <c r="QX33" s="29"/>
      <c r="QY33" s="29"/>
      <c r="QZ33" s="29"/>
      <c r="RA33" s="29"/>
      <c r="RB33" s="29"/>
      <c r="RC33" s="29"/>
      <c r="RD33" s="29"/>
      <c r="RE33" s="29"/>
      <c r="RF33" s="29"/>
      <c r="RG33" s="29"/>
      <c r="RH33" s="29"/>
      <c r="RI33" s="29"/>
      <c r="RJ33" s="29"/>
      <c r="RK33" s="29"/>
      <c r="RL33" s="29"/>
      <c r="RM33" s="29"/>
      <c r="RN33" s="29"/>
      <c r="RO33" s="29"/>
      <c r="RP33" s="29"/>
      <c r="RQ33" s="29"/>
      <c r="RR33" s="29"/>
      <c r="RS33" s="29"/>
      <c r="RT33" s="29"/>
      <c r="RU33" s="29"/>
      <c r="RV33" s="29"/>
      <c r="RW33" s="29"/>
      <c r="RX33" s="29"/>
      <c r="RY33" s="29"/>
      <c r="RZ33" s="29"/>
      <c r="SA33" s="29"/>
      <c r="SB33" s="29"/>
      <c r="SC33" s="14"/>
      <c r="SD33" s="14"/>
      <c r="SE33" s="14"/>
      <c r="SF33" s="14"/>
      <c r="SG33" s="14"/>
      <c r="SH33" s="14"/>
      <c r="SI33" s="14"/>
      <c r="SJ33" s="14"/>
      <c r="SK33" s="14"/>
      <c r="SL33" s="14"/>
      <c r="SM33" s="14"/>
      <c r="SN33" s="14"/>
      <c r="SO33" s="14"/>
      <c r="SP33" s="14"/>
      <c r="SQ33" s="14"/>
      <c r="SR33" s="14"/>
      <c r="SS33" s="14"/>
      <c r="ST33" s="14"/>
      <c r="SU33" s="14"/>
      <c r="SV33" s="14"/>
      <c r="SW33" s="14"/>
      <c r="SX33" s="14"/>
      <c r="SY33" s="14"/>
      <c r="SZ33" s="14"/>
      <c r="TA33" s="14"/>
      <c r="TB33" s="14"/>
      <c r="TC33" s="13"/>
      <c r="TD33" s="13"/>
      <c r="TE33" s="13"/>
      <c r="TF33" s="13"/>
      <c r="TG33" s="13"/>
      <c r="TH33" s="13"/>
      <c r="TI33" s="13"/>
      <c r="TJ33" s="13"/>
      <c r="TK33" s="13"/>
      <c r="TL33" s="13"/>
      <c r="TM33" s="13"/>
      <c r="TN33" s="13"/>
      <c r="TO33" s="13"/>
      <c r="TP33" s="13"/>
      <c r="TQ33" s="13"/>
      <c r="TR33" s="13"/>
      <c r="TS33" s="13"/>
      <c r="TT33" s="13"/>
      <c r="TU33" s="13"/>
      <c r="TV33" s="13"/>
      <c r="TW33" s="13"/>
      <c r="TX33" s="13"/>
      <c r="TY33" s="13"/>
      <c r="TZ33" s="13"/>
      <c r="UA33" s="13"/>
      <c r="UB33" s="13"/>
      <c r="UC33" s="13"/>
      <c r="UD33" s="13"/>
      <c r="UE33" s="13"/>
      <c r="UF33" s="13"/>
      <c r="UG33" s="13"/>
      <c r="UH33" s="13"/>
      <c r="UI33" s="13"/>
      <c r="UJ33" s="13"/>
      <c r="UK33" s="13"/>
      <c r="UL33" s="13"/>
      <c r="UM33" s="13"/>
      <c r="UN33" s="13"/>
      <c r="UO33" s="13"/>
      <c r="UP33" s="13"/>
      <c r="UQ33" s="13"/>
      <c r="UR33" s="13"/>
      <c r="US33" s="13"/>
      <c r="UT33" s="13"/>
      <c r="UU33" s="13"/>
      <c r="UV33" s="13"/>
      <c r="UW33" s="13"/>
      <c r="UX33" s="13"/>
      <c r="UY33" s="13"/>
      <c r="UZ33" s="13"/>
      <c r="VA33" s="13"/>
      <c r="VB33" s="13"/>
      <c r="VC33" s="13"/>
      <c r="VD33" s="13"/>
      <c r="VE33" s="13"/>
      <c r="VF33" s="13"/>
      <c r="VG33" s="13"/>
      <c r="VH33" s="13"/>
      <c r="VI33" s="13"/>
      <c r="VJ33" s="13"/>
      <c r="VK33" s="13"/>
      <c r="VL33" s="13"/>
      <c r="VM33" s="13"/>
      <c r="VN33" s="13"/>
      <c r="VO33" s="13"/>
      <c r="VP33" s="13"/>
      <c r="VQ33" s="13"/>
      <c r="VR33" s="13"/>
      <c r="VS33" s="13"/>
      <c r="VT33" s="13"/>
      <c r="VU33" s="13"/>
      <c r="VV33" s="13"/>
      <c r="VW33" s="13"/>
      <c r="VX33" s="13"/>
      <c r="VY33" s="13"/>
      <c r="VZ33" s="13"/>
      <c r="WA33" s="13"/>
      <c r="WB33" s="13"/>
      <c r="WC33" s="13"/>
      <c r="WD33" s="13"/>
      <c r="WE33" s="13"/>
      <c r="WF33" s="13"/>
      <c r="WG33" s="13"/>
      <c r="WH33" s="13"/>
      <c r="WI33" s="13"/>
      <c r="WJ33" s="13"/>
      <c r="WK33" s="13"/>
      <c r="WL33" s="13"/>
      <c r="WM33" s="13"/>
      <c r="WN33" s="13"/>
      <c r="WO33" s="13"/>
      <c r="WP33" s="13"/>
      <c r="WQ33" s="13"/>
      <c r="WR33" s="13"/>
      <c r="WS33" s="13"/>
      <c r="WT33" s="13"/>
      <c r="WU33" s="13"/>
      <c r="WV33" s="13"/>
      <c r="WW33" s="13"/>
      <c r="WX33" s="13"/>
      <c r="WY33" s="13"/>
      <c r="WZ33" s="13"/>
      <c r="XA33" s="13"/>
      <c r="XB33" s="13"/>
      <c r="XC33" s="13"/>
      <c r="XD33" s="13"/>
      <c r="XE33" s="13"/>
      <c r="XF33" s="13"/>
      <c r="XG33" s="13"/>
      <c r="XH33" s="13"/>
      <c r="XI33" s="13"/>
      <c r="XJ33" s="13"/>
      <c r="XK33" s="13"/>
      <c r="XL33" s="13"/>
      <c r="XM33" s="13"/>
      <c r="XN33" s="13"/>
      <c r="XO33" s="13"/>
      <c r="XP33" s="13"/>
      <c r="XQ33" s="13"/>
      <c r="XR33" s="13"/>
      <c r="XS33" s="13"/>
      <c r="XT33" s="13"/>
      <c r="XU33" s="13"/>
      <c r="XV33" s="13"/>
      <c r="XW33" s="13"/>
      <c r="XX33" s="13"/>
      <c r="XY33" s="13"/>
      <c r="XZ33" s="13"/>
      <c r="YA33" s="13"/>
      <c r="YB33" s="13"/>
      <c r="YC33" s="13"/>
      <c r="YD33" s="13"/>
      <c r="YE33" s="13"/>
      <c r="YF33" s="13"/>
      <c r="YG33" s="13"/>
      <c r="YH33" s="13"/>
      <c r="YI33" s="13"/>
      <c r="YJ33" s="13"/>
      <c r="YK33" s="13"/>
      <c r="YL33" s="13"/>
      <c r="YM33" s="13"/>
      <c r="YN33" s="13"/>
      <c r="YO33" s="13"/>
      <c r="YP33" s="13"/>
      <c r="YQ33" s="13"/>
      <c r="YR33" s="13"/>
      <c r="YS33" s="13"/>
      <c r="YT33" s="13"/>
      <c r="YU33" s="13"/>
      <c r="YV33" s="13"/>
      <c r="YW33" s="13"/>
      <c r="YX33" s="13"/>
      <c r="YY33" s="13"/>
      <c r="YZ33" s="13"/>
      <c r="ZA33" s="13"/>
      <c r="ZB33" s="13"/>
      <c r="ZC33" s="13"/>
      <c r="ZD33" s="13"/>
      <c r="ZE33" s="13"/>
      <c r="ZF33" s="13"/>
      <c r="ZG33" s="13"/>
      <c r="ZH33" s="13"/>
      <c r="ZI33" s="13"/>
      <c r="ZJ33" s="13"/>
      <c r="ZK33" s="13"/>
      <c r="ZL33" s="13"/>
      <c r="ZM33" s="13"/>
      <c r="ZN33" s="13"/>
      <c r="ZO33" s="13"/>
      <c r="ZP33" s="13"/>
      <c r="ZQ33" s="13"/>
      <c r="ZR33" s="13"/>
      <c r="ZS33" s="13"/>
      <c r="ZT33" s="13"/>
      <c r="ZU33" s="13"/>
      <c r="ZV33" s="13"/>
      <c r="ZW33" s="13"/>
      <c r="ZX33" s="13"/>
      <c r="ZY33" s="13"/>
      <c r="ZZ33" s="13"/>
      <c r="AAA33" s="13"/>
      <c r="AAB33" s="13"/>
      <c r="AAC33" s="13"/>
      <c r="AAD33" s="13"/>
      <c r="AAE33" s="13"/>
      <c r="AAF33" s="13"/>
      <c r="AAG33" s="13"/>
      <c r="AAH33" s="13"/>
      <c r="AAI33" s="13"/>
      <c r="AAJ33" s="13"/>
      <c r="AAK33" s="13"/>
      <c r="AAL33" s="13"/>
      <c r="AAM33" s="13"/>
      <c r="AAN33" s="13"/>
      <c r="AAO33" s="13"/>
      <c r="AAP33" s="13"/>
      <c r="AAQ33" s="13"/>
      <c r="AAR33" s="13"/>
      <c r="AAS33" s="13"/>
      <c r="AAT33" s="13"/>
      <c r="AAU33" s="13"/>
      <c r="AAV33" s="13"/>
      <c r="AAW33" s="13"/>
      <c r="AAX33" s="13"/>
      <c r="AAY33" s="13"/>
      <c r="AAZ33" s="13"/>
      <c r="ABA33" s="13"/>
      <c r="ABB33" s="13"/>
      <c r="ABC33" s="13"/>
      <c r="ABD33" s="13"/>
      <c r="ABE33" s="13"/>
      <c r="ABF33" s="13"/>
      <c r="ABG33" s="13"/>
      <c r="ABH33" s="13"/>
      <c r="ABI33" s="13"/>
      <c r="ABJ33" s="13"/>
      <c r="ABK33" s="13"/>
      <c r="ABL33" s="13"/>
      <c r="ABM33" s="13"/>
      <c r="ABN33" s="13"/>
      <c r="ABO33" s="13"/>
      <c r="ABP33" s="13"/>
      <c r="ABQ33" s="13"/>
      <c r="ABR33" s="13"/>
      <c r="ABS33" s="13"/>
      <c r="ABT33" s="13"/>
      <c r="ABU33" s="13"/>
      <c r="ABV33" s="13"/>
      <c r="ABW33" s="13"/>
      <c r="ABX33" s="13"/>
      <c r="ABY33" s="13"/>
      <c r="ABZ33" s="13"/>
      <c r="ACA33" s="13"/>
      <c r="ACB33" s="13"/>
      <c r="ACC33" s="13"/>
      <c r="ACD33" s="13"/>
      <c r="ACE33" s="13"/>
      <c r="ACF33" s="13"/>
      <c r="ACG33" s="13"/>
      <c r="ACH33" s="13"/>
      <c r="ACI33" s="13"/>
      <c r="ACJ33" s="13"/>
      <c r="ACK33" s="13"/>
      <c r="ACL33" s="13"/>
      <c r="ACM33" s="13"/>
      <c r="ACN33" s="13"/>
      <c r="ACO33" s="13"/>
      <c r="ACP33" s="13"/>
      <c r="ACQ33" s="13"/>
      <c r="ACR33" s="13"/>
      <c r="ACS33" s="13"/>
      <c r="ACT33" s="13"/>
      <c r="ACU33" s="13"/>
      <c r="ACV33" s="13"/>
      <c r="ACW33" s="13"/>
      <c r="ACX33" s="13"/>
      <c r="ACY33" s="13"/>
      <c r="ACZ33" s="13"/>
      <c r="ADA33" s="13"/>
      <c r="ADB33" s="13"/>
      <c r="ADC33" s="13"/>
      <c r="ADD33" s="13"/>
      <c r="ADE33" s="13"/>
      <c r="ADF33" s="13"/>
      <c r="ADG33" s="13"/>
      <c r="ADH33" s="13"/>
      <c r="ADI33" s="13"/>
      <c r="ADJ33" s="13"/>
      <c r="ADK33" s="13"/>
      <c r="ADL33" s="13"/>
      <c r="ADM33" s="13"/>
      <c r="ADN33" s="13"/>
      <c r="ADO33" s="13"/>
      <c r="ADP33" s="13"/>
      <c r="ADQ33" s="13"/>
      <c r="ADR33" s="13"/>
      <c r="ADS33" s="13"/>
      <c r="ADT33" s="13"/>
      <c r="ADU33" s="13"/>
      <c r="ADV33" s="13"/>
      <c r="ADW33" s="13"/>
      <c r="ADX33" s="13"/>
      <c r="ADY33" s="13"/>
      <c r="ADZ33" s="13"/>
      <c r="AEA33" s="13"/>
      <c r="AEB33" s="13"/>
      <c r="AEC33" s="13"/>
      <c r="AED33" s="13"/>
      <c r="AEE33" s="13"/>
      <c r="AEF33" s="13"/>
      <c r="AEG33" s="13"/>
      <c r="AEH33" s="13"/>
      <c r="AEI33" s="13"/>
      <c r="AEJ33" s="13"/>
      <c r="AEK33" s="13"/>
      <c r="AEL33" s="13"/>
      <c r="AEM33" s="13"/>
      <c r="AEN33" s="13"/>
      <c r="AEO33" s="13"/>
      <c r="AEP33" s="13"/>
      <c r="AEQ33" s="13"/>
      <c r="AER33" s="13"/>
      <c r="AES33" s="13"/>
      <c r="AET33" s="13"/>
      <c r="AEU33" s="13"/>
      <c r="AEV33" s="13"/>
      <c r="AEW33" s="13"/>
      <c r="AEX33" s="13"/>
      <c r="AEY33" s="13"/>
      <c r="AEZ33" s="13"/>
      <c r="AFA33" s="13"/>
      <c r="AFB33" s="13"/>
      <c r="AFC33" s="13"/>
      <c r="AFD33" s="13"/>
      <c r="AFE33" s="13"/>
      <c r="AFF33" s="13"/>
      <c r="AFG33" s="13"/>
      <c r="AFH33" s="13"/>
      <c r="AFI33" s="13"/>
      <c r="AFJ33" s="13"/>
      <c r="AFK33" s="13"/>
      <c r="AFL33" s="13"/>
      <c r="AFM33" s="13"/>
      <c r="AFN33" s="13"/>
      <c r="AFO33" s="13"/>
      <c r="AFP33" s="13"/>
      <c r="AFQ33" s="13"/>
      <c r="AFR33" s="13"/>
      <c r="AFS33" s="13"/>
      <c r="AFT33" s="13"/>
      <c r="AFU33" s="13"/>
      <c r="AFV33" s="13"/>
      <c r="AFW33" s="13"/>
      <c r="AFX33" s="13"/>
      <c r="AFY33" s="13"/>
      <c r="AFZ33" s="13"/>
      <c r="AGA33" s="13"/>
      <c r="AGB33" s="13"/>
      <c r="AGC33" s="13"/>
      <c r="AGD33" s="13"/>
      <c r="AGE33" s="13"/>
      <c r="AGF33" s="13"/>
      <c r="AGG33" s="13"/>
      <c r="AGH33" s="13"/>
      <c r="AGI33" s="13"/>
      <c r="AGJ33" s="13"/>
      <c r="AGK33" s="13"/>
      <c r="AGL33" s="13"/>
      <c r="AGM33" s="13"/>
      <c r="AGN33" s="13"/>
      <c r="AGO33" s="13"/>
      <c r="AGP33" s="13"/>
      <c r="AGQ33" s="13"/>
      <c r="AGR33" s="13"/>
      <c r="AGS33" s="13"/>
      <c r="AGT33" s="13"/>
      <c r="AGU33" s="13"/>
      <c r="AGV33" s="13"/>
      <c r="AGW33" s="13"/>
      <c r="AGX33" s="13"/>
      <c r="AGY33" s="13"/>
      <c r="AGZ33" s="13"/>
      <c r="AHA33" s="13"/>
      <c r="AHB33" s="13"/>
      <c r="AHC33" s="13"/>
      <c r="AHD33" s="13"/>
      <c r="AHE33" s="13"/>
      <c r="AHF33" s="13"/>
      <c r="AHG33" s="13"/>
      <c r="AHH33" s="13"/>
      <c r="AHI33" s="13"/>
      <c r="AHJ33" s="13"/>
      <c r="AHK33" s="13"/>
      <c r="AHL33" s="13"/>
      <c r="AHM33" s="13"/>
      <c r="AHN33" s="13"/>
      <c r="AHO33" s="13"/>
      <c r="AHP33" s="13"/>
      <c r="AHQ33" s="13"/>
      <c r="AHR33" s="13"/>
      <c r="AHS33" s="13"/>
      <c r="AHT33" s="13"/>
      <c r="AHU33" s="13"/>
      <c r="AHV33" s="13"/>
      <c r="AHW33" s="13"/>
      <c r="AHX33" s="13"/>
      <c r="AHY33" s="13"/>
      <c r="AHZ33" s="13"/>
      <c r="AIA33" s="13"/>
      <c r="AIB33" s="13"/>
      <c r="AIC33" s="13"/>
      <c r="AID33" s="13"/>
      <c r="AIE33" s="13"/>
      <c r="AIF33" s="13"/>
      <c r="AIG33" s="13"/>
      <c r="AIH33" s="13"/>
      <c r="AII33" s="13"/>
      <c r="AIJ33" s="13"/>
      <c r="AIK33" s="13"/>
      <c r="AIL33" s="13"/>
      <c r="AIM33" s="13"/>
      <c r="AIN33" s="13"/>
      <c r="AIO33" s="13"/>
      <c r="AIP33" s="13"/>
      <c r="AIQ33" s="13"/>
      <c r="AIR33" s="13"/>
      <c r="AIS33" s="13"/>
      <c r="AIT33" s="13"/>
      <c r="AIU33" s="13"/>
      <c r="AIV33" s="13"/>
      <c r="AIW33" s="13"/>
      <c r="AIX33" s="13"/>
      <c r="AIY33" s="13"/>
      <c r="AIZ33" s="13"/>
      <c r="AJA33" s="13"/>
      <c r="AJB33" s="13"/>
      <c r="AJC33" s="13"/>
      <c r="AJD33" s="13"/>
      <c r="AJE33" s="13"/>
      <c r="AJF33" s="13"/>
      <c r="AJG33" s="13"/>
      <c r="AJH33" s="13"/>
      <c r="AJI33" s="13"/>
      <c r="AJJ33" s="13"/>
      <c r="AJK33" s="13"/>
      <c r="AJL33" s="13"/>
      <c r="AJM33" s="13"/>
      <c r="AJN33" s="13"/>
      <c r="AJO33" s="13"/>
      <c r="AJP33" s="13"/>
      <c r="AJQ33" s="13"/>
      <c r="AJR33" s="13"/>
      <c r="AJS33" s="13"/>
      <c r="AJT33" s="13"/>
      <c r="AJU33" s="13"/>
      <c r="AJV33" s="13"/>
      <c r="AJW33" s="13"/>
      <c r="AJX33" s="13"/>
      <c r="AJY33" s="13"/>
      <c r="AJZ33" s="13"/>
      <c r="AKA33" s="13"/>
      <c r="AKB33" s="13"/>
      <c r="AKC33" s="13"/>
      <c r="AKD33" s="13"/>
      <c r="AKE33" s="13"/>
      <c r="AKF33" s="13"/>
      <c r="AKG33" s="13"/>
      <c r="AKH33" s="13"/>
      <c r="AKI33" s="13"/>
      <c r="AKJ33" s="13"/>
      <c r="AKK33" s="13"/>
      <c r="AKL33" s="13"/>
      <c r="AKM33" s="13"/>
      <c r="AKN33" s="13"/>
      <c r="AKO33" s="13"/>
      <c r="AKP33" s="13"/>
      <c r="AKQ33" s="13"/>
      <c r="AKR33" s="13"/>
      <c r="AKS33" s="13"/>
      <c r="AKT33" s="13"/>
      <c r="AKU33" s="13"/>
      <c r="AKV33" s="13"/>
      <c r="AKW33" s="13"/>
      <c r="AKX33" s="13"/>
      <c r="AKY33" s="13"/>
      <c r="AKZ33" s="13"/>
      <c r="ALA33" s="13"/>
      <c r="ALB33" s="13"/>
      <c r="ALC33" s="13"/>
      <c r="ALD33" s="13"/>
      <c r="ALE33" s="13"/>
      <c r="ALF33" s="13"/>
      <c r="ALG33" s="13"/>
      <c r="ALH33" s="13"/>
      <c r="ALI33" s="13"/>
      <c r="ALJ33" s="13"/>
      <c r="ALK33" s="13"/>
      <c r="ALL33" s="13"/>
      <c r="ALM33" s="13"/>
      <c r="ALN33" s="13"/>
      <c r="ALO33" s="13"/>
      <c r="ALP33" s="13"/>
      <c r="ALQ33" s="13"/>
      <c r="ALR33" s="13"/>
      <c r="ALS33" s="13"/>
      <c r="ALT33" s="13"/>
      <c r="ALU33" s="13"/>
      <c r="ALV33" s="13"/>
      <c r="ALW33" s="13"/>
      <c r="ALX33" s="13"/>
      <c r="ALY33" s="13"/>
    </row>
    <row r="34" spans="1:1013" s="1" customFormat="1" ht="22.15" customHeight="1" thickBot="1" x14ac:dyDescent="0.3">
      <c r="A34" s="301"/>
      <c r="B34" s="25" t="s">
        <v>11</v>
      </c>
      <c r="C34" s="123">
        <f>C27*C33</f>
        <v>2.5</v>
      </c>
      <c r="D34" s="110">
        <f>D27*D33</f>
        <v>2.7458928571428571</v>
      </c>
      <c r="E34" s="110">
        <f t="shared" ref="E34:BP34" si="187">E27*E33</f>
        <v>3.0145000191326532</v>
      </c>
      <c r="F34" s="110">
        <f t="shared" si="187"/>
        <v>3.3030458455254204</v>
      </c>
      <c r="G34" s="110">
        <f>G27*G33</f>
        <v>3.6180521124776339</v>
      </c>
      <c r="H34" s="110">
        <f t="shared" si="187"/>
        <v>3.9605610457921832</v>
      </c>
      <c r="I34" s="110">
        <f t="shared" si="187"/>
        <v>4.326161801639965</v>
      </c>
      <c r="J34" s="110">
        <f t="shared" si="187"/>
        <v>4.7232736194318816</v>
      </c>
      <c r="K34" s="110">
        <f t="shared" si="187"/>
        <v>5.1461266915986474</v>
      </c>
      <c r="L34" s="110">
        <f t="shared" si="187"/>
        <v>5.603346964774242</v>
      </c>
      <c r="M34" s="110">
        <f t="shared" si="187"/>
        <v>6.0954917778498379</v>
      </c>
      <c r="N34" s="110">
        <f t="shared" si="187"/>
        <v>6.615640409559691</v>
      </c>
      <c r="O34" s="110">
        <f t="shared" si="187"/>
        <v>7.1735594174325588</v>
      </c>
      <c r="P34" s="110">
        <f t="shared" si="187"/>
        <v>7.7613208923231802</v>
      </c>
      <c r="Q34" s="110">
        <f t="shared" si="187"/>
        <v>8.3896061802951785</v>
      </c>
      <c r="R34" s="110">
        <f t="shared" si="187"/>
        <v>9.0480549492196349</v>
      </c>
      <c r="S34" s="110">
        <f t="shared" si="187"/>
        <v>9.7479657804528195</v>
      </c>
      <c r="T34" s="110">
        <f t="shared" si="187"/>
        <v>10.477361188215589</v>
      </c>
      <c r="U34" s="110">
        <f t="shared" si="187"/>
        <v>11.249692384375482</v>
      </c>
      <c r="V34" s="110">
        <f t="shared" si="187"/>
        <v>12.053342284084305</v>
      </c>
      <c r="W34" s="110">
        <f t="shared" si="187"/>
        <v>12.90121958038036</v>
      </c>
      <c r="X34" s="110">
        <f t="shared" si="187"/>
        <v>13.78048731485859</v>
      </c>
      <c r="Y34" s="110">
        <f t="shared" si="187"/>
        <v>14.702719927468356</v>
      </c>
      <c r="Z34" s="110">
        <f t="shared" si="187"/>
        <v>15.655723500948806</v>
      </c>
      <c r="AA34" s="110">
        <f t="shared" si="187"/>
        <v>16.653894478100209</v>
      </c>
      <c r="AB34" s="110">
        <f t="shared" si="187"/>
        <v>17.700566512875355</v>
      </c>
      <c r="AC34" s="110">
        <f t="shared" si="187"/>
        <v>18.780036882600857</v>
      </c>
      <c r="AD34" s="110">
        <f t="shared" si="187"/>
        <v>19.908520889904604</v>
      </c>
      <c r="AE34" s="110">
        <f t="shared" si="187"/>
        <v>21.06907054883963</v>
      </c>
      <c r="AF34" s="110">
        <f t="shared" si="187"/>
        <v>22.278683069761243</v>
      </c>
      <c r="AG34" s="110">
        <f t="shared" si="187"/>
        <v>23.538083918587155</v>
      </c>
      <c r="AH34" s="110">
        <f t="shared" si="187"/>
        <v>24.828243822646527</v>
      </c>
      <c r="AI34" s="110">
        <f t="shared" si="187"/>
        <v>26.167529670586966</v>
      </c>
      <c r="AJ34" s="110">
        <f t="shared" si="187"/>
        <v>27.556304940930293</v>
      </c>
      <c r="AK34" s="110">
        <f t="shared" si="187"/>
        <v>28.973486337892421</v>
      </c>
      <c r="AL34" s="110">
        <f t="shared" si="187"/>
        <v>30.438716932694408</v>
      </c>
      <c r="AM34" s="110">
        <f t="shared" si="187"/>
        <v>31.925498204843478</v>
      </c>
      <c r="AN34" s="110">
        <f t="shared" si="187"/>
        <v>33.457922118675967</v>
      </c>
      <c r="AO34" s="110">
        <f t="shared" si="187"/>
        <v>35.030915696593432</v>
      </c>
      <c r="AP34" s="110">
        <f t="shared" si="187"/>
        <v>36.624822360788428</v>
      </c>
      <c r="AQ34" s="110">
        <f t="shared" si="187"/>
        <v>38.260731092903647</v>
      </c>
      <c r="AR34" s="110">
        <f t="shared" si="187"/>
        <v>39.932512482046356</v>
      </c>
      <c r="AS34" s="110">
        <f t="shared" si="187"/>
        <v>41.619524379233077</v>
      </c>
      <c r="AT34" s="110">
        <f t="shared" si="187"/>
        <v>43.337897618671555</v>
      </c>
      <c r="AU34" s="110">
        <f t="shared" si="187"/>
        <v>45.091598297651771</v>
      </c>
      <c r="AV34" s="110">
        <f t="shared" si="187"/>
        <v>46.85382670679784</v>
      </c>
      <c r="AW34" s="110">
        <f t="shared" si="187"/>
        <v>48.646935318063406</v>
      </c>
      <c r="AX34" s="110">
        <f t="shared" si="187"/>
        <v>50.469223219437346</v>
      </c>
      <c r="AY34" s="110">
        <f t="shared" si="187"/>
        <v>52.292844485099678</v>
      </c>
      <c r="AZ34" s="110">
        <f t="shared" si="187"/>
        <v>54.140524990239868</v>
      </c>
      <c r="BA34" s="110">
        <f t="shared" si="187"/>
        <v>55.984152341223293</v>
      </c>
      <c r="BB34" s="148">
        <f>BB27*BB33</f>
        <v>55.872184036540851</v>
      </c>
      <c r="BC34" s="148">
        <f t="shared" si="187"/>
        <v>57.686559697095888</v>
      </c>
      <c r="BD34" s="148">
        <f t="shared" si="187"/>
        <v>59.489077393605136</v>
      </c>
      <c r="BE34" s="148">
        <f t="shared" si="187"/>
        <v>61.30156279055835</v>
      </c>
      <c r="BF34" s="148">
        <f t="shared" si="187"/>
        <v>63.137425177506771</v>
      </c>
      <c r="BG34" s="148">
        <f t="shared" si="187"/>
        <v>64.970029415992343</v>
      </c>
      <c r="BH34" s="148">
        <f t="shared" si="187"/>
        <v>66.814178712492435</v>
      </c>
      <c r="BI34" s="148">
        <f t="shared" si="187"/>
        <v>68.676409796094475</v>
      </c>
      <c r="BJ34" s="148">
        <f t="shared" si="187"/>
        <v>70.555325930772227</v>
      </c>
      <c r="BK34" s="148">
        <f t="shared" si="187"/>
        <v>72.423702409850407</v>
      </c>
      <c r="BL34" s="148">
        <f t="shared" si="187"/>
        <v>74.304885161053093</v>
      </c>
      <c r="BM34" s="148">
        <f t="shared" si="187"/>
        <v>76.187902630577511</v>
      </c>
      <c r="BN34" s="148">
        <f t="shared" si="187"/>
        <v>78.080062946541972</v>
      </c>
      <c r="BO34" s="148">
        <f t="shared" si="187"/>
        <v>79.953984457258983</v>
      </c>
      <c r="BP34" s="148">
        <f t="shared" si="187"/>
        <v>81.842897340061725</v>
      </c>
      <c r="BQ34" s="148">
        <f t="shared" ref="BQ34:CB34" si="188">BQ27*BQ33</f>
        <v>83.745744703218151</v>
      </c>
      <c r="BR34" s="148">
        <f t="shared" si="188"/>
        <v>85.661428613304267</v>
      </c>
      <c r="BS34" s="148">
        <f t="shared" si="188"/>
        <v>87.588810757103602</v>
      </c>
      <c r="BT34" s="148">
        <f t="shared" si="188"/>
        <v>89.50062578696236</v>
      </c>
      <c r="BU34" s="148">
        <f t="shared" si="188"/>
        <v>91.421021930391248</v>
      </c>
      <c r="BV34" s="148">
        <f t="shared" si="188"/>
        <v>93.348763973071598</v>
      </c>
      <c r="BW34" s="148">
        <f t="shared" si="188"/>
        <v>95.282581577353255</v>
      </c>
      <c r="BX34" s="148">
        <f t="shared" si="188"/>
        <v>97.195205105113303</v>
      </c>
      <c r="BY34" s="148">
        <f t="shared" si="188"/>
        <v>99.110661830111624</v>
      </c>
      <c r="BZ34" s="148">
        <f t="shared" si="188"/>
        <v>101.03969373597575</v>
      </c>
      <c r="CA34" s="148">
        <f t="shared" si="188"/>
        <v>102.98162736192573</v>
      </c>
      <c r="CB34" s="148">
        <f t="shared" si="188"/>
        <v>104.9357665347935</v>
      </c>
      <c r="CC34" s="148">
        <f>CC27*CC33</f>
        <v>106.87518178617148</v>
      </c>
      <c r="CD34" s="148">
        <f t="shared" ref="CD34:EO34" si="189">CD27*CD33</f>
        <v>108.82468811417466</v>
      </c>
      <c r="CE34" s="148">
        <f t="shared" si="189"/>
        <v>110.78353250022981</v>
      </c>
      <c r="CF34" s="148">
        <f t="shared" si="189"/>
        <v>112.75094125812545</v>
      </c>
      <c r="CG34" s="148">
        <f t="shared" si="189"/>
        <v>114.72612039775575</v>
      </c>
      <c r="CH34" s="148">
        <f t="shared" si="189"/>
        <v>116.7082560200495</v>
      </c>
      <c r="CI34" s="148">
        <f t="shared" si="189"/>
        <v>118.69651474308986</v>
      </c>
      <c r="CJ34" s="148">
        <f t="shared" si="189"/>
        <v>120.67761609630193</v>
      </c>
      <c r="CK34" s="148">
        <f t="shared" si="189"/>
        <v>122.67741659161207</v>
      </c>
      <c r="CL34" s="148">
        <f t="shared" si="189"/>
        <v>124.69575218363121</v>
      </c>
      <c r="CM34" s="148">
        <f t="shared" si="189"/>
        <v>126.73244946929719</v>
      </c>
      <c r="CN34" s="148">
        <f t="shared" si="189"/>
        <v>128.78732561426366</v>
      </c>
      <c r="CO34" s="148">
        <f t="shared" si="189"/>
        <v>130.86018828367418</v>
      </c>
      <c r="CP34" s="148">
        <f t="shared" si="189"/>
        <v>132.92316066367565</v>
      </c>
      <c r="CQ34" s="148">
        <f t="shared" si="189"/>
        <v>135.00301717758964</v>
      </c>
      <c r="CR34" s="148">
        <f t="shared" si="189"/>
        <v>137.09953462081808</v>
      </c>
      <c r="CS34" s="148">
        <f t="shared" si="189"/>
        <v>139.21248038968011</v>
      </c>
      <c r="CT34" s="148">
        <f t="shared" si="189"/>
        <v>141.34161244269873</v>
      </c>
      <c r="CU34" s="148">
        <f t="shared" si="189"/>
        <v>143.4866792668291</v>
      </c>
      <c r="CV34" s="148">
        <f t="shared" si="189"/>
        <v>145.64741984872958</v>
      </c>
      <c r="CW34" s="148">
        <f t="shared" si="189"/>
        <v>147.82356365117531</v>
      </c>
      <c r="CX34" s="148">
        <f t="shared" si="189"/>
        <v>149.98591298923552</v>
      </c>
      <c r="CY34" s="148">
        <f t="shared" si="189"/>
        <v>152.1624527498235</v>
      </c>
      <c r="CZ34" s="148">
        <f t="shared" si="189"/>
        <v>154.35288433708257</v>
      </c>
      <c r="DA34" s="158">
        <f t="shared" si="189"/>
        <v>154.0441785684084</v>
      </c>
      <c r="DB34" s="158">
        <f t="shared" si="189"/>
        <v>156.22587402766794</v>
      </c>
      <c r="DC34" s="158">
        <f t="shared" si="189"/>
        <v>158.4203025837775</v>
      </c>
      <c r="DD34" s="158">
        <f t="shared" si="189"/>
        <v>160.62713424070034</v>
      </c>
      <c r="DE34" s="158">
        <f t="shared" si="189"/>
        <v>162.8460300020719</v>
      </c>
      <c r="DF34" s="158">
        <f t="shared" si="189"/>
        <v>165.0472590972723</v>
      </c>
      <c r="DG34" s="158">
        <f t="shared" si="189"/>
        <v>167.25927178816221</v>
      </c>
      <c r="DH34" s="158">
        <f t="shared" si="189"/>
        <v>169.50093053419664</v>
      </c>
      <c r="DI34" s="158">
        <f t="shared" si="189"/>
        <v>171.75314979508781</v>
      </c>
      <c r="DJ34" s="158">
        <f t="shared" si="189"/>
        <v>174.01555335445758</v>
      </c>
      <c r="DK34" s="158">
        <f t="shared" si="189"/>
        <v>176.28775644193649</v>
      </c>
      <c r="DL34" s="158">
        <f t="shared" si="189"/>
        <v>178.56936579542639</v>
      </c>
      <c r="DM34" s="158">
        <f t="shared" si="189"/>
        <v>180.82989163060938</v>
      </c>
      <c r="DN34" s="158">
        <f t="shared" si="189"/>
        <v>183.09848481652065</v>
      </c>
      <c r="DO34" s="158">
        <f t="shared" si="189"/>
        <v>185.37473188912605</v>
      </c>
      <c r="DP34" s="158">
        <f t="shared" si="189"/>
        <v>187.67927685147495</v>
      </c>
      <c r="DQ34" s="158">
        <f t="shared" si="189"/>
        <v>189.99114430723631</v>
      </c>
      <c r="DR34" s="158">
        <f t="shared" si="189"/>
        <v>192.30989986389508</v>
      </c>
      <c r="DS34" s="158">
        <f t="shared" si="189"/>
        <v>194.63510138043125</v>
      </c>
      <c r="DT34" s="158">
        <f t="shared" si="189"/>
        <v>196.93573201697299</v>
      </c>
      <c r="DU34" s="158">
        <f t="shared" si="189"/>
        <v>199.2635566246343</v>
      </c>
      <c r="DV34" s="158">
        <f t="shared" si="189"/>
        <v>201.59650747859911</v>
      </c>
      <c r="DW34" s="158">
        <f t="shared" si="189"/>
        <v>203.93412091363186</v>
      </c>
      <c r="DX34" s="158">
        <f t="shared" si="189"/>
        <v>206.27592621221311</v>
      </c>
      <c r="DY34" s="158">
        <f t="shared" si="189"/>
        <v>208.62144573273852</v>
      </c>
      <c r="DZ34" s="158">
        <f t="shared" si="189"/>
        <v>210.97019504312283</v>
      </c>
      <c r="EA34" s="158">
        <f t="shared" si="189"/>
        <v>213.29086718859719</v>
      </c>
      <c r="EB34" s="158">
        <f t="shared" si="189"/>
        <v>188.9757083290971</v>
      </c>
      <c r="EC34" s="158">
        <f t="shared" si="189"/>
        <v>191.03344381979173</v>
      </c>
      <c r="ED34" s="158">
        <f t="shared" si="189"/>
        <v>165.80186785114904</v>
      </c>
      <c r="EE34" s="158">
        <f t="shared" si="189"/>
        <v>167.57042110822798</v>
      </c>
      <c r="EF34" s="158">
        <f t="shared" si="189"/>
        <v>169.33921999770371</v>
      </c>
      <c r="EG34" s="158">
        <f t="shared" si="189"/>
        <v>171.10787407323525</v>
      </c>
      <c r="EH34" s="158">
        <f t="shared" si="189"/>
        <v>172.85279832752056</v>
      </c>
      <c r="EI34" s="158">
        <f t="shared" si="189"/>
        <v>145.78772243994473</v>
      </c>
      <c r="EJ34" s="158">
        <f t="shared" si="189"/>
        <v>147.25841616741585</v>
      </c>
      <c r="EK34" s="158">
        <f t="shared" si="189"/>
        <v>119.27608064689986</v>
      </c>
      <c r="EL34" s="158">
        <f t="shared" si="189"/>
        <v>120.4531127394374</v>
      </c>
      <c r="EM34" s="158">
        <f t="shared" si="189"/>
        <v>121.62852333408158</v>
      </c>
      <c r="EN34" s="158">
        <f t="shared" si="189"/>
        <v>122.80203809767855</v>
      </c>
      <c r="EO34" s="158">
        <f t="shared" si="189"/>
        <v>123.98687534437923</v>
      </c>
      <c r="EP34" s="158">
        <f t="shared" ref="EP34:EY34" si="190">EP27*EP33</f>
        <v>94.1728005500308</v>
      </c>
      <c r="EQ34" s="158">
        <f t="shared" si="190"/>
        <v>95.060715526645382</v>
      </c>
      <c r="ER34" s="158">
        <f t="shared" si="190"/>
        <v>64.259650865015544</v>
      </c>
      <c r="ES34" s="158">
        <f t="shared" si="190"/>
        <v>64.850560263187319</v>
      </c>
      <c r="ET34" s="158">
        <f t="shared" si="190"/>
        <v>65.439854484709329</v>
      </c>
      <c r="EU34" s="158">
        <f t="shared" si="190"/>
        <v>66.034503597200825</v>
      </c>
      <c r="EV34" s="158">
        <f t="shared" si="190"/>
        <v>66.627378596888732</v>
      </c>
      <c r="EW34" s="158">
        <f t="shared" si="190"/>
        <v>33.90464517817329</v>
      </c>
      <c r="EX34" s="158">
        <f t="shared" si="190"/>
        <v>34.205364639753611</v>
      </c>
      <c r="EY34" s="160">
        <f t="shared" si="190"/>
        <v>-6.9146888214147453E-2</v>
      </c>
      <c r="EZ34" s="23"/>
      <c r="FA34" s="23"/>
      <c r="FB34" s="23"/>
      <c r="FC34" s="23"/>
      <c r="FD34" s="23"/>
      <c r="FE34" s="23"/>
      <c r="FF34" s="23"/>
      <c r="FG34" s="23"/>
      <c r="FH34" s="23"/>
      <c r="FI34" s="23"/>
      <c r="FJ34" s="23"/>
      <c r="FK34" s="23"/>
      <c r="FL34" s="23"/>
      <c r="FM34" s="23"/>
      <c r="FN34" s="23"/>
      <c r="FO34" s="23"/>
      <c r="FP34" s="23"/>
      <c r="FQ34" s="23"/>
      <c r="FR34" s="23"/>
      <c r="FS34" s="23"/>
      <c r="FT34" s="23"/>
      <c r="FU34" s="23"/>
      <c r="FV34" s="23"/>
      <c r="FW34" s="23"/>
      <c r="FX34" s="23"/>
      <c r="FY34" s="23"/>
      <c r="FZ34" s="23"/>
      <c r="GA34" s="23"/>
      <c r="GB34" s="23"/>
      <c r="GC34" s="23"/>
      <c r="GD34" s="23"/>
      <c r="GE34" s="23"/>
      <c r="GF34" s="23"/>
      <c r="GG34" s="23"/>
      <c r="GH34" s="23"/>
      <c r="GI34" s="23"/>
      <c r="GJ34" s="23"/>
      <c r="GK34" s="23"/>
      <c r="GL34" s="23"/>
      <c r="GM34" s="23"/>
      <c r="GN34" s="23"/>
      <c r="GO34" s="23"/>
      <c r="GP34" s="23"/>
      <c r="GQ34" s="23"/>
      <c r="GR34" s="23"/>
      <c r="GS34" s="23"/>
      <c r="GT34" s="23"/>
      <c r="GU34" s="23"/>
      <c r="GV34" s="23"/>
      <c r="GW34" s="23"/>
      <c r="GX34" s="23"/>
      <c r="GY34" s="23"/>
      <c r="GZ34" s="23"/>
      <c r="HA34" s="23"/>
      <c r="HB34" s="23"/>
      <c r="HC34" s="23"/>
      <c r="HD34" s="23"/>
      <c r="HE34" s="23"/>
      <c r="HF34" s="23"/>
      <c r="HG34" s="23"/>
      <c r="HH34" s="23"/>
      <c r="HI34" s="23"/>
      <c r="HJ34" s="23"/>
      <c r="HK34" s="23"/>
      <c r="HL34" s="23"/>
      <c r="HM34" s="23"/>
      <c r="HN34" s="23"/>
      <c r="HO34" s="23"/>
      <c r="HP34" s="23"/>
      <c r="HQ34" s="33"/>
      <c r="HR34" s="33"/>
      <c r="HS34" s="33"/>
      <c r="HT34" s="33"/>
      <c r="HU34" s="33"/>
      <c r="HV34" s="33"/>
      <c r="HW34" s="33"/>
      <c r="HX34" s="33"/>
      <c r="HY34" s="33"/>
      <c r="HZ34" s="33"/>
      <c r="IA34" s="33"/>
      <c r="IB34" s="33"/>
      <c r="IC34" s="33"/>
      <c r="ID34" s="33"/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/>
      <c r="IS34" s="33"/>
      <c r="IT34" s="33"/>
      <c r="IU34" s="33"/>
      <c r="IV34" s="33"/>
      <c r="IW34" s="33"/>
      <c r="IX34" s="33"/>
      <c r="IY34" s="33"/>
      <c r="IZ34" s="33"/>
      <c r="JA34" s="33"/>
      <c r="JB34" s="33"/>
      <c r="JC34" s="33"/>
      <c r="JD34" s="33"/>
      <c r="JE34" s="33"/>
      <c r="JF34" s="33"/>
      <c r="JG34" s="33"/>
      <c r="JH34" s="33"/>
      <c r="JI34" s="33"/>
      <c r="JJ34" s="33"/>
      <c r="JK34" s="33"/>
      <c r="JL34" s="33"/>
      <c r="JM34" s="33"/>
      <c r="JN34" s="34"/>
      <c r="JO34" s="34"/>
      <c r="JP34" s="33"/>
      <c r="JQ34" s="33"/>
      <c r="JR34" s="33"/>
      <c r="JS34" s="33"/>
      <c r="JT34" s="33"/>
      <c r="JU34" s="33"/>
      <c r="JV34" s="33"/>
      <c r="JW34" s="33"/>
      <c r="JX34" s="33"/>
      <c r="JY34" s="33"/>
      <c r="JZ34" s="33"/>
      <c r="KA34" s="33"/>
      <c r="KB34" s="33"/>
      <c r="KC34" s="33"/>
      <c r="KD34" s="33"/>
      <c r="KE34" s="33"/>
      <c r="KF34" s="33"/>
      <c r="KG34" s="33"/>
      <c r="KH34" s="33"/>
      <c r="KI34" s="33"/>
      <c r="KJ34" s="33"/>
      <c r="KK34" s="33"/>
      <c r="KL34" s="33"/>
      <c r="KM34" s="33"/>
      <c r="KN34" s="33"/>
      <c r="KO34" s="33"/>
      <c r="KP34" s="33"/>
      <c r="KQ34" s="33"/>
      <c r="KR34" s="33"/>
      <c r="KS34" s="33"/>
      <c r="KT34" s="33"/>
      <c r="KU34" s="33"/>
      <c r="KV34" s="33"/>
      <c r="KW34" s="33"/>
      <c r="KX34" s="33"/>
      <c r="KY34" s="33"/>
      <c r="KZ34" s="33"/>
      <c r="LA34" s="33"/>
      <c r="LB34" s="33"/>
      <c r="LC34" s="33"/>
      <c r="LD34" s="33"/>
      <c r="LE34" s="33"/>
      <c r="LF34" s="33"/>
      <c r="LG34" s="33"/>
      <c r="LH34" s="33"/>
      <c r="LI34" s="33"/>
      <c r="LJ34" s="33"/>
      <c r="LK34" s="33"/>
      <c r="LL34" s="33"/>
      <c r="LM34" s="33"/>
      <c r="LN34" s="33"/>
      <c r="LO34" s="33"/>
      <c r="LP34" s="33"/>
      <c r="LQ34" s="33"/>
      <c r="LR34" s="33"/>
      <c r="LS34" s="33"/>
      <c r="LT34" s="33"/>
      <c r="LU34" s="33"/>
      <c r="LV34" s="33"/>
      <c r="LW34" s="33"/>
      <c r="LX34" s="33"/>
      <c r="LY34" s="33"/>
      <c r="LZ34" s="33"/>
      <c r="MA34" s="33"/>
      <c r="MB34" s="34"/>
      <c r="MC34" s="34"/>
      <c r="MD34" s="33"/>
      <c r="ME34" s="33"/>
      <c r="MF34" s="33"/>
      <c r="MG34" s="33"/>
      <c r="MH34" s="33"/>
      <c r="MI34" s="33"/>
      <c r="MJ34" s="33"/>
      <c r="MK34" s="33"/>
      <c r="ML34" s="33"/>
      <c r="MM34" s="33"/>
      <c r="MN34" s="33"/>
      <c r="MO34" s="33"/>
      <c r="MP34" s="33"/>
      <c r="MQ34" s="33"/>
      <c r="MR34" s="33"/>
      <c r="MS34" s="33"/>
      <c r="MT34" s="33"/>
      <c r="MU34" s="33"/>
      <c r="MV34" s="33"/>
      <c r="MW34" s="33"/>
      <c r="MX34" s="33"/>
      <c r="MY34" s="33"/>
      <c r="MZ34" s="33"/>
      <c r="NA34" s="33"/>
      <c r="NB34" s="33"/>
      <c r="NC34" s="33"/>
      <c r="ND34" s="33"/>
      <c r="NE34" s="33"/>
      <c r="NF34" s="33"/>
      <c r="NG34" s="33"/>
      <c r="NH34" s="33"/>
      <c r="NI34" s="33"/>
      <c r="NJ34" s="33"/>
      <c r="NK34" s="33"/>
      <c r="NL34" s="33"/>
      <c r="NM34" s="33"/>
      <c r="NN34" s="33"/>
      <c r="NO34" s="33"/>
      <c r="NP34" s="33"/>
      <c r="NQ34" s="33"/>
      <c r="NR34" s="33"/>
      <c r="NS34" s="33"/>
      <c r="NT34" s="33"/>
      <c r="NU34" s="33"/>
      <c r="NV34" s="33"/>
      <c r="NW34" s="33"/>
      <c r="NX34" s="33"/>
      <c r="NY34" s="33"/>
      <c r="NZ34" s="33"/>
      <c r="OA34" s="33"/>
      <c r="OB34" s="33"/>
      <c r="OC34" s="33"/>
      <c r="OD34" s="33"/>
      <c r="OE34" s="33"/>
      <c r="OF34" s="33"/>
      <c r="OG34" s="33"/>
      <c r="OH34" s="33"/>
      <c r="OI34" s="33"/>
      <c r="OJ34" s="33"/>
      <c r="OK34" s="33"/>
      <c r="OL34" s="33"/>
      <c r="OM34" s="33"/>
      <c r="ON34" s="33"/>
      <c r="OO34" s="33"/>
      <c r="OP34" s="34"/>
      <c r="OQ34" s="30"/>
      <c r="OR34" s="30"/>
      <c r="OS34" s="30"/>
      <c r="OT34" s="30"/>
      <c r="OU34" s="30"/>
      <c r="OV34" s="30"/>
      <c r="OW34" s="30"/>
      <c r="OX34" s="30"/>
      <c r="OY34" s="30"/>
      <c r="OZ34" s="30"/>
      <c r="PA34" s="30"/>
      <c r="PB34" s="30"/>
      <c r="PC34" s="30"/>
      <c r="PD34" s="30"/>
      <c r="PE34" s="30"/>
      <c r="PF34" s="30"/>
      <c r="PG34" s="30"/>
      <c r="PH34" s="30"/>
      <c r="PI34" s="30"/>
      <c r="PJ34" s="30"/>
      <c r="PK34" s="30"/>
      <c r="PL34" s="30"/>
      <c r="PM34" s="30"/>
      <c r="PN34" s="30"/>
      <c r="PO34" s="30"/>
      <c r="PP34" s="30"/>
      <c r="PQ34" s="30"/>
      <c r="PR34" s="30"/>
      <c r="PS34" s="30"/>
      <c r="PT34" s="30"/>
      <c r="PU34" s="30"/>
      <c r="PV34" s="30"/>
      <c r="PW34" s="30"/>
      <c r="PX34" s="30"/>
      <c r="PY34" s="30"/>
      <c r="PZ34" s="30"/>
      <c r="QA34" s="30"/>
      <c r="QB34" s="30"/>
      <c r="QC34" s="30"/>
      <c r="QD34" s="30"/>
      <c r="QE34" s="29"/>
      <c r="QF34" s="29"/>
      <c r="QG34" s="29"/>
      <c r="QH34" s="29"/>
      <c r="QI34" s="29"/>
      <c r="QJ34" s="29"/>
      <c r="QK34" s="29"/>
      <c r="QL34" s="29"/>
      <c r="QM34" s="29"/>
      <c r="QN34" s="29"/>
      <c r="QO34" s="29"/>
      <c r="QP34" s="29"/>
      <c r="QQ34" s="29"/>
      <c r="QR34" s="29"/>
      <c r="QS34" s="29"/>
      <c r="QT34" s="29"/>
      <c r="QU34" s="29"/>
      <c r="QV34" s="29"/>
      <c r="QW34" s="29"/>
      <c r="QX34" s="29"/>
      <c r="QY34" s="29"/>
      <c r="QZ34" s="29"/>
      <c r="RA34" s="29"/>
      <c r="RB34" s="29"/>
      <c r="RC34" s="29"/>
      <c r="RD34" s="29"/>
      <c r="RE34" s="29"/>
      <c r="RF34" s="29"/>
      <c r="RG34" s="29"/>
      <c r="RH34" s="29"/>
      <c r="RI34" s="29"/>
      <c r="RJ34" s="29"/>
      <c r="RK34" s="29"/>
      <c r="RL34" s="29"/>
      <c r="RM34" s="29"/>
      <c r="RN34" s="29"/>
      <c r="RO34" s="29"/>
      <c r="RP34" s="29"/>
      <c r="RQ34" s="29"/>
      <c r="RR34" s="29"/>
      <c r="RS34" s="29"/>
      <c r="RT34" s="29"/>
      <c r="RU34" s="29"/>
      <c r="RV34" s="29"/>
      <c r="RW34" s="29"/>
      <c r="RX34" s="29"/>
      <c r="RY34" s="29"/>
      <c r="RZ34" s="29"/>
      <c r="SA34" s="29"/>
      <c r="SB34" s="29"/>
      <c r="SC34" s="14"/>
      <c r="SD34" s="14"/>
      <c r="SE34" s="14"/>
      <c r="SF34" s="14"/>
      <c r="SG34" s="14"/>
      <c r="SH34" s="14"/>
      <c r="SI34" s="14"/>
      <c r="SJ34" s="14"/>
      <c r="SK34" s="14"/>
      <c r="SL34" s="14"/>
      <c r="SM34" s="14"/>
      <c r="SN34" s="14"/>
      <c r="SO34" s="14"/>
      <c r="SP34" s="14"/>
      <c r="SQ34" s="14"/>
      <c r="SR34" s="14"/>
      <c r="SS34" s="14"/>
      <c r="ST34" s="14"/>
      <c r="SU34" s="14"/>
      <c r="SV34" s="14"/>
      <c r="SW34" s="14"/>
      <c r="SX34" s="14"/>
      <c r="SY34" s="14"/>
      <c r="SZ34" s="14"/>
      <c r="TA34" s="14"/>
      <c r="TB34" s="14"/>
      <c r="TC34" s="13"/>
      <c r="TD34" s="13"/>
      <c r="TE34" s="13"/>
      <c r="TF34" s="13"/>
      <c r="TG34" s="13"/>
      <c r="TH34" s="13"/>
      <c r="TI34" s="13"/>
      <c r="TJ34" s="13"/>
      <c r="TK34" s="13"/>
      <c r="TL34" s="13"/>
      <c r="TM34" s="13"/>
      <c r="TN34" s="13"/>
      <c r="TO34" s="13"/>
      <c r="TP34" s="13"/>
      <c r="TQ34" s="13"/>
      <c r="TR34" s="13"/>
      <c r="TS34" s="13"/>
      <c r="TT34" s="13"/>
      <c r="TU34" s="13"/>
      <c r="TV34" s="13"/>
      <c r="TW34" s="13"/>
      <c r="TX34" s="13"/>
      <c r="TY34" s="13"/>
      <c r="TZ34" s="13"/>
      <c r="UA34" s="13"/>
      <c r="UB34" s="13"/>
      <c r="UC34" s="13"/>
      <c r="UD34" s="13"/>
      <c r="UE34" s="13"/>
      <c r="UF34" s="13"/>
      <c r="UG34" s="13"/>
      <c r="UH34" s="13"/>
      <c r="UI34" s="13"/>
      <c r="UJ34" s="13"/>
      <c r="UK34" s="13"/>
      <c r="UL34" s="13"/>
      <c r="UM34" s="13"/>
      <c r="UN34" s="13"/>
      <c r="UO34" s="13"/>
      <c r="UP34" s="13"/>
      <c r="UQ34" s="13"/>
      <c r="UR34" s="13"/>
      <c r="US34" s="13"/>
      <c r="UT34" s="13"/>
      <c r="UU34" s="13"/>
      <c r="UV34" s="13"/>
      <c r="UW34" s="13"/>
      <c r="UX34" s="13"/>
      <c r="UY34" s="13"/>
      <c r="UZ34" s="13"/>
      <c r="VA34" s="13"/>
      <c r="VB34" s="13"/>
      <c r="VC34" s="13"/>
      <c r="VD34" s="13"/>
      <c r="VE34" s="13"/>
      <c r="VF34" s="13"/>
      <c r="VG34" s="13"/>
      <c r="VH34" s="13"/>
      <c r="VI34" s="13"/>
      <c r="VJ34" s="13"/>
      <c r="VK34" s="13"/>
      <c r="VL34" s="13"/>
      <c r="VM34" s="13"/>
      <c r="VN34" s="13"/>
      <c r="VO34" s="13"/>
      <c r="VP34" s="13"/>
      <c r="VQ34" s="13"/>
      <c r="VR34" s="13"/>
      <c r="VS34" s="13"/>
      <c r="VT34" s="13"/>
      <c r="VU34" s="13"/>
      <c r="VV34" s="13"/>
      <c r="VW34" s="13"/>
      <c r="VX34" s="13"/>
      <c r="VY34" s="13"/>
      <c r="VZ34" s="13"/>
      <c r="WA34" s="13"/>
      <c r="WB34" s="13"/>
      <c r="WC34" s="13"/>
      <c r="WD34" s="13"/>
      <c r="WE34" s="13"/>
      <c r="WF34" s="13"/>
      <c r="WG34" s="13"/>
      <c r="WH34" s="13"/>
      <c r="WI34" s="13"/>
      <c r="WJ34" s="13"/>
      <c r="WK34" s="13"/>
      <c r="WL34" s="13"/>
      <c r="WM34" s="13"/>
      <c r="WN34" s="13"/>
      <c r="WO34" s="13"/>
      <c r="WP34" s="13"/>
      <c r="WQ34" s="13"/>
      <c r="WR34" s="13"/>
      <c r="WS34" s="13"/>
      <c r="WT34" s="13"/>
      <c r="WU34" s="13"/>
      <c r="WV34" s="13"/>
      <c r="WW34" s="13"/>
      <c r="WX34" s="13"/>
      <c r="WY34" s="13"/>
      <c r="WZ34" s="13"/>
      <c r="XA34" s="13"/>
      <c r="XB34" s="13"/>
      <c r="XC34" s="13"/>
      <c r="XD34" s="13"/>
      <c r="XE34" s="13"/>
      <c r="XF34" s="13"/>
      <c r="XG34" s="13"/>
      <c r="XH34" s="13"/>
      <c r="XI34" s="13"/>
      <c r="XJ34" s="13"/>
      <c r="XK34" s="13"/>
      <c r="XL34" s="13"/>
      <c r="XM34" s="13"/>
      <c r="XN34" s="13"/>
      <c r="XO34" s="13"/>
      <c r="XP34" s="13"/>
      <c r="XQ34" s="13"/>
      <c r="XR34" s="13"/>
      <c r="XS34" s="13"/>
      <c r="XT34" s="13"/>
      <c r="XU34" s="13"/>
      <c r="XV34" s="13"/>
      <c r="XW34" s="13"/>
      <c r="XX34" s="13"/>
      <c r="XY34" s="13"/>
      <c r="XZ34" s="13"/>
      <c r="YA34" s="13"/>
      <c r="YB34" s="13"/>
      <c r="YC34" s="13"/>
      <c r="YD34" s="13"/>
      <c r="YE34" s="13"/>
      <c r="YF34" s="13"/>
      <c r="YG34" s="13"/>
      <c r="YH34" s="13"/>
      <c r="YI34" s="13"/>
      <c r="YJ34" s="13"/>
      <c r="YK34" s="13"/>
      <c r="YL34" s="13"/>
      <c r="YM34" s="13"/>
      <c r="YN34" s="13"/>
      <c r="YO34" s="13"/>
      <c r="YP34" s="13"/>
      <c r="YQ34" s="13"/>
      <c r="YR34" s="13"/>
      <c r="YS34" s="13"/>
      <c r="YT34" s="13"/>
      <c r="YU34" s="13"/>
      <c r="YV34" s="13"/>
      <c r="YW34" s="13"/>
      <c r="YX34" s="13"/>
      <c r="YY34" s="13"/>
      <c r="YZ34" s="13"/>
      <c r="ZA34" s="13"/>
      <c r="ZB34" s="13"/>
      <c r="ZC34" s="13"/>
      <c r="ZD34" s="13"/>
      <c r="ZE34" s="13"/>
      <c r="ZF34" s="13"/>
      <c r="ZG34" s="13"/>
      <c r="ZH34" s="13"/>
      <c r="ZI34" s="13"/>
      <c r="ZJ34" s="13"/>
      <c r="ZK34" s="13"/>
      <c r="ZL34" s="13"/>
      <c r="ZM34" s="13"/>
      <c r="ZN34" s="13"/>
      <c r="ZO34" s="13"/>
      <c r="ZP34" s="13"/>
      <c r="ZQ34" s="13"/>
      <c r="ZR34" s="13"/>
      <c r="ZS34" s="13"/>
      <c r="ZT34" s="13"/>
      <c r="ZU34" s="13"/>
      <c r="ZV34" s="13"/>
      <c r="ZW34" s="13"/>
      <c r="ZX34" s="13"/>
      <c r="ZY34" s="13"/>
      <c r="ZZ34" s="13"/>
      <c r="AAA34" s="13"/>
      <c r="AAB34" s="13"/>
      <c r="AAC34" s="13"/>
      <c r="AAD34" s="13"/>
      <c r="AAE34" s="13"/>
      <c r="AAF34" s="13"/>
      <c r="AAG34" s="13"/>
      <c r="AAH34" s="13"/>
      <c r="AAI34" s="13"/>
      <c r="AAJ34" s="13"/>
      <c r="AAK34" s="13"/>
      <c r="AAL34" s="13"/>
      <c r="AAM34" s="13"/>
      <c r="AAN34" s="13"/>
      <c r="AAO34" s="13"/>
      <c r="AAP34" s="13"/>
      <c r="AAQ34" s="13"/>
      <c r="AAR34" s="13"/>
      <c r="AAS34" s="13"/>
      <c r="AAT34" s="13"/>
      <c r="AAU34" s="13"/>
      <c r="AAV34" s="13"/>
      <c r="AAW34" s="13"/>
      <c r="AAX34" s="13"/>
      <c r="AAY34" s="13"/>
      <c r="AAZ34" s="13"/>
      <c r="ABA34" s="13"/>
      <c r="ABB34" s="13"/>
      <c r="ABC34" s="13"/>
      <c r="ABD34" s="13"/>
      <c r="ABE34" s="13"/>
      <c r="ABF34" s="13"/>
      <c r="ABG34" s="13"/>
      <c r="ABH34" s="13"/>
      <c r="ABI34" s="13"/>
      <c r="ABJ34" s="13"/>
      <c r="ABK34" s="13"/>
      <c r="ABL34" s="13"/>
      <c r="ABM34" s="13"/>
      <c r="ABN34" s="13"/>
      <c r="ABO34" s="13"/>
      <c r="ABP34" s="13"/>
      <c r="ABQ34" s="13"/>
      <c r="ABR34" s="13"/>
      <c r="ABS34" s="13"/>
      <c r="ABT34" s="13"/>
      <c r="ABU34" s="13"/>
      <c r="ABV34" s="13"/>
      <c r="ABW34" s="13"/>
      <c r="ABX34" s="13"/>
      <c r="ABY34" s="13"/>
      <c r="ABZ34" s="13"/>
      <c r="ACA34" s="13"/>
      <c r="ACB34" s="13"/>
      <c r="ACC34" s="13"/>
      <c r="ACD34" s="13"/>
      <c r="ACE34" s="13"/>
      <c r="ACF34" s="13"/>
      <c r="ACG34" s="13"/>
      <c r="ACH34" s="13"/>
      <c r="ACI34" s="13"/>
      <c r="ACJ34" s="13"/>
      <c r="ACK34" s="13"/>
      <c r="ACL34" s="13"/>
      <c r="ACM34" s="13"/>
      <c r="ACN34" s="13"/>
      <c r="ACO34" s="13"/>
      <c r="ACP34" s="13"/>
      <c r="ACQ34" s="13"/>
      <c r="ACR34" s="13"/>
      <c r="ACS34" s="13"/>
      <c r="ACT34" s="13"/>
      <c r="ACU34" s="13"/>
      <c r="ACV34" s="13"/>
      <c r="ACW34" s="13"/>
      <c r="ACX34" s="13"/>
      <c r="ACY34" s="13"/>
      <c r="ACZ34" s="13"/>
      <c r="ADA34" s="13"/>
      <c r="ADB34" s="13"/>
      <c r="ADC34" s="13"/>
      <c r="ADD34" s="13"/>
      <c r="ADE34" s="13"/>
      <c r="ADF34" s="13"/>
      <c r="ADG34" s="13"/>
      <c r="ADH34" s="13"/>
      <c r="ADI34" s="13"/>
      <c r="ADJ34" s="13"/>
      <c r="ADK34" s="13"/>
      <c r="ADL34" s="13"/>
      <c r="ADM34" s="13"/>
      <c r="ADN34" s="13"/>
      <c r="ADO34" s="13"/>
      <c r="ADP34" s="13"/>
      <c r="ADQ34" s="13"/>
      <c r="ADR34" s="13"/>
      <c r="ADS34" s="13"/>
      <c r="ADT34" s="13"/>
      <c r="ADU34" s="13"/>
      <c r="ADV34" s="13"/>
      <c r="ADW34" s="13"/>
      <c r="ADX34" s="13"/>
      <c r="ADY34" s="13"/>
      <c r="ADZ34" s="13"/>
      <c r="AEA34" s="13"/>
      <c r="AEB34" s="13"/>
      <c r="AEC34" s="13"/>
      <c r="AED34" s="13"/>
      <c r="AEE34" s="13"/>
      <c r="AEF34" s="13"/>
      <c r="AEG34" s="13"/>
      <c r="AEH34" s="13"/>
      <c r="AEI34" s="13"/>
      <c r="AEJ34" s="13"/>
      <c r="AEK34" s="13"/>
      <c r="AEL34" s="13"/>
      <c r="AEM34" s="13"/>
      <c r="AEN34" s="13"/>
      <c r="AEO34" s="13"/>
      <c r="AEP34" s="13"/>
      <c r="AEQ34" s="13"/>
      <c r="AER34" s="13"/>
      <c r="AES34" s="13"/>
      <c r="AET34" s="13"/>
      <c r="AEU34" s="13"/>
      <c r="AEV34" s="13"/>
      <c r="AEW34" s="13"/>
      <c r="AEX34" s="13"/>
      <c r="AEY34" s="13"/>
      <c r="AEZ34" s="13"/>
      <c r="AFA34" s="13"/>
      <c r="AFB34" s="13"/>
      <c r="AFC34" s="13"/>
      <c r="AFD34" s="13"/>
      <c r="AFE34" s="13"/>
      <c r="AFF34" s="13"/>
      <c r="AFG34" s="13"/>
      <c r="AFH34" s="13"/>
      <c r="AFI34" s="13"/>
      <c r="AFJ34" s="13"/>
      <c r="AFK34" s="13"/>
      <c r="AFL34" s="13"/>
      <c r="AFM34" s="13"/>
      <c r="AFN34" s="13"/>
      <c r="AFO34" s="13"/>
      <c r="AFP34" s="13"/>
      <c r="AFQ34" s="13"/>
      <c r="AFR34" s="13"/>
      <c r="AFS34" s="13"/>
      <c r="AFT34" s="13"/>
      <c r="AFU34" s="13"/>
      <c r="AFV34" s="13"/>
      <c r="AFW34" s="13"/>
      <c r="AFX34" s="13"/>
      <c r="AFY34" s="13"/>
      <c r="AFZ34" s="13"/>
      <c r="AGA34" s="13"/>
      <c r="AGB34" s="13"/>
      <c r="AGC34" s="13"/>
      <c r="AGD34" s="13"/>
      <c r="AGE34" s="13"/>
      <c r="AGF34" s="13"/>
      <c r="AGG34" s="13"/>
      <c r="AGH34" s="13"/>
      <c r="AGI34" s="13"/>
      <c r="AGJ34" s="13"/>
      <c r="AGK34" s="13"/>
      <c r="AGL34" s="13"/>
      <c r="AGM34" s="13"/>
      <c r="AGN34" s="13"/>
      <c r="AGO34" s="13"/>
      <c r="AGP34" s="13"/>
      <c r="AGQ34" s="13"/>
      <c r="AGR34" s="13"/>
      <c r="AGS34" s="13"/>
      <c r="AGT34" s="13"/>
      <c r="AGU34" s="13"/>
      <c r="AGV34" s="13"/>
      <c r="AGW34" s="13"/>
      <c r="AGX34" s="13"/>
      <c r="AGY34" s="13"/>
      <c r="AGZ34" s="13"/>
      <c r="AHA34" s="13"/>
      <c r="AHB34" s="13"/>
      <c r="AHC34" s="13"/>
      <c r="AHD34" s="13"/>
      <c r="AHE34" s="13"/>
      <c r="AHF34" s="13"/>
      <c r="AHG34" s="13"/>
      <c r="AHH34" s="13"/>
      <c r="AHI34" s="13"/>
      <c r="AHJ34" s="13"/>
      <c r="AHK34" s="13"/>
      <c r="AHL34" s="13"/>
      <c r="AHM34" s="13"/>
      <c r="AHN34" s="13"/>
      <c r="AHO34" s="13"/>
      <c r="AHP34" s="13"/>
      <c r="AHQ34" s="13"/>
      <c r="AHR34" s="13"/>
      <c r="AHS34" s="13"/>
      <c r="AHT34" s="13"/>
      <c r="AHU34" s="13"/>
      <c r="AHV34" s="13"/>
      <c r="AHW34" s="13"/>
      <c r="AHX34" s="13"/>
      <c r="AHY34" s="13"/>
      <c r="AHZ34" s="13"/>
      <c r="AIA34" s="13"/>
      <c r="AIB34" s="13"/>
      <c r="AIC34" s="13"/>
      <c r="AID34" s="13"/>
      <c r="AIE34" s="13"/>
      <c r="AIF34" s="13"/>
      <c r="AIG34" s="13"/>
      <c r="AIH34" s="13"/>
      <c r="AII34" s="13"/>
      <c r="AIJ34" s="13"/>
      <c r="AIK34" s="13"/>
      <c r="AIL34" s="13"/>
      <c r="AIM34" s="13"/>
      <c r="AIN34" s="13"/>
      <c r="AIO34" s="13"/>
      <c r="AIP34" s="13"/>
      <c r="AIQ34" s="13"/>
      <c r="AIR34" s="13"/>
      <c r="AIS34" s="13"/>
      <c r="AIT34" s="13"/>
      <c r="AIU34" s="13"/>
      <c r="AIV34" s="13"/>
      <c r="AIW34" s="13"/>
      <c r="AIX34" s="13"/>
      <c r="AIY34" s="13"/>
      <c r="AIZ34" s="13"/>
      <c r="AJA34" s="13"/>
      <c r="AJB34" s="13"/>
      <c r="AJC34" s="13"/>
      <c r="AJD34" s="13"/>
      <c r="AJE34" s="13"/>
      <c r="AJF34" s="13"/>
      <c r="AJG34" s="13"/>
      <c r="AJH34" s="13"/>
      <c r="AJI34" s="13"/>
      <c r="AJJ34" s="13"/>
      <c r="AJK34" s="13"/>
      <c r="AJL34" s="13"/>
      <c r="AJM34" s="13"/>
      <c r="AJN34" s="13"/>
      <c r="AJO34" s="13"/>
      <c r="AJP34" s="13"/>
      <c r="AJQ34" s="13"/>
      <c r="AJR34" s="13"/>
      <c r="AJS34" s="13"/>
      <c r="AJT34" s="13"/>
      <c r="AJU34" s="13"/>
      <c r="AJV34" s="13"/>
      <c r="AJW34" s="13"/>
      <c r="AJX34" s="13"/>
      <c r="AJY34" s="13"/>
      <c r="AJZ34" s="13"/>
      <c r="AKA34" s="13"/>
      <c r="AKB34" s="13"/>
      <c r="AKC34" s="13"/>
      <c r="AKD34" s="13"/>
      <c r="AKE34" s="13"/>
      <c r="AKF34" s="13"/>
      <c r="AKG34" s="13"/>
      <c r="AKH34" s="13"/>
      <c r="AKI34" s="13"/>
      <c r="AKJ34" s="13"/>
      <c r="AKK34" s="13"/>
      <c r="AKL34" s="13"/>
      <c r="AKM34" s="13"/>
      <c r="AKN34" s="13"/>
      <c r="AKO34" s="13"/>
      <c r="AKP34" s="13"/>
      <c r="AKQ34" s="13"/>
      <c r="AKR34" s="13"/>
      <c r="AKS34" s="13"/>
      <c r="AKT34" s="13"/>
      <c r="AKU34" s="13"/>
      <c r="AKV34" s="13"/>
      <c r="AKW34" s="13"/>
      <c r="AKX34" s="13"/>
      <c r="AKY34" s="13"/>
      <c r="AKZ34" s="13"/>
      <c r="ALA34" s="13"/>
      <c r="ALB34" s="13"/>
      <c r="ALC34" s="13"/>
      <c r="ALD34" s="13"/>
      <c r="ALE34" s="13"/>
      <c r="ALF34" s="13"/>
      <c r="ALG34" s="13"/>
      <c r="ALH34" s="13"/>
      <c r="ALI34" s="13"/>
      <c r="ALJ34" s="13"/>
      <c r="ALK34" s="13"/>
      <c r="ALL34" s="13"/>
      <c r="ALM34" s="13"/>
      <c r="ALN34" s="13"/>
      <c r="ALO34" s="13"/>
      <c r="ALP34" s="13"/>
      <c r="ALQ34" s="13"/>
      <c r="ALR34" s="13"/>
      <c r="ALS34" s="13"/>
      <c r="ALT34" s="13"/>
      <c r="ALU34" s="13"/>
      <c r="ALV34" s="13"/>
      <c r="ALW34" s="13"/>
      <c r="ALX34" s="13"/>
      <c r="ALY34" s="13"/>
    </row>
    <row r="35" spans="1:1013" s="1" customFormat="1" ht="22.15" customHeight="1" thickBot="1" x14ac:dyDescent="0.3">
      <c r="A35" s="301"/>
      <c r="B35" s="25" t="s">
        <v>12</v>
      </c>
      <c r="C35" s="118">
        <f>'AlltechCoppens_GC_26-28°C'!E179</f>
        <v>5.62E-2</v>
      </c>
      <c r="D35" s="116">
        <f>'AlltechCoppens_GC_26-28°C'!F179</f>
        <v>5.5899999999999998E-2</v>
      </c>
      <c r="E35" s="116">
        <f>'AlltechCoppens_GC_26-28°C'!G179</f>
        <v>5.57E-2</v>
      </c>
      <c r="F35" s="116">
        <f>'AlltechCoppens_GC_26-28°C'!H179</f>
        <v>5.5500000000000001E-2</v>
      </c>
      <c r="G35" s="116">
        <f>'AlltechCoppens_GC_26-28°C'!I179</f>
        <v>5.5099999999999996E-2</v>
      </c>
      <c r="H35" s="116">
        <f>'AlltechCoppens_GC_26-28°C'!J179</f>
        <v>5.4699999999999999E-2</v>
      </c>
      <c r="I35" s="116">
        <f>'AlltechCoppens_GC_26-28°C'!K179</f>
        <v>5.4400000000000004E-2</v>
      </c>
      <c r="J35" s="116">
        <f>'AlltechCoppens_GC_26-28°C'!L179</f>
        <v>5.4000000000000006E-2</v>
      </c>
      <c r="K35" s="116">
        <f>'AlltechCoppens_GC_26-28°C'!M179</f>
        <v>5.3600000000000002E-2</v>
      </c>
      <c r="L35" s="116">
        <f>'AlltechCoppens_GC_26-28°C'!N179</f>
        <v>5.2999999999999999E-2</v>
      </c>
      <c r="M35" s="116">
        <f>'AlltechCoppens_GC_26-28°C'!O179</f>
        <v>5.2400000000000002E-2</v>
      </c>
      <c r="N35" s="116">
        <f>'AlltechCoppens_GC_26-28°C'!P179</f>
        <v>5.1799999999999999E-2</v>
      </c>
      <c r="O35" s="116">
        <f>'AlltechCoppens_GC_26-28°C'!Q179</f>
        <v>5.1200000000000002E-2</v>
      </c>
      <c r="P35" s="116">
        <f>'AlltechCoppens_GC_26-28°C'!R179</f>
        <v>5.0599999999999999E-2</v>
      </c>
      <c r="Q35" s="116">
        <f>'AlltechCoppens_GC_26-28°C'!S179</f>
        <v>4.99E-2</v>
      </c>
      <c r="R35" s="116">
        <f>'AlltechCoppens_GC_26-28°C'!T179</f>
        <v>4.9200000000000001E-2</v>
      </c>
      <c r="S35" s="116">
        <f>'AlltechCoppens_GC_26-28°C'!U179</f>
        <v>4.8399999999999999E-2</v>
      </c>
      <c r="T35" s="116">
        <f>'AlltechCoppens_GC_26-28°C'!V179</f>
        <v>4.7699999999999992E-2</v>
      </c>
      <c r="U35" s="116">
        <f>'AlltechCoppens_GC_26-28°C'!W179</f>
        <v>4.7E-2</v>
      </c>
      <c r="V35" s="116">
        <f>'AlltechCoppens_GC_26-28°C'!X179</f>
        <v>4.6300000000000001E-2</v>
      </c>
      <c r="W35" s="116">
        <f>'AlltechCoppens_GC_26-28°C'!Y179</f>
        <v>4.5599999999999995E-2</v>
      </c>
      <c r="X35" s="116">
        <f>'AlltechCoppens_GC_26-28°C'!Z179</f>
        <v>4.4800000000000006E-2</v>
      </c>
      <c r="Y35" s="116">
        <f>'AlltechCoppens_GC_26-28°C'!AA179</f>
        <v>4.41E-2</v>
      </c>
      <c r="Z35" s="116">
        <f>'AlltechCoppens_GC_26-28°C'!AB179</f>
        <v>4.3400000000000001E-2</v>
      </c>
      <c r="AA35" s="116">
        <f>'AlltechCoppens_GC_26-28°C'!AC179</f>
        <v>4.2800000000000005E-2</v>
      </c>
      <c r="AB35" s="116">
        <f>'AlltechCoppens_GC_26-28°C'!AD179</f>
        <v>4.2199999999999994E-2</v>
      </c>
      <c r="AC35" s="116">
        <f>'AlltechCoppens_GC_26-28°C'!AE179</f>
        <v>4.1599999999999998E-2</v>
      </c>
      <c r="AD35" s="116">
        <f>'AlltechCoppens_GC_26-28°C'!AF179</f>
        <v>4.0999999999999995E-2</v>
      </c>
      <c r="AE35" s="116">
        <f>'AlltechCoppens_GC_26-28°C'!AG179</f>
        <v>4.0399999999999998E-2</v>
      </c>
      <c r="AF35" s="116">
        <f>'AlltechCoppens_GC_26-28°C'!AH179</f>
        <v>3.9800000000000002E-2</v>
      </c>
      <c r="AG35" s="116">
        <f>'AlltechCoppens_GC_26-28°C'!AI179</f>
        <v>3.9199999999999999E-2</v>
      </c>
      <c r="AH35" s="116">
        <f>'AlltechCoppens_GC_26-28°C'!AJ179</f>
        <v>3.8599999999999995E-2</v>
      </c>
      <c r="AI35" s="116">
        <f>'AlltechCoppens_GC_26-28°C'!AK179</f>
        <v>3.7999999999999999E-2</v>
      </c>
      <c r="AJ35" s="116">
        <f>'AlltechCoppens_GC_26-28°C'!AL179</f>
        <v>3.7400000000000003E-2</v>
      </c>
      <c r="AK35" s="116">
        <f>'AlltechCoppens_GC_26-28°C'!AM179</f>
        <v>3.6799999999999999E-2</v>
      </c>
      <c r="AL35" s="116">
        <f>'AlltechCoppens_GC_26-28°C'!AN179</f>
        <v>3.61E-2</v>
      </c>
      <c r="AM35" s="116">
        <f>'AlltechCoppens_GC_26-28°C'!AO179</f>
        <v>3.5499999999999997E-2</v>
      </c>
      <c r="AN35" s="116">
        <f>'AlltechCoppens_GC_26-28°C'!AP179</f>
        <v>3.4799999999999998E-2</v>
      </c>
      <c r="AO35" s="116">
        <f>'AlltechCoppens_GC_26-28°C'!AQ179</f>
        <v>3.4200000000000001E-2</v>
      </c>
      <c r="AP35" s="116">
        <f>'AlltechCoppens_GC_26-28°C'!AR179</f>
        <v>3.3599999999999998E-2</v>
      </c>
      <c r="AQ35" s="116">
        <f>'AlltechCoppens_GC_26-28°C'!AS179</f>
        <v>3.2899999999999999E-2</v>
      </c>
      <c r="AR35" s="116">
        <f>'AlltechCoppens_GC_26-28°C'!AT179</f>
        <v>3.2300000000000002E-2</v>
      </c>
      <c r="AS35" s="116">
        <f>'AlltechCoppens_GC_26-28°C'!AU179</f>
        <v>3.1600000000000003E-2</v>
      </c>
      <c r="AT35" s="116">
        <f>'AlltechCoppens_GC_26-28°C'!AV179</f>
        <v>3.1E-2</v>
      </c>
      <c r="AU35" s="116">
        <f>'AlltechCoppens_GC_26-28°C'!AW179</f>
        <v>3.04E-2</v>
      </c>
      <c r="AV35" s="116">
        <f>'AlltechCoppens_GC_26-28°C'!AX179</f>
        <v>2.98E-2</v>
      </c>
      <c r="AW35" s="116">
        <f>'AlltechCoppens_GC_26-28°C'!AY179</f>
        <v>2.92E-2</v>
      </c>
      <c r="AX35" s="116">
        <f>'AlltechCoppens_GC_26-28°C'!AZ179</f>
        <v>2.86E-2</v>
      </c>
      <c r="AY35" s="116">
        <f>'AlltechCoppens_GC_26-28°C'!BA179</f>
        <v>2.7999999999999997E-2</v>
      </c>
      <c r="AZ35" s="116">
        <f>'AlltechCoppens_GC_26-28°C'!BB179</f>
        <v>2.7400000000000001E-2</v>
      </c>
      <c r="BA35" s="171">
        <f>'AlltechCoppens_GC_26-28°C'!BC179</f>
        <v>2.6800000000000001E-2</v>
      </c>
      <c r="BB35" s="150">
        <f>'AlltechCoppens_GC_26-28°C'!BD179</f>
        <v>2.6200000000000001E-2</v>
      </c>
      <c r="BC35" s="150">
        <f>'AlltechCoppens_GC_26-28°C'!BE179</f>
        <v>2.5600000000000001E-2</v>
      </c>
      <c r="BD35" s="150">
        <f>'AlltechCoppens_GC_26-28°C'!BF179</f>
        <v>2.5000000000000001E-2</v>
      </c>
      <c r="BE35" s="150">
        <f>'AlltechCoppens_GC_26-28°C'!BG179</f>
        <v>2.46E-2</v>
      </c>
      <c r="BF35" s="150">
        <f>'AlltechCoppens_GC_26-28°C'!BH179</f>
        <v>2.4199999999999999E-2</v>
      </c>
      <c r="BG35" s="150">
        <f>'AlltechCoppens_GC_26-28°C'!BI179</f>
        <v>2.3700000000000002E-2</v>
      </c>
      <c r="BH35" s="150">
        <f>'AlltechCoppens_GC_26-28°C'!BJ179</f>
        <v>2.3300000000000001E-2</v>
      </c>
      <c r="BI35" s="150">
        <f>'AlltechCoppens_GC_26-28°C'!BK179</f>
        <v>2.29E-2</v>
      </c>
      <c r="BJ35" s="150">
        <f>'AlltechCoppens_GC_26-28°C'!BL179</f>
        <v>2.2499999999999999E-2</v>
      </c>
      <c r="BK35" s="150">
        <f>'AlltechCoppens_GC_26-28°C'!BM179</f>
        <v>2.2099999999999998E-2</v>
      </c>
      <c r="BL35" s="150">
        <f>'AlltechCoppens_GC_26-28°C'!BN179</f>
        <v>2.1600000000000001E-2</v>
      </c>
      <c r="BM35" s="150">
        <f>'AlltechCoppens_GC_26-28°C'!BO179</f>
        <v>2.12E-2</v>
      </c>
      <c r="BN35" s="150">
        <f>'AlltechCoppens_GC_26-28°C'!BP179</f>
        <v>2.0799999999999999E-2</v>
      </c>
      <c r="BO35" s="150">
        <f>'AlltechCoppens_GC_26-28°C'!BQ179</f>
        <v>2.0499999999999997E-2</v>
      </c>
      <c r="BP35" s="150">
        <f>'AlltechCoppens_GC_26-28°C'!BR179</f>
        <v>2.0199999999999999E-2</v>
      </c>
      <c r="BQ35" s="150">
        <f>'AlltechCoppens_GC_26-28°C'!BS179</f>
        <v>1.9900000000000001E-2</v>
      </c>
      <c r="BR35" s="150">
        <f>'AlltechCoppens_GC_26-28°C'!BT179</f>
        <v>1.9599999999999999E-2</v>
      </c>
      <c r="BS35" s="150">
        <f>'AlltechCoppens_GC_26-28°C'!BU179</f>
        <v>1.9299999999999998E-2</v>
      </c>
      <c r="BT35" s="150">
        <f>'AlltechCoppens_GC_26-28°C'!BV179</f>
        <v>1.9E-2</v>
      </c>
      <c r="BU35" s="150">
        <f>'AlltechCoppens_GC_26-28°C'!BW179</f>
        <v>1.8700000000000001E-2</v>
      </c>
      <c r="BV35" s="150">
        <f>'AlltechCoppens_GC_26-28°C'!BX179</f>
        <v>1.84E-2</v>
      </c>
      <c r="BW35" s="150">
        <f>'AlltechCoppens_GC_26-28°C'!BY179</f>
        <v>1.8100000000000002E-2</v>
      </c>
      <c r="BX35" s="150">
        <f>'AlltechCoppens_GC_26-28°C'!BZ179</f>
        <v>1.78E-2</v>
      </c>
      <c r="BY35" s="150">
        <f>'AlltechCoppens_GC_26-28°C'!CA179</f>
        <v>1.7600000000000001E-2</v>
      </c>
      <c r="BZ35" s="150">
        <f>'AlltechCoppens_GC_26-28°C'!CB179</f>
        <v>1.7399999999999999E-2</v>
      </c>
      <c r="CA35" s="150">
        <f>'AlltechCoppens_GC_26-28°C'!CC179</f>
        <v>1.72E-2</v>
      </c>
      <c r="CB35" s="150">
        <f>'AlltechCoppens_GC_26-28°C'!CD179</f>
        <v>1.7000000000000001E-2</v>
      </c>
      <c r="CC35" s="150">
        <f>'AlltechCoppens_GC_26-28°C'!CE179</f>
        <v>1.6799999999999999E-2</v>
      </c>
      <c r="CD35" s="150">
        <f>'AlltechCoppens_GC_26-28°C'!CF179</f>
        <v>1.66E-2</v>
      </c>
      <c r="CE35" s="150">
        <f>'AlltechCoppens_GC_26-28°C'!CG179</f>
        <v>1.6399999999999998E-2</v>
      </c>
      <c r="CF35" s="150">
        <f>'AlltechCoppens_GC_26-28°C'!CH179</f>
        <v>1.6200000000000003E-2</v>
      </c>
      <c r="CG35" s="150">
        <f>'AlltechCoppens_GC_26-28°C'!CI179</f>
        <v>1.6E-2</v>
      </c>
      <c r="CH35" s="150">
        <f>'AlltechCoppens_GC_26-28°C'!CJ179</f>
        <v>1.5800000000000002E-2</v>
      </c>
      <c r="CI35" s="150">
        <f>'AlltechCoppens_GC_26-28°C'!CK179</f>
        <v>1.5700000000000002E-2</v>
      </c>
      <c r="CJ35" s="150">
        <f>'AlltechCoppens_GC_26-28°C'!CL179</f>
        <v>1.5600000000000001E-2</v>
      </c>
      <c r="CK35" s="150">
        <f>'AlltechCoppens_GC_26-28°C'!CM179</f>
        <v>1.55E-2</v>
      </c>
      <c r="CL35" s="150">
        <f>'AlltechCoppens_GC_26-28°C'!CN179</f>
        <v>1.54E-2</v>
      </c>
      <c r="CM35" s="150">
        <f>'AlltechCoppens_GC_26-28°C'!CO179</f>
        <v>1.5300000000000001E-2</v>
      </c>
      <c r="CN35" s="150">
        <f>'AlltechCoppens_GC_26-28°C'!CP179</f>
        <v>1.52E-2</v>
      </c>
      <c r="CO35" s="150">
        <f>'AlltechCoppens_GC_26-28°C'!CQ179</f>
        <v>1.5100000000000001E-2</v>
      </c>
      <c r="CP35" s="150">
        <f>'AlltechCoppens_GC_26-28°C'!CR179</f>
        <v>1.4999999999999999E-2</v>
      </c>
      <c r="CQ35" s="150">
        <f>'AlltechCoppens_GC_26-28°C'!CS179</f>
        <v>1.49E-2</v>
      </c>
      <c r="CR35" s="150">
        <f>'AlltechCoppens_GC_26-28°C'!CT179</f>
        <v>1.4800000000000001E-2</v>
      </c>
      <c r="CS35" s="150">
        <f>'AlltechCoppens_GC_26-28°C'!CU179</f>
        <v>1.47E-2</v>
      </c>
      <c r="CT35" s="150">
        <f>'AlltechCoppens_GC_26-28°C'!CV179</f>
        <v>1.46E-2</v>
      </c>
      <c r="CU35" s="150">
        <f>'AlltechCoppens_GC_26-28°C'!CW179</f>
        <v>1.4499999999999999E-2</v>
      </c>
      <c r="CV35" s="150">
        <f>'AlltechCoppens_GC_26-28°C'!CX179</f>
        <v>1.44E-2</v>
      </c>
      <c r="CW35" s="150">
        <f>'AlltechCoppens_GC_26-28°C'!CY179</f>
        <v>1.43E-2</v>
      </c>
      <c r="CX35" s="150">
        <f>'AlltechCoppens_GC_26-28°C'!CZ179</f>
        <v>1.4199999999999999E-2</v>
      </c>
      <c r="CY35" s="150">
        <f>'AlltechCoppens_GC_26-28°C'!DA179</f>
        <v>1.41E-2</v>
      </c>
      <c r="CZ35" s="175">
        <f>'AlltechCoppens_GC_26-28°C'!DB179</f>
        <v>1.3999999999999999E-2</v>
      </c>
      <c r="DA35" s="161">
        <f>'AlltechCoppens_GC_26-28°C'!DC179</f>
        <v>1.3899999999999999E-2</v>
      </c>
      <c r="DB35" s="161">
        <f>'AlltechCoppens_GC_26-28°C'!DD179</f>
        <v>1.38E-2</v>
      </c>
      <c r="DC35" s="161">
        <f>'AlltechCoppens_GC_26-28°C'!DE179</f>
        <v>1.37E-2</v>
      </c>
      <c r="DD35" s="161">
        <f>'AlltechCoppens_GC_26-28°C'!DF179</f>
        <v>1.3600000000000001E-2</v>
      </c>
      <c r="DE35" s="161">
        <f>'AlltechCoppens_GC_26-28°C'!DG179</f>
        <v>1.3500000000000002E-2</v>
      </c>
      <c r="DF35" s="161">
        <f>'AlltechCoppens_GC_26-28°C'!DH179</f>
        <v>1.34E-2</v>
      </c>
      <c r="DG35" s="161">
        <f>'AlltechCoppens_GC_26-28°C'!DI179</f>
        <v>1.34E-2</v>
      </c>
      <c r="DH35" s="161">
        <f>'AlltechCoppens_GC_26-28°C'!DJ179</f>
        <v>1.3300000000000001E-2</v>
      </c>
      <c r="DI35" s="161">
        <f>'AlltechCoppens_GC_26-28°C'!DK179</f>
        <v>1.32E-2</v>
      </c>
      <c r="DJ35" s="161">
        <f>'AlltechCoppens_GC_26-28°C'!DL179</f>
        <v>1.3100000000000001E-2</v>
      </c>
      <c r="DK35" s="161">
        <f>'AlltechCoppens_GC_26-28°C'!DM179</f>
        <v>1.3000000000000001E-2</v>
      </c>
      <c r="DL35" s="161">
        <f>'AlltechCoppens_GC_26-28°C'!DN179</f>
        <v>1.29E-2</v>
      </c>
      <c r="DM35" s="161">
        <f>'AlltechCoppens_GC_26-28°C'!DO179</f>
        <v>1.2800000000000001E-2</v>
      </c>
      <c r="DN35" s="161">
        <f>'AlltechCoppens_GC_26-28°C'!DP179</f>
        <v>1.2699999999999999E-2</v>
      </c>
      <c r="DO35" s="161">
        <f>'AlltechCoppens_GC_26-28°C'!DQ179</f>
        <v>1.2699999999999999E-2</v>
      </c>
      <c r="DP35" s="161">
        <f>'AlltechCoppens_GC_26-28°C'!DR179</f>
        <v>1.26E-2</v>
      </c>
      <c r="DQ35" s="161">
        <f>'AlltechCoppens_GC_26-28°C'!DS179</f>
        <v>1.2500000000000001E-2</v>
      </c>
      <c r="DR35" s="161">
        <f>'AlltechCoppens_GC_26-28°C'!DT179</f>
        <v>1.24E-2</v>
      </c>
      <c r="DS35" s="161">
        <f>'AlltechCoppens_GC_26-28°C'!DU179</f>
        <v>1.23E-2</v>
      </c>
      <c r="DT35" s="161">
        <f>'AlltechCoppens_GC_26-28°C'!DV179</f>
        <v>1.23E-2</v>
      </c>
      <c r="DU35" s="161">
        <f>'AlltechCoppens_GC_26-28°C'!DW179</f>
        <v>1.2199999999999999E-2</v>
      </c>
      <c r="DV35" s="161">
        <f>'AlltechCoppens_GC_26-28°C'!DX179</f>
        <v>1.21E-2</v>
      </c>
      <c r="DW35" s="161">
        <f>'AlltechCoppens_GC_26-28°C'!DY179</f>
        <v>1.2E-2</v>
      </c>
      <c r="DX35" s="161">
        <f>'AlltechCoppens_GC_26-28°C'!DZ179</f>
        <v>1.1899999999999999E-2</v>
      </c>
      <c r="DY35" s="161">
        <f>'AlltechCoppens_GC_26-28°C'!EA179</f>
        <v>1.18E-2</v>
      </c>
      <c r="DZ35" s="161">
        <f>'AlltechCoppens_GC_26-28°C'!EB179</f>
        <v>1.1699999999999999E-2</v>
      </c>
      <c r="EA35" s="161">
        <f>'AlltechCoppens_GC_26-28°C'!EC179</f>
        <v>1.1699999999999999E-2</v>
      </c>
      <c r="EB35" s="161">
        <f>'AlltechCoppens_GC_26-28°C'!ED179</f>
        <v>1.1599999999999999E-2</v>
      </c>
      <c r="EC35" s="161">
        <f>'AlltechCoppens_GC_26-28°C'!EE179</f>
        <v>1.15E-2</v>
      </c>
      <c r="ED35" s="161">
        <f>'AlltechCoppens_GC_26-28°C'!EF179</f>
        <v>1.1399999999999999E-2</v>
      </c>
      <c r="EE35" s="161">
        <f>'AlltechCoppens_GC_26-28°C'!EG179</f>
        <v>1.1299999999999999E-2</v>
      </c>
      <c r="EF35" s="161">
        <f>'AlltechCoppens_GC_26-28°C'!EH179</f>
        <v>1.1200000000000002E-2</v>
      </c>
      <c r="EG35" s="161">
        <f>'AlltechCoppens_GC_26-28°C'!EI179</f>
        <v>1.11E-2</v>
      </c>
      <c r="EH35" s="161">
        <f>'AlltechCoppens_GC_26-28°C'!EJ179</f>
        <v>1.1000000000000001E-2</v>
      </c>
      <c r="EI35" s="161">
        <f>'AlltechCoppens_GC_26-28°C'!EK179</f>
        <v>1.1000000000000001E-2</v>
      </c>
      <c r="EJ35" s="161">
        <f>'AlltechCoppens_GC_26-28°C'!EL179</f>
        <v>1.09E-2</v>
      </c>
      <c r="EK35" s="161">
        <f>'AlltechCoppens_GC_26-28°C'!EM179</f>
        <v>1.0800000000000001E-2</v>
      </c>
      <c r="EL35" s="161">
        <f>'AlltechCoppens_GC_26-28°C'!EN179</f>
        <v>1.0700000000000001E-2</v>
      </c>
      <c r="EM35" s="161">
        <f>'AlltechCoppens_GC_26-28°C'!EO179</f>
        <v>1.06E-2</v>
      </c>
      <c r="EN35" s="161">
        <f>'AlltechCoppens_GC_26-28°C'!EP179</f>
        <v>1.06E-2</v>
      </c>
      <c r="EO35" s="161">
        <f>'AlltechCoppens_GC_26-28°C'!EQ179</f>
        <v>1.0500000000000001E-2</v>
      </c>
      <c r="EP35" s="161">
        <f>'AlltechCoppens_GC_26-28°C'!ER179</f>
        <v>1.04E-2</v>
      </c>
      <c r="EQ35" s="161">
        <f>'AlltechCoppens_GC_26-28°C'!ES179</f>
        <v>1.03E-2</v>
      </c>
      <c r="ER35" s="161">
        <f>'AlltechCoppens_GC_26-28°C'!ET179</f>
        <v>1.03E-2</v>
      </c>
      <c r="ES35" s="161">
        <f>'AlltechCoppens_GC_26-28°C'!EU179</f>
        <v>1.0200000000000001E-2</v>
      </c>
      <c r="ET35" s="161">
        <f>'AlltechCoppens_GC_26-28°C'!EV179</f>
        <v>1.0200000000000001E-2</v>
      </c>
      <c r="EU35" s="161">
        <f>'AlltechCoppens_GC_26-28°C'!EW179</f>
        <v>1.01E-2</v>
      </c>
      <c r="EV35" s="161">
        <f>'AlltechCoppens_GC_26-28°C'!EX179</f>
        <v>0.01</v>
      </c>
      <c r="EW35" s="161">
        <f>'AlltechCoppens_GC_26-28°C'!EY179</f>
        <v>0.01</v>
      </c>
      <c r="EX35" s="161">
        <f>'AlltechCoppens_GC_26-28°C'!EZ179</f>
        <v>9.8999999999999991E-3</v>
      </c>
      <c r="EY35" s="118">
        <f>'AlltechCoppens_GC_26-28°C'!FA179</f>
        <v>9.8999999999999991E-3</v>
      </c>
      <c r="EZ35" s="132"/>
      <c r="FA35" s="132"/>
      <c r="FB35" s="132"/>
      <c r="FC35" s="132"/>
      <c r="FD35" s="132"/>
      <c r="FE35" s="132"/>
      <c r="FF35" s="132"/>
      <c r="FG35" s="132"/>
      <c r="FH35" s="132"/>
      <c r="FI35" s="132"/>
      <c r="FJ35" s="132"/>
      <c r="FK35" s="132"/>
      <c r="FL35" s="132"/>
      <c r="FM35" s="132"/>
      <c r="FN35" s="132"/>
      <c r="FO35" s="132"/>
      <c r="FP35" s="132"/>
      <c r="FQ35" s="132"/>
      <c r="FR35" s="132"/>
      <c r="FS35" s="132"/>
      <c r="FT35" s="132"/>
      <c r="FU35" s="132"/>
      <c r="FV35" s="132"/>
      <c r="FW35" s="132"/>
      <c r="FX35" s="132"/>
      <c r="FY35" s="132"/>
      <c r="FZ35" s="132"/>
      <c r="GA35" s="132"/>
      <c r="GB35" s="132"/>
      <c r="GC35" s="132"/>
      <c r="GD35" s="132"/>
      <c r="GE35" s="132"/>
      <c r="GF35" s="132"/>
      <c r="GG35" s="132"/>
      <c r="GH35" s="132"/>
      <c r="GI35" s="132"/>
      <c r="GJ35" s="132"/>
      <c r="GK35" s="132"/>
      <c r="GL35" s="132"/>
      <c r="GM35" s="132"/>
      <c r="GN35" s="132"/>
      <c r="GO35" s="132"/>
      <c r="GP35" s="132"/>
      <c r="GQ35" s="132"/>
      <c r="GR35" s="132"/>
      <c r="GS35" s="132"/>
      <c r="GT35" s="132"/>
      <c r="GU35" s="132"/>
      <c r="GV35" s="132"/>
      <c r="GW35" s="132"/>
      <c r="GX35" s="132"/>
      <c r="GY35" s="132"/>
      <c r="GZ35" s="132"/>
      <c r="HA35" s="132"/>
      <c r="HB35" s="132"/>
      <c r="HC35" s="132"/>
      <c r="HD35" s="132"/>
      <c r="HE35" s="132"/>
      <c r="HF35" s="132"/>
      <c r="HG35" s="132"/>
      <c r="HH35" s="132"/>
      <c r="HI35" s="132"/>
      <c r="HJ35" s="132"/>
      <c r="HK35" s="132"/>
      <c r="HL35" s="132"/>
      <c r="HM35" s="132"/>
      <c r="HN35" s="132"/>
      <c r="HO35" s="132"/>
      <c r="HP35" s="132"/>
      <c r="HQ35" s="35"/>
      <c r="HR35" s="35"/>
      <c r="HS35" s="35"/>
      <c r="HT35" s="35"/>
      <c r="HU35" s="35"/>
      <c r="HV35" s="35"/>
      <c r="HW35" s="35"/>
      <c r="HX35" s="35"/>
      <c r="HY35" s="35"/>
      <c r="HZ35" s="35"/>
      <c r="IA35" s="35"/>
      <c r="IB35" s="35"/>
      <c r="IC35" s="35"/>
      <c r="ID35" s="35"/>
      <c r="IE35" s="35"/>
      <c r="IF35" s="35"/>
      <c r="IG35" s="35"/>
      <c r="IH35" s="35"/>
      <c r="II35" s="35"/>
      <c r="IJ35" s="35"/>
      <c r="IK35" s="35"/>
      <c r="IL35" s="35"/>
      <c r="IM35" s="35"/>
      <c r="IN35" s="35"/>
      <c r="IO35" s="35"/>
      <c r="IP35" s="35"/>
      <c r="IQ35" s="35"/>
      <c r="IR35" s="35"/>
      <c r="IS35" s="35"/>
      <c r="IT35" s="35"/>
      <c r="IU35" s="35"/>
      <c r="IV35" s="35"/>
      <c r="IW35" s="35"/>
      <c r="IX35" s="35"/>
      <c r="IY35" s="35"/>
      <c r="IZ35" s="35"/>
      <c r="JA35" s="35"/>
      <c r="JB35" s="35"/>
      <c r="JC35" s="35"/>
      <c r="JD35" s="35"/>
      <c r="JE35" s="35"/>
      <c r="JF35" s="35"/>
      <c r="JG35" s="35"/>
      <c r="JH35" s="35"/>
      <c r="JI35" s="35"/>
      <c r="JJ35" s="35"/>
      <c r="JK35" s="35"/>
      <c r="JL35" s="35"/>
      <c r="JM35" s="35"/>
      <c r="JN35" s="35"/>
      <c r="JO35" s="35"/>
      <c r="JP35" s="35"/>
      <c r="JQ35" s="35"/>
      <c r="JR35" s="35"/>
      <c r="JS35" s="35"/>
      <c r="JT35" s="35"/>
      <c r="JU35" s="35"/>
      <c r="JV35" s="35"/>
      <c r="JW35" s="35"/>
      <c r="JX35" s="35"/>
      <c r="JY35" s="35"/>
      <c r="JZ35" s="35"/>
      <c r="KA35" s="35"/>
      <c r="KB35" s="35"/>
      <c r="KC35" s="35"/>
      <c r="KD35" s="35"/>
      <c r="KE35" s="35"/>
      <c r="KF35" s="35"/>
      <c r="KG35" s="35"/>
      <c r="KH35" s="35"/>
      <c r="KI35" s="35"/>
      <c r="KJ35" s="35"/>
      <c r="KK35" s="35"/>
      <c r="KL35" s="35"/>
      <c r="KM35" s="35"/>
      <c r="KN35" s="35"/>
      <c r="KO35" s="35"/>
      <c r="KP35" s="35"/>
      <c r="KQ35" s="35"/>
      <c r="KR35" s="35"/>
      <c r="KS35" s="35"/>
      <c r="KT35" s="35"/>
      <c r="KU35" s="35"/>
      <c r="KV35" s="35"/>
      <c r="KW35" s="35"/>
      <c r="KX35" s="35"/>
      <c r="KY35" s="35"/>
      <c r="KZ35" s="35"/>
      <c r="LA35" s="35"/>
      <c r="LB35" s="35"/>
      <c r="LC35" s="35"/>
      <c r="LD35" s="35"/>
      <c r="LE35" s="35"/>
      <c r="LF35" s="35"/>
      <c r="LG35" s="35"/>
      <c r="LH35" s="35"/>
      <c r="LI35" s="35"/>
      <c r="LJ35" s="35"/>
      <c r="LK35" s="35"/>
      <c r="LL35" s="35"/>
      <c r="LM35" s="35"/>
      <c r="LN35" s="35"/>
      <c r="LO35" s="35"/>
      <c r="LP35" s="35"/>
      <c r="LQ35" s="35"/>
      <c r="LR35" s="35"/>
      <c r="LS35" s="35"/>
      <c r="LT35" s="35"/>
      <c r="LU35" s="35"/>
      <c r="LV35" s="35"/>
      <c r="LW35" s="35"/>
      <c r="LX35" s="35"/>
      <c r="LY35" s="35"/>
      <c r="LZ35" s="35"/>
      <c r="MA35" s="35"/>
      <c r="MB35" s="35"/>
      <c r="MC35" s="35"/>
      <c r="MD35" s="35"/>
      <c r="ME35" s="35"/>
      <c r="MF35" s="35"/>
      <c r="MG35" s="35"/>
      <c r="MH35" s="35"/>
      <c r="MI35" s="35"/>
      <c r="MJ35" s="35"/>
      <c r="MK35" s="35"/>
      <c r="ML35" s="35"/>
      <c r="MM35" s="35"/>
      <c r="MN35" s="35"/>
      <c r="MO35" s="35"/>
      <c r="MP35" s="35"/>
      <c r="MQ35" s="35"/>
      <c r="MR35" s="35"/>
      <c r="MS35" s="35"/>
      <c r="MT35" s="35"/>
      <c r="MU35" s="35"/>
      <c r="MV35" s="35"/>
      <c r="MW35" s="35"/>
      <c r="MX35" s="35"/>
      <c r="MY35" s="35"/>
      <c r="MZ35" s="35"/>
      <c r="NA35" s="35"/>
      <c r="NB35" s="35"/>
      <c r="NC35" s="35"/>
      <c r="ND35" s="35"/>
      <c r="NE35" s="35"/>
      <c r="NF35" s="35"/>
      <c r="NG35" s="35"/>
      <c r="NH35" s="35"/>
      <c r="NI35" s="35"/>
      <c r="NJ35" s="35"/>
      <c r="NK35" s="35"/>
      <c r="NL35" s="35"/>
      <c r="NM35" s="35"/>
      <c r="NN35" s="35"/>
      <c r="NO35" s="35"/>
      <c r="NP35" s="35"/>
      <c r="NQ35" s="35"/>
      <c r="NR35" s="35"/>
      <c r="NS35" s="35"/>
      <c r="NT35" s="35"/>
      <c r="NU35" s="35"/>
      <c r="NV35" s="35"/>
      <c r="NW35" s="35"/>
      <c r="NX35" s="35"/>
      <c r="NY35" s="35"/>
      <c r="NZ35" s="35"/>
      <c r="OA35" s="35"/>
      <c r="OB35" s="35"/>
      <c r="OC35" s="35"/>
      <c r="OD35" s="35"/>
      <c r="OE35" s="35"/>
      <c r="OF35" s="35"/>
      <c r="OG35" s="35"/>
      <c r="OH35" s="35"/>
      <c r="OI35" s="35"/>
      <c r="OJ35" s="35"/>
      <c r="OK35" s="35"/>
      <c r="OL35" s="35"/>
      <c r="OM35" s="35"/>
      <c r="ON35" s="35"/>
      <c r="OO35" s="35"/>
      <c r="OP35" s="35"/>
      <c r="OQ35" s="30"/>
      <c r="OR35" s="30"/>
      <c r="OS35" s="30"/>
      <c r="OT35" s="30"/>
      <c r="OU35" s="30"/>
      <c r="OV35" s="30"/>
      <c r="OW35" s="30"/>
      <c r="OX35" s="30"/>
      <c r="OY35" s="30"/>
      <c r="OZ35" s="30"/>
      <c r="PA35" s="30"/>
      <c r="PB35" s="30"/>
      <c r="PC35" s="30"/>
      <c r="PD35" s="30"/>
      <c r="PE35" s="30"/>
      <c r="PF35" s="30"/>
      <c r="PG35" s="30"/>
      <c r="PH35" s="30"/>
      <c r="PI35" s="30"/>
      <c r="PJ35" s="30"/>
      <c r="PK35" s="30"/>
      <c r="PL35" s="30"/>
      <c r="PM35" s="30"/>
      <c r="PN35" s="30"/>
      <c r="PO35" s="30"/>
      <c r="PP35" s="30"/>
      <c r="PQ35" s="30"/>
      <c r="PR35" s="30"/>
      <c r="PS35" s="30"/>
      <c r="PT35" s="30"/>
      <c r="PU35" s="30"/>
      <c r="PV35" s="30"/>
      <c r="PW35" s="30"/>
      <c r="PX35" s="30"/>
      <c r="PY35" s="30"/>
      <c r="PZ35" s="30"/>
      <c r="QA35" s="30"/>
      <c r="QB35" s="30"/>
      <c r="QC35" s="30"/>
      <c r="QD35" s="30"/>
      <c r="QE35" s="30"/>
      <c r="QF35" s="30"/>
      <c r="QG35" s="30"/>
      <c r="QH35" s="30"/>
      <c r="QI35" s="30"/>
      <c r="QJ35" s="30"/>
      <c r="QK35" s="30"/>
      <c r="QL35" s="30"/>
      <c r="QM35" s="30"/>
      <c r="QN35" s="30"/>
      <c r="QO35" s="30"/>
      <c r="QP35" s="30"/>
      <c r="QQ35" s="30"/>
      <c r="QR35" s="30"/>
      <c r="QS35" s="30"/>
      <c r="QT35" s="30"/>
      <c r="QU35" s="30"/>
      <c r="QV35" s="30"/>
      <c r="QW35" s="30"/>
      <c r="QX35" s="30"/>
      <c r="QY35" s="30"/>
      <c r="QZ35" s="30"/>
      <c r="RA35" s="30"/>
      <c r="RB35" s="30"/>
      <c r="RC35" s="30"/>
      <c r="RD35" s="30"/>
      <c r="RE35" s="30"/>
      <c r="RF35" s="30"/>
      <c r="RG35" s="30"/>
      <c r="RH35" s="30"/>
      <c r="RI35" s="30"/>
      <c r="RJ35" s="30"/>
      <c r="RK35" s="30"/>
      <c r="RL35" s="30"/>
      <c r="RM35" s="30"/>
      <c r="RN35" s="30"/>
      <c r="RO35" s="30"/>
      <c r="RP35" s="30"/>
      <c r="RQ35" s="30"/>
      <c r="RR35" s="30"/>
      <c r="RS35" s="30"/>
      <c r="RT35" s="30"/>
      <c r="RU35" s="30"/>
      <c r="RV35" s="30"/>
      <c r="RW35" s="30"/>
      <c r="RX35" s="30"/>
      <c r="RY35" s="30"/>
      <c r="RZ35" s="30"/>
      <c r="SA35" s="30"/>
      <c r="SB35" s="30"/>
      <c r="SC35" s="9"/>
      <c r="SD35" s="9"/>
      <c r="SE35" s="9"/>
      <c r="SF35" s="9"/>
      <c r="SG35" s="9"/>
      <c r="SH35" s="9"/>
      <c r="SI35" s="9"/>
      <c r="SJ35" s="9"/>
      <c r="SK35" s="9"/>
      <c r="SL35" s="9"/>
      <c r="SM35" s="9"/>
      <c r="SN35" s="9"/>
      <c r="SO35" s="9"/>
      <c r="SP35" s="9"/>
      <c r="SQ35" s="9"/>
      <c r="SR35" s="9"/>
      <c r="SS35" s="9"/>
      <c r="ST35" s="9"/>
      <c r="SU35" s="9"/>
      <c r="SV35" s="9"/>
      <c r="SW35" s="9"/>
      <c r="SX35" s="9"/>
      <c r="SY35" s="9"/>
      <c r="SZ35" s="9"/>
      <c r="TA35" s="9"/>
      <c r="TB35" s="9"/>
    </row>
    <row r="36" spans="1:1013" s="1" customFormat="1" ht="22.15" customHeight="1" thickBot="1" x14ac:dyDescent="0.3">
      <c r="A36" s="301"/>
      <c r="B36" s="25" t="s">
        <v>105</v>
      </c>
      <c r="C36" s="124">
        <f>C34*C35</f>
        <v>0.14050000000000001</v>
      </c>
      <c r="D36" s="115">
        <f>D34*D35</f>
        <v>0.15349541071428571</v>
      </c>
      <c r="E36" s="115">
        <f t="shared" ref="E36:BP36" si="191">E34*E35</f>
        <v>0.16790765106568878</v>
      </c>
      <c r="F36" s="115">
        <f t="shared" si="191"/>
        <v>0.18331904442666083</v>
      </c>
      <c r="G36" s="115">
        <f t="shared" si="191"/>
        <v>0.19935467139751761</v>
      </c>
      <c r="H36" s="115">
        <f t="shared" si="191"/>
        <v>0.2166426892048324</v>
      </c>
      <c r="I36" s="115">
        <f t="shared" si="191"/>
        <v>0.2353432020092141</v>
      </c>
      <c r="J36" s="115">
        <f t="shared" si="191"/>
        <v>0.25505677544932165</v>
      </c>
      <c r="K36" s="115">
        <f t="shared" si="191"/>
        <v>0.27583239066968751</v>
      </c>
      <c r="L36" s="115">
        <f t="shared" si="191"/>
        <v>0.29697738913303484</v>
      </c>
      <c r="M36" s="115">
        <f t="shared" si="191"/>
        <v>0.3194037691593315</v>
      </c>
      <c r="N36" s="115">
        <f t="shared" si="191"/>
        <v>0.34269017321519196</v>
      </c>
      <c r="O36" s="115">
        <f t="shared" si="191"/>
        <v>0.36728624217254702</v>
      </c>
      <c r="P36" s="115">
        <f t="shared" si="191"/>
        <v>0.39272283715155293</v>
      </c>
      <c r="Q36" s="115">
        <f t="shared" si="191"/>
        <v>0.4186413483967294</v>
      </c>
      <c r="R36" s="115">
        <f t="shared" si="191"/>
        <v>0.44516430350160602</v>
      </c>
      <c r="S36" s="115">
        <f t="shared" si="191"/>
        <v>0.47180154377391648</v>
      </c>
      <c r="T36" s="115">
        <f t="shared" si="191"/>
        <v>0.49977012867788351</v>
      </c>
      <c r="U36" s="115">
        <f t="shared" si="191"/>
        <v>0.52873554206564766</v>
      </c>
      <c r="V36" s="115">
        <f t="shared" si="191"/>
        <v>0.55806974775310336</v>
      </c>
      <c r="W36" s="115">
        <f t="shared" si="191"/>
        <v>0.58829561286534438</v>
      </c>
      <c r="X36" s="115">
        <f t="shared" si="191"/>
        <v>0.61736583170566495</v>
      </c>
      <c r="Y36" s="115">
        <f t="shared" si="191"/>
        <v>0.64838994880135448</v>
      </c>
      <c r="Z36" s="115">
        <f t="shared" si="191"/>
        <v>0.67945839994117818</v>
      </c>
      <c r="AA36" s="115">
        <f t="shared" si="191"/>
        <v>0.71278668366268905</v>
      </c>
      <c r="AB36" s="115">
        <f t="shared" si="191"/>
        <v>0.74696390684333991</v>
      </c>
      <c r="AC36" s="115">
        <f t="shared" si="191"/>
        <v>0.78124953431619559</v>
      </c>
      <c r="AD36" s="115">
        <f t="shared" si="191"/>
        <v>0.81624935648608865</v>
      </c>
      <c r="AE36" s="115">
        <f t="shared" si="191"/>
        <v>0.851190450173121</v>
      </c>
      <c r="AF36" s="115">
        <f t="shared" si="191"/>
        <v>0.88669158617649757</v>
      </c>
      <c r="AG36" s="115">
        <f t="shared" si="191"/>
        <v>0.9226928896086164</v>
      </c>
      <c r="AH36" s="115">
        <f t="shared" si="191"/>
        <v>0.9583702115541558</v>
      </c>
      <c r="AI36" s="115">
        <f t="shared" si="191"/>
        <v>0.99436612748230468</v>
      </c>
      <c r="AJ36" s="115">
        <f t="shared" si="191"/>
        <v>1.0306058047907931</v>
      </c>
      <c r="AK36" s="115">
        <f t="shared" si="191"/>
        <v>1.0662242972344411</v>
      </c>
      <c r="AL36" s="115">
        <f t="shared" si="191"/>
        <v>1.098837681270268</v>
      </c>
      <c r="AM36" s="115">
        <f t="shared" si="191"/>
        <v>1.1333551862719433</v>
      </c>
      <c r="AN36" s="115">
        <f t="shared" si="191"/>
        <v>1.1643356897299235</v>
      </c>
      <c r="AO36" s="115">
        <f t="shared" si="191"/>
        <v>1.1980573168234954</v>
      </c>
      <c r="AP36" s="115">
        <f t="shared" si="191"/>
        <v>1.230594031322491</v>
      </c>
      <c r="AQ36" s="115">
        <f t="shared" si="191"/>
        <v>1.25877805295653</v>
      </c>
      <c r="AR36" s="115">
        <f t="shared" si="191"/>
        <v>1.2898201531700975</v>
      </c>
      <c r="AS36" s="115">
        <f t="shared" si="191"/>
        <v>1.3151769703837655</v>
      </c>
      <c r="AT36" s="115">
        <f t="shared" si="191"/>
        <v>1.3434748261788181</v>
      </c>
      <c r="AU36" s="115">
        <f t="shared" si="191"/>
        <v>1.3707845882486138</v>
      </c>
      <c r="AV36" s="115">
        <f t="shared" si="191"/>
        <v>1.3962440358625756</v>
      </c>
      <c r="AW36" s="115">
        <f t="shared" si="191"/>
        <v>1.4204905112874515</v>
      </c>
      <c r="AX36" s="115">
        <f t="shared" si="191"/>
        <v>1.4434197840759082</v>
      </c>
      <c r="AY36" s="115">
        <f t="shared" si="191"/>
        <v>1.4641996455827908</v>
      </c>
      <c r="AZ36" s="169">
        <f t="shared" si="191"/>
        <v>1.4834503847325724</v>
      </c>
      <c r="BA36" s="136">
        <v>0</v>
      </c>
      <c r="BB36" s="170">
        <f t="shared" si="191"/>
        <v>1.4638512217573703</v>
      </c>
      <c r="BC36" s="149">
        <f t="shared" si="191"/>
        <v>1.4767759282456547</v>
      </c>
      <c r="BD36" s="149">
        <f t="shared" si="191"/>
        <v>1.4872269348401286</v>
      </c>
      <c r="BE36" s="149">
        <f t="shared" si="191"/>
        <v>1.5080184446477354</v>
      </c>
      <c r="BF36" s="149">
        <f t="shared" si="191"/>
        <v>1.5279256892956639</v>
      </c>
      <c r="BG36" s="149">
        <f t="shared" si="191"/>
        <v>1.5397896971590186</v>
      </c>
      <c r="BH36" s="149">
        <f t="shared" si="191"/>
        <v>1.5567703640010737</v>
      </c>
      <c r="BI36" s="149">
        <f t="shared" si="191"/>
        <v>1.5726897843305634</v>
      </c>
      <c r="BJ36" s="149">
        <f t="shared" si="191"/>
        <v>1.5874948334423751</v>
      </c>
      <c r="BK36" s="149">
        <f t="shared" si="191"/>
        <v>1.6005638232576938</v>
      </c>
      <c r="BL36" s="149">
        <f t="shared" si="191"/>
        <v>1.6049855194787468</v>
      </c>
      <c r="BM36" s="149">
        <f t="shared" si="191"/>
        <v>1.6151835357682431</v>
      </c>
      <c r="BN36" s="149">
        <f t="shared" si="191"/>
        <v>1.624065309288073</v>
      </c>
      <c r="BO36" s="149">
        <f t="shared" si="191"/>
        <v>1.639056681373809</v>
      </c>
      <c r="BP36" s="149">
        <f t="shared" si="191"/>
        <v>1.6532265262692467</v>
      </c>
      <c r="BQ36" s="149">
        <f t="shared" ref="BQ36:EB36" si="192">BQ34*BQ35</f>
        <v>1.6665403195940414</v>
      </c>
      <c r="BR36" s="149">
        <f t="shared" si="192"/>
        <v>1.6789640008207636</v>
      </c>
      <c r="BS36" s="149">
        <f t="shared" si="192"/>
        <v>1.6904640476120993</v>
      </c>
      <c r="BT36" s="149">
        <f t="shared" si="192"/>
        <v>1.7005118899522849</v>
      </c>
      <c r="BU36" s="149">
        <f t="shared" si="192"/>
        <v>1.7095731100983165</v>
      </c>
      <c r="BV36" s="149">
        <f t="shared" si="192"/>
        <v>1.7176172571045174</v>
      </c>
      <c r="BW36" s="149">
        <f t="shared" si="192"/>
        <v>1.724614726550094</v>
      </c>
      <c r="BX36" s="149">
        <f t="shared" si="192"/>
        <v>1.7300746508710168</v>
      </c>
      <c r="BY36" s="149">
        <f t="shared" si="192"/>
        <v>1.7443476482099647</v>
      </c>
      <c r="BZ36" s="149">
        <f t="shared" si="192"/>
        <v>1.7580906710059778</v>
      </c>
      <c r="CA36" s="149">
        <f t="shared" si="192"/>
        <v>1.7712839906251225</v>
      </c>
      <c r="CB36" s="149">
        <f t="shared" si="192"/>
        <v>1.7839080310914897</v>
      </c>
      <c r="CC36" s="149">
        <f t="shared" si="192"/>
        <v>1.7955030540076808</v>
      </c>
      <c r="CD36" s="149">
        <f t="shared" si="192"/>
        <v>1.8064898226952995</v>
      </c>
      <c r="CE36" s="149">
        <f t="shared" si="192"/>
        <v>1.8168499330037686</v>
      </c>
      <c r="CF36" s="149">
        <f t="shared" si="192"/>
        <v>1.8265652483816326</v>
      </c>
      <c r="CG36" s="149">
        <f t="shared" si="192"/>
        <v>1.8356179263640919</v>
      </c>
      <c r="CH36" s="149">
        <f t="shared" si="192"/>
        <v>1.8439904451167823</v>
      </c>
      <c r="CI36" s="149">
        <f t="shared" si="192"/>
        <v>1.8635352814665112</v>
      </c>
      <c r="CJ36" s="149">
        <f t="shared" si="192"/>
        <v>1.8825708111023103</v>
      </c>
      <c r="CK36" s="149">
        <f t="shared" si="192"/>
        <v>1.9014999571699871</v>
      </c>
      <c r="CL36" s="149">
        <f t="shared" si="192"/>
        <v>1.9203145836279207</v>
      </c>
      <c r="CM36" s="149">
        <f t="shared" si="192"/>
        <v>1.9390064768802473</v>
      </c>
      <c r="CN36" s="149">
        <f t="shared" si="192"/>
        <v>1.9575673493368078</v>
      </c>
      <c r="CO36" s="149">
        <f t="shared" si="192"/>
        <v>1.9759888430834802</v>
      </c>
      <c r="CP36" s="149">
        <f t="shared" si="192"/>
        <v>1.9938474099551347</v>
      </c>
      <c r="CQ36" s="149">
        <f t="shared" si="192"/>
        <v>2.0115449559460856</v>
      </c>
      <c r="CR36" s="149">
        <f t="shared" si="192"/>
        <v>2.0290731123881076</v>
      </c>
      <c r="CS36" s="149">
        <f t="shared" si="192"/>
        <v>2.0464234617282977</v>
      </c>
      <c r="CT36" s="149">
        <f t="shared" si="192"/>
        <v>2.0635875416634013</v>
      </c>
      <c r="CU36" s="149">
        <f t="shared" si="192"/>
        <v>2.0805568493690219</v>
      </c>
      <c r="CV36" s="149">
        <f t="shared" si="192"/>
        <v>2.0973228458217061</v>
      </c>
      <c r="CW36" s="149">
        <f t="shared" si="192"/>
        <v>2.1138769602118068</v>
      </c>
      <c r="CX36" s="149">
        <f t="shared" si="192"/>
        <v>2.1297999644471441</v>
      </c>
      <c r="CY36" s="173">
        <f t="shared" si="192"/>
        <v>2.1454905837725113</v>
      </c>
      <c r="CZ36" s="136">
        <v>0</v>
      </c>
      <c r="DA36" s="174">
        <f t="shared" si="192"/>
        <v>2.1412140821008765</v>
      </c>
      <c r="DB36" s="159">
        <f t="shared" si="192"/>
        <v>2.1559170615818175</v>
      </c>
      <c r="DC36" s="159">
        <f t="shared" si="192"/>
        <v>2.1703581453977518</v>
      </c>
      <c r="DD36" s="159">
        <f t="shared" si="192"/>
        <v>2.184529025673525</v>
      </c>
      <c r="DE36" s="159">
        <f t="shared" si="192"/>
        <v>2.1984214050279709</v>
      </c>
      <c r="DF36" s="159">
        <f t="shared" si="192"/>
        <v>2.211633271903449</v>
      </c>
      <c r="DG36" s="159">
        <f t="shared" si="192"/>
        <v>2.2412742419613738</v>
      </c>
      <c r="DH36" s="159">
        <f t="shared" si="192"/>
        <v>2.2543623761048157</v>
      </c>
      <c r="DI36" s="159">
        <f t="shared" si="192"/>
        <v>2.2671415772951589</v>
      </c>
      <c r="DJ36" s="159">
        <f t="shared" si="192"/>
        <v>2.2796037489433942</v>
      </c>
      <c r="DK36" s="159">
        <f t="shared" si="192"/>
        <v>2.2917408337451746</v>
      </c>
      <c r="DL36" s="159">
        <f t="shared" si="192"/>
        <v>2.3035448187610004</v>
      </c>
      <c r="DM36" s="159">
        <f t="shared" si="192"/>
        <v>2.3146226128718004</v>
      </c>
      <c r="DN36" s="159">
        <f t="shared" si="192"/>
        <v>2.325350757169812</v>
      </c>
      <c r="DO36" s="159">
        <f t="shared" si="192"/>
        <v>2.3542590949919009</v>
      </c>
      <c r="DP36" s="159">
        <f t="shared" si="192"/>
        <v>2.3647588883285846</v>
      </c>
      <c r="DQ36" s="159">
        <f t="shared" si="192"/>
        <v>2.3748893038404542</v>
      </c>
      <c r="DR36" s="159">
        <f t="shared" si="192"/>
        <v>2.3846427583122991</v>
      </c>
      <c r="DS36" s="159">
        <f t="shared" si="192"/>
        <v>2.3940117469793045</v>
      </c>
      <c r="DT36" s="159">
        <f t="shared" si="192"/>
        <v>2.4223095038087679</v>
      </c>
      <c r="DU36" s="159">
        <f t="shared" si="192"/>
        <v>2.4310153908205385</v>
      </c>
      <c r="DV36" s="159">
        <f t="shared" si="192"/>
        <v>2.4393177404910493</v>
      </c>
      <c r="DW36" s="159">
        <f t="shared" si="192"/>
        <v>2.4472094509635824</v>
      </c>
      <c r="DX36" s="159">
        <f t="shared" si="192"/>
        <v>2.454683521925336</v>
      </c>
      <c r="DY36" s="159">
        <f t="shared" si="192"/>
        <v>2.4617330596463143</v>
      </c>
      <c r="DZ36" s="159">
        <f t="shared" si="192"/>
        <v>2.4683512820045368</v>
      </c>
      <c r="EA36" s="159">
        <f t="shared" si="192"/>
        <v>2.4955031461065866</v>
      </c>
      <c r="EB36" s="159">
        <f t="shared" si="192"/>
        <v>2.1921182166175264</v>
      </c>
      <c r="EC36" s="159">
        <f t="shared" ref="EC36:EX36" si="193">EC34*EC35</f>
        <v>2.1968846039276047</v>
      </c>
      <c r="ED36" s="159">
        <f t="shared" si="193"/>
        <v>1.8901412935030988</v>
      </c>
      <c r="EE36" s="159">
        <f t="shared" si="193"/>
        <v>1.893545758522976</v>
      </c>
      <c r="EF36" s="159">
        <f t="shared" si="193"/>
        <v>1.8965992639742819</v>
      </c>
      <c r="EG36" s="159">
        <f t="shared" si="193"/>
        <v>1.8992974022129114</v>
      </c>
      <c r="EH36" s="159">
        <f t="shared" si="193"/>
        <v>1.9013807816027264</v>
      </c>
      <c r="EI36" s="159">
        <f t="shared" si="193"/>
        <v>1.6036649468393922</v>
      </c>
      <c r="EJ36" s="159">
        <f t="shared" si="193"/>
        <v>1.6051167362248326</v>
      </c>
      <c r="EK36" s="159">
        <f t="shared" si="193"/>
        <v>1.2881816709865186</v>
      </c>
      <c r="EL36" s="159">
        <f t="shared" si="193"/>
        <v>1.2888483063119804</v>
      </c>
      <c r="EM36" s="159">
        <f t="shared" si="193"/>
        <v>1.2892623473412648</v>
      </c>
      <c r="EN36" s="159">
        <f t="shared" si="193"/>
        <v>1.3017016038353926</v>
      </c>
      <c r="EO36" s="159">
        <f t="shared" si="193"/>
        <v>1.301862191115982</v>
      </c>
      <c r="EP36" s="159">
        <f t="shared" si="193"/>
        <v>0.97939712572032023</v>
      </c>
      <c r="EQ36" s="159">
        <f t="shared" si="193"/>
        <v>0.97912536992444743</v>
      </c>
      <c r="ER36" s="159">
        <f t="shared" si="193"/>
        <v>0.66187440390966013</v>
      </c>
      <c r="ES36" s="159">
        <f t="shared" si="193"/>
        <v>0.66147571468451072</v>
      </c>
      <c r="ET36" s="159">
        <f t="shared" si="193"/>
        <v>0.66748651574403517</v>
      </c>
      <c r="EU36" s="159">
        <f t="shared" si="193"/>
        <v>0.66694848633172832</v>
      </c>
      <c r="EV36" s="159">
        <f t="shared" si="193"/>
        <v>0.66627378596888731</v>
      </c>
      <c r="EW36" s="159">
        <f t="shared" si="193"/>
        <v>0.33904645178173293</v>
      </c>
      <c r="EX36" s="159">
        <f t="shared" si="193"/>
        <v>0.33863310993356072</v>
      </c>
      <c r="EY36" s="162">
        <f t="shared" ref="EY36" si="194">EY34*EY35</f>
        <v>-6.845541933200597E-4</v>
      </c>
      <c r="EZ36" s="131"/>
      <c r="FA36" s="131"/>
      <c r="FB36" s="131"/>
      <c r="FC36" s="131"/>
      <c r="FD36" s="131"/>
      <c r="FE36" s="131"/>
      <c r="FF36" s="131"/>
      <c r="FG36" s="131"/>
      <c r="FH36" s="131"/>
      <c r="FI36" s="131"/>
      <c r="FJ36" s="131"/>
      <c r="FK36" s="131"/>
      <c r="FL36" s="131"/>
      <c r="FM36" s="131"/>
      <c r="FN36" s="131"/>
      <c r="FO36" s="131"/>
      <c r="FP36" s="131"/>
      <c r="FQ36" s="131"/>
      <c r="FR36" s="131"/>
      <c r="FS36" s="131"/>
      <c r="FT36" s="131"/>
      <c r="FU36" s="131"/>
      <c r="FV36" s="131"/>
      <c r="FW36" s="131"/>
      <c r="FX36" s="131"/>
      <c r="FY36" s="131"/>
      <c r="FZ36" s="131"/>
      <c r="GA36" s="131"/>
      <c r="GB36" s="131"/>
      <c r="GC36" s="131"/>
      <c r="GD36" s="131"/>
      <c r="GE36" s="131"/>
      <c r="GF36" s="131"/>
      <c r="GG36" s="131"/>
      <c r="GH36" s="131"/>
      <c r="GI36" s="131"/>
      <c r="GJ36" s="131"/>
      <c r="GK36" s="131"/>
      <c r="GL36" s="131"/>
      <c r="GM36" s="131"/>
      <c r="GN36" s="131"/>
      <c r="GO36" s="131"/>
      <c r="GP36" s="131"/>
      <c r="GQ36" s="131"/>
      <c r="GR36" s="131"/>
      <c r="GS36" s="131"/>
      <c r="GT36" s="131"/>
      <c r="GU36" s="131"/>
      <c r="GV36" s="131"/>
      <c r="GW36" s="131"/>
      <c r="GX36" s="131"/>
      <c r="GY36" s="131"/>
      <c r="GZ36" s="131"/>
      <c r="HA36" s="131"/>
      <c r="HB36" s="131"/>
      <c r="HC36" s="131"/>
      <c r="HD36" s="131"/>
      <c r="HE36" s="131"/>
      <c r="HF36" s="131"/>
      <c r="HG36" s="131"/>
      <c r="HH36" s="131"/>
      <c r="HI36" s="131"/>
      <c r="HJ36" s="131"/>
      <c r="HK36" s="131"/>
      <c r="HL36" s="131"/>
      <c r="HM36" s="131"/>
      <c r="HN36" s="131"/>
      <c r="HO36" s="131"/>
      <c r="HP36" s="131"/>
      <c r="HQ36" s="22"/>
      <c r="HR36" s="22"/>
      <c r="HS36" s="22"/>
      <c r="HT36" s="22"/>
      <c r="HU36" s="22"/>
      <c r="HV36" s="22"/>
      <c r="HW36" s="22"/>
      <c r="HX36" s="22"/>
      <c r="HY36" s="22"/>
      <c r="HZ36" s="22"/>
      <c r="IA36" s="22"/>
      <c r="IB36" s="22"/>
      <c r="IC36" s="22"/>
      <c r="ID36" s="22"/>
      <c r="IE36" s="22"/>
      <c r="IF36" s="22"/>
      <c r="IG36" s="22"/>
      <c r="IH36" s="22"/>
      <c r="II36" s="22"/>
      <c r="IJ36" s="22"/>
      <c r="IK36" s="22"/>
      <c r="IL36" s="22"/>
      <c r="IM36" s="22"/>
      <c r="IN36" s="22"/>
      <c r="IO36" s="22"/>
      <c r="IP36" s="22"/>
      <c r="IQ36" s="22"/>
      <c r="IR36" s="22"/>
      <c r="IS36" s="22"/>
      <c r="IT36" s="22"/>
      <c r="IU36" s="22"/>
      <c r="IV36" s="22"/>
      <c r="IW36" s="22"/>
      <c r="IX36" s="22"/>
      <c r="IY36" s="22"/>
      <c r="IZ36" s="22"/>
      <c r="JA36" s="22"/>
      <c r="JB36" s="22"/>
      <c r="JC36" s="22"/>
      <c r="JD36" s="22"/>
      <c r="JE36" s="22"/>
      <c r="JF36" s="22"/>
      <c r="JG36" s="22"/>
      <c r="JH36" s="22"/>
      <c r="JI36" s="22"/>
      <c r="JJ36" s="22"/>
      <c r="JK36" s="22"/>
      <c r="JL36" s="22"/>
      <c r="JM36" s="22"/>
      <c r="JN36" s="23"/>
      <c r="JO36" s="23"/>
      <c r="JP36" s="22"/>
      <c r="JQ36" s="22"/>
      <c r="JR36" s="22"/>
      <c r="JS36" s="22"/>
      <c r="JT36" s="22"/>
      <c r="JU36" s="22"/>
      <c r="JV36" s="22"/>
      <c r="JW36" s="22"/>
      <c r="JX36" s="22"/>
      <c r="JY36" s="22"/>
      <c r="JZ36" s="22"/>
      <c r="KA36" s="22"/>
      <c r="KB36" s="22"/>
      <c r="KC36" s="22"/>
      <c r="KD36" s="22"/>
      <c r="KE36" s="22"/>
      <c r="KF36" s="22"/>
      <c r="KG36" s="22"/>
      <c r="KH36" s="22"/>
      <c r="KI36" s="22"/>
      <c r="KJ36" s="22"/>
      <c r="KK36" s="22"/>
      <c r="KL36" s="22"/>
      <c r="KM36" s="22"/>
      <c r="KN36" s="22"/>
      <c r="KO36" s="22"/>
      <c r="KP36" s="22"/>
      <c r="KQ36" s="22"/>
      <c r="KR36" s="22"/>
      <c r="KS36" s="22"/>
      <c r="KT36" s="22"/>
      <c r="KU36" s="22"/>
      <c r="KV36" s="22"/>
      <c r="KW36" s="22"/>
      <c r="KX36" s="22"/>
      <c r="KY36" s="22"/>
      <c r="KZ36" s="22"/>
      <c r="LA36" s="22"/>
      <c r="LB36" s="22"/>
      <c r="LC36" s="22"/>
      <c r="LD36" s="22"/>
      <c r="LE36" s="22"/>
      <c r="LF36" s="22"/>
      <c r="LG36" s="22"/>
      <c r="LH36" s="22"/>
      <c r="LI36" s="22"/>
      <c r="LJ36" s="22"/>
      <c r="LK36" s="22"/>
      <c r="LL36" s="22"/>
      <c r="LM36" s="22"/>
      <c r="LN36" s="22"/>
      <c r="LO36" s="22"/>
      <c r="LP36" s="22"/>
      <c r="LQ36" s="22"/>
      <c r="LR36" s="22"/>
      <c r="LS36" s="22"/>
      <c r="LT36" s="22"/>
      <c r="LU36" s="22"/>
      <c r="LV36" s="22"/>
      <c r="LW36" s="22"/>
      <c r="LX36" s="22"/>
      <c r="LY36" s="22"/>
      <c r="LZ36" s="22"/>
      <c r="MA36" s="22"/>
      <c r="MB36" s="23"/>
      <c r="MC36" s="23"/>
      <c r="MD36" s="22"/>
      <c r="ME36" s="22"/>
      <c r="MF36" s="22"/>
      <c r="MG36" s="22"/>
      <c r="MH36" s="22"/>
      <c r="MI36" s="22"/>
      <c r="MJ36" s="22"/>
      <c r="MK36" s="22"/>
      <c r="ML36" s="22"/>
      <c r="MM36" s="22"/>
      <c r="MN36" s="22"/>
      <c r="MO36" s="22"/>
      <c r="MP36" s="22"/>
      <c r="MQ36" s="22"/>
      <c r="MR36" s="22"/>
      <c r="MS36" s="22"/>
      <c r="MT36" s="22"/>
      <c r="MU36" s="22"/>
      <c r="MV36" s="22"/>
      <c r="MW36" s="22"/>
      <c r="MX36" s="22"/>
      <c r="MY36" s="22"/>
      <c r="MZ36" s="22"/>
      <c r="NA36" s="22"/>
      <c r="NB36" s="22"/>
      <c r="NC36" s="22"/>
      <c r="ND36" s="22"/>
      <c r="NE36" s="22"/>
      <c r="NF36" s="22"/>
      <c r="NG36" s="22"/>
      <c r="NH36" s="22"/>
      <c r="NI36" s="22"/>
      <c r="NJ36" s="22"/>
      <c r="NK36" s="22"/>
      <c r="NL36" s="22"/>
      <c r="NM36" s="22"/>
      <c r="NN36" s="22"/>
      <c r="NO36" s="22"/>
      <c r="NP36" s="22"/>
      <c r="NQ36" s="22"/>
      <c r="NR36" s="22"/>
      <c r="NS36" s="22"/>
      <c r="NT36" s="22"/>
      <c r="NU36" s="22"/>
      <c r="NV36" s="22"/>
      <c r="NW36" s="22"/>
      <c r="NX36" s="22"/>
      <c r="NY36" s="22"/>
      <c r="NZ36" s="22"/>
      <c r="OA36" s="22"/>
      <c r="OB36" s="22"/>
      <c r="OC36" s="22"/>
      <c r="OD36" s="22"/>
      <c r="OE36" s="22"/>
      <c r="OF36" s="22"/>
      <c r="OG36" s="22"/>
      <c r="OH36" s="22"/>
      <c r="OI36" s="22"/>
      <c r="OJ36" s="22"/>
      <c r="OK36" s="22"/>
      <c r="OL36" s="22"/>
      <c r="OM36" s="22"/>
      <c r="ON36" s="22"/>
      <c r="OO36" s="22"/>
      <c r="OP36" s="23"/>
      <c r="OQ36" s="30"/>
      <c r="OR36" s="30"/>
      <c r="OS36" s="30"/>
      <c r="OT36" s="30"/>
      <c r="OU36" s="30"/>
      <c r="OV36" s="30"/>
      <c r="OW36" s="30"/>
      <c r="OX36" s="30"/>
      <c r="OY36" s="30"/>
      <c r="OZ36" s="30"/>
      <c r="PA36" s="30"/>
      <c r="PB36" s="30"/>
      <c r="PC36" s="30"/>
      <c r="PD36" s="30"/>
      <c r="PE36" s="30"/>
      <c r="PF36" s="30"/>
      <c r="PG36" s="30"/>
      <c r="PH36" s="30"/>
      <c r="PI36" s="30"/>
      <c r="PJ36" s="30"/>
      <c r="PK36" s="30"/>
      <c r="PL36" s="30"/>
      <c r="PM36" s="30"/>
      <c r="PN36" s="30"/>
      <c r="PO36" s="30"/>
      <c r="PP36" s="30"/>
      <c r="PQ36" s="30"/>
      <c r="PR36" s="30"/>
      <c r="PS36" s="30"/>
      <c r="PT36" s="30"/>
      <c r="PU36" s="30"/>
      <c r="PV36" s="30"/>
      <c r="PW36" s="30"/>
      <c r="PX36" s="30"/>
      <c r="PY36" s="30"/>
      <c r="PZ36" s="30"/>
      <c r="QA36" s="30"/>
      <c r="QB36" s="30"/>
      <c r="QC36" s="30"/>
      <c r="QD36" s="30"/>
      <c r="QE36" s="30"/>
      <c r="QF36" s="30"/>
      <c r="QG36" s="30"/>
      <c r="QH36" s="30"/>
      <c r="QI36" s="30"/>
      <c r="QJ36" s="30"/>
      <c r="QK36" s="30"/>
      <c r="QL36" s="30"/>
      <c r="QM36" s="30"/>
      <c r="QN36" s="30"/>
      <c r="QO36" s="30"/>
      <c r="QP36" s="30"/>
      <c r="QQ36" s="30"/>
      <c r="QR36" s="30"/>
      <c r="QS36" s="30"/>
      <c r="QT36" s="30"/>
      <c r="QU36" s="30"/>
      <c r="QV36" s="30"/>
      <c r="QW36" s="30"/>
      <c r="QX36" s="30"/>
      <c r="QY36" s="30"/>
      <c r="QZ36" s="30"/>
      <c r="RA36" s="30"/>
      <c r="RB36" s="30"/>
      <c r="RC36" s="30"/>
      <c r="RD36" s="30"/>
      <c r="RE36" s="30"/>
      <c r="RF36" s="30"/>
      <c r="RG36" s="30"/>
      <c r="RH36" s="30"/>
      <c r="RI36" s="30"/>
      <c r="RJ36" s="30"/>
      <c r="RK36" s="30"/>
      <c r="RL36" s="30"/>
      <c r="RM36" s="30"/>
      <c r="RN36" s="30"/>
      <c r="RO36" s="30"/>
      <c r="RP36" s="30"/>
      <c r="RQ36" s="30"/>
      <c r="RR36" s="30"/>
      <c r="RS36" s="30"/>
      <c r="RT36" s="30"/>
      <c r="RU36" s="30"/>
      <c r="RV36" s="30"/>
      <c r="RW36" s="30"/>
      <c r="RX36" s="30"/>
      <c r="RY36" s="30"/>
      <c r="RZ36" s="30"/>
      <c r="SA36" s="30"/>
      <c r="SB36" s="30"/>
      <c r="SC36" s="9"/>
      <c r="SD36" s="9"/>
      <c r="SE36" s="9"/>
      <c r="SF36" s="9"/>
      <c r="SG36" s="9"/>
      <c r="SH36" s="9"/>
      <c r="SI36" s="9"/>
      <c r="SJ36" s="9"/>
      <c r="SK36" s="9"/>
      <c r="SL36" s="9"/>
      <c r="SM36" s="9"/>
      <c r="SN36" s="9"/>
      <c r="SO36" s="9"/>
      <c r="SP36" s="9"/>
      <c r="SQ36" s="9"/>
      <c r="SR36" s="9"/>
      <c r="SS36" s="9"/>
      <c r="ST36" s="9"/>
      <c r="SU36" s="9"/>
      <c r="SV36" s="9"/>
      <c r="SW36" s="9"/>
      <c r="SX36" s="9"/>
      <c r="SY36" s="9"/>
      <c r="SZ36" s="9"/>
      <c r="TA36" s="9"/>
      <c r="TB36" s="9"/>
    </row>
    <row r="37" spans="1:1013" s="1" customFormat="1" ht="22.15" customHeight="1" thickBot="1" x14ac:dyDescent="0.3">
      <c r="A37" s="301"/>
      <c r="B37" s="25" t="s">
        <v>13</v>
      </c>
      <c r="C37" s="117">
        <f>'AlltechCoppens_GC_26-28°C'!E180</f>
        <v>0.56000000000000005</v>
      </c>
      <c r="D37" s="114">
        <f>'AlltechCoppens_GC_26-28°C'!F180</f>
        <v>0.56000000000000005</v>
      </c>
      <c r="E37" s="114">
        <f>'AlltechCoppens_GC_26-28°C'!G180</f>
        <v>0.56999999999999995</v>
      </c>
      <c r="F37" s="114">
        <f>'AlltechCoppens_GC_26-28°C'!H180</f>
        <v>0.56999999999999995</v>
      </c>
      <c r="G37" s="114">
        <f>'AlltechCoppens_GC_26-28°C'!I180</f>
        <v>0.56999999999999995</v>
      </c>
      <c r="H37" s="114">
        <f>'AlltechCoppens_GC_26-28°C'!J180</f>
        <v>0.57999999999999996</v>
      </c>
      <c r="I37" s="114">
        <f>'AlltechCoppens_GC_26-28°C'!K180</f>
        <v>0.57999999999999996</v>
      </c>
      <c r="J37" s="114">
        <f>'AlltechCoppens_GC_26-28°C'!L180</f>
        <v>0.59</v>
      </c>
      <c r="K37" s="114">
        <f>'AlltechCoppens_GC_26-28°C'!M180</f>
        <v>0.59</v>
      </c>
      <c r="L37" s="114">
        <f>'AlltechCoppens_GC_26-28°C'!N180</f>
        <v>0.59</v>
      </c>
      <c r="M37" s="114">
        <f>'AlltechCoppens_GC_26-28°C'!O180</f>
        <v>0.6</v>
      </c>
      <c r="N37" s="114">
        <f>'AlltechCoppens_GC_26-28°C'!P180</f>
        <v>0.6</v>
      </c>
      <c r="O37" s="114">
        <f>'AlltechCoppens_GC_26-28°C'!Q180</f>
        <v>0.61</v>
      </c>
      <c r="P37" s="114">
        <f>'AlltechCoppens_GC_26-28°C'!R180</f>
        <v>0.61</v>
      </c>
      <c r="Q37" s="114">
        <f>'AlltechCoppens_GC_26-28°C'!S180</f>
        <v>0.62</v>
      </c>
      <c r="R37" s="114">
        <f>'AlltechCoppens_GC_26-28°C'!T180</f>
        <v>0.62</v>
      </c>
      <c r="S37" s="114">
        <f>'AlltechCoppens_GC_26-28°C'!U180</f>
        <v>0.63</v>
      </c>
      <c r="T37" s="114">
        <f>'AlltechCoppens_GC_26-28°C'!V180</f>
        <v>0.63</v>
      </c>
      <c r="U37" s="114">
        <f>'AlltechCoppens_GC_26-28°C'!W180</f>
        <v>0.64</v>
      </c>
      <c r="V37" s="114">
        <f>'AlltechCoppens_GC_26-28°C'!X180</f>
        <v>0.64</v>
      </c>
      <c r="W37" s="114">
        <f>'AlltechCoppens_GC_26-28°C'!Y180</f>
        <v>0.65</v>
      </c>
      <c r="X37" s="114">
        <f>'AlltechCoppens_GC_26-28°C'!Z180</f>
        <v>0.65</v>
      </c>
      <c r="Y37" s="114">
        <f>'AlltechCoppens_GC_26-28°C'!AA180</f>
        <v>0.66</v>
      </c>
      <c r="Z37" s="114">
        <f>'AlltechCoppens_GC_26-28°C'!AB180</f>
        <v>0.66</v>
      </c>
      <c r="AA37" s="114">
        <f>'AlltechCoppens_GC_26-28°C'!AC180</f>
        <v>0.66</v>
      </c>
      <c r="AB37" s="114">
        <f>'AlltechCoppens_GC_26-28°C'!AD180</f>
        <v>0.67</v>
      </c>
      <c r="AC37" s="114">
        <f>'AlltechCoppens_GC_26-28°C'!AE180</f>
        <v>0.67</v>
      </c>
      <c r="AD37" s="114">
        <f>'AlltechCoppens_GC_26-28°C'!AF180</f>
        <v>0.68</v>
      </c>
      <c r="AE37" s="114">
        <f>'AlltechCoppens_GC_26-28°C'!AG180</f>
        <v>0.68</v>
      </c>
      <c r="AF37" s="114">
        <f>'AlltechCoppens_GC_26-28°C'!AH180</f>
        <v>0.68</v>
      </c>
      <c r="AG37" s="114">
        <f>'AlltechCoppens_GC_26-28°C'!AI180</f>
        <v>0.69</v>
      </c>
      <c r="AH37" s="114">
        <f>'AlltechCoppens_GC_26-28°C'!AJ180</f>
        <v>0.69</v>
      </c>
      <c r="AI37" s="114">
        <f>'AlltechCoppens_GC_26-28°C'!AK180</f>
        <v>0.69</v>
      </c>
      <c r="AJ37" s="114">
        <f>'AlltechCoppens_GC_26-28°C'!AL180</f>
        <v>0.7</v>
      </c>
      <c r="AK37" s="114">
        <f>'AlltechCoppens_GC_26-28°C'!AM180</f>
        <v>0.7</v>
      </c>
      <c r="AL37" s="114">
        <f>'AlltechCoppens_GC_26-28°C'!AN180</f>
        <v>0.71</v>
      </c>
      <c r="AM37" s="114">
        <f>'AlltechCoppens_GC_26-28°C'!AO180</f>
        <v>0.71</v>
      </c>
      <c r="AN37" s="114">
        <f>'AlltechCoppens_GC_26-28°C'!AP180</f>
        <v>0.71</v>
      </c>
      <c r="AO37" s="114">
        <f>'AlltechCoppens_GC_26-28°C'!AQ180</f>
        <v>0.72</v>
      </c>
      <c r="AP37" s="114">
        <f>'AlltechCoppens_GC_26-28°C'!AR180</f>
        <v>0.72</v>
      </c>
      <c r="AQ37" s="114">
        <f>'AlltechCoppens_GC_26-28°C'!AS180</f>
        <v>0.72</v>
      </c>
      <c r="AR37" s="114">
        <f>'AlltechCoppens_GC_26-28°C'!AT180</f>
        <v>0.73</v>
      </c>
      <c r="AS37" s="114">
        <f>'AlltechCoppens_GC_26-28°C'!AU180</f>
        <v>0.73</v>
      </c>
      <c r="AT37" s="114">
        <f>'AlltechCoppens_GC_26-28°C'!AV180</f>
        <v>0.73</v>
      </c>
      <c r="AU37" s="114">
        <f>'AlltechCoppens_GC_26-28°C'!AW180</f>
        <v>0.74</v>
      </c>
      <c r="AV37" s="114">
        <f>'AlltechCoppens_GC_26-28°C'!AX180</f>
        <v>0.74</v>
      </c>
      <c r="AW37" s="114">
        <f>'AlltechCoppens_GC_26-28°C'!AY180</f>
        <v>0.74</v>
      </c>
      <c r="AX37" s="114">
        <f>'AlltechCoppens_GC_26-28°C'!AZ180</f>
        <v>0.75</v>
      </c>
      <c r="AY37" s="114">
        <f>'AlltechCoppens_GC_26-28°C'!BA180</f>
        <v>0.75</v>
      </c>
      <c r="AZ37" s="114">
        <f>'AlltechCoppens_GC_26-28°C'!BB180</f>
        <v>0.76</v>
      </c>
      <c r="BA37" s="172">
        <f>'AlltechCoppens_GC_26-28°C'!BC180</f>
        <v>0.76</v>
      </c>
      <c r="BB37" s="151">
        <f>'AlltechCoppens_GC_26-28°C'!BD180</f>
        <v>0.76</v>
      </c>
      <c r="BC37" s="151">
        <f>'AlltechCoppens_GC_26-28°C'!BE180</f>
        <v>0.77</v>
      </c>
      <c r="BD37" s="151">
        <f>'AlltechCoppens_GC_26-28°C'!BF180</f>
        <v>0.77</v>
      </c>
      <c r="BE37" s="151">
        <f>'AlltechCoppens_GC_26-28°C'!BG180</f>
        <v>0.77</v>
      </c>
      <c r="BF37" s="151">
        <f>'AlltechCoppens_GC_26-28°C'!BH180</f>
        <v>0.78</v>
      </c>
      <c r="BG37" s="151">
        <f>'AlltechCoppens_GC_26-28°C'!BI180</f>
        <v>0.78</v>
      </c>
      <c r="BH37" s="151">
        <f>'AlltechCoppens_GC_26-28°C'!BJ180</f>
        <v>0.78</v>
      </c>
      <c r="BI37" s="151">
        <f>'AlltechCoppens_GC_26-28°C'!BK180</f>
        <v>0.78</v>
      </c>
      <c r="BJ37" s="151">
        <f>'AlltechCoppens_GC_26-28°C'!BL180</f>
        <v>0.79</v>
      </c>
      <c r="BK37" s="151">
        <f>'AlltechCoppens_GC_26-28°C'!BM180</f>
        <v>0.79</v>
      </c>
      <c r="BL37" s="151">
        <f>'AlltechCoppens_GC_26-28°C'!BN180</f>
        <v>0.79</v>
      </c>
      <c r="BM37" s="151">
        <f>'AlltechCoppens_GC_26-28°C'!BO180</f>
        <v>0.79</v>
      </c>
      <c r="BN37" s="151">
        <f>'AlltechCoppens_GC_26-28°C'!BP180</f>
        <v>0.8</v>
      </c>
      <c r="BO37" s="151">
        <f>'AlltechCoppens_GC_26-28°C'!BQ180</f>
        <v>0.8</v>
      </c>
      <c r="BP37" s="151">
        <f>'AlltechCoppens_GC_26-28°C'!BR180</f>
        <v>0.8</v>
      </c>
      <c r="BQ37" s="151">
        <f>'AlltechCoppens_GC_26-28°C'!BS180</f>
        <v>0.8</v>
      </c>
      <c r="BR37" s="151">
        <f>'AlltechCoppens_GC_26-28°C'!BT180</f>
        <v>0.8</v>
      </c>
      <c r="BS37" s="151">
        <f>'AlltechCoppens_GC_26-28°C'!BU180</f>
        <v>0.81</v>
      </c>
      <c r="BT37" s="151">
        <f>'AlltechCoppens_GC_26-28°C'!BV180</f>
        <v>0.81</v>
      </c>
      <c r="BU37" s="151">
        <f>'AlltechCoppens_GC_26-28°C'!BW180</f>
        <v>0.81</v>
      </c>
      <c r="BV37" s="151">
        <f>'AlltechCoppens_GC_26-28°C'!BX180</f>
        <v>0.81</v>
      </c>
      <c r="BW37" s="151">
        <f>'AlltechCoppens_GC_26-28°C'!BY180</f>
        <v>0.82</v>
      </c>
      <c r="BX37" s="151">
        <f>'AlltechCoppens_GC_26-28°C'!BZ180</f>
        <v>0.82</v>
      </c>
      <c r="BY37" s="151">
        <f>'AlltechCoppens_GC_26-28°C'!CA180</f>
        <v>0.82</v>
      </c>
      <c r="BZ37" s="151">
        <f>'AlltechCoppens_GC_26-28°C'!CB180</f>
        <v>0.82</v>
      </c>
      <c r="CA37" s="151">
        <f>'AlltechCoppens_GC_26-28°C'!CC180</f>
        <v>0.82</v>
      </c>
      <c r="CB37" s="151">
        <f>'AlltechCoppens_GC_26-28°C'!CD180</f>
        <v>0.83</v>
      </c>
      <c r="CC37" s="151">
        <f>'AlltechCoppens_GC_26-28°C'!CE180</f>
        <v>0.83</v>
      </c>
      <c r="CD37" s="151">
        <f>'AlltechCoppens_GC_26-28°C'!CF180</f>
        <v>0.83</v>
      </c>
      <c r="CE37" s="151">
        <f>'AlltechCoppens_GC_26-28°C'!CG180</f>
        <v>0.83</v>
      </c>
      <c r="CF37" s="151">
        <f>'AlltechCoppens_GC_26-28°C'!CH180</f>
        <v>0.83</v>
      </c>
      <c r="CG37" s="151">
        <f>'AlltechCoppens_GC_26-28°C'!CI180</f>
        <v>0.83</v>
      </c>
      <c r="CH37" s="151">
        <f>'AlltechCoppens_GC_26-28°C'!CJ180</f>
        <v>0.83</v>
      </c>
      <c r="CI37" s="151">
        <f>'AlltechCoppens_GC_26-28°C'!CK180</f>
        <v>0.84</v>
      </c>
      <c r="CJ37" s="151">
        <f>'AlltechCoppens_GC_26-28°C'!CL180</f>
        <v>0.84</v>
      </c>
      <c r="CK37" s="151">
        <f>'AlltechCoppens_GC_26-28°C'!CM180</f>
        <v>0.84</v>
      </c>
      <c r="CL37" s="151">
        <f>'AlltechCoppens_GC_26-28°C'!CN180</f>
        <v>0.84</v>
      </c>
      <c r="CM37" s="151">
        <f>'AlltechCoppens_GC_26-28°C'!CO180</f>
        <v>0.84</v>
      </c>
      <c r="CN37" s="151">
        <f>'AlltechCoppens_GC_26-28°C'!CP180</f>
        <v>0.84</v>
      </c>
      <c r="CO37" s="151">
        <f>'AlltechCoppens_GC_26-28°C'!CQ180</f>
        <v>0.85</v>
      </c>
      <c r="CP37" s="151">
        <f>'AlltechCoppens_GC_26-28°C'!CR180</f>
        <v>0.85</v>
      </c>
      <c r="CQ37" s="151">
        <f>'AlltechCoppens_GC_26-28°C'!CS180</f>
        <v>0.85</v>
      </c>
      <c r="CR37" s="151">
        <f>'AlltechCoppens_GC_26-28°C'!CT180</f>
        <v>0.85</v>
      </c>
      <c r="CS37" s="151">
        <f>'AlltechCoppens_GC_26-28°C'!CU180</f>
        <v>0.85</v>
      </c>
      <c r="CT37" s="151">
        <f>'AlltechCoppens_GC_26-28°C'!CV180</f>
        <v>0.85</v>
      </c>
      <c r="CU37" s="151">
        <f>'AlltechCoppens_GC_26-28°C'!CW180</f>
        <v>0.85</v>
      </c>
      <c r="CV37" s="151">
        <f>'AlltechCoppens_GC_26-28°C'!CX180</f>
        <v>0.85</v>
      </c>
      <c r="CW37" s="151">
        <f>'AlltechCoppens_GC_26-28°C'!CY180</f>
        <v>0.86</v>
      </c>
      <c r="CX37" s="151">
        <f>'AlltechCoppens_GC_26-28°C'!CZ180</f>
        <v>0.86</v>
      </c>
      <c r="CY37" s="151">
        <f>'AlltechCoppens_GC_26-28°C'!DA180</f>
        <v>0.86</v>
      </c>
      <c r="CZ37" s="176">
        <f>'AlltechCoppens_GC_26-28°C'!DB180</f>
        <v>0.86</v>
      </c>
      <c r="DA37" s="163">
        <f>'AlltechCoppens_GC_26-28°C'!DC180</f>
        <v>0.86</v>
      </c>
      <c r="DB37" s="163">
        <f>'AlltechCoppens_GC_26-28°C'!DD180</f>
        <v>0.86</v>
      </c>
      <c r="DC37" s="163">
        <f>'AlltechCoppens_GC_26-28°C'!DE180</f>
        <v>0.86</v>
      </c>
      <c r="DD37" s="163">
        <f>'AlltechCoppens_GC_26-28°C'!DF180</f>
        <v>0.86</v>
      </c>
      <c r="DE37" s="163">
        <f>'AlltechCoppens_GC_26-28°C'!DG180</f>
        <v>0.87</v>
      </c>
      <c r="DF37" s="163">
        <f>'AlltechCoppens_GC_26-28°C'!DH180</f>
        <v>0.87</v>
      </c>
      <c r="DG37" s="163">
        <f>'AlltechCoppens_GC_26-28°C'!DI180</f>
        <v>0.87</v>
      </c>
      <c r="DH37" s="163">
        <f>'AlltechCoppens_GC_26-28°C'!DJ180</f>
        <v>0.87</v>
      </c>
      <c r="DI37" s="163">
        <f>'AlltechCoppens_GC_26-28°C'!DK180</f>
        <v>0.87</v>
      </c>
      <c r="DJ37" s="163">
        <f>'AlltechCoppens_GC_26-28°C'!DL180</f>
        <v>0.87</v>
      </c>
      <c r="DK37" s="163">
        <f>'AlltechCoppens_GC_26-28°C'!DM180</f>
        <v>0.87</v>
      </c>
      <c r="DL37" s="163">
        <f>'AlltechCoppens_GC_26-28°C'!DN180</f>
        <v>0.88</v>
      </c>
      <c r="DM37" s="163">
        <f>'AlltechCoppens_GC_26-28°C'!DO180</f>
        <v>0.88</v>
      </c>
      <c r="DN37" s="163">
        <f>'AlltechCoppens_GC_26-28°C'!DP180</f>
        <v>0.88</v>
      </c>
      <c r="DO37" s="163">
        <f>'AlltechCoppens_GC_26-28°C'!DQ180</f>
        <v>0.88</v>
      </c>
      <c r="DP37" s="163">
        <f>'AlltechCoppens_GC_26-28°C'!DR180</f>
        <v>0.88</v>
      </c>
      <c r="DQ37" s="163">
        <f>'AlltechCoppens_GC_26-28°C'!DS180</f>
        <v>0.88</v>
      </c>
      <c r="DR37" s="163">
        <f>'AlltechCoppens_GC_26-28°C'!DT180</f>
        <v>0.88</v>
      </c>
      <c r="DS37" s="163">
        <f>'AlltechCoppens_GC_26-28°C'!DU180</f>
        <v>0.89</v>
      </c>
      <c r="DT37" s="163">
        <f>'AlltechCoppens_GC_26-28°C'!DV180</f>
        <v>0.89</v>
      </c>
      <c r="DU37" s="163">
        <f>'AlltechCoppens_GC_26-28°C'!DW180</f>
        <v>0.89</v>
      </c>
      <c r="DV37" s="163">
        <f>'AlltechCoppens_GC_26-28°C'!DX180</f>
        <v>0.89</v>
      </c>
      <c r="DW37" s="163">
        <f>'AlltechCoppens_GC_26-28°C'!DY180</f>
        <v>0.89</v>
      </c>
      <c r="DX37" s="163">
        <f>'AlltechCoppens_GC_26-28°C'!DZ180</f>
        <v>0.89</v>
      </c>
      <c r="DY37" s="163">
        <f>'AlltechCoppens_GC_26-28°C'!EA180</f>
        <v>0.89</v>
      </c>
      <c r="DZ37" s="163">
        <f>'AlltechCoppens_GC_26-28°C'!EB180</f>
        <v>0.9</v>
      </c>
      <c r="EA37" s="163">
        <f>'AlltechCoppens_GC_26-28°C'!EC180</f>
        <v>0.9</v>
      </c>
      <c r="EB37" s="163">
        <f>'AlltechCoppens_GC_26-28°C'!ED180</f>
        <v>0.9</v>
      </c>
      <c r="EC37" s="163">
        <f>'AlltechCoppens_GC_26-28°C'!EE180</f>
        <v>0.9</v>
      </c>
      <c r="ED37" s="163">
        <f>'AlltechCoppens_GC_26-28°C'!EF180</f>
        <v>0.9</v>
      </c>
      <c r="EE37" s="163">
        <f>'AlltechCoppens_GC_26-28°C'!EG180</f>
        <v>0.9</v>
      </c>
      <c r="EF37" s="163">
        <f>'AlltechCoppens_GC_26-28°C'!EH180</f>
        <v>0.9</v>
      </c>
      <c r="EG37" s="163">
        <f>'AlltechCoppens_GC_26-28°C'!EI180</f>
        <v>0.91</v>
      </c>
      <c r="EH37" s="163">
        <f>'AlltechCoppens_GC_26-28°C'!EJ180</f>
        <v>0.91</v>
      </c>
      <c r="EI37" s="163">
        <f>'AlltechCoppens_GC_26-28°C'!EK180</f>
        <v>0.91</v>
      </c>
      <c r="EJ37" s="163">
        <f>'AlltechCoppens_GC_26-28°C'!EL180</f>
        <v>0.91</v>
      </c>
      <c r="EK37" s="163">
        <f>'AlltechCoppens_GC_26-28°C'!EM180</f>
        <v>0.91</v>
      </c>
      <c r="EL37" s="163">
        <f>'AlltechCoppens_GC_26-28°C'!EN180</f>
        <v>0.91</v>
      </c>
      <c r="EM37" s="163">
        <f>'AlltechCoppens_GC_26-28°C'!EO180</f>
        <v>0.91</v>
      </c>
      <c r="EN37" s="163">
        <f>'AlltechCoppens_GC_26-28°C'!EP180</f>
        <v>0.91</v>
      </c>
      <c r="EO37" s="163">
        <f>'AlltechCoppens_GC_26-28°C'!EQ180</f>
        <v>0.91</v>
      </c>
      <c r="EP37" s="163">
        <f>'AlltechCoppens_GC_26-28°C'!ER180</f>
        <v>0.91</v>
      </c>
      <c r="EQ37" s="163">
        <f>'AlltechCoppens_GC_26-28°C'!ES180</f>
        <v>0.91</v>
      </c>
      <c r="ER37" s="163">
        <f>'AlltechCoppens_GC_26-28°C'!ET180</f>
        <v>0.92</v>
      </c>
      <c r="ES37" s="163">
        <f>'AlltechCoppens_GC_26-28°C'!EU180</f>
        <v>0.92</v>
      </c>
      <c r="ET37" s="163">
        <f>'AlltechCoppens_GC_26-28°C'!EV180</f>
        <v>0.92</v>
      </c>
      <c r="EU37" s="163">
        <f>'AlltechCoppens_GC_26-28°C'!EW180</f>
        <v>0.92</v>
      </c>
      <c r="EV37" s="163">
        <f>'AlltechCoppens_GC_26-28°C'!EX180</f>
        <v>0.92</v>
      </c>
      <c r="EW37" s="163">
        <f>'AlltechCoppens_GC_26-28°C'!EY180</f>
        <v>0.92</v>
      </c>
      <c r="EX37" s="163">
        <f>'AlltechCoppens_GC_26-28°C'!EZ180</f>
        <v>0.92</v>
      </c>
      <c r="EY37" s="117">
        <f>'AlltechCoppens_GC_26-28°C'!FA180</f>
        <v>0.92</v>
      </c>
      <c r="EZ37" s="23"/>
      <c r="FA37" s="23"/>
      <c r="FB37" s="23"/>
      <c r="FC37" s="23"/>
      <c r="FD37" s="23"/>
      <c r="FE37" s="23"/>
      <c r="FF37" s="23"/>
      <c r="FG37" s="23"/>
      <c r="FH37" s="23"/>
      <c r="FI37" s="23"/>
      <c r="FJ37" s="23"/>
      <c r="FK37" s="23"/>
      <c r="FL37" s="23"/>
      <c r="FM37" s="23"/>
      <c r="FN37" s="23"/>
      <c r="FO37" s="23"/>
      <c r="FP37" s="23"/>
      <c r="FQ37" s="23"/>
      <c r="FR37" s="23"/>
      <c r="FS37" s="23"/>
      <c r="FT37" s="23"/>
      <c r="FU37" s="23"/>
      <c r="FV37" s="23"/>
      <c r="FW37" s="23"/>
      <c r="FX37" s="23"/>
      <c r="FY37" s="23"/>
      <c r="FZ37" s="23"/>
      <c r="GA37" s="23"/>
      <c r="GB37" s="23"/>
      <c r="GC37" s="23"/>
      <c r="GD37" s="23"/>
      <c r="GE37" s="23"/>
      <c r="GF37" s="23"/>
      <c r="GG37" s="23"/>
      <c r="GH37" s="23"/>
      <c r="GI37" s="23"/>
      <c r="GJ37" s="23"/>
      <c r="GK37" s="23"/>
      <c r="GL37" s="23"/>
      <c r="GM37" s="23"/>
      <c r="GN37" s="23"/>
      <c r="GO37" s="23"/>
      <c r="GP37" s="23"/>
      <c r="GQ37" s="23"/>
      <c r="GR37" s="23"/>
      <c r="GS37" s="23"/>
      <c r="GT37" s="23"/>
      <c r="GU37" s="23"/>
      <c r="GV37" s="23"/>
      <c r="GW37" s="23"/>
      <c r="GX37" s="23"/>
      <c r="GY37" s="23"/>
      <c r="GZ37" s="23"/>
      <c r="HA37" s="23"/>
      <c r="HB37" s="23"/>
      <c r="HC37" s="23"/>
      <c r="HD37" s="23"/>
      <c r="HE37" s="23"/>
      <c r="HF37" s="23"/>
      <c r="HG37" s="23"/>
      <c r="HH37" s="23"/>
      <c r="HI37" s="23"/>
      <c r="HJ37" s="23"/>
      <c r="HK37" s="23"/>
      <c r="HL37" s="23"/>
      <c r="HM37" s="23"/>
      <c r="HN37" s="23"/>
      <c r="HO37" s="23"/>
      <c r="HP37" s="23"/>
      <c r="HQ37" s="22"/>
      <c r="HR37" s="22"/>
      <c r="HS37" s="22"/>
      <c r="HT37" s="22"/>
      <c r="HU37" s="22"/>
      <c r="HV37" s="22"/>
      <c r="HW37" s="22"/>
      <c r="HX37" s="22"/>
      <c r="HY37" s="22"/>
      <c r="HZ37" s="22"/>
      <c r="IA37" s="22"/>
      <c r="IB37" s="22"/>
      <c r="IC37" s="22"/>
      <c r="ID37" s="22"/>
      <c r="IE37" s="22"/>
      <c r="IF37" s="22"/>
      <c r="IG37" s="22"/>
      <c r="IH37" s="22"/>
      <c r="II37" s="22"/>
      <c r="IJ37" s="22"/>
      <c r="IK37" s="22"/>
      <c r="IL37" s="22"/>
      <c r="IM37" s="22"/>
      <c r="IN37" s="22"/>
      <c r="IO37" s="22"/>
      <c r="IP37" s="22"/>
      <c r="IQ37" s="22"/>
      <c r="IR37" s="22"/>
      <c r="IS37" s="22"/>
      <c r="IT37" s="22"/>
      <c r="IU37" s="22"/>
      <c r="IV37" s="22"/>
      <c r="IW37" s="22"/>
      <c r="IX37" s="22"/>
      <c r="IY37" s="22"/>
      <c r="IZ37" s="22"/>
      <c r="JA37" s="22"/>
      <c r="JB37" s="22"/>
      <c r="JC37" s="22"/>
      <c r="JD37" s="22"/>
      <c r="JE37" s="22"/>
      <c r="JF37" s="22"/>
      <c r="JG37" s="22"/>
      <c r="JH37" s="22"/>
      <c r="JI37" s="22"/>
      <c r="JJ37" s="22"/>
      <c r="JK37" s="22"/>
      <c r="JL37" s="22"/>
      <c r="JM37" s="22"/>
      <c r="JN37" s="23"/>
      <c r="JO37" s="23"/>
      <c r="JP37" s="22"/>
      <c r="JQ37" s="22"/>
      <c r="JR37" s="22"/>
      <c r="JS37" s="22"/>
      <c r="JT37" s="22"/>
      <c r="JU37" s="22"/>
      <c r="JV37" s="22"/>
      <c r="JW37" s="22"/>
      <c r="JX37" s="22"/>
      <c r="JY37" s="22"/>
      <c r="JZ37" s="22"/>
      <c r="KA37" s="22"/>
      <c r="KB37" s="22"/>
      <c r="KC37" s="22"/>
      <c r="KD37" s="22"/>
      <c r="KE37" s="22"/>
      <c r="KF37" s="22"/>
      <c r="KG37" s="22"/>
      <c r="KH37" s="22"/>
      <c r="KI37" s="22"/>
      <c r="KJ37" s="22"/>
      <c r="KK37" s="22"/>
      <c r="KL37" s="22"/>
      <c r="KM37" s="22"/>
      <c r="KN37" s="22"/>
      <c r="KO37" s="22"/>
      <c r="KP37" s="22"/>
      <c r="KQ37" s="22"/>
      <c r="KR37" s="22"/>
      <c r="KS37" s="22"/>
      <c r="KT37" s="22"/>
      <c r="KU37" s="22"/>
      <c r="KV37" s="22"/>
      <c r="KW37" s="22"/>
      <c r="KX37" s="22"/>
      <c r="KY37" s="22"/>
      <c r="KZ37" s="22"/>
      <c r="LA37" s="22"/>
      <c r="LB37" s="22"/>
      <c r="LC37" s="22"/>
      <c r="LD37" s="22"/>
      <c r="LE37" s="22"/>
      <c r="LF37" s="22"/>
      <c r="LG37" s="22"/>
      <c r="LH37" s="22"/>
      <c r="LI37" s="22"/>
      <c r="LJ37" s="22"/>
      <c r="LK37" s="22"/>
      <c r="LL37" s="22"/>
      <c r="LM37" s="22"/>
      <c r="LN37" s="22"/>
      <c r="LO37" s="22"/>
      <c r="LP37" s="22"/>
      <c r="LQ37" s="22"/>
      <c r="LR37" s="22"/>
      <c r="LS37" s="22"/>
      <c r="LT37" s="22"/>
      <c r="LU37" s="22"/>
      <c r="LV37" s="22"/>
      <c r="LW37" s="22"/>
      <c r="LX37" s="22"/>
      <c r="LY37" s="22"/>
      <c r="LZ37" s="22"/>
      <c r="MA37" s="22"/>
      <c r="MB37" s="23"/>
      <c r="MC37" s="23"/>
      <c r="MD37" s="22"/>
      <c r="ME37" s="22"/>
      <c r="MF37" s="22"/>
      <c r="MG37" s="22"/>
      <c r="MH37" s="22"/>
      <c r="MI37" s="22"/>
      <c r="MJ37" s="22"/>
      <c r="MK37" s="22"/>
      <c r="ML37" s="22"/>
      <c r="MM37" s="22"/>
      <c r="MN37" s="22"/>
      <c r="MO37" s="22"/>
      <c r="MP37" s="22"/>
      <c r="MQ37" s="22"/>
      <c r="MR37" s="22"/>
      <c r="MS37" s="22"/>
      <c r="MT37" s="22"/>
      <c r="MU37" s="22"/>
      <c r="MV37" s="22"/>
      <c r="MW37" s="22"/>
      <c r="MX37" s="22"/>
      <c r="MY37" s="22"/>
      <c r="MZ37" s="22"/>
      <c r="NA37" s="22"/>
      <c r="NB37" s="22"/>
      <c r="NC37" s="22"/>
      <c r="ND37" s="22"/>
      <c r="NE37" s="22"/>
      <c r="NF37" s="22"/>
      <c r="NG37" s="22"/>
      <c r="NH37" s="22"/>
      <c r="NI37" s="22"/>
      <c r="NJ37" s="22"/>
      <c r="NK37" s="22"/>
      <c r="NL37" s="22"/>
      <c r="NM37" s="22"/>
      <c r="NN37" s="22"/>
      <c r="NO37" s="22"/>
      <c r="NP37" s="22"/>
      <c r="NQ37" s="22"/>
      <c r="NR37" s="22"/>
      <c r="NS37" s="22"/>
      <c r="NT37" s="22"/>
      <c r="NU37" s="22"/>
      <c r="NV37" s="22"/>
      <c r="NW37" s="22"/>
      <c r="NX37" s="22"/>
      <c r="NY37" s="22"/>
      <c r="NZ37" s="22"/>
      <c r="OA37" s="22"/>
      <c r="OB37" s="22"/>
      <c r="OC37" s="22"/>
      <c r="OD37" s="22"/>
      <c r="OE37" s="22"/>
      <c r="OF37" s="22"/>
      <c r="OG37" s="22"/>
      <c r="OH37" s="22"/>
      <c r="OI37" s="22"/>
      <c r="OJ37" s="22"/>
      <c r="OK37" s="22"/>
      <c r="OL37" s="22"/>
      <c r="OM37" s="22"/>
      <c r="ON37" s="22"/>
      <c r="OO37" s="22"/>
      <c r="OP37" s="23"/>
      <c r="OQ37" s="30"/>
      <c r="OR37" s="30"/>
      <c r="OS37" s="30"/>
      <c r="OT37" s="30"/>
      <c r="OU37" s="30"/>
      <c r="OV37" s="30"/>
      <c r="OW37" s="30"/>
      <c r="OX37" s="30"/>
      <c r="OY37" s="30"/>
      <c r="OZ37" s="30"/>
      <c r="PA37" s="30"/>
      <c r="PB37" s="30"/>
      <c r="PC37" s="30"/>
      <c r="PD37" s="30"/>
      <c r="PE37" s="30"/>
      <c r="PF37" s="30"/>
      <c r="PG37" s="30"/>
      <c r="PH37" s="30"/>
      <c r="PI37" s="30"/>
      <c r="PJ37" s="30"/>
      <c r="PK37" s="30"/>
      <c r="PL37" s="30"/>
      <c r="PM37" s="30"/>
      <c r="PN37" s="30"/>
      <c r="PO37" s="30"/>
      <c r="PP37" s="30"/>
      <c r="PQ37" s="30"/>
      <c r="PR37" s="30"/>
      <c r="PS37" s="30"/>
      <c r="PT37" s="30"/>
      <c r="PU37" s="30"/>
      <c r="PV37" s="30"/>
      <c r="PW37" s="30"/>
      <c r="PX37" s="30"/>
      <c r="PY37" s="30"/>
      <c r="PZ37" s="30"/>
      <c r="QA37" s="30"/>
      <c r="QB37" s="30"/>
      <c r="QC37" s="30"/>
      <c r="QD37" s="30"/>
      <c r="QE37" s="30"/>
      <c r="QF37" s="30"/>
      <c r="QG37" s="30"/>
      <c r="QH37" s="30"/>
      <c r="QI37" s="30"/>
      <c r="QJ37" s="30"/>
      <c r="QK37" s="30"/>
      <c r="QL37" s="30"/>
      <c r="QM37" s="30"/>
      <c r="QN37" s="30"/>
      <c r="QO37" s="30"/>
      <c r="QP37" s="30"/>
      <c r="QQ37" s="30"/>
      <c r="QR37" s="30"/>
      <c r="QS37" s="30"/>
      <c r="QT37" s="30"/>
      <c r="QU37" s="30"/>
      <c r="QV37" s="30"/>
      <c r="QW37" s="30"/>
      <c r="QX37" s="30"/>
      <c r="QY37" s="30"/>
      <c r="QZ37" s="30"/>
      <c r="RA37" s="30"/>
      <c r="RB37" s="30"/>
      <c r="RC37" s="30"/>
      <c r="RD37" s="30"/>
      <c r="RE37" s="30"/>
      <c r="RF37" s="30"/>
      <c r="RG37" s="30"/>
      <c r="RH37" s="30"/>
      <c r="RI37" s="30"/>
      <c r="RJ37" s="30"/>
      <c r="RK37" s="30"/>
      <c r="RL37" s="30"/>
      <c r="RM37" s="30"/>
      <c r="RN37" s="30"/>
      <c r="RO37" s="30"/>
      <c r="RP37" s="30"/>
      <c r="RQ37" s="30"/>
      <c r="RR37" s="30"/>
      <c r="RS37" s="30"/>
      <c r="RT37" s="30"/>
      <c r="RU37" s="30"/>
      <c r="RV37" s="30"/>
      <c r="RW37" s="30"/>
      <c r="RX37" s="30"/>
      <c r="RY37" s="30"/>
      <c r="RZ37" s="30"/>
      <c r="SA37" s="30"/>
      <c r="SB37" s="30"/>
      <c r="SC37" s="9"/>
      <c r="SD37" s="9"/>
      <c r="SE37" s="9"/>
      <c r="SF37" s="9"/>
      <c r="SG37" s="9"/>
      <c r="SH37" s="9"/>
      <c r="SI37" s="9"/>
      <c r="SJ37" s="9"/>
      <c r="SK37" s="9"/>
      <c r="SL37" s="9"/>
      <c r="SM37" s="9"/>
      <c r="SN37" s="9"/>
      <c r="SO37" s="9"/>
      <c r="SP37" s="9"/>
      <c r="SQ37" s="9"/>
      <c r="SR37" s="9"/>
      <c r="SS37" s="9"/>
      <c r="ST37" s="9"/>
      <c r="SU37" s="9"/>
      <c r="SV37" s="9"/>
      <c r="SW37" s="9"/>
      <c r="SX37" s="9"/>
      <c r="SY37" s="9"/>
      <c r="SZ37" s="9"/>
      <c r="TA37" s="9"/>
      <c r="TB37" s="9"/>
    </row>
    <row r="38" spans="1:1013" s="1" customFormat="1" ht="22.15" customHeight="1" x14ac:dyDescent="0.25">
      <c r="A38" s="301"/>
      <c r="B38" s="25" t="s">
        <v>3</v>
      </c>
      <c r="C38" s="125" t="s">
        <v>100</v>
      </c>
      <c r="D38" s="111" t="s">
        <v>100</v>
      </c>
      <c r="E38" s="111" t="s">
        <v>100</v>
      </c>
      <c r="F38" s="111" t="s">
        <v>100</v>
      </c>
      <c r="G38" s="111" t="s">
        <v>100</v>
      </c>
      <c r="H38" s="111" t="s">
        <v>100</v>
      </c>
      <c r="I38" s="111" t="s">
        <v>100</v>
      </c>
      <c r="J38" s="111" t="s">
        <v>100</v>
      </c>
      <c r="K38" s="111" t="s">
        <v>100</v>
      </c>
      <c r="L38" s="111" t="s">
        <v>100</v>
      </c>
      <c r="M38" s="111" t="s">
        <v>100</v>
      </c>
      <c r="N38" s="111" t="s">
        <v>100</v>
      </c>
      <c r="O38" s="111" t="s">
        <v>100</v>
      </c>
      <c r="P38" s="111" t="s">
        <v>100</v>
      </c>
      <c r="Q38" s="111" t="s">
        <v>100</v>
      </c>
      <c r="R38" s="111" t="s">
        <v>100</v>
      </c>
      <c r="S38" s="111" t="s">
        <v>100</v>
      </c>
      <c r="T38" s="111" t="s">
        <v>100</v>
      </c>
      <c r="U38" s="111" t="s">
        <v>100</v>
      </c>
      <c r="V38" s="111" t="s">
        <v>100</v>
      </c>
      <c r="W38" s="111" t="s">
        <v>100</v>
      </c>
      <c r="X38" s="111" t="s">
        <v>100</v>
      </c>
      <c r="Y38" s="111" t="s">
        <v>100</v>
      </c>
      <c r="Z38" s="111" t="s">
        <v>100</v>
      </c>
      <c r="AA38" s="111" t="s">
        <v>100</v>
      </c>
      <c r="AB38" s="111" t="s">
        <v>100</v>
      </c>
      <c r="AC38" s="111" t="s">
        <v>100</v>
      </c>
      <c r="AD38" s="111" t="s">
        <v>100</v>
      </c>
      <c r="AE38" s="111" t="s">
        <v>100</v>
      </c>
      <c r="AF38" s="111" t="s">
        <v>100</v>
      </c>
      <c r="AG38" s="111" t="s">
        <v>100</v>
      </c>
      <c r="AH38" s="111" t="s">
        <v>100</v>
      </c>
      <c r="AI38" s="111" t="s">
        <v>100</v>
      </c>
      <c r="AJ38" s="111" t="s">
        <v>100</v>
      </c>
      <c r="AK38" s="111" t="s">
        <v>100</v>
      </c>
      <c r="AL38" s="111" t="s">
        <v>100</v>
      </c>
      <c r="AM38" s="111" t="s">
        <v>100</v>
      </c>
      <c r="AN38" s="111" t="s">
        <v>100</v>
      </c>
      <c r="AO38" s="111" t="s">
        <v>100</v>
      </c>
      <c r="AP38" s="111" t="s">
        <v>100</v>
      </c>
      <c r="AQ38" s="111" t="s">
        <v>100</v>
      </c>
      <c r="AR38" s="111" t="s">
        <v>100</v>
      </c>
      <c r="AS38" s="111" t="s">
        <v>100</v>
      </c>
      <c r="AT38" s="111" t="s">
        <v>100</v>
      </c>
      <c r="AU38" s="111" t="s">
        <v>100</v>
      </c>
      <c r="AV38" s="111" t="s">
        <v>100</v>
      </c>
      <c r="AW38" s="111" t="s">
        <v>100</v>
      </c>
      <c r="AX38" s="111" t="s">
        <v>100</v>
      </c>
      <c r="AY38" s="111" t="s">
        <v>100</v>
      </c>
      <c r="AZ38" s="111" t="s">
        <v>100</v>
      </c>
      <c r="BA38" s="111" t="s">
        <v>100</v>
      </c>
      <c r="BB38" s="152" t="s">
        <v>101</v>
      </c>
      <c r="BC38" s="152" t="s">
        <v>101</v>
      </c>
      <c r="BD38" s="152" t="s">
        <v>101</v>
      </c>
      <c r="BE38" s="152" t="s">
        <v>101</v>
      </c>
      <c r="BF38" s="152" t="s">
        <v>101</v>
      </c>
      <c r="BG38" s="152" t="s">
        <v>101</v>
      </c>
      <c r="BH38" s="152" t="s">
        <v>101</v>
      </c>
      <c r="BI38" s="152" t="s">
        <v>101</v>
      </c>
      <c r="BJ38" s="152" t="s">
        <v>101</v>
      </c>
      <c r="BK38" s="152" t="s">
        <v>101</v>
      </c>
      <c r="BL38" s="152" t="s">
        <v>101</v>
      </c>
      <c r="BM38" s="152" t="s">
        <v>101</v>
      </c>
      <c r="BN38" s="152" t="s">
        <v>101</v>
      </c>
      <c r="BO38" s="152" t="s">
        <v>101</v>
      </c>
      <c r="BP38" s="152" t="s">
        <v>101</v>
      </c>
      <c r="BQ38" s="152" t="s">
        <v>101</v>
      </c>
      <c r="BR38" s="152" t="s">
        <v>101</v>
      </c>
      <c r="BS38" s="152" t="s">
        <v>101</v>
      </c>
      <c r="BT38" s="152" t="s">
        <v>101</v>
      </c>
      <c r="BU38" s="152" t="s">
        <v>101</v>
      </c>
      <c r="BV38" s="152" t="s">
        <v>101</v>
      </c>
      <c r="BW38" s="152" t="s">
        <v>101</v>
      </c>
      <c r="BX38" s="152" t="s">
        <v>101</v>
      </c>
      <c r="BY38" s="152" t="s">
        <v>101</v>
      </c>
      <c r="BZ38" s="152" t="s">
        <v>101</v>
      </c>
      <c r="CA38" s="152" t="s">
        <v>101</v>
      </c>
      <c r="CB38" s="152" t="s">
        <v>101</v>
      </c>
      <c r="CC38" s="152" t="s">
        <v>101</v>
      </c>
      <c r="CD38" s="152" t="s">
        <v>101</v>
      </c>
      <c r="CE38" s="152" t="s">
        <v>101</v>
      </c>
      <c r="CF38" s="152" t="s">
        <v>101</v>
      </c>
      <c r="CG38" s="152" t="s">
        <v>101</v>
      </c>
      <c r="CH38" s="152" t="s">
        <v>101</v>
      </c>
      <c r="CI38" s="152" t="s">
        <v>101</v>
      </c>
      <c r="CJ38" s="152" t="s">
        <v>101</v>
      </c>
      <c r="CK38" s="152" t="s">
        <v>101</v>
      </c>
      <c r="CL38" s="152" t="s">
        <v>101</v>
      </c>
      <c r="CM38" s="152" t="s">
        <v>101</v>
      </c>
      <c r="CN38" s="152" t="s">
        <v>101</v>
      </c>
      <c r="CO38" s="152" t="s">
        <v>101</v>
      </c>
      <c r="CP38" s="152" t="s">
        <v>101</v>
      </c>
      <c r="CQ38" s="152" t="s">
        <v>101</v>
      </c>
      <c r="CR38" s="152" t="s">
        <v>101</v>
      </c>
      <c r="CS38" s="152" t="s">
        <v>101</v>
      </c>
      <c r="CT38" s="152" t="s">
        <v>101</v>
      </c>
      <c r="CU38" s="152" t="s">
        <v>101</v>
      </c>
      <c r="CV38" s="152" t="s">
        <v>101</v>
      </c>
      <c r="CW38" s="152" t="s">
        <v>101</v>
      </c>
      <c r="CX38" s="152" t="s">
        <v>101</v>
      </c>
      <c r="CY38" s="152" t="s">
        <v>101</v>
      </c>
      <c r="CZ38" s="152" t="s">
        <v>101</v>
      </c>
      <c r="DA38" s="158" t="s">
        <v>102</v>
      </c>
      <c r="DB38" s="158" t="s">
        <v>102</v>
      </c>
      <c r="DC38" s="158" t="s">
        <v>102</v>
      </c>
      <c r="DD38" s="158" t="s">
        <v>102</v>
      </c>
      <c r="DE38" s="158" t="s">
        <v>102</v>
      </c>
      <c r="DF38" s="158" t="s">
        <v>102</v>
      </c>
      <c r="DG38" s="158" t="s">
        <v>102</v>
      </c>
      <c r="DH38" s="158" t="s">
        <v>102</v>
      </c>
      <c r="DI38" s="158" t="s">
        <v>102</v>
      </c>
      <c r="DJ38" s="158" t="s">
        <v>102</v>
      </c>
      <c r="DK38" s="158" t="s">
        <v>102</v>
      </c>
      <c r="DL38" s="158" t="s">
        <v>102</v>
      </c>
      <c r="DM38" s="158" t="s">
        <v>102</v>
      </c>
      <c r="DN38" s="158" t="s">
        <v>102</v>
      </c>
      <c r="DO38" s="158" t="s">
        <v>102</v>
      </c>
      <c r="DP38" s="158" t="s">
        <v>102</v>
      </c>
      <c r="DQ38" s="158" t="s">
        <v>102</v>
      </c>
      <c r="DR38" s="158" t="s">
        <v>102</v>
      </c>
      <c r="DS38" s="158" t="s">
        <v>102</v>
      </c>
      <c r="DT38" s="158" t="s">
        <v>102</v>
      </c>
      <c r="DU38" s="158" t="s">
        <v>102</v>
      </c>
      <c r="DV38" s="158" t="s">
        <v>102</v>
      </c>
      <c r="DW38" s="158" t="s">
        <v>102</v>
      </c>
      <c r="DX38" s="158" t="s">
        <v>102</v>
      </c>
      <c r="DY38" s="158" t="s">
        <v>102</v>
      </c>
      <c r="DZ38" s="158" t="s">
        <v>102</v>
      </c>
      <c r="EA38" s="158" t="s">
        <v>102</v>
      </c>
      <c r="EB38" s="158" t="s">
        <v>102</v>
      </c>
      <c r="EC38" s="158" t="s">
        <v>102</v>
      </c>
      <c r="ED38" s="158" t="s">
        <v>102</v>
      </c>
      <c r="EE38" s="158" t="s">
        <v>102</v>
      </c>
      <c r="EF38" s="158" t="s">
        <v>102</v>
      </c>
      <c r="EG38" s="158" t="s">
        <v>102</v>
      </c>
      <c r="EH38" s="158" t="s">
        <v>102</v>
      </c>
      <c r="EI38" s="158" t="s">
        <v>102</v>
      </c>
      <c r="EJ38" s="158" t="s">
        <v>102</v>
      </c>
      <c r="EK38" s="158" t="s">
        <v>102</v>
      </c>
      <c r="EL38" s="158" t="s">
        <v>102</v>
      </c>
      <c r="EM38" s="158" t="s">
        <v>102</v>
      </c>
      <c r="EN38" s="158" t="s">
        <v>102</v>
      </c>
      <c r="EO38" s="158" t="s">
        <v>102</v>
      </c>
      <c r="EP38" s="158" t="s">
        <v>102</v>
      </c>
      <c r="EQ38" s="158" t="s">
        <v>102</v>
      </c>
      <c r="ER38" s="158" t="s">
        <v>102</v>
      </c>
      <c r="ES38" s="158" t="s">
        <v>102</v>
      </c>
      <c r="ET38" s="158" t="s">
        <v>102</v>
      </c>
      <c r="EU38" s="158" t="s">
        <v>102</v>
      </c>
      <c r="EV38" s="158" t="s">
        <v>102</v>
      </c>
      <c r="EW38" s="158" t="s">
        <v>102</v>
      </c>
      <c r="EX38" s="158" t="s">
        <v>102</v>
      </c>
      <c r="EY38" s="158" t="s">
        <v>102</v>
      </c>
      <c r="EZ38" s="23"/>
      <c r="FA38" s="23"/>
      <c r="FB38" s="23"/>
      <c r="FC38" s="23"/>
      <c r="FD38" s="23"/>
      <c r="FE38" s="23"/>
      <c r="FF38" s="23"/>
      <c r="FG38" s="23"/>
      <c r="FH38" s="23"/>
      <c r="FI38" s="23"/>
      <c r="FJ38" s="23"/>
      <c r="FK38" s="23"/>
      <c r="FL38" s="23"/>
      <c r="FM38" s="23"/>
      <c r="FN38" s="23"/>
      <c r="FO38" s="23"/>
      <c r="FP38" s="23"/>
      <c r="FQ38" s="23"/>
      <c r="FR38" s="23"/>
      <c r="FS38" s="23"/>
      <c r="FT38" s="23"/>
      <c r="FU38" s="23"/>
      <c r="FV38" s="23"/>
      <c r="FW38" s="23"/>
      <c r="FX38" s="23"/>
      <c r="FY38" s="23"/>
      <c r="FZ38" s="23"/>
      <c r="GA38" s="23"/>
      <c r="GB38" s="23"/>
      <c r="GC38" s="23"/>
      <c r="GD38" s="23"/>
      <c r="GE38" s="23"/>
      <c r="GF38" s="23"/>
      <c r="GG38" s="23"/>
      <c r="GH38" s="23"/>
      <c r="GI38" s="23"/>
      <c r="GJ38" s="23"/>
      <c r="GK38" s="23"/>
      <c r="GL38" s="23"/>
      <c r="GM38" s="23"/>
      <c r="GN38" s="23"/>
      <c r="GO38" s="23"/>
      <c r="GP38" s="23"/>
      <c r="GQ38" s="23"/>
      <c r="GR38" s="23"/>
      <c r="GS38" s="23"/>
      <c r="GT38" s="23"/>
      <c r="GU38" s="23"/>
      <c r="GV38" s="23"/>
      <c r="GW38" s="23"/>
      <c r="GX38" s="23"/>
      <c r="GY38" s="23"/>
      <c r="GZ38" s="23"/>
      <c r="HA38" s="23"/>
      <c r="HB38" s="23"/>
      <c r="HC38" s="23"/>
      <c r="HD38" s="23"/>
      <c r="HE38" s="23"/>
      <c r="HF38" s="23"/>
      <c r="HG38" s="23"/>
      <c r="HH38" s="23"/>
      <c r="HI38" s="23"/>
      <c r="HJ38" s="23"/>
      <c r="HK38" s="23"/>
      <c r="HL38" s="23"/>
      <c r="HM38" s="23"/>
      <c r="HN38" s="23"/>
      <c r="HO38" s="23"/>
      <c r="HP38" s="23"/>
      <c r="HQ38" s="22"/>
      <c r="HR38" s="22"/>
      <c r="HS38" s="22"/>
      <c r="HT38" s="22"/>
      <c r="HU38" s="22"/>
      <c r="HV38" s="22"/>
      <c r="HW38" s="22"/>
      <c r="HX38" s="22"/>
      <c r="HY38" s="22"/>
      <c r="HZ38" s="22"/>
      <c r="IA38" s="22"/>
      <c r="IB38" s="22"/>
      <c r="IC38" s="22"/>
      <c r="ID38" s="22"/>
      <c r="IE38" s="22"/>
      <c r="IF38" s="22"/>
      <c r="IG38" s="22"/>
      <c r="IH38" s="22"/>
      <c r="II38" s="22"/>
      <c r="IJ38" s="22"/>
      <c r="IK38" s="22"/>
      <c r="IL38" s="22"/>
      <c r="IM38" s="22"/>
      <c r="IN38" s="22"/>
      <c r="IO38" s="22"/>
      <c r="IP38" s="22"/>
      <c r="IQ38" s="22"/>
      <c r="IR38" s="22"/>
      <c r="IS38" s="22"/>
      <c r="IT38" s="22"/>
      <c r="IU38" s="22"/>
      <c r="IV38" s="22"/>
      <c r="IW38" s="22"/>
      <c r="IX38" s="22"/>
      <c r="IY38" s="22"/>
      <c r="IZ38" s="22"/>
      <c r="JA38" s="22"/>
      <c r="JB38" s="22"/>
      <c r="JC38" s="22"/>
      <c r="JD38" s="22"/>
      <c r="JE38" s="22"/>
      <c r="JF38" s="22"/>
      <c r="JG38" s="22"/>
      <c r="JH38" s="22"/>
      <c r="JI38" s="22"/>
      <c r="JJ38" s="22"/>
      <c r="JK38" s="22"/>
      <c r="JL38" s="22"/>
      <c r="JM38" s="22"/>
      <c r="JN38" s="23"/>
      <c r="JO38" s="23"/>
      <c r="JP38" s="22"/>
      <c r="JQ38" s="22"/>
      <c r="JR38" s="22"/>
      <c r="JS38" s="22"/>
      <c r="JT38" s="22"/>
      <c r="JU38" s="22"/>
      <c r="JV38" s="22"/>
      <c r="JW38" s="22"/>
      <c r="JX38" s="22"/>
      <c r="JY38" s="22"/>
      <c r="JZ38" s="22"/>
      <c r="KA38" s="22"/>
      <c r="KB38" s="22"/>
      <c r="KC38" s="22"/>
      <c r="KD38" s="22"/>
      <c r="KE38" s="22"/>
      <c r="KF38" s="22"/>
      <c r="KG38" s="22"/>
      <c r="KH38" s="22"/>
      <c r="KI38" s="22"/>
      <c r="KJ38" s="22"/>
      <c r="KK38" s="22"/>
      <c r="KL38" s="22"/>
      <c r="KM38" s="22"/>
      <c r="KN38" s="22"/>
      <c r="KO38" s="22"/>
      <c r="KP38" s="22"/>
      <c r="KQ38" s="22"/>
      <c r="KR38" s="22"/>
      <c r="KS38" s="22"/>
      <c r="KT38" s="22"/>
      <c r="KU38" s="22"/>
      <c r="KV38" s="22"/>
      <c r="KW38" s="22"/>
      <c r="KX38" s="22"/>
      <c r="KY38" s="22"/>
      <c r="KZ38" s="22"/>
      <c r="LA38" s="22"/>
      <c r="LB38" s="22"/>
      <c r="LC38" s="22"/>
      <c r="LD38" s="22"/>
      <c r="LE38" s="22"/>
      <c r="LF38" s="22"/>
      <c r="LG38" s="22"/>
      <c r="LH38" s="22"/>
      <c r="LI38" s="22"/>
      <c r="LJ38" s="22"/>
      <c r="LK38" s="22"/>
      <c r="LL38" s="22"/>
      <c r="LM38" s="22"/>
      <c r="LN38" s="22"/>
      <c r="LO38" s="22"/>
      <c r="LP38" s="22"/>
      <c r="LQ38" s="22"/>
      <c r="LR38" s="22"/>
      <c r="LS38" s="22"/>
      <c r="LT38" s="22"/>
      <c r="LU38" s="22"/>
      <c r="LV38" s="22"/>
      <c r="LW38" s="22"/>
      <c r="LX38" s="22"/>
      <c r="LY38" s="22"/>
      <c r="LZ38" s="22"/>
      <c r="MA38" s="22"/>
      <c r="MB38" s="23"/>
      <c r="MC38" s="23"/>
      <c r="MD38" s="22"/>
      <c r="ME38" s="22"/>
      <c r="MF38" s="22"/>
      <c r="MG38" s="22"/>
      <c r="MH38" s="22"/>
      <c r="MI38" s="22"/>
      <c r="MJ38" s="22"/>
      <c r="MK38" s="22"/>
      <c r="ML38" s="22"/>
      <c r="MM38" s="22"/>
      <c r="MN38" s="22"/>
      <c r="MO38" s="22"/>
      <c r="MP38" s="22"/>
      <c r="MQ38" s="22"/>
      <c r="MR38" s="22"/>
      <c r="MS38" s="22"/>
      <c r="MT38" s="22"/>
      <c r="MU38" s="22"/>
      <c r="MV38" s="22"/>
      <c r="MW38" s="22"/>
      <c r="MX38" s="22"/>
      <c r="MY38" s="22"/>
      <c r="MZ38" s="22"/>
      <c r="NA38" s="22"/>
      <c r="NB38" s="22"/>
      <c r="NC38" s="22"/>
      <c r="ND38" s="22"/>
      <c r="NE38" s="22"/>
      <c r="NF38" s="22"/>
      <c r="NG38" s="22"/>
      <c r="NH38" s="22"/>
      <c r="NI38" s="22"/>
      <c r="NJ38" s="22"/>
      <c r="NK38" s="22"/>
      <c r="NL38" s="22"/>
      <c r="NM38" s="22"/>
      <c r="NN38" s="22"/>
      <c r="NO38" s="22"/>
      <c r="NP38" s="22"/>
      <c r="NQ38" s="22"/>
      <c r="NR38" s="22"/>
      <c r="NS38" s="22"/>
      <c r="NT38" s="22"/>
      <c r="NU38" s="22"/>
      <c r="NV38" s="22"/>
      <c r="NW38" s="22"/>
      <c r="NX38" s="22"/>
      <c r="NY38" s="22"/>
      <c r="NZ38" s="22"/>
      <c r="OA38" s="22"/>
      <c r="OB38" s="22"/>
      <c r="OC38" s="22"/>
      <c r="OD38" s="22"/>
      <c r="OE38" s="22"/>
      <c r="OF38" s="22"/>
      <c r="OG38" s="22"/>
      <c r="OH38" s="22"/>
      <c r="OI38" s="22"/>
      <c r="OJ38" s="22"/>
      <c r="OK38" s="22"/>
      <c r="OL38" s="22"/>
      <c r="OM38" s="22"/>
      <c r="ON38" s="22"/>
      <c r="OO38" s="22"/>
      <c r="OP38" s="23"/>
      <c r="OQ38" s="30"/>
      <c r="OR38" s="30"/>
      <c r="OS38" s="30"/>
      <c r="OT38" s="30"/>
      <c r="OU38" s="30"/>
      <c r="OV38" s="30"/>
      <c r="OW38" s="30"/>
      <c r="OX38" s="30"/>
      <c r="OY38" s="30"/>
      <c r="OZ38" s="30"/>
      <c r="PA38" s="30"/>
      <c r="PB38" s="30"/>
      <c r="PC38" s="30"/>
      <c r="PD38" s="30"/>
      <c r="PE38" s="30"/>
      <c r="PF38" s="30"/>
      <c r="PG38" s="30"/>
      <c r="PH38" s="30"/>
      <c r="PI38" s="30"/>
      <c r="PJ38" s="30"/>
      <c r="PK38" s="30"/>
      <c r="PL38" s="30"/>
      <c r="PM38" s="30"/>
      <c r="PN38" s="30"/>
      <c r="PO38" s="30"/>
      <c r="PP38" s="30"/>
      <c r="PQ38" s="30"/>
      <c r="PR38" s="30"/>
      <c r="PS38" s="30"/>
      <c r="PT38" s="30"/>
      <c r="PU38" s="30"/>
      <c r="PV38" s="30"/>
      <c r="PW38" s="30"/>
      <c r="PX38" s="30"/>
      <c r="PY38" s="30"/>
      <c r="PZ38" s="30"/>
      <c r="QA38" s="30"/>
      <c r="QB38" s="30"/>
      <c r="QC38" s="30"/>
      <c r="QD38" s="30"/>
      <c r="QE38" s="30"/>
      <c r="QF38" s="30"/>
      <c r="QG38" s="30"/>
      <c r="QH38" s="30"/>
      <c r="QI38" s="30"/>
      <c r="QJ38" s="30"/>
      <c r="QK38" s="30"/>
      <c r="QL38" s="30"/>
      <c r="QM38" s="30"/>
      <c r="QN38" s="30"/>
      <c r="QO38" s="30"/>
      <c r="QP38" s="30"/>
      <c r="QQ38" s="30"/>
      <c r="QR38" s="30"/>
      <c r="QS38" s="30"/>
      <c r="QT38" s="30"/>
      <c r="QU38" s="30"/>
      <c r="QV38" s="30"/>
      <c r="QW38" s="30"/>
      <c r="QX38" s="30"/>
      <c r="QY38" s="30"/>
      <c r="QZ38" s="30"/>
      <c r="RA38" s="30"/>
      <c r="RB38" s="30"/>
      <c r="RC38" s="30"/>
      <c r="RD38" s="30"/>
      <c r="RE38" s="30"/>
      <c r="RF38" s="30"/>
      <c r="RG38" s="30"/>
      <c r="RH38" s="30"/>
      <c r="RI38" s="30"/>
      <c r="RJ38" s="30"/>
      <c r="RK38" s="30"/>
      <c r="RL38" s="30"/>
      <c r="RM38" s="30"/>
      <c r="RN38" s="30"/>
      <c r="RO38" s="30"/>
      <c r="RP38" s="30"/>
      <c r="RQ38" s="30"/>
      <c r="RR38" s="30"/>
      <c r="RS38" s="30"/>
      <c r="RT38" s="30"/>
      <c r="RU38" s="30"/>
      <c r="RV38" s="30"/>
      <c r="RW38" s="30"/>
      <c r="RX38" s="30"/>
      <c r="RY38" s="30"/>
      <c r="RZ38" s="30"/>
      <c r="SA38" s="30"/>
      <c r="SB38" s="30"/>
      <c r="SC38" s="9"/>
      <c r="SD38" s="9"/>
      <c r="SE38" s="9"/>
      <c r="SF38" s="9"/>
      <c r="SG38" s="9"/>
      <c r="SH38" s="9"/>
      <c r="SI38" s="9"/>
      <c r="SJ38" s="9"/>
      <c r="SK38" s="9"/>
      <c r="SL38" s="9"/>
      <c r="SM38" s="9"/>
      <c r="SN38" s="9"/>
      <c r="SO38" s="9"/>
      <c r="SP38" s="9"/>
      <c r="SQ38" s="9"/>
      <c r="SR38" s="9"/>
      <c r="SS38" s="9"/>
      <c r="ST38" s="9"/>
      <c r="SU38" s="9"/>
      <c r="SV38" s="9"/>
      <c r="SW38" s="9"/>
      <c r="SX38" s="9"/>
      <c r="SY38" s="9"/>
      <c r="SZ38" s="9"/>
      <c r="TA38" s="9"/>
      <c r="TB38" s="9"/>
    </row>
    <row r="39" spans="1:1013" s="1" customFormat="1" ht="22.15" customHeight="1" thickBot="1" x14ac:dyDescent="0.3">
      <c r="A39" s="299"/>
      <c r="B39" s="26" t="s">
        <v>18</v>
      </c>
      <c r="C39" s="126">
        <f>C34/'DATA SECTION'!$C$3</f>
        <v>4.166666666666667</v>
      </c>
      <c r="D39" s="127">
        <f>D34/'DATA SECTION'!$C$3</f>
        <v>4.5764880952380951</v>
      </c>
      <c r="E39" s="127">
        <f>E34/'DATA SECTION'!$C$3</f>
        <v>5.0241666985544224</v>
      </c>
      <c r="F39" s="127">
        <f>F34/'DATA SECTION'!$C$3</f>
        <v>5.5050764092090345</v>
      </c>
      <c r="G39" s="127">
        <f>G34/'DATA SECTION'!$C$3</f>
        <v>6.0300868541293902</v>
      </c>
      <c r="H39" s="127">
        <f>H34/'DATA SECTION'!$C$3</f>
        <v>6.6009350763203054</v>
      </c>
      <c r="I39" s="127">
        <f>I34/'DATA SECTION'!$C$3</f>
        <v>7.210269669399942</v>
      </c>
      <c r="J39" s="127">
        <f>J34/'DATA SECTION'!$C$3</f>
        <v>7.8721226990531363</v>
      </c>
      <c r="K39" s="127">
        <f>K34/'DATA SECTION'!$C$3</f>
        <v>8.5768778193310791</v>
      </c>
      <c r="L39" s="127">
        <f>L34/'DATA SECTION'!$C$3</f>
        <v>9.3389116079570709</v>
      </c>
      <c r="M39" s="127">
        <f>M34/'DATA SECTION'!$C$3</f>
        <v>10.159152963083063</v>
      </c>
      <c r="N39" s="127">
        <f>N34/'DATA SECTION'!$C$3</f>
        <v>11.026067349266151</v>
      </c>
      <c r="O39" s="127">
        <f>O34/'DATA SECTION'!$C$3</f>
        <v>11.955932362387598</v>
      </c>
      <c r="P39" s="127">
        <f>P34/'DATA SECTION'!$C$3</f>
        <v>12.935534820538635</v>
      </c>
      <c r="Q39" s="127">
        <f>Q34/'DATA SECTION'!$C$3</f>
        <v>13.982676967158632</v>
      </c>
      <c r="R39" s="127">
        <f>R34/'DATA SECTION'!$C$3</f>
        <v>15.080091582032725</v>
      </c>
      <c r="S39" s="127">
        <f>S34/'DATA SECTION'!$C$3</f>
        <v>16.246609634088035</v>
      </c>
      <c r="T39" s="127">
        <f>T34/'DATA SECTION'!$C$3</f>
        <v>17.462268647025983</v>
      </c>
      <c r="U39" s="127">
        <f>U34/'DATA SECTION'!$C$3</f>
        <v>18.749487307292473</v>
      </c>
      <c r="V39" s="127">
        <f>V34/'DATA SECTION'!$C$3</f>
        <v>20.088903806807178</v>
      </c>
      <c r="W39" s="127">
        <f>W34/'DATA SECTION'!$C$3</f>
        <v>21.502032633967268</v>
      </c>
      <c r="X39" s="127">
        <f>X34/'DATA SECTION'!$C$3</f>
        <v>22.96747885809765</v>
      </c>
      <c r="Y39" s="127">
        <f>Y34/'DATA SECTION'!$C$3</f>
        <v>24.50453321244726</v>
      </c>
      <c r="Z39" s="127">
        <f>Z34/'DATA SECTION'!$C$3</f>
        <v>26.092872501581343</v>
      </c>
      <c r="AA39" s="127">
        <f>AA34/'DATA SECTION'!$C$3</f>
        <v>27.756490796833685</v>
      </c>
      <c r="AB39" s="127">
        <f>AB34/'DATA SECTION'!$C$3</f>
        <v>29.500944188125594</v>
      </c>
      <c r="AC39" s="127">
        <f>AC34/'DATA SECTION'!$C$3</f>
        <v>31.300061471001431</v>
      </c>
      <c r="AD39" s="127">
        <f>AD34/'DATA SECTION'!$C$3</f>
        <v>33.180868149841011</v>
      </c>
      <c r="AE39" s="127">
        <f>AE34/'DATA SECTION'!$C$3</f>
        <v>35.115117581399382</v>
      </c>
      <c r="AF39" s="127">
        <f>AF34/'DATA SECTION'!$C$3</f>
        <v>37.131138449602076</v>
      </c>
      <c r="AG39" s="127">
        <f>AG34/'DATA SECTION'!$C$3</f>
        <v>39.23013986431193</v>
      </c>
      <c r="AH39" s="127">
        <f>AH34/'DATA SECTION'!$C$3</f>
        <v>41.380406371077548</v>
      </c>
      <c r="AI39" s="127">
        <f>AI34/'DATA SECTION'!$C$3</f>
        <v>43.612549450978278</v>
      </c>
      <c r="AJ39" s="127">
        <f>AJ34/'DATA SECTION'!$C$3</f>
        <v>45.927174901550487</v>
      </c>
      <c r="AK39" s="127">
        <f>AK34/'DATA SECTION'!$C$3</f>
        <v>48.289143896487367</v>
      </c>
      <c r="AL39" s="127">
        <f>AL34/'DATA SECTION'!$C$3</f>
        <v>50.731194887824017</v>
      </c>
      <c r="AM39" s="127">
        <f>AM34/'DATA SECTION'!$C$3</f>
        <v>53.209163674739131</v>
      </c>
      <c r="AN39" s="127">
        <f>AN34/'DATA SECTION'!$C$3</f>
        <v>55.763203531126614</v>
      </c>
      <c r="AO39" s="127">
        <f>AO34/'DATA SECTION'!$C$3</f>
        <v>58.384859494322392</v>
      </c>
      <c r="AP39" s="127">
        <f>AP34/'DATA SECTION'!$C$3</f>
        <v>61.04137060131405</v>
      </c>
      <c r="AQ39" s="127">
        <f>AQ34/'DATA SECTION'!$C$3</f>
        <v>63.767885154839412</v>
      </c>
      <c r="AR39" s="127">
        <f>AR34/'DATA SECTION'!$C$3</f>
        <v>66.554187470077267</v>
      </c>
      <c r="AS39" s="127">
        <f>AS34/'DATA SECTION'!$C$3</f>
        <v>69.36587396538846</v>
      </c>
      <c r="AT39" s="127">
        <f>AT34/'DATA SECTION'!$C$3</f>
        <v>72.229829364452598</v>
      </c>
      <c r="AU39" s="127">
        <f>AU34/'DATA SECTION'!$C$3</f>
        <v>75.152663829419623</v>
      </c>
      <c r="AV39" s="127">
        <f>AV34/'DATA SECTION'!$C$3</f>
        <v>78.089711177996406</v>
      </c>
      <c r="AW39" s="127">
        <f>AW34/'DATA SECTION'!$C$3</f>
        <v>81.078225530105684</v>
      </c>
      <c r="AX39" s="127">
        <f>AX34/'DATA SECTION'!$C$3</f>
        <v>84.115372032395584</v>
      </c>
      <c r="AY39" s="127">
        <f>AY34/'DATA SECTION'!$C$3</f>
        <v>87.154740808499469</v>
      </c>
      <c r="AZ39" s="127">
        <f>AZ34/'DATA SECTION'!$C$3</f>
        <v>90.234208317066447</v>
      </c>
      <c r="BA39" s="127">
        <f>BA34/'DATA SECTION'!$C$3</f>
        <v>93.306920568705493</v>
      </c>
      <c r="BB39" s="182">
        <f>BB34/'DATA SECTION'!$C$4</f>
        <v>46.560153363784046</v>
      </c>
      <c r="BC39" s="182">
        <f>BC34/'DATA SECTION'!$C$4</f>
        <v>48.07213308091324</v>
      </c>
      <c r="BD39" s="182">
        <f>BD34/'DATA SECTION'!$C$4</f>
        <v>49.574231161337615</v>
      </c>
      <c r="BE39" s="182">
        <f>BE34/'DATA SECTION'!$C$4</f>
        <v>51.084635658798625</v>
      </c>
      <c r="BF39" s="182">
        <f>BF34/'DATA SECTION'!$C$4</f>
        <v>52.614520981255644</v>
      </c>
      <c r="BG39" s="182">
        <f>BG34/'DATA SECTION'!$C$4</f>
        <v>54.141691179993622</v>
      </c>
      <c r="BH39" s="182">
        <f>BH34/'DATA SECTION'!$C$4</f>
        <v>55.678482260410362</v>
      </c>
      <c r="BI39" s="182">
        <f>BI34/'DATA SECTION'!$C$4</f>
        <v>57.230341496745396</v>
      </c>
      <c r="BJ39" s="182">
        <f>BJ34/'DATA SECTION'!$C$4</f>
        <v>58.796104942310194</v>
      </c>
      <c r="BK39" s="182">
        <f>BK34/'DATA SECTION'!$C$4</f>
        <v>60.353085341542005</v>
      </c>
      <c r="BL39" s="182">
        <f>BL34/'DATA SECTION'!$C$4</f>
        <v>61.920737634210916</v>
      </c>
      <c r="BM39" s="182">
        <f>BM34/'DATA SECTION'!$C$4</f>
        <v>63.489918858814598</v>
      </c>
      <c r="BN39" s="182">
        <f>BN34/'DATA SECTION'!$C$4</f>
        <v>65.066719122118315</v>
      </c>
      <c r="BO39" s="182">
        <f>BO34/'DATA SECTION'!$C$4</f>
        <v>66.62832038104915</v>
      </c>
      <c r="BP39" s="182">
        <f>BP34/'DATA SECTION'!$C$4</f>
        <v>68.202414450051435</v>
      </c>
      <c r="BQ39" s="182">
        <f>BQ34/'DATA SECTION'!$C$4</f>
        <v>69.788120586015125</v>
      </c>
      <c r="BR39" s="182">
        <f>BR34/'DATA SECTION'!$C$4</f>
        <v>71.384523844420229</v>
      </c>
      <c r="BS39" s="182">
        <f>BS34/'DATA SECTION'!$C$4</f>
        <v>72.990675630919668</v>
      </c>
      <c r="BT39" s="182">
        <f>BT34/'DATA SECTION'!$C$4</f>
        <v>74.583854822468638</v>
      </c>
      <c r="BU39" s="182">
        <f>BU34/'DATA SECTION'!$C$4</f>
        <v>76.184184941992712</v>
      </c>
      <c r="BV39" s="182">
        <f>BV34/'DATA SECTION'!$C$4</f>
        <v>77.790636644226339</v>
      </c>
      <c r="BW39" s="182">
        <f>BW34/'DATA SECTION'!$C$4</f>
        <v>79.402151314461051</v>
      </c>
      <c r="BX39" s="182">
        <f>BX34/'DATA SECTION'!$C$4</f>
        <v>80.996004254261095</v>
      </c>
      <c r="BY39" s="182">
        <f>BY34/'DATA SECTION'!$C$4</f>
        <v>82.592218191759684</v>
      </c>
      <c r="BZ39" s="182">
        <f>BZ34/'DATA SECTION'!$C$4</f>
        <v>84.199744779979795</v>
      </c>
      <c r="CA39" s="182">
        <f>CA34/'DATA SECTION'!$C$4</f>
        <v>85.818022801604783</v>
      </c>
      <c r="CB39" s="182">
        <f>CB34/'DATA SECTION'!$C$4</f>
        <v>87.446472112327925</v>
      </c>
      <c r="CC39" s="182">
        <f>CC34/'DATA SECTION'!$C$4</f>
        <v>89.062651488476234</v>
      </c>
      <c r="CD39" s="182">
        <f>CD34/'DATA SECTION'!$C$4</f>
        <v>90.687240095145555</v>
      </c>
      <c r="CE39" s="182">
        <f>CE34/'DATA SECTION'!$C$4</f>
        <v>92.319610416858183</v>
      </c>
      <c r="CF39" s="182">
        <f>CF34/'DATA SECTION'!$C$4</f>
        <v>93.95911771510454</v>
      </c>
      <c r="CG39" s="182">
        <f>CG34/'DATA SECTION'!$C$4</f>
        <v>95.605100331463134</v>
      </c>
      <c r="CH39" s="182">
        <f>CH34/'DATA SECTION'!$C$4</f>
        <v>97.256880016707925</v>
      </c>
      <c r="CI39" s="182">
        <f>CI34/'DATA SECTION'!$C$4</f>
        <v>98.91376228590822</v>
      </c>
      <c r="CJ39" s="182">
        <f>CJ34/'DATA SECTION'!$C$4</f>
        <v>100.56468008025162</v>
      </c>
      <c r="CK39" s="182">
        <f>CK34/'DATA SECTION'!$C$4</f>
        <v>102.23118049301006</v>
      </c>
      <c r="CL39" s="182">
        <f>CL34/'DATA SECTION'!$C$4</f>
        <v>103.91312681969268</v>
      </c>
      <c r="CM39" s="182">
        <f>CM34/'DATA SECTION'!$C$4</f>
        <v>105.61037455774766</v>
      </c>
      <c r="CN39" s="182">
        <f>CN34/'DATA SECTION'!$C$4</f>
        <v>107.32277134521972</v>
      </c>
      <c r="CO39" s="182">
        <f>CO34/'DATA SECTION'!$C$4</f>
        <v>109.05015690306182</v>
      </c>
      <c r="CP39" s="182">
        <f>CP34/'DATA SECTION'!$C$4</f>
        <v>110.76930055306305</v>
      </c>
      <c r="CQ39" s="182">
        <f>CQ34/'DATA SECTION'!$C$4</f>
        <v>112.50251431465804</v>
      </c>
      <c r="CR39" s="182">
        <f>CR34/'DATA SECTION'!$C$4</f>
        <v>114.24961218401506</v>
      </c>
      <c r="CS39" s="182">
        <f>CS34/'DATA SECTION'!$C$4</f>
        <v>116.01040032473342</v>
      </c>
      <c r="CT39" s="182">
        <f>CT34/'DATA SECTION'!$C$4</f>
        <v>117.78467703558228</v>
      </c>
      <c r="CU39" s="182">
        <f>CU34/'DATA SECTION'!$C$4</f>
        <v>119.57223272235758</v>
      </c>
      <c r="CV39" s="182">
        <f>CV34/'DATA SECTION'!$C$4</f>
        <v>121.37284987394132</v>
      </c>
      <c r="CW39" s="182">
        <f>CW34/'DATA SECTION'!$C$4</f>
        <v>123.18630304264609</v>
      </c>
      <c r="CX39" s="182">
        <f>CX34/'DATA SECTION'!$C$4</f>
        <v>124.98826082436294</v>
      </c>
      <c r="CY39" s="182">
        <f>CY34/'DATA SECTION'!$C$4</f>
        <v>126.80204395818626</v>
      </c>
      <c r="CZ39" s="182">
        <f>CZ34/'DATA SECTION'!$C$4</f>
        <v>128.62740361423548</v>
      </c>
      <c r="DA39" s="183">
        <f>DA34/'DATA SECTION'!$C$5</f>
        <v>85.580099204671342</v>
      </c>
      <c r="DB39" s="183">
        <f>DB34/'DATA SECTION'!$C$5</f>
        <v>86.792152237593314</v>
      </c>
      <c r="DC39" s="183">
        <f>DC34/'DATA SECTION'!$C$5</f>
        <v>88.011279213209733</v>
      </c>
      <c r="DD39" s="183">
        <f>DD34/'DATA SECTION'!$C$5</f>
        <v>89.237296800389089</v>
      </c>
      <c r="DE39" s="183">
        <f>DE34/'DATA SECTION'!$C$5</f>
        <v>90.470016667817731</v>
      </c>
      <c r="DF39" s="183">
        <f>DF34/'DATA SECTION'!$C$5</f>
        <v>91.692921720706849</v>
      </c>
      <c r="DG39" s="183">
        <f>DG34/'DATA SECTION'!$C$5</f>
        <v>92.921817660090127</v>
      </c>
      <c r="DH39" s="183">
        <f>DH34/'DATA SECTION'!$C$5</f>
        <v>94.16718363010925</v>
      </c>
      <c r="DI39" s="183">
        <f>DI34/'DATA SECTION'!$C$5</f>
        <v>95.418416552826571</v>
      </c>
      <c r="DJ39" s="183">
        <f>DJ34/'DATA SECTION'!$C$5</f>
        <v>96.67530741914311</v>
      </c>
      <c r="DK39" s="183">
        <f>DK34/'DATA SECTION'!$C$5</f>
        <v>97.937642467742506</v>
      </c>
      <c r="DL39" s="183">
        <f>DL34/'DATA SECTION'!$C$5</f>
        <v>99.205203219681337</v>
      </c>
      <c r="DM39" s="183">
        <f>DM34/'DATA SECTION'!$C$5</f>
        <v>100.46105090589411</v>
      </c>
      <c r="DN39" s="183">
        <f>DN34/'DATA SECTION'!$C$5</f>
        <v>101.7213804536226</v>
      </c>
      <c r="DO39" s="183">
        <f>DO34/'DATA SECTION'!$C$5</f>
        <v>102.98596216062559</v>
      </c>
      <c r="DP39" s="183">
        <f>DP34/'DATA SECTION'!$C$5</f>
        <v>104.2662649174861</v>
      </c>
      <c r="DQ39" s="183">
        <f>DQ34/'DATA SECTION'!$C$5</f>
        <v>105.5506357262424</v>
      </c>
      <c r="DR39" s="183">
        <f>DR34/'DATA SECTION'!$C$5</f>
        <v>106.8388332577195</v>
      </c>
      <c r="DS39" s="183">
        <f>DS34/'DATA SECTION'!$C$5</f>
        <v>108.13061187801738</v>
      </c>
      <c r="DT39" s="183">
        <f>DT34/'DATA SECTION'!$C$5</f>
        <v>109.40874000942945</v>
      </c>
      <c r="DU39" s="183">
        <f>DU34/'DATA SECTION'!$C$5</f>
        <v>110.70197590257463</v>
      </c>
      <c r="DV39" s="183">
        <f>DV34/'DATA SECTION'!$C$5</f>
        <v>111.99805971033285</v>
      </c>
      <c r="DW39" s="183">
        <f>DW34/'DATA SECTION'!$C$5</f>
        <v>113.2967338409066</v>
      </c>
      <c r="DX39" s="183">
        <f>DX34/'DATA SECTION'!$C$5</f>
        <v>114.59773678456285</v>
      </c>
      <c r="DY39" s="183">
        <f>DY34/'DATA SECTION'!$C$5</f>
        <v>115.90080318485475</v>
      </c>
      <c r="DZ39" s="183">
        <f>DZ34/'DATA SECTION'!$C$5</f>
        <v>117.20566391284602</v>
      </c>
      <c r="EA39" s="183">
        <f>EA34/'DATA SECTION'!$C$5</f>
        <v>118.49492621588733</v>
      </c>
      <c r="EB39" s="183">
        <f>EB34/'DATA SECTION'!$C$5</f>
        <v>104.98650462727618</v>
      </c>
      <c r="EC39" s="183">
        <f>EC34/'DATA SECTION'!$C$5</f>
        <v>106.12969101099542</v>
      </c>
      <c r="ED39" s="183">
        <f>ED34/'DATA SECTION'!$C$5</f>
        <v>92.112148806193915</v>
      </c>
      <c r="EE39" s="183">
        <f>EE34/'DATA SECTION'!$C$5</f>
        <v>93.094678393460001</v>
      </c>
      <c r="EF39" s="183">
        <f>EF34/'DATA SECTION'!$C$5</f>
        <v>94.077344443168741</v>
      </c>
      <c r="EG39" s="183">
        <f>EG34/'DATA SECTION'!$C$5</f>
        <v>95.059930040686254</v>
      </c>
      <c r="EH39" s="183">
        <f>EH34/'DATA SECTION'!$C$5</f>
        <v>96.029332404178092</v>
      </c>
      <c r="EI39" s="183">
        <f>EI34/'DATA SECTION'!$C$5</f>
        <v>80.993179133302633</v>
      </c>
      <c r="EJ39" s="183">
        <f>EJ34/'DATA SECTION'!$C$5</f>
        <v>81.810231204119916</v>
      </c>
      <c r="EK39" s="183">
        <f>EK34/'DATA SECTION'!$C$5</f>
        <v>66.264489248277698</v>
      </c>
      <c r="EL39" s="183">
        <f>EL34/'DATA SECTION'!$C$5</f>
        <v>66.918395966354112</v>
      </c>
      <c r="EM39" s="183">
        <f>EM34/'DATA SECTION'!$C$5</f>
        <v>67.571401852267556</v>
      </c>
      <c r="EN39" s="183">
        <f>EN34/'DATA SECTION'!$C$5</f>
        <v>68.223354498710307</v>
      </c>
      <c r="EO39" s="183">
        <f>EO34/'DATA SECTION'!$C$5</f>
        <v>68.881597413544029</v>
      </c>
      <c r="EP39" s="183">
        <f>EP34/'DATA SECTION'!$C$5</f>
        <v>52.318222527794894</v>
      </c>
      <c r="EQ39" s="183">
        <f>EQ34/'DATA SECTION'!$C$5</f>
        <v>52.811508625914108</v>
      </c>
      <c r="ER39" s="183">
        <f>ER34/'DATA SECTION'!$C$5</f>
        <v>35.699806036119753</v>
      </c>
      <c r="ES39" s="183">
        <f>ES34/'DATA SECTION'!$C$5</f>
        <v>36.028089035104067</v>
      </c>
      <c r="ET39" s="183">
        <f>ET34/'DATA SECTION'!$C$5</f>
        <v>36.355474713727411</v>
      </c>
      <c r="EU39" s="183">
        <f>EU34/'DATA SECTION'!$C$5</f>
        <v>36.685835331778243</v>
      </c>
      <c r="EV39" s="183">
        <f>EV34/'DATA SECTION'!$C$5</f>
        <v>37.015210331604855</v>
      </c>
      <c r="EW39" s="183">
        <f>EW34/'DATA SECTION'!$C$5</f>
        <v>18.835913987874051</v>
      </c>
      <c r="EX39" s="183">
        <f>EX34/'DATA SECTION'!$C$5</f>
        <v>19.002980355418675</v>
      </c>
      <c r="EY39" s="183">
        <f>EY34/'DATA SECTION'!$C$5</f>
        <v>-3.8414937896748588E-2</v>
      </c>
      <c r="EZ39" s="133"/>
      <c r="FA39" s="133"/>
      <c r="FB39" s="133"/>
      <c r="FC39" s="133"/>
      <c r="FD39" s="133"/>
      <c r="FE39" s="133"/>
      <c r="FF39" s="133"/>
      <c r="FG39" s="133"/>
      <c r="FH39" s="133"/>
      <c r="FI39" s="133"/>
      <c r="FJ39" s="133"/>
      <c r="FK39" s="133"/>
      <c r="FL39" s="133"/>
      <c r="FM39" s="133"/>
      <c r="FN39" s="133"/>
      <c r="FO39" s="133"/>
      <c r="FP39" s="133"/>
      <c r="FQ39" s="133"/>
      <c r="FR39" s="133"/>
      <c r="FS39" s="133"/>
      <c r="FT39" s="133"/>
      <c r="FU39" s="133"/>
      <c r="FV39" s="133"/>
      <c r="FW39" s="133"/>
      <c r="FX39" s="133"/>
      <c r="FY39" s="133"/>
      <c r="FZ39" s="133"/>
      <c r="GA39" s="133"/>
      <c r="GB39" s="133"/>
      <c r="GC39" s="133"/>
      <c r="GD39" s="133"/>
      <c r="GE39" s="133"/>
      <c r="GF39" s="133"/>
      <c r="GG39" s="133"/>
      <c r="GH39" s="133"/>
      <c r="GI39" s="133"/>
      <c r="GJ39" s="133"/>
      <c r="GK39" s="133"/>
      <c r="GL39" s="133"/>
      <c r="GM39" s="133"/>
      <c r="GN39" s="133"/>
      <c r="GO39" s="133"/>
      <c r="GP39" s="133"/>
      <c r="GQ39" s="133"/>
      <c r="GR39" s="133"/>
      <c r="GS39" s="133"/>
      <c r="GT39" s="133"/>
      <c r="GU39" s="133"/>
      <c r="GV39" s="133"/>
      <c r="GW39" s="133"/>
      <c r="GX39" s="133"/>
      <c r="GY39" s="133"/>
      <c r="GZ39" s="133"/>
      <c r="HA39" s="133"/>
      <c r="HB39" s="133"/>
      <c r="HC39" s="133"/>
      <c r="HD39" s="133"/>
      <c r="HE39" s="133"/>
      <c r="HF39" s="133"/>
      <c r="HG39" s="133"/>
      <c r="HH39" s="133"/>
      <c r="HI39" s="133"/>
      <c r="HJ39" s="133"/>
      <c r="HK39" s="133"/>
      <c r="HL39" s="133"/>
      <c r="HM39" s="133"/>
      <c r="HN39" s="133"/>
      <c r="HO39" s="133"/>
      <c r="HP39" s="13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  <c r="JL39" s="23"/>
      <c r="JM39" s="23"/>
      <c r="JN39" s="23"/>
      <c r="JO39" s="23"/>
      <c r="JP39" s="23"/>
      <c r="JQ39" s="23"/>
      <c r="JR39" s="23"/>
      <c r="JS39" s="23"/>
      <c r="JT39" s="23"/>
      <c r="JU39" s="23"/>
      <c r="JV39" s="23"/>
      <c r="JW39" s="23"/>
      <c r="JX39" s="23"/>
      <c r="JY39" s="23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/>
      <c r="KY39" s="23"/>
      <c r="KZ39" s="23"/>
      <c r="LA39" s="23"/>
      <c r="LB39" s="23"/>
      <c r="LC39" s="23"/>
      <c r="LD39" s="23"/>
      <c r="LE39" s="23"/>
      <c r="LF39" s="23"/>
      <c r="LG39" s="23"/>
      <c r="LH39" s="23"/>
      <c r="LI39" s="23"/>
      <c r="LJ39" s="23"/>
      <c r="LK39" s="23"/>
      <c r="LL39" s="23"/>
      <c r="LM39" s="23"/>
      <c r="LN39" s="23"/>
      <c r="LO39" s="23"/>
      <c r="LP39" s="23"/>
      <c r="LQ39" s="23"/>
      <c r="LR39" s="23"/>
      <c r="LS39" s="23"/>
      <c r="LT39" s="23"/>
      <c r="LU39" s="23"/>
      <c r="LV39" s="23"/>
      <c r="LW39" s="23"/>
      <c r="LX39" s="23"/>
      <c r="LY39" s="23"/>
      <c r="LZ39" s="23"/>
      <c r="MA39" s="23"/>
      <c r="MB39" s="23"/>
      <c r="MC39" s="23"/>
      <c r="MD39" s="23"/>
      <c r="ME39" s="23"/>
      <c r="MF39" s="23"/>
      <c r="MG39" s="23"/>
      <c r="MH39" s="23"/>
      <c r="MI39" s="23"/>
      <c r="MJ39" s="23"/>
      <c r="MK39" s="23"/>
      <c r="ML39" s="23"/>
      <c r="MM39" s="23"/>
      <c r="MN39" s="23"/>
      <c r="MO39" s="23"/>
      <c r="MP39" s="23"/>
      <c r="MQ39" s="23"/>
      <c r="MR39" s="23"/>
      <c r="MS39" s="23"/>
      <c r="MT39" s="23"/>
      <c r="MU39" s="23"/>
      <c r="MV39" s="23"/>
      <c r="MW39" s="23"/>
      <c r="MX39" s="23"/>
      <c r="MY39" s="23"/>
      <c r="MZ39" s="23"/>
      <c r="NA39" s="23"/>
      <c r="NB39" s="23"/>
      <c r="NC39" s="23"/>
      <c r="ND39" s="23"/>
      <c r="NE39" s="23"/>
      <c r="NF39" s="23"/>
      <c r="NG39" s="23"/>
      <c r="NH39" s="23"/>
      <c r="NI39" s="23"/>
      <c r="NJ39" s="23"/>
      <c r="NK39" s="23"/>
      <c r="NL39" s="23"/>
      <c r="NM39" s="23"/>
      <c r="NN39" s="23"/>
      <c r="NO39" s="23"/>
      <c r="NP39" s="23"/>
      <c r="NQ39" s="23"/>
      <c r="NR39" s="23"/>
      <c r="NS39" s="23"/>
      <c r="NT39" s="23"/>
      <c r="NU39" s="23"/>
      <c r="NV39" s="23"/>
      <c r="NW39" s="23"/>
      <c r="NX39" s="23"/>
      <c r="NY39" s="23"/>
      <c r="NZ39" s="23"/>
      <c r="OA39" s="23"/>
      <c r="OB39" s="23"/>
      <c r="OC39" s="23"/>
      <c r="OD39" s="23"/>
      <c r="OE39" s="23"/>
      <c r="OF39" s="23"/>
      <c r="OG39" s="23"/>
      <c r="OH39" s="23"/>
      <c r="OI39" s="23"/>
      <c r="OJ39" s="23"/>
      <c r="OK39" s="23"/>
      <c r="OL39" s="23"/>
      <c r="OM39" s="23"/>
      <c r="ON39" s="23"/>
      <c r="OO39" s="23"/>
      <c r="OP39" s="23"/>
      <c r="OQ39" s="30"/>
      <c r="OR39" s="30"/>
      <c r="OS39" s="30"/>
      <c r="OT39" s="30"/>
      <c r="OU39" s="30"/>
      <c r="OV39" s="30"/>
      <c r="OW39" s="30"/>
      <c r="OX39" s="30"/>
      <c r="OY39" s="30"/>
      <c r="OZ39" s="30"/>
      <c r="PA39" s="30"/>
      <c r="PB39" s="30"/>
      <c r="PC39" s="30"/>
      <c r="PD39" s="30"/>
      <c r="PE39" s="30"/>
      <c r="PF39" s="30"/>
      <c r="PG39" s="30"/>
      <c r="PH39" s="30"/>
      <c r="PI39" s="30"/>
      <c r="PJ39" s="30"/>
      <c r="PK39" s="30"/>
      <c r="PL39" s="30"/>
      <c r="PM39" s="30"/>
      <c r="PN39" s="30"/>
      <c r="PO39" s="30"/>
      <c r="PP39" s="30"/>
      <c r="PQ39" s="30"/>
      <c r="PR39" s="30"/>
      <c r="PS39" s="30"/>
      <c r="PT39" s="30"/>
      <c r="PU39" s="30"/>
      <c r="PV39" s="30"/>
      <c r="PW39" s="30"/>
      <c r="PX39" s="30"/>
      <c r="PY39" s="30"/>
      <c r="PZ39" s="30"/>
      <c r="QA39" s="30"/>
      <c r="QB39" s="30"/>
      <c r="QC39" s="30"/>
      <c r="QD39" s="30"/>
      <c r="QE39" s="30"/>
      <c r="QF39" s="30"/>
      <c r="QG39" s="30"/>
      <c r="QH39" s="30"/>
      <c r="QI39" s="30"/>
      <c r="QJ39" s="30"/>
      <c r="QK39" s="30"/>
      <c r="QL39" s="30"/>
      <c r="QM39" s="30"/>
      <c r="QN39" s="30"/>
      <c r="QO39" s="30"/>
      <c r="QP39" s="30"/>
      <c r="QQ39" s="30"/>
      <c r="QR39" s="30"/>
      <c r="QS39" s="30"/>
      <c r="QT39" s="30"/>
      <c r="QU39" s="30"/>
      <c r="QV39" s="30"/>
      <c r="QW39" s="30"/>
      <c r="QX39" s="30"/>
      <c r="QY39" s="30"/>
      <c r="QZ39" s="30"/>
      <c r="RA39" s="30"/>
      <c r="RB39" s="30"/>
      <c r="RC39" s="30"/>
      <c r="RD39" s="30"/>
      <c r="RE39" s="30"/>
      <c r="RF39" s="30"/>
      <c r="RG39" s="30"/>
      <c r="RH39" s="30"/>
      <c r="RI39" s="30"/>
      <c r="RJ39" s="30"/>
      <c r="RK39" s="30"/>
      <c r="RL39" s="30"/>
      <c r="RM39" s="30"/>
      <c r="RN39" s="30"/>
      <c r="RO39" s="30"/>
      <c r="RP39" s="30"/>
      <c r="RQ39" s="30"/>
      <c r="RR39" s="30"/>
      <c r="RS39" s="30"/>
      <c r="RT39" s="30"/>
      <c r="RU39" s="30"/>
      <c r="RV39" s="30"/>
      <c r="RW39" s="30"/>
      <c r="RX39" s="30"/>
      <c r="RY39" s="30"/>
      <c r="RZ39" s="30"/>
      <c r="SA39" s="30"/>
      <c r="SB39" s="30"/>
      <c r="SC39" s="9"/>
      <c r="SD39" s="9"/>
      <c r="SE39" s="9"/>
      <c r="SF39" s="9"/>
      <c r="SG39" s="9"/>
      <c r="SH39" s="9"/>
      <c r="SI39" s="9"/>
      <c r="SJ39" s="9"/>
      <c r="SK39" s="9"/>
      <c r="SL39" s="9"/>
      <c r="SM39" s="9"/>
      <c r="SN39" s="9"/>
      <c r="SO39" s="9"/>
      <c r="SP39" s="9"/>
      <c r="SQ39" s="9"/>
      <c r="SR39" s="9"/>
      <c r="SS39" s="9"/>
      <c r="ST39" s="9"/>
      <c r="SU39" s="9"/>
      <c r="SV39" s="9"/>
      <c r="SW39" s="9"/>
      <c r="SX39" s="9"/>
      <c r="SY39" s="9"/>
      <c r="SZ39" s="9"/>
      <c r="TA39" s="9"/>
      <c r="TB39" s="9"/>
    </row>
    <row r="40" spans="1:1013" ht="22.15" customHeight="1" thickBot="1" x14ac:dyDescent="0.3">
      <c r="A40" s="297" t="s">
        <v>4</v>
      </c>
      <c r="B40" s="24" t="s">
        <v>14</v>
      </c>
      <c r="BB40" s="143">
        <f t="shared" ref="BB40:BB52" si="195">C27</f>
        <v>250</v>
      </c>
      <c r="BC40" s="187">
        <f t="shared" ref="BC40:BC52" si="196">D27</f>
        <v>249.5</v>
      </c>
      <c r="BD40" s="120">
        <f t="shared" ref="BD40:BD52" si="197">E27</f>
        <v>249.001</v>
      </c>
      <c r="BE40" s="120">
        <f t="shared" ref="BE40:BE52" si="198">F27</f>
        <v>248.50299799999999</v>
      </c>
      <c r="BF40" s="120">
        <f t="shared" ref="BF40:BF52" si="199">G27</f>
        <v>248.00599200399998</v>
      </c>
      <c r="BG40" s="120">
        <f t="shared" ref="BG40:BG52" si="200">H27</f>
        <v>247.50998001999199</v>
      </c>
      <c r="BH40" s="120">
        <f t="shared" ref="BH40:BH52" si="201">I27</f>
        <v>247.01496005995199</v>
      </c>
      <c r="BI40" s="120">
        <f t="shared" ref="BI40:BI52" si="202">J27</f>
        <v>246.52093013983207</v>
      </c>
      <c r="BJ40" s="120">
        <f t="shared" ref="BJ40:BJ52" si="203">K27</f>
        <v>246.0278882795524</v>
      </c>
      <c r="BK40" s="120">
        <f t="shared" ref="BK40:BK52" si="204">L27</f>
        <v>245.53583250299329</v>
      </c>
      <c r="BL40" s="120">
        <f t="shared" ref="BL40:BL52" si="205">M27</f>
        <v>245.0447608379873</v>
      </c>
      <c r="BM40" s="120">
        <f t="shared" ref="BM40:BM52" si="206">N27</f>
        <v>244.55467131631133</v>
      </c>
      <c r="BN40" s="120">
        <f t="shared" ref="BN40:BN52" si="207">O27</f>
        <v>244.06556197367871</v>
      </c>
      <c r="BO40" s="120">
        <f t="shared" ref="BO40:BO52" si="208">P27</f>
        <v>243.57743084973134</v>
      </c>
      <c r="BP40" s="120">
        <f t="shared" ref="BP40:BP52" si="209">Q27</f>
        <v>243.09027598803189</v>
      </c>
      <c r="BQ40" s="120">
        <f t="shared" ref="BQ40:BQ52" si="210">R27</f>
        <v>242.60409543605581</v>
      </c>
      <c r="BR40" s="120">
        <f t="shared" ref="BR40:BR52" si="211">S27</f>
        <v>242.11888724518371</v>
      </c>
      <c r="BS40" s="120">
        <f t="shared" ref="BS40:BS52" si="212">T27</f>
        <v>241.63464947069335</v>
      </c>
      <c r="BT40" s="120">
        <f t="shared" ref="BT40:BT52" si="213">U27</f>
        <v>241.15138017175195</v>
      </c>
      <c r="BU40" s="120">
        <f t="shared" ref="BU40:BU52" si="214">V27</f>
        <v>240.66907741140844</v>
      </c>
      <c r="BV40" s="120">
        <f t="shared" ref="BV40:BV52" si="215">W27</f>
        <v>240.18773925658562</v>
      </c>
      <c r="BW40" s="120">
        <f t="shared" ref="BW40:BW52" si="216">X27</f>
        <v>239.70736377807245</v>
      </c>
      <c r="BX40" s="120">
        <f t="shared" ref="BX40:BX52" si="217">Y27</f>
        <v>239.22794905051632</v>
      </c>
      <c r="BY40" s="120">
        <f t="shared" ref="BY40:BY52" si="218">Z27</f>
        <v>238.74949315241528</v>
      </c>
      <c r="BZ40" s="120">
        <f t="shared" ref="BZ40:BZ52" si="219">AA27</f>
        <v>238.27199416611046</v>
      </c>
      <c r="CA40" s="120">
        <f t="shared" ref="CA40:CA52" si="220">AB27</f>
        <v>237.79545017777824</v>
      </c>
      <c r="CB40" s="120">
        <f t="shared" ref="CB40:CB52" si="221">AC27</f>
        <v>237.31985927742267</v>
      </c>
      <c r="CC40" s="120">
        <f t="shared" ref="CC40:CC52" si="222">AD27</f>
        <v>236.84521955886783</v>
      </c>
      <c r="CD40" s="120">
        <f t="shared" ref="CD40:CD52" si="223">AE27</f>
        <v>236.37152911975008</v>
      </c>
      <c r="CE40" s="120">
        <f t="shared" ref="CE40:CE52" si="224">AF27</f>
        <v>235.89878606151058</v>
      </c>
      <c r="CF40" s="120">
        <f t="shared" ref="CF40:CF52" si="225">AG27</f>
        <v>235.42698848938755</v>
      </c>
      <c r="CG40" s="120">
        <f t="shared" ref="CG40:CG52" si="226">AH27</f>
        <v>234.95613451240877</v>
      </c>
      <c r="CH40" s="120">
        <f t="shared" ref="CH40:CH52" si="227">AI27</f>
        <v>234.48622224338393</v>
      </c>
      <c r="CI40" s="120">
        <f t="shared" ref="CI40:CI52" si="228">AJ27</f>
        <v>234.01724979889715</v>
      </c>
      <c r="CJ40" s="120">
        <f t="shared" ref="CJ40:CJ52" si="229">AK27</f>
        <v>233.54921529929936</v>
      </c>
      <c r="CK40" s="120">
        <f t="shared" ref="CK40:CK52" si="230">AL27</f>
        <v>233.08211686870075</v>
      </c>
      <c r="CL40" s="120">
        <f t="shared" ref="CL40:CL52" si="231">AM27</f>
        <v>232.61595263496335</v>
      </c>
      <c r="CM40" s="120">
        <f t="shared" ref="CM40:CM52" si="232">AN27</f>
        <v>232.15072072969343</v>
      </c>
      <c r="CN40" s="120">
        <f t="shared" ref="CN40:CN52" si="233">AO27</f>
        <v>231.68641928823405</v>
      </c>
      <c r="CO40" s="120">
        <f t="shared" ref="CO40:CO52" si="234">AP27</f>
        <v>231.22304644965757</v>
      </c>
      <c r="CP40" s="120">
        <f t="shared" ref="CP40:CP52" si="235">AQ27</f>
        <v>230.76060035675826</v>
      </c>
      <c r="CQ40" s="120">
        <f t="shared" ref="CQ40:CQ52" si="236">AR27</f>
        <v>230.29907915604474</v>
      </c>
      <c r="CR40" s="120">
        <f t="shared" ref="CR40:CR52" si="237">AS27</f>
        <v>229.83848099773266</v>
      </c>
      <c r="CS40" s="120">
        <f t="shared" ref="CS40:CS52" si="238">AT27</f>
        <v>229.3788040357372</v>
      </c>
      <c r="CT40" s="120">
        <f t="shared" ref="CT40:CT52" si="239">AU27</f>
        <v>228.92004642766574</v>
      </c>
      <c r="CU40" s="120">
        <f t="shared" ref="CU40:CU52" si="240">AV27</f>
        <v>228.46220633481042</v>
      </c>
      <c r="CV40" s="120">
        <f t="shared" ref="CV40:CV52" si="241">AW27</f>
        <v>228.0052819221408</v>
      </c>
      <c r="CW40" s="120">
        <f t="shared" ref="CW40:CW52" si="242">AX27</f>
        <v>227.54927135829652</v>
      </c>
      <c r="CX40" s="120">
        <f t="shared" ref="CX40:CX52" si="243">AY27</f>
        <v>227.09417281557992</v>
      </c>
      <c r="CY40" s="120">
        <f t="shared" ref="CY40:CY52" si="244">AZ27</f>
        <v>226.63998446994876</v>
      </c>
      <c r="CZ40" s="120">
        <f t="shared" ref="CZ40:CZ52" si="245">BA27</f>
        <v>226.18670450100885</v>
      </c>
      <c r="DA40" s="188">
        <f t="shared" ref="DA40:DA52" si="246">BB27</f>
        <v>225.73433109200684</v>
      </c>
      <c r="DB40" s="188">
        <f t="shared" ref="DB40:DB52" si="247">BC27</f>
        <v>225.28286242982281</v>
      </c>
      <c r="DC40" s="188">
        <f t="shared" ref="DC40:DC52" si="248">BD27</f>
        <v>224.83229670496317</v>
      </c>
      <c r="DD40" s="188">
        <f t="shared" ref="DD40:DD52" si="249">BE27</f>
        <v>224.38263211155325</v>
      </c>
      <c r="DE40" s="188">
        <f t="shared" ref="DE40:DE52" si="250">BF27</f>
        <v>223.93386684733014</v>
      </c>
      <c r="DF40" s="188">
        <f t="shared" ref="DF40:DF52" si="251">BG27</f>
        <v>223.48599911363547</v>
      </c>
      <c r="DG40" s="188">
        <f t="shared" ref="DG40:DG52" si="252">BH27</f>
        <v>223.0390271154082</v>
      </c>
      <c r="DH40" s="188">
        <f t="shared" ref="DH40:DH52" si="253">BI27</f>
        <v>222.59294906117739</v>
      </c>
      <c r="DI40" s="188">
        <f t="shared" ref="DI40:DI52" si="254">BJ27</f>
        <v>222.14776316305503</v>
      </c>
      <c r="DJ40" s="188">
        <f t="shared" ref="DJ40:DJ52" si="255">BK27</f>
        <v>221.70346763672893</v>
      </c>
      <c r="DK40" s="188">
        <f t="shared" ref="DK40:DK52" si="256">BL27</f>
        <v>221.26006070145547</v>
      </c>
      <c r="DL40" s="188">
        <f t="shared" ref="DL40:DL52" si="257">BM27</f>
        <v>220.81754058005257</v>
      </c>
      <c r="DM40" s="188">
        <f t="shared" ref="DM40:DM52" si="258">BN27</f>
        <v>220.37590549889245</v>
      </c>
      <c r="DN40" s="188">
        <f t="shared" ref="DN40:DN52" si="259">BO27</f>
        <v>219.93515368789465</v>
      </c>
      <c r="DO40" s="188">
        <f t="shared" ref="DO40:DO52" si="260">BP27</f>
        <v>219.49528338051886</v>
      </c>
      <c r="DP40" s="188">
        <f t="shared" ref="DP40:DP52" si="261">BQ27</f>
        <v>219.05629281375781</v>
      </c>
      <c r="DQ40" s="188">
        <f t="shared" ref="DQ40:DQ52" si="262">BR27</f>
        <v>218.61818022813029</v>
      </c>
      <c r="DR40" s="188">
        <f t="shared" ref="DR40:DR52" si="263">BS27</f>
        <v>218.18094386767402</v>
      </c>
      <c r="DS40" s="188">
        <f t="shared" ref="DS40:DS52" si="264">BT27</f>
        <v>217.74458197993866</v>
      </c>
      <c r="DT40" s="188">
        <f t="shared" ref="DT40:DT52" si="265">BU27</f>
        <v>217.30909281597877</v>
      </c>
      <c r="DU40" s="188">
        <f t="shared" ref="DU40:DU52" si="266">BV27</f>
        <v>216.87447463034681</v>
      </c>
      <c r="DV40" s="188">
        <f t="shared" ref="DV40:DV52" si="267">BW27</f>
        <v>216.44072568108612</v>
      </c>
      <c r="DW40" s="188">
        <f t="shared" ref="DW40:DW52" si="268">BX27</f>
        <v>216.00784422972396</v>
      </c>
      <c r="DX40" s="188">
        <f t="shared" ref="DX40:DX52" si="269">BY27</f>
        <v>215.57582854126451</v>
      </c>
      <c r="DY40" s="188">
        <f t="shared" ref="DY40:DY52" si="270">BZ27</f>
        <v>215.14467688418199</v>
      </c>
      <c r="DZ40" s="188">
        <f t="shared" ref="DZ40:DZ52" si="271">CA27</f>
        <v>214.71438753041363</v>
      </c>
      <c r="EA40" s="188">
        <f t="shared" ref="EA40:EA52" si="272">CB27</f>
        <v>214.28495875535282</v>
      </c>
      <c r="EB40" s="188">
        <f t="shared" ref="EB40:EB52" si="273">CC27</f>
        <v>213.8563888378421</v>
      </c>
      <c r="EC40" s="188">
        <f t="shared" ref="EC40:EC52" si="274">CD27</f>
        <v>213.42867606016642</v>
      </c>
      <c r="ED40" s="188">
        <f t="shared" ref="ED40:ED52" si="275">CE27</f>
        <v>213.0018187080461</v>
      </c>
      <c r="EE40" s="188">
        <f t="shared" ref="EE40:EE52" si="276">CF27</f>
        <v>212.57581507063</v>
      </c>
      <c r="EF40" s="188">
        <f t="shared" ref="EF40:EF52" si="277">CG27</f>
        <v>212.15066344048873</v>
      </c>
      <c r="EG40" s="188">
        <f t="shared" ref="EG40:EG52" si="278">CH27</f>
        <v>211.72636211360776</v>
      </c>
      <c r="EH40" s="188">
        <f t="shared" ref="EH40:EH52" si="279">CI27</f>
        <v>211.30290938938055</v>
      </c>
      <c r="EI40" s="188">
        <f t="shared" ref="EI40:EI52" si="280">CJ27</f>
        <v>210.8803035706018</v>
      </c>
      <c r="EJ40" s="188">
        <f t="shared" ref="EJ40:EJ52" si="281">CK27</f>
        <v>210.45854296346059</v>
      </c>
      <c r="EK40" s="188">
        <f t="shared" ref="EK40:EK52" si="282">CL27</f>
        <v>210.03762587753366</v>
      </c>
      <c r="EL40" s="188">
        <f t="shared" ref="EL40:EL52" si="283">CM27</f>
        <v>209.61755062577859</v>
      </c>
      <c r="EM40" s="188">
        <f t="shared" ref="EM40:EM52" si="284">CN27</f>
        <v>209.19831552452703</v>
      </c>
      <c r="EN40" s="188">
        <f t="shared" ref="EN40:EN52" si="285">CO27</f>
        <v>208.77991889347797</v>
      </c>
      <c r="EO40" s="188">
        <f t="shared" ref="EO40:EO52" si="286">CP27</f>
        <v>208.362359055691</v>
      </c>
      <c r="EP40" s="188">
        <f t="shared" ref="EP40:EP52" si="287">CQ27</f>
        <v>207.94563433757963</v>
      </c>
      <c r="EQ40" s="188">
        <f t="shared" ref="EQ40:EQ52" si="288">CR27</f>
        <v>207.52974306890448</v>
      </c>
      <c r="ER40" s="188">
        <f t="shared" ref="ER40:ER52" si="289">CS27</f>
        <v>207.11468358276667</v>
      </c>
      <c r="ES40" s="188">
        <f t="shared" ref="ES40:ES52" si="290">CT27</f>
        <v>206.70045421560113</v>
      </c>
      <c r="ET40" s="188">
        <f t="shared" ref="ET40:ET52" si="291">CU27</f>
        <v>206.28705330716991</v>
      </c>
      <c r="EU40" s="188">
        <f t="shared" ref="EU40:EU52" si="292">CV27</f>
        <v>205.87447920055558</v>
      </c>
      <c r="EV40" s="188">
        <f t="shared" ref="EV40:EV52" si="293">CW27</f>
        <v>205.46273024215446</v>
      </c>
      <c r="EW40" s="188">
        <f t="shared" ref="EW40:EW52" si="294">CX27</f>
        <v>205.05180478167014</v>
      </c>
      <c r="EX40" s="188">
        <f t="shared" ref="EX40:EX52" si="295">CY27</f>
        <v>204.64170117210679</v>
      </c>
      <c r="EY40" s="188">
        <f t="shared" ref="EY40:EY52" si="296">CZ27</f>
        <v>204.23241776976258</v>
      </c>
      <c r="EZ40" s="189">
        <f t="shared" ref="EZ40:EZ52" si="297">DA27</f>
        <v>203.82395293422306</v>
      </c>
      <c r="FA40" s="189">
        <f t="shared" ref="FA40:FA52" si="298">DB27</f>
        <v>203.4163050283546</v>
      </c>
      <c r="FB40" s="189">
        <f t="shared" ref="FB40:FB52" si="299">DC27</f>
        <v>203.00947241829789</v>
      </c>
      <c r="FC40" s="189">
        <f t="shared" ref="FC40:FC52" si="300">DD27</f>
        <v>202.60345347346129</v>
      </c>
      <c r="FD40" s="189">
        <f t="shared" ref="FD40:FD52" si="301">DE27</f>
        <v>202.19824656651437</v>
      </c>
      <c r="FE40" s="189">
        <f t="shared" ref="FE40:FE52" si="302">DF27</f>
        <v>201.79385007338135</v>
      </c>
      <c r="FF40" s="189">
        <f t="shared" ref="FF40:FF52" si="303">DG27</f>
        <v>201.39026237323458</v>
      </c>
      <c r="FG40" s="189">
        <f t="shared" ref="FG40:FG52" si="304">DH27</f>
        <v>200.9874818484881</v>
      </c>
      <c r="FH40" s="189">
        <f t="shared" ref="FH40:FH52" si="305">DI27</f>
        <v>200.58550688479113</v>
      </c>
      <c r="FI40" s="189">
        <f t="shared" ref="FI40:FI52" si="306">DJ27</f>
        <v>200.18433587102155</v>
      </c>
      <c r="FJ40" s="189">
        <f t="shared" ref="FJ40:FJ52" si="307">DK27</f>
        <v>199.78396719927952</v>
      </c>
      <c r="FK40" s="189">
        <f t="shared" ref="FK40:FK52" si="308">DL27</f>
        <v>199.38439926488095</v>
      </c>
      <c r="FL40" s="189">
        <f t="shared" ref="FL40:FL52" si="309">DM27</f>
        <v>198.98563046635118</v>
      </c>
      <c r="FM40" s="189">
        <f t="shared" ref="FM40:FM52" si="310">DN27</f>
        <v>198.58765920541848</v>
      </c>
      <c r="FN40" s="189">
        <f t="shared" ref="FN40:FN52" si="311">DO27</f>
        <v>198.19048388700764</v>
      </c>
      <c r="FO40" s="189">
        <f t="shared" ref="FO40:FO52" si="312">DP27</f>
        <v>197.79410291923364</v>
      </c>
      <c r="FP40" s="189">
        <f t="shared" ref="FP40:FP52" si="313">DQ27</f>
        <v>197.39851471339517</v>
      </c>
      <c r="FQ40" s="189">
        <f t="shared" ref="FQ40:FQ52" si="314">DR27</f>
        <v>197.00371768396838</v>
      </c>
      <c r="FR40" s="189">
        <f t="shared" ref="FR40:FR52" si="315">DS27</f>
        <v>196.60971024860044</v>
      </c>
      <c r="FS40" s="189">
        <f t="shared" ref="FS40:FS52" si="316">DT27</f>
        <v>196.21649082810325</v>
      </c>
      <c r="FT40" s="189">
        <f t="shared" ref="FT40:FT52" si="317">DU27</f>
        <v>195.82405784644703</v>
      </c>
      <c r="FU40" s="189">
        <f t="shared" ref="FU40:FU52" si="318">DV27</f>
        <v>195.43240973075413</v>
      </c>
      <c r="FV40" s="189">
        <f t="shared" ref="FV40:FV52" si="319">DW27</f>
        <v>195.04154491129262</v>
      </c>
      <c r="FW40" s="189">
        <f t="shared" ref="FW40:FW52" si="320">DX27</f>
        <v>194.65146182147004</v>
      </c>
      <c r="FX40" s="189">
        <f t="shared" ref="FX40:FX52" si="321">DY27</f>
        <v>194.26215889782711</v>
      </c>
      <c r="FY40" s="189">
        <f t="shared" ref="FY40:FY52" si="322">DZ27</f>
        <v>193.87363458003145</v>
      </c>
      <c r="FZ40" s="189">
        <f t="shared" ref="FZ40:FZ52" si="323">EA27</f>
        <v>193.48588731087139</v>
      </c>
      <c r="GA40" s="190">
        <f t="shared" ref="GA40:GA52" si="324">EB27</f>
        <v>168.91317962239071</v>
      </c>
      <c r="GB40" s="189">
        <f t="shared" ref="GB40:GB52" si="325">EC27</f>
        <v>168.57535326314593</v>
      </c>
      <c r="GC40" s="190">
        <f t="shared" ref="GC40:GC52" si="326">ED27</f>
        <v>144.15600923331306</v>
      </c>
      <c r="GD40" s="189">
        <f t="shared" ref="GD40:GD52" si="327">EE27</f>
        <v>143.86769721484643</v>
      </c>
      <c r="GE40" s="189">
        <f t="shared" ref="GE40:GE52" si="328">EF27</f>
        <v>143.57996182041674</v>
      </c>
      <c r="GF40" s="189">
        <f t="shared" ref="GF40:GF52" si="329">EG27</f>
        <v>143.2928018967759</v>
      </c>
      <c r="GG40" s="189">
        <f t="shared" ref="GG40:GG52" si="330">EH27</f>
        <v>143.00621629298234</v>
      </c>
      <c r="GH40" s="190">
        <f t="shared" ref="GH40:GH52" si="331">EI27</f>
        <v>118.88583447823264</v>
      </c>
      <c r="GI40" s="189">
        <f t="shared" ref="GI40:GI52" si="332">EJ27</f>
        <v>118.64806280927617</v>
      </c>
      <c r="GJ40" s="190">
        <f t="shared" ref="GJ40:GJ52" si="333">EK27</f>
        <v>94.681154121802379</v>
      </c>
      <c r="GK40" s="189">
        <f t="shared" ref="GK40:GK52" si="334">EL27</f>
        <v>94.491791813558777</v>
      </c>
      <c r="GL40" s="189">
        <f t="shared" ref="GL40:GL52" si="335">EM27</f>
        <v>94.302808229931657</v>
      </c>
      <c r="GM40" s="189">
        <f t="shared" ref="GM40:GM52" si="336">EN27</f>
        <v>94.11420261347179</v>
      </c>
      <c r="GN40" s="189">
        <f t="shared" ref="GN40:GN52" si="337">EO27</f>
        <v>93.925974208244853</v>
      </c>
      <c r="GO40" s="190">
        <f t="shared" ref="GO40:GO52" si="338">EP27</f>
        <v>70.256628707767149</v>
      </c>
      <c r="GP40" s="189">
        <f t="shared" ref="GP40:GP52" si="339">EQ27</f>
        <v>70.116115450351614</v>
      </c>
      <c r="GQ40" s="190">
        <f t="shared" ref="GQ40:GQ52" si="340">ER27</f>
        <v>46.603844736000369</v>
      </c>
      <c r="GR40" s="189">
        <f t="shared" ref="GR40:GR52" si="341">ES27</f>
        <v>46.510637046528366</v>
      </c>
      <c r="GS40" s="189">
        <f t="shared" ref="GS40:GS52" si="342">ET27</f>
        <v>46.417615772435312</v>
      </c>
      <c r="GT40" s="189">
        <f t="shared" ref="GT40:GT52" si="343">EU27</f>
        <v>46.324780540890444</v>
      </c>
      <c r="GU40" s="189">
        <f t="shared" ref="GU40:GU52" si="344">EV27</f>
        <v>46.232130979808666</v>
      </c>
      <c r="GV40" s="190">
        <f t="shared" ref="GV40:GV52" si="345">EW27</f>
        <v>23.023601227944713</v>
      </c>
      <c r="GW40" s="189">
        <f t="shared" ref="GW40:GW52" si="346">EX27</f>
        <v>22.977554025488825</v>
      </c>
      <c r="GX40" s="191">
        <f t="shared" ref="GX40:GX52" si="347">EY27</f>
        <v>-4.5955108050979021E-2</v>
      </c>
      <c r="GY40" s="119"/>
      <c r="GZ40" s="119"/>
      <c r="HA40" s="119"/>
      <c r="HB40" s="119"/>
      <c r="HC40" s="119"/>
      <c r="HD40" s="119"/>
      <c r="HE40" s="119"/>
      <c r="HF40" s="119"/>
      <c r="HG40" s="119"/>
      <c r="HH40" s="119"/>
      <c r="HI40" s="119"/>
      <c r="HJ40" s="119"/>
      <c r="HK40" s="119"/>
      <c r="HL40" s="119"/>
      <c r="HM40" s="119"/>
      <c r="HN40" s="119"/>
      <c r="HO40" s="119"/>
      <c r="HP40" s="119"/>
      <c r="HQ40" s="119"/>
      <c r="HR40" s="119"/>
      <c r="HS40" s="119"/>
      <c r="HT40" s="119"/>
      <c r="HU40" s="119"/>
      <c r="HV40" s="119"/>
      <c r="HW40" s="119"/>
      <c r="HX40" s="119"/>
      <c r="HY40" s="119"/>
      <c r="HZ40" s="119"/>
      <c r="IA40" s="119"/>
      <c r="IB40" s="119"/>
      <c r="IC40" s="119"/>
      <c r="ID40" s="119"/>
      <c r="IE40" s="119"/>
      <c r="IF40" s="119"/>
      <c r="IG40" s="119"/>
      <c r="IH40" s="119"/>
      <c r="II40" s="119"/>
      <c r="IJ40" s="119"/>
      <c r="IK40" s="119"/>
      <c r="IL40" s="119"/>
      <c r="IM40" s="119"/>
      <c r="IN40" s="119"/>
      <c r="IO40" s="119"/>
      <c r="IP40" s="119"/>
      <c r="IQ40" s="119"/>
      <c r="IR40" s="119"/>
      <c r="IS40" s="119"/>
      <c r="IT40" s="119"/>
      <c r="IU40" s="119"/>
      <c r="IV40" s="119"/>
      <c r="IW40" s="119"/>
      <c r="IX40" s="119"/>
      <c r="IY40" s="119"/>
      <c r="IZ40" s="119"/>
      <c r="JA40" s="119"/>
      <c r="JB40" s="119"/>
      <c r="JC40" s="119"/>
      <c r="JD40" s="119"/>
      <c r="JE40" s="119"/>
      <c r="JF40" s="119"/>
      <c r="JG40" s="119"/>
      <c r="JH40" s="119"/>
      <c r="JI40" s="119"/>
      <c r="JJ40" s="119"/>
      <c r="JK40" s="119"/>
      <c r="JL40" s="119"/>
      <c r="JM40" s="119"/>
      <c r="JN40" s="20"/>
      <c r="JO40" s="20"/>
      <c r="JP40" s="20"/>
      <c r="JQ40" s="20"/>
      <c r="JR40" s="20"/>
      <c r="JS40" s="20"/>
      <c r="JT40" s="20"/>
      <c r="JU40" s="20"/>
      <c r="JV40" s="20"/>
      <c r="JW40" s="20"/>
      <c r="JX40" s="20"/>
      <c r="JY40" s="20"/>
      <c r="JZ40" s="20"/>
      <c r="KA40" s="20"/>
      <c r="KB40" s="20"/>
      <c r="KC40" s="20"/>
      <c r="KD40" s="20"/>
      <c r="KE40" s="20"/>
      <c r="KF40" s="20"/>
      <c r="KG40" s="20"/>
      <c r="KH40" s="20"/>
      <c r="KI40" s="20"/>
      <c r="KJ40" s="20"/>
      <c r="KK40" s="23"/>
      <c r="KL40" s="23"/>
      <c r="KM40" s="23"/>
      <c r="KN40" s="23"/>
      <c r="KO40" s="23"/>
      <c r="KP40" s="23"/>
      <c r="KQ40" s="23"/>
      <c r="KR40" s="23"/>
      <c r="KS40" s="23"/>
      <c r="KT40" s="23"/>
      <c r="KU40" s="23"/>
      <c r="KV40" s="23"/>
      <c r="KW40" s="23"/>
      <c r="KX40" s="23"/>
      <c r="KY40" s="23"/>
      <c r="KZ40" s="23"/>
      <c r="LA40" s="23"/>
      <c r="LB40" s="23"/>
      <c r="LC40" s="23"/>
      <c r="LD40" s="23"/>
      <c r="LE40" s="23"/>
      <c r="LF40" s="23"/>
      <c r="LG40" s="23"/>
      <c r="LH40" s="23"/>
      <c r="LI40" s="23"/>
      <c r="LJ40" s="23"/>
      <c r="LK40" s="23"/>
      <c r="LL40" s="23"/>
      <c r="LM40" s="23"/>
      <c r="LN40" s="23"/>
      <c r="LO40" s="23"/>
      <c r="LP40" s="23"/>
      <c r="LQ40" s="23"/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  <c r="PW40" s="23"/>
      <c r="PX40" s="23"/>
      <c r="PY40" s="23"/>
      <c r="PZ40" s="23"/>
      <c r="QA40" s="23"/>
      <c r="QB40" s="23"/>
      <c r="QC40" s="23"/>
      <c r="QD40" s="23"/>
      <c r="QE40" s="23"/>
      <c r="QF40" s="23"/>
      <c r="QG40" s="23"/>
      <c r="QH40" s="23"/>
      <c r="QI40" s="23"/>
      <c r="QJ40" s="23"/>
      <c r="QK40" s="23"/>
      <c r="QL40" s="23"/>
      <c r="QM40" s="23"/>
      <c r="QN40" s="23"/>
      <c r="QO40" s="23"/>
      <c r="QP40" s="23"/>
      <c r="QQ40" s="23"/>
      <c r="QR40" s="23"/>
      <c r="QS40" s="23"/>
      <c r="QT40" s="23"/>
      <c r="QU40" s="23"/>
      <c r="QV40" s="23"/>
      <c r="QW40" s="23"/>
      <c r="QX40" s="23"/>
      <c r="QY40" s="23"/>
      <c r="QZ40" s="23"/>
      <c r="RA40" s="23"/>
      <c r="RB40" s="23"/>
      <c r="RC40" s="184"/>
      <c r="RD40" s="184"/>
      <c r="RE40" s="184"/>
      <c r="RF40" s="184"/>
      <c r="RG40" s="184"/>
      <c r="RH40" s="184"/>
      <c r="RI40" s="184"/>
      <c r="RJ40" s="184"/>
      <c r="RK40" s="184"/>
      <c r="RL40" s="184"/>
      <c r="RM40" s="184"/>
      <c r="RN40" s="184"/>
      <c r="RO40" s="184"/>
      <c r="RP40" s="184"/>
      <c r="RQ40" s="184"/>
      <c r="RR40" s="184"/>
      <c r="RS40" s="184"/>
      <c r="RT40" s="184"/>
      <c r="RU40" s="184"/>
      <c r="RV40" s="184"/>
      <c r="RW40" s="184"/>
      <c r="RX40" s="184"/>
      <c r="RY40" s="184"/>
      <c r="RZ40" s="184"/>
      <c r="SA40" s="185"/>
      <c r="SB40" s="185"/>
      <c r="SC40" s="185"/>
      <c r="SD40" s="185"/>
      <c r="SE40" s="185"/>
      <c r="SF40" s="185"/>
      <c r="SG40" s="185"/>
      <c r="SH40" s="185"/>
      <c r="SI40" s="185"/>
      <c r="SJ40" s="185"/>
      <c r="SK40" s="185"/>
      <c r="SL40" s="185"/>
      <c r="SM40" s="185"/>
      <c r="SN40" s="185"/>
      <c r="SO40" s="185"/>
      <c r="SP40" s="185"/>
      <c r="SQ40" s="185"/>
      <c r="SR40" s="185"/>
      <c r="SS40" s="185"/>
      <c r="ST40" s="185"/>
      <c r="SU40" s="185"/>
      <c r="SV40" s="185"/>
      <c r="SW40" s="185"/>
      <c r="SX40" s="185"/>
      <c r="SY40" s="185"/>
      <c r="SZ40" s="185"/>
      <c r="TA40" s="11"/>
      <c r="TB40" s="11"/>
      <c r="TC40" s="11"/>
      <c r="TD40" s="11"/>
    </row>
    <row r="41" spans="1:1013" ht="22.15" customHeight="1" thickBot="1" x14ac:dyDescent="0.3">
      <c r="A41" s="298"/>
      <c r="B41" s="25" t="s">
        <v>1</v>
      </c>
      <c r="L41" s="10"/>
      <c r="M41" s="10"/>
      <c r="BB41" s="128" t="str">
        <f t="shared" si="195"/>
        <v>-</v>
      </c>
      <c r="BC41" s="108" t="str">
        <f t="shared" si="196"/>
        <v>-</v>
      </c>
      <c r="BD41" s="108" t="str">
        <f t="shared" si="197"/>
        <v>-</v>
      </c>
      <c r="BE41" s="108" t="str">
        <f t="shared" si="198"/>
        <v>-</v>
      </c>
      <c r="BF41" s="108" t="str">
        <f t="shared" si="199"/>
        <v>-</v>
      </c>
      <c r="BG41" s="108" t="str">
        <f t="shared" si="200"/>
        <v>-</v>
      </c>
      <c r="BH41" s="108" t="str">
        <f t="shared" si="201"/>
        <v>-</v>
      </c>
      <c r="BI41" s="108" t="str">
        <f t="shared" si="202"/>
        <v>-</v>
      </c>
      <c r="BJ41" s="108" t="str">
        <f t="shared" si="203"/>
        <v>-</v>
      </c>
      <c r="BK41" s="108" t="str">
        <f t="shared" si="204"/>
        <v>-</v>
      </c>
      <c r="BL41" s="108" t="str">
        <f t="shared" si="205"/>
        <v>-</v>
      </c>
      <c r="BM41" s="108" t="str">
        <f t="shared" si="206"/>
        <v>-</v>
      </c>
      <c r="BN41" s="108" t="str">
        <f t="shared" si="207"/>
        <v>-</v>
      </c>
      <c r="BO41" s="108" t="str">
        <f t="shared" si="208"/>
        <v>-</v>
      </c>
      <c r="BP41" s="108" t="str">
        <f t="shared" si="209"/>
        <v>-</v>
      </c>
      <c r="BQ41" s="108" t="str">
        <f t="shared" si="210"/>
        <v>-</v>
      </c>
      <c r="BR41" s="108" t="str">
        <f t="shared" si="211"/>
        <v>-</v>
      </c>
      <c r="BS41" s="108" t="str">
        <f t="shared" si="212"/>
        <v>-</v>
      </c>
      <c r="BT41" s="108" t="str">
        <f t="shared" si="213"/>
        <v>-</v>
      </c>
      <c r="BU41" s="108" t="str">
        <f t="shared" si="214"/>
        <v>-</v>
      </c>
      <c r="BV41" s="108" t="str">
        <f t="shared" si="215"/>
        <v>-</v>
      </c>
      <c r="BW41" s="108" t="str">
        <f t="shared" si="216"/>
        <v>-</v>
      </c>
      <c r="BX41" s="108" t="str">
        <f t="shared" si="217"/>
        <v>-</v>
      </c>
      <c r="BY41" s="108" t="str">
        <f t="shared" si="218"/>
        <v>-</v>
      </c>
      <c r="BZ41" s="108" t="str">
        <f t="shared" si="219"/>
        <v>-</v>
      </c>
      <c r="CA41" s="108" t="str">
        <f t="shared" si="220"/>
        <v>-</v>
      </c>
      <c r="CB41" s="108" t="str">
        <f t="shared" si="221"/>
        <v>-</v>
      </c>
      <c r="CC41" s="108" t="str">
        <f t="shared" si="222"/>
        <v>-</v>
      </c>
      <c r="CD41" s="108" t="str">
        <f t="shared" si="223"/>
        <v>-</v>
      </c>
      <c r="CE41" s="108" t="str">
        <f t="shared" si="224"/>
        <v>-</v>
      </c>
      <c r="CF41" s="108" t="str">
        <f t="shared" si="225"/>
        <v>-</v>
      </c>
      <c r="CG41" s="108" t="str">
        <f t="shared" si="226"/>
        <v>-</v>
      </c>
      <c r="CH41" s="108" t="str">
        <f t="shared" si="227"/>
        <v>-</v>
      </c>
      <c r="CI41" s="108" t="str">
        <f t="shared" si="228"/>
        <v>-</v>
      </c>
      <c r="CJ41" s="108" t="str">
        <f t="shared" si="229"/>
        <v>-</v>
      </c>
      <c r="CK41" s="108" t="str">
        <f t="shared" si="230"/>
        <v>-</v>
      </c>
      <c r="CL41" s="108" t="str">
        <f t="shared" si="231"/>
        <v>-</v>
      </c>
      <c r="CM41" s="108" t="str">
        <f t="shared" si="232"/>
        <v>-</v>
      </c>
      <c r="CN41" s="108" t="str">
        <f t="shared" si="233"/>
        <v>-</v>
      </c>
      <c r="CO41" s="108" t="str">
        <f t="shared" si="234"/>
        <v>-</v>
      </c>
      <c r="CP41" s="108" t="str">
        <f t="shared" si="235"/>
        <v>-</v>
      </c>
      <c r="CQ41" s="108" t="str">
        <f t="shared" si="236"/>
        <v>-</v>
      </c>
      <c r="CR41" s="108" t="str">
        <f t="shared" si="237"/>
        <v>-</v>
      </c>
      <c r="CS41" s="108" t="str">
        <f t="shared" si="238"/>
        <v>-</v>
      </c>
      <c r="CT41" s="108" t="str">
        <f t="shared" si="239"/>
        <v>-</v>
      </c>
      <c r="CU41" s="108" t="str">
        <f t="shared" si="240"/>
        <v>-</v>
      </c>
      <c r="CV41" s="108" t="str">
        <f t="shared" si="241"/>
        <v>-</v>
      </c>
      <c r="CW41" s="108" t="str">
        <f t="shared" si="242"/>
        <v>-</v>
      </c>
      <c r="CX41" s="108" t="str">
        <f t="shared" si="243"/>
        <v>-</v>
      </c>
      <c r="CY41" s="108" t="str">
        <f t="shared" si="244"/>
        <v>-</v>
      </c>
      <c r="CZ41" s="108" t="str">
        <f t="shared" si="245"/>
        <v>-</v>
      </c>
      <c r="DA41" s="145" t="str">
        <f t="shared" si="246"/>
        <v>-</v>
      </c>
      <c r="DB41" s="145" t="str">
        <f t="shared" si="247"/>
        <v>-</v>
      </c>
      <c r="DC41" s="145" t="str">
        <f t="shared" si="248"/>
        <v>-</v>
      </c>
      <c r="DD41" s="145" t="str">
        <f t="shared" si="249"/>
        <v>-</v>
      </c>
      <c r="DE41" s="145" t="str">
        <f t="shared" si="250"/>
        <v>-</v>
      </c>
      <c r="DF41" s="145" t="str">
        <f t="shared" si="251"/>
        <v>-</v>
      </c>
      <c r="DG41" s="145" t="str">
        <f t="shared" si="252"/>
        <v>-</v>
      </c>
      <c r="DH41" s="145" t="str">
        <f t="shared" si="253"/>
        <v>-</v>
      </c>
      <c r="DI41" s="145" t="str">
        <f t="shared" si="254"/>
        <v>-</v>
      </c>
      <c r="DJ41" s="145" t="str">
        <f t="shared" si="255"/>
        <v>-</v>
      </c>
      <c r="DK41" s="145" t="str">
        <f t="shared" si="256"/>
        <v>-</v>
      </c>
      <c r="DL41" s="145" t="str">
        <f t="shared" si="257"/>
        <v>-</v>
      </c>
      <c r="DM41" s="145" t="str">
        <f t="shared" si="258"/>
        <v>-</v>
      </c>
      <c r="DN41" s="145" t="str">
        <f t="shared" si="259"/>
        <v>-</v>
      </c>
      <c r="DO41" s="145" t="str">
        <f t="shared" si="260"/>
        <v>-</v>
      </c>
      <c r="DP41" s="145" t="str">
        <f t="shared" si="261"/>
        <v>-</v>
      </c>
      <c r="DQ41" s="145" t="str">
        <f t="shared" si="262"/>
        <v>-</v>
      </c>
      <c r="DR41" s="145" t="str">
        <f t="shared" si="263"/>
        <v>-</v>
      </c>
      <c r="DS41" s="145" t="str">
        <f t="shared" si="264"/>
        <v>-</v>
      </c>
      <c r="DT41" s="145" t="str">
        <f t="shared" si="265"/>
        <v>-</v>
      </c>
      <c r="DU41" s="145" t="str">
        <f t="shared" si="266"/>
        <v>-</v>
      </c>
      <c r="DV41" s="145" t="str">
        <f t="shared" si="267"/>
        <v>-</v>
      </c>
      <c r="DW41" s="145" t="str">
        <f t="shared" si="268"/>
        <v>-</v>
      </c>
      <c r="DX41" s="145" t="str">
        <f t="shared" si="269"/>
        <v>-</v>
      </c>
      <c r="DY41" s="145" t="str">
        <f t="shared" si="270"/>
        <v>-</v>
      </c>
      <c r="DZ41" s="145" t="str">
        <f t="shared" si="271"/>
        <v>-</v>
      </c>
      <c r="EA41" s="145" t="str">
        <f t="shared" si="272"/>
        <v>-</v>
      </c>
      <c r="EB41" s="145" t="str">
        <f t="shared" si="273"/>
        <v>-</v>
      </c>
      <c r="EC41" s="145" t="str">
        <f t="shared" si="274"/>
        <v>-</v>
      </c>
      <c r="ED41" s="145" t="str">
        <f t="shared" si="275"/>
        <v>-</v>
      </c>
      <c r="EE41" s="145" t="str">
        <f t="shared" si="276"/>
        <v>-</v>
      </c>
      <c r="EF41" s="145" t="str">
        <f t="shared" si="277"/>
        <v>-</v>
      </c>
      <c r="EG41" s="145" t="str">
        <f t="shared" si="278"/>
        <v>-</v>
      </c>
      <c r="EH41" s="145" t="str">
        <f t="shared" si="279"/>
        <v>-</v>
      </c>
      <c r="EI41" s="145" t="str">
        <f t="shared" si="280"/>
        <v>-</v>
      </c>
      <c r="EJ41" s="145" t="str">
        <f t="shared" si="281"/>
        <v>-</v>
      </c>
      <c r="EK41" s="145" t="str">
        <f t="shared" si="282"/>
        <v>-</v>
      </c>
      <c r="EL41" s="145" t="str">
        <f t="shared" si="283"/>
        <v>-</v>
      </c>
      <c r="EM41" s="145" t="str">
        <f t="shared" si="284"/>
        <v>-</v>
      </c>
      <c r="EN41" s="145" t="str">
        <f t="shared" si="285"/>
        <v>-</v>
      </c>
      <c r="EO41" s="145" t="str">
        <f t="shared" si="286"/>
        <v>-</v>
      </c>
      <c r="EP41" s="145" t="str">
        <f t="shared" si="287"/>
        <v>-</v>
      </c>
      <c r="EQ41" s="145" t="str">
        <f t="shared" si="288"/>
        <v>-</v>
      </c>
      <c r="ER41" s="145" t="str">
        <f t="shared" si="289"/>
        <v>-</v>
      </c>
      <c r="ES41" s="145" t="str">
        <f t="shared" si="290"/>
        <v>-</v>
      </c>
      <c r="ET41" s="145" t="str">
        <f t="shared" si="291"/>
        <v>-</v>
      </c>
      <c r="EU41" s="145" t="str">
        <f t="shared" si="292"/>
        <v>-</v>
      </c>
      <c r="EV41" s="145" t="str">
        <f t="shared" si="293"/>
        <v>-</v>
      </c>
      <c r="EW41" s="145" t="str">
        <f t="shared" si="294"/>
        <v>-</v>
      </c>
      <c r="EX41" s="145" t="str">
        <f t="shared" si="295"/>
        <v>-</v>
      </c>
      <c r="EY41" s="145" t="str">
        <f t="shared" si="296"/>
        <v>-</v>
      </c>
      <c r="EZ41" s="155" t="str">
        <f t="shared" si="297"/>
        <v>-</v>
      </c>
      <c r="FA41" s="155" t="str">
        <f t="shared" si="298"/>
        <v>-</v>
      </c>
      <c r="FB41" s="155" t="str">
        <f t="shared" si="299"/>
        <v>-</v>
      </c>
      <c r="FC41" s="155" t="str">
        <f t="shared" si="300"/>
        <v>-</v>
      </c>
      <c r="FD41" s="155" t="str">
        <f t="shared" si="301"/>
        <v>-</v>
      </c>
      <c r="FE41" s="155" t="str">
        <f t="shared" si="302"/>
        <v>-</v>
      </c>
      <c r="FF41" s="155" t="str">
        <f t="shared" si="303"/>
        <v>-</v>
      </c>
      <c r="FG41" s="155" t="str">
        <f t="shared" si="304"/>
        <v>-</v>
      </c>
      <c r="FH41" s="155" t="str">
        <f t="shared" si="305"/>
        <v>-</v>
      </c>
      <c r="FI41" s="155" t="str">
        <f t="shared" si="306"/>
        <v>-</v>
      </c>
      <c r="FJ41" s="155" t="str">
        <f t="shared" si="307"/>
        <v>-</v>
      </c>
      <c r="FK41" s="155" t="str">
        <f t="shared" si="308"/>
        <v>-</v>
      </c>
      <c r="FL41" s="155" t="str">
        <f t="shared" si="309"/>
        <v>-</v>
      </c>
      <c r="FM41" s="155" t="str">
        <f t="shared" si="310"/>
        <v>-</v>
      </c>
      <c r="FN41" s="155" t="str">
        <f t="shared" si="311"/>
        <v>-</v>
      </c>
      <c r="FO41" s="155" t="str">
        <f t="shared" si="312"/>
        <v>-</v>
      </c>
      <c r="FP41" s="155" t="str">
        <f t="shared" si="313"/>
        <v>-</v>
      </c>
      <c r="FQ41" s="155" t="str">
        <f t="shared" si="314"/>
        <v>-</v>
      </c>
      <c r="FR41" s="155" t="str">
        <f t="shared" si="315"/>
        <v>-</v>
      </c>
      <c r="FS41" s="155" t="str">
        <f t="shared" si="316"/>
        <v>-</v>
      </c>
      <c r="FT41" s="155" t="str">
        <f t="shared" si="317"/>
        <v>-</v>
      </c>
      <c r="FU41" s="155" t="str">
        <f t="shared" si="318"/>
        <v>-</v>
      </c>
      <c r="FV41" s="155" t="str">
        <f t="shared" si="319"/>
        <v>-</v>
      </c>
      <c r="FW41" s="155" t="str">
        <f t="shared" si="320"/>
        <v>-</v>
      </c>
      <c r="FX41" s="155" t="str">
        <f t="shared" si="321"/>
        <v>-</v>
      </c>
      <c r="FY41" s="155" t="str">
        <f t="shared" si="322"/>
        <v>-</v>
      </c>
      <c r="FZ41" s="177" t="str">
        <f t="shared" si="323"/>
        <v>-</v>
      </c>
      <c r="GA41" s="181" t="str">
        <f t="shared" si="324"/>
        <v>Harvest</v>
      </c>
      <c r="GB41" s="177" t="str">
        <f t="shared" si="325"/>
        <v>-</v>
      </c>
      <c r="GC41" s="181" t="str">
        <f t="shared" si="326"/>
        <v>Harvest</v>
      </c>
      <c r="GD41" s="155" t="str">
        <f t="shared" si="327"/>
        <v>-</v>
      </c>
      <c r="GE41" s="155" t="str">
        <f t="shared" si="328"/>
        <v>-</v>
      </c>
      <c r="GF41" s="155" t="str">
        <f t="shared" si="329"/>
        <v>-</v>
      </c>
      <c r="GG41" s="177" t="str">
        <f t="shared" si="330"/>
        <v>-</v>
      </c>
      <c r="GH41" s="181" t="str">
        <f t="shared" si="331"/>
        <v>Harvest</v>
      </c>
      <c r="GI41" s="177" t="str">
        <f t="shared" si="332"/>
        <v>-</v>
      </c>
      <c r="GJ41" s="181" t="str">
        <f t="shared" si="333"/>
        <v>Harvest</v>
      </c>
      <c r="GK41" s="155" t="str">
        <f t="shared" si="334"/>
        <v>-</v>
      </c>
      <c r="GL41" s="155" t="str">
        <f t="shared" si="335"/>
        <v>-</v>
      </c>
      <c r="GM41" s="155" t="str">
        <f t="shared" si="336"/>
        <v>-</v>
      </c>
      <c r="GN41" s="177" t="str">
        <f t="shared" si="337"/>
        <v>-</v>
      </c>
      <c r="GO41" s="181" t="str">
        <f t="shared" si="338"/>
        <v>Harvest</v>
      </c>
      <c r="GP41" s="177" t="str">
        <f t="shared" si="339"/>
        <v>-</v>
      </c>
      <c r="GQ41" s="181" t="str">
        <f t="shared" si="340"/>
        <v>Harvest</v>
      </c>
      <c r="GR41" s="155" t="str">
        <f t="shared" si="341"/>
        <v>-</v>
      </c>
      <c r="GS41" s="155" t="str">
        <f t="shared" si="342"/>
        <v>-</v>
      </c>
      <c r="GT41" s="155" t="str">
        <f t="shared" si="343"/>
        <v>-</v>
      </c>
      <c r="GU41" s="177" t="str">
        <f t="shared" si="344"/>
        <v>-</v>
      </c>
      <c r="GV41" s="181" t="str">
        <f t="shared" si="345"/>
        <v>Harvest</v>
      </c>
      <c r="GW41" s="177" t="str">
        <f t="shared" si="346"/>
        <v>-</v>
      </c>
      <c r="GX41" s="181" t="str">
        <f t="shared" si="347"/>
        <v>Harvest</v>
      </c>
      <c r="GY41" s="119"/>
      <c r="GZ41" s="119"/>
      <c r="HA41" s="119"/>
      <c r="HB41" s="119"/>
      <c r="HC41" s="119"/>
      <c r="HD41" s="119"/>
      <c r="HE41" s="119"/>
      <c r="HF41" s="119"/>
      <c r="HG41" s="119"/>
      <c r="HH41" s="119"/>
      <c r="HI41" s="119"/>
      <c r="HJ41" s="119"/>
      <c r="HK41" s="119"/>
      <c r="HL41" s="119"/>
      <c r="HM41" s="119"/>
      <c r="HN41" s="119"/>
      <c r="HO41" s="119"/>
      <c r="HP41" s="119"/>
      <c r="HQ41" s="119"/>
      <c r="HR41" s="119"/>
      <c r="HS41" s="119"/>
      <c r="HT41" s="119"/>
      <c r="HU41" s="119"/>
      <c r="HV41" s="119"/>
      <c r="HW41" s="119"/>
      <c r="HX41" s="119"/>
      <c r="HY41" s="119"/>
      <c r="HZ41" s="119"/>
      <c r="IA41" s="119"/>
      <c r="IB41" s="119"/>
      <c r="IC41" s="119"/>
      <c r="ID41" s="119"/>
      <c r="IE41" s="119"/>
      <c r="IF41" s="119"/>
      <c r="IG41" s="119"/>
      <c r="IH41" s="119"/>
      <c r="II41" s="119"/>
      <c r="IJ41" s="119"/>
      <c r="IK41" s="119"/>
      <c r="IL41" s="119"/>
      <c r="IM41" s="119"/>
      <c r="IN41" s="119"/>
      <c r="IO41" s="119"/>
      <c r="IP41" s="119"/>
      <c r="IQ41" s="119"/>
      <c r="IR41" s="119"/>
      <c r="IS41" s="119"/>
      <c r="IT41" s="119"/>
      <c r="IU41" s="119"/>
      <c r="IV41" s="119"/>
      <c r="IW41" s="119"/>
      <c r="IX41" s="119"/>
      <c r="IY41" s="119"/>
      <c r="IZ41" s="119"/>
      <c r="JA41" s="119"/>
      <c r="JB41" s="119"/>
      <c r="JC41" s="119"/>
      <c r="JD41" s="119"/>
      <c r="JE41" s="119"/>
      <c r="JF41" s="119"/>
      <c r="JG41" s="119"/>
      <c r="JH41" s="119"/>
      <c r="JI41" s="119"/>
      <c r="JJ41" s="119"/>
      <c r="JK41" s="119"/>
      <c r="JL41" s="119"/>
      <c r="JM41" s="119"/>
      <c r="JN41" s="20"/>
      <c r="JO41" s="20"/>
      <c r="JP41" s="20"/>
      <c r="JQ41" s="20"/>
      <c r="JR41" s="20"/>
      <c r="JS41" s="20"/>
      <c r="JT41" s="20"/>
      <c r="JU41" s="20"/>
      <c r="JV41" s="20"/>
      <c r="JW41" s="20"/>
      <c r="JX41" s="20"/>
      <c r="JY41" s="20"/>
      <c r="JZ41" s="20"/>
      <c r="KA41" s="20"/>
      <c r="KB41" s="20"/>
      <c r="KC41" s="20"/>
      <c r="KD41" s="20"/>
      <c r="KE41" s="20"/>
      <c r="KF41" s="20"/>
      <c r="KG41" s="20"/>
      <c r="KH41" s="20"/>
      <c r="KI41" s="20"/>
      <c r="KJ41" s="20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/>
      <c r="KZ41" s="23"/>
      <c r="LA41" s="23"/>
      <c r="LB41" s="23"/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/>
      <c r="MC41" s="23"/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/>
      <c r="NH41" s="23"/>
      <c r="NI41" s="23"/>
      <c r="NJ41" s="23"/>
      <c r="NK41" s="23"/>
      <c r="NL41" s="23"/>
      <c r="NM41" s="23"/>
      <c r="NN41" s="23"/>
      <c r="NO41" s="23"/>
      <c r="NP41" s="23"/>
      <c r="NQ41" s="23"/>
      <c r="NR41" s="23"/>
      <c r="NS41" s="23"/>
      <c r="NT41" s="23"/>
      <c r="NU41" s="23"/>
      <c r="NV41" s="23"/>
      <c r="NW41" s="23"/>
      <c r="NX41" s="23"/>
      <c r="NY41" s="23"/>
      <c r="NZ41" s="23"/>
      <c r="OA41" s="23"/>
      <c r="OB41" s="23"/>
      <c r="OC41" s="23"/>
      <c r="OD41" s="23"/>
      <c r="OE41" s="23"/>
      <c r="OF41" s="23"/>
      <c r="OG41" s="23"/>
      <c r="OH41" s="23"/>
      <c r="OI41" s="23"/>
      <c r="OJ41" s="23"/>
      <c r="OK41" s="23"/>
      <c r="OL41" s="23"/>
      <c r="OM41" s="23"/>
      <c r="ON41" s="23"/>
      <c r="OO41" s="23"/>
      <c r="OP41" s="23"/>
      <c r="OQ41" s="23"/>
      <c r="OR41" s="23"/>
      <c r="OS41" s="23"/>
      <c r="OT41" s="23"/>
      <c r="OU41" s="23"/>
      <c r="OV41" s="23"/>
      <c r="OW41" s="23"/>
      <c r="OX41" s="23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/>
      <c r="PO41" s="23"/>
      <c r="PP41" s="23"/>
      <c r="PQ41" s="23"/>
      <c r="PR41" s="23"/>
      <c r="PS41" s="23"/>
      <c r="PT41" s="23"/>
      <c r="PU41" s="23"/>
      <c r="PV41" s="23"/>
      <c r="PW41" s="23"/>
      <c r="PX41" s="23"/>
      <c r="PY41" s="23"/>
      <c r="PZ41" s="23"/>
      <c r="QA41" s="23"/>
      <c r="QB41" s="23"/>
      <c r="QC41" s="23"/>
      <c r="QD41" s="23"/>
      <c r="QE41" s="23"/>
      <c r="QF41" s="23"/>
      <c r="QG41" s="23"/>
      <c r="QH41" s="23"/>
      <c r="QI41" s="23"/>
      <c r="QJ41" s="23"/>
      <c r="QK41" s="23"/>
      <c r="QL41" s="23"/>
      <c r="QM41" s="23"/>
      <c r="QN41" s="23"/>
      <c r="QO41" s="23"/>
      <c r="QP41" s="23"/>
      <c r="QQ41" s="23"/>
      <c r="QR41" s="23"/>
      <c r="QS41" s="23"/>
      <c r="QT41" s="23"/>
      <c r="QU41" s="23"/>
      <c r="QV41" s="23"/>
      <c r="QW41" s="23"/>
      <c r="QX41" s="23"/>
      <c r="QY41" s="23"/>
      <c r="QZ41" s="23"/>
      <c r="RA41" s="23"/>
      <c r="RB41" s="23"/>
      <c r="RC41" s="23"/>
      <c r="RD41" s="23"/>
      <c r="RE41" s="23"/>
      <c r="RF41" s="23"/>
      <c r="RG41" s="23"/>
      <c r="RH41" s="23"/>
      <c r="RI41" s="23"/>
      <c r="RJ41" s="23"/>
      <c r="RK41" s="23"/>
      <c r="RL41" s="23"/>
      <c r="RM41" s="23"/>
      <c r="RN41" s="23"/>
      <c r="RO41" s="23"/>
      <c r="RP41" s="23"/>
      <c r="RQ41" s="23"/>
      <c r="RR41" s="23"/>
      <c r="RS41" s="23"/>
      <c r="RT41" s="23"/>
      <c r="RU41" s="23"/>
      <c r="RV41" s="23"/>
      <c r="RW41" s="23"/>
      <c r="RX41" s="23"/>
      <c r="RY41" s="23"/>
      <c r="RZ41" s="23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38"/>
      <c r="SR41" s="5"/>
      <c r="SS41" s="5"/>
      <c r="ST41" s="5"/>
      <c r="SU41" s="5"/>
      <c r="SV41" s="5"/>
      <c r="SW41" s="5"/>
      <c r="SX41" s="5"/>
      <c r="SY41" s="5"/>
      <c r="SZ41" s="5"/>
      <c r="TA41" s="4"/>
      <c r="TB41" s="4"/>
      <c r="TC41" s="4"/>
      <c r="TD41" s="4"/>
      <c r="TE41" s="4"/>
      <c r="TF41" s="12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</row>
    <row r="42" spans="1:1013" ht="22.15" customHeight="1" thickBot="1" x14ac:dyDescent="0.3">
      <c r="A42" s="298"/>
      <c r="B42" s="25" t="s">
        <v>27</v>
      </c>
      <c r="M42" s="10"/>
      <c r="BB42" s="121">
        <f t="shared" si="195"/>
        <v>0</v>
      </c>
      <c r="BC42" s="108">
        <f t="shared" si="196"/>
        <v>0</v>
      </c>
      <c r="BD42" s="108">
        <f t="shared" si="197"/>
        <v>0</v>
      </c>
      <c r="BE42" s="108">
        <f t="shared" si="198"/>
        <v>0</v>
      </c>
      <c r="BF42" s="108">
        <f t="shared" si="199"/>
        <v>0</v>
      </c>
      <c r="BG42" s="108">
        <f t="shared" si="200"/>
        <v>0</v>
      </c>
      <c r="BH42" s="108">
        <f t="shared" si="201"/>
        <v>0</v>
      </c>
      <c r="BI42" s="108">
        <f t="shared" si="202"/>
        <v>0</v>
      </c>
      <c r="BJ42" s="108">
        <f t="shared" si="203"/>
        <v>0</v>
      </c>
      <c r="BK42" s="108">
        <f t="shared" si="204"/>
        <v>0</v>
      </c>
      <c r="BL42" s="108">
        <f t="shared" si="205"/>
        <v>0</v>
      </c>
      <c r="BM42" s="108">
        <f t="shared" si="206"/>
        <v>0</v>
      </c>
      <c r="BN42" s="108">
        <f t="shared" si="207"/>
        <v>0</v>
      </c>
      <c r="BO42" s="108">
        <f t="shared" si="208"/>
        <v>0</v>
      </c>
      <c r="BP42" s="108">
        <f t="shared" si="209"/>
        <v>0</v>
      </c>
      <c r="BQ42" s="108">
        <f t="shared" si="210"/>
        <v>0</v>
      </c>
      <c r="BR42" s="108">
        <f t="shared" si="211"/>
        <v>0</v>
      </c>
      <c r="BS42" s="108">
        <f t="shared" si="212"/>
        <v>0</v>
      </c>
      <c r="BT42" s="108">
        <f t="shared" si="213"/>
        <v>0</v>
      </c>
      <c r="BU42" s="108">
        <f t="shared" si="214"/>
        <v>0</v>
      </c>
      <c r="BV42" s="108">
        <f t="shared" si="215"/>
        <v>0</v>
      </c>
      <c r="BW42" s="108">
        <f t="shared" si="216"/>
        <v>0</v>
      </c>
      <c r="BX42" s="108">
        <f t="shared" si="217"/>
        <v>0</v>
      </c>
      <c r="BY42" s="108">
        <f t="shared" si="218"/>
        <v>0</v>
      </c>
      <c r="BZ42" s="108">
        <f t="shared" si="219"/>
        <v>0</v>
      </c>
      <c r="CA42" s="108">
        <f t="shared" si="220"/>
        <v>0</v>
      </c>
      <c r="CB42" s="108">
        <f t="shared" si="221"/>
        <v>0</v>
      </c>
      <c r="CC42" s="108">
        <f t="shared" si="222"/>
        <v>0</v>
      </c>
      <c r="CD42" s="108">
        <f t="shared" si="223"/>
        <v>0</v>
      </c>
      <c r="CE42" s="108">
        <f t="shared" si="224"/>
        <v>0</v>
      </c>
      <c r="CF42" s="108">
        <f t="shared" si="225"/>
        <v>0</v>
      </c>
      <c r="CG42" s="108">
        <f t="shared" si="226"/>
        <v>0</v>
      </c>
      <c r="CH42" s="108">
        <f t="shared" si="227"/>
        <v>0</v>
      </c>
      <c r="CI42" s="108">
        <f t="shared" si="228"/>
        <v>0</v>
      </c>
      <c r="CJ42" s="108">
        <f t="shared" si="229"/>
        <v>0</v>
      </c>
      <c r="CK42" s="108">
        <f t="shared" si="230"/>
        <v>0</v>
      </c>
      <c r="CL42" s="108">
        <f t="shared" si="231"/>
        <v>0</v>
      </c>
      <c r="CM42" s="108">
        <f t="shared" si="232"/>
        <v>0</v>
      </c>
      <c r="CN42" s="108">
        <f t="shared" si="233"/>
        <v>0</v>
      </c>
      <c r="CO42" s="108">
        <f t="shared" si="234"/>
        <v>0</v>
      </c>
      <c r="CP42" s="108">
        <f t="shared" si="235"/>
        <v>0</v>
      </c>
      <c r="CQ42" s="108">
        <f t="shared" si="236"/>
        <v>0</v>
      </c>
      <c r="CR42" s="108">
        <f t="shared" si="237"/>
        <v>0</v>
      </c>
      <c r="CS42" s="108">
        <f t="shared" si="238"/>
        <v>0</v>
      </c>
      <c r="CT42" s="108">
        <f t="shared" si="239"/>
        <v>0</v>
      </c>
      <c r="CU42" s="108">
        <f t="shared" si="240"/>
        <v>0</v>
      </c>
      <c r="CV42" s="108">
        <f t="shared" si="241"/>
        <v>0</v>
      </c>
      <c r="CW42" s="108">
        <f t="shared" si="242"/>
        <v>0</v>
      </c>
      <c r="CX42" s="108">
        <f t="shared" si="243"/>
        <v>0</v>
      </c>
      <c r="CY42" s="108">
        <f t="shared" si="244"/>
        <v>0</v>
      </c>
      <c r="CZ42" s="108">
        <f t="shared" si="245"/>
        <v>0</v>
      </c>
      <c r="DA42" s="145">
        <f t="shared" si="246"/>
        <v>0</v>
      </c>
      <c r="DB42" s="145">
        <f t="shared" si="247"/>
        <v>0</v>
      </c>
      <c r="DC42" s="145">
        <f t="shared" si="248"/>
        <v>0</v>
      </c>
      <c r="DD42" s="145">
        <f t="shared" si="249"/>
        <v>0</v>
      </c>
      <c r="DE42" s="145">
        <f t="shared" si="250"/>
        <v>0</v>
      </c>
      <c r="DF42" s="145">
        <f t="shared" si="251"/>
        <v>0</v>
      </c>
      <c r="DG42" s="145">
        <f t="shared" si="252"/>
        <v>0</v>
      </c>
      <c r="DH42" s="145">
        <f t="shared" si="253"/>
        <v>0</v>
      </c>
      <c r="DI42" s="145">
        <f t="shared" si="254"/>
        <v>0</v>
      </c>
      <c r="DJ42" s="145">
        <f t="shared" si="255"/>
        <v>0</v>
      </c>
      <c r="DK42" s="145">
        <f t="shared" si="256"/>
        <v>0</v>
      </c>
      <c r="DL42" s="145">
        <f t="shared" si="257"/>
        <v>0</v>
      </c>
      <c r="DM42" s="145">
        <f t="shared" si="258"/>
        <v>0</v>
      </c>
      <c r="DN42" s="145">
        <f t="shared" si="259"/>
        <v>0</v>
      </c>
      <c r="DO42" s="145">
        <f t="shared" si="260"/>
        <v>0</v>
      </c>
      <c r="DP42" s="145">
        <f t="shared" si="261"/>
        <v>0</v>
      </c>
      <c r="DQ42" s="145">
        <f t="shared" si="262"/>
        <v>0</v>
      </c>
      <c r="DR42" s="145">
        <f t="shared" si="263"/>
        <v>0</v>
      </c>
      <c r="DS42" s="145">
        <f t="shared" si="264"/>
        <v>0</v>
      </c>
      <c r="DT42" s="145">
        <f t="shared" si="265"/>
        <v>0</v>
      </c>
      <c r="DU42" s="145">
        <f t="shared" si="266"/>
        <v>0</v>
      </c>
      <c r="DV42" s="145">
        <f t="shared" si="267"/>
        <v>0</v>
      </c>
      <c r="DW42" s="145">
        <f t="shared" si="268"/>
        <v>0</v>
      </c>
      <c r="DX42" s="146">
        <f t="shared" si="269"/>
        <v>0</v>
      </c>
      <c r="DY42" s="146">
        <f t="shared" si="270"/>
        <v>0</v>
      </c>
      <c r="DZ42" s="146">
        <f t="shared" si="271"/>
        <v>0</v>
      </c>
      <c r="EA42" s="146">
        <f t="shared" si="272"/>
        <v>0</v>
      </c>
      <c r="EB42" s="146">
        <f t="shared" si="273"/>
        <v>0</v>
      </c>
      <c r="EC42" s="146">
        <f t="shared" si="274"/>
        <v>0</v>
      </c>
      <c r="ED42" s="146">
        <f t="shared" si="275"/>
        <v>0</v>
      </c>
      <c r="EE42" s="146">
        <f t="shared" si="276"/>
        <v>0</v>
      </c>
      <c r="EF42" s="146">
        <f t="shared" si="277"/>
        <v>0</v>
      </c>
      <c r="EG42" s="146">
        <f t="shared" si="278"/>
        <v>0</v>
      </c>
      <c r="EH42" s="146">
        <f t="shared" si="279"/>
        <v>0</v>
      </c>
      <c r="EI42" s="146">
        <f t="shared" si="280"/>
        <v>0</v>
      </c>
      <c r="EJ42" s="146">
        <f t="shared" si="281"/>
        <v>0</v>
      </c>
      <c r="EK42" s="146">
        <f t="shared" si="282"/>
        <v>0</v>
      </c>
      <c r="EL42" s="146">
        <f t="shared" si="283"/>
        <v>0</v>
      </c>
      <c r="EM42" s="146">
        <f t="shared" si="284"/>
        <v>0</v>
      </c>
      <c r="EN42" s="146">
        <f t="shared" si="285"/>
        <v>0</v>
      </c>
      <c r="EO42" s="146">
        <f t="shared" si="286"/>
        <v>0</v>
      </c>
      <c r="EP42" s="146">
        <f t="shared" si="287"/>
        <v>0</v>
      </c>
      <c r="EQ42" s="146">
        <f t="shared" si="288"/>
        <v>0</v>
      </c>
      <c r="ER42" s="146">
        <f t="shared" si="289"/>
        <v>0</v>
      </c>
      <c r="ES42" s="146">
        <f t="shared" si="290"/>
        <v>0</v>
      </c>
      <c r="ET42" s="146">
        <f t="shared" si="291"/>
        <v>0</v>
      </c>
      <c r="EU42" s="146">
        <f t="shared" si="292"/>
        <v>0</v>
      </c>
      <c r="EV42" s="146">
        <f t="shared" si="293"/>
        <v>0</v>
      </c>
      <c r="EW42" s="146">
        <f t="shared" si="294"/>
        <v>0</v>
      </c>
      <c r="EX42" s="146">
        <f t="shared" si="295"/>
        <v>0</v>
      </c>
      <c r="EY42" s="146">
        <f t="shared" si="296"/>
        <v>0</v>
      </c>
      <c r="EZ42" s="156">
        <f t="shared" si="297"/>
        <v>0</v>
      </c>
      <c r="FA42" s="156">
        <f t="shared" si="298"/>
        <v>0</v>
      </c>
      <c r="FB42" s="156">
        <f t="shared" si="299"/>
        <v>0</v>
      </c>
      <c r="FC42" s="156">
        <f t="shared" si="300"/>
        <v>0</v>
      </c>
      <c r="FD42" s="156">
        <f t="shared" si="301"/>
        <v>0</v>
      </c>
      <c r="FE42" s="156">
        <f t="shared" si="302"/>
        <v>0</v>
      </c>
      <c r="FF42" s="156">
        <f t="shared" si="303"/>
        <v>0</v>
      </c>
      <c r="FG42" s="156">
        <f t="shared" si="304"/>
        <v>0</v>
      </c>
      <c r="FH42" s="156">
        <f t="shared" si="305"/>
        <v>0</v>
      </c>
      <c r="FI42" s="156">
        <f t="shared" si="306"/>
        <v>0</v>
      </c>
      <c r="FJ42" s="156">
        <f t="shared" si="307"/>
        <v>0</v>
      </c>
      <c r="FK42" s="156">
        <f t="shared" si="308"/>
        <v>0</v>
      </c>
      <c r="FL42" s="156">
        <f t="shared" si="309"/>
        <v>0</v>
      </c>
      <c r="FM42" s="156">
        <f t="shared" si="310"/>
        <v>0</v>
      </c>
      <c r="FN42" s="156">
        <f t="shared" si="311"/>
        <v>0</v>
      </c>
      <c r="FO42" s="156">
        <f t="shared" si="312"/>
        <v>0</v>
      </c>
      <c r="FP42" s="156">
        <f t="shared" si="313"/>
        <v>0</v>
      </c>
      <c r="FQ42" s="156">
        <f t="shared" si="314"/>
        <v>0</v>
      </c>
      <c r="FR42" s="156">
        <f t="shared" si="315"/>
        <v>0</v>
      </c>
      <c r="FS42" s="156">
        <f t="shared" si="316"/>
        <v>0</v>
      </c>
      <c r="FT42" s="156">
        <f t="shared" si="317"/>
        <v>0</v>
      </c>
      <c r="FU42" s="156">
        <f t="shared" si="318"/>
        <v>0</v>
      </c>
      <c r="FV42" s="156">
        <f t="shared" si="319"/>
        <v>0</v>
      </c>
      <c r="FW42" s="156">
        <f t="shared" si="320"/>
        <v>0</v>
      </c>
      <c r="FX42" s="156">
        <f t="shared" si="321"/>
        <v>0</v>
      </c>
      <c r="FY42" s="156">
        <f t="shared" si="322"/>
        <v>0</v>
      </c>
      <c r="FZ42" s="156">
        <f t="shared" si="323"/>
        <v>0</v>
      </c>
      <c r="GA42" s="179">
        <f t="shared" si="324"/>
        <v>0</v>
      </c>
      <c r="GB42" s="156">
        <f t="shared" si="325"/>
        <v>0</v>
      </c>
      <c r="GC42" s="179">
        <f t="shared" si="326"/>
        <v>0</v>
      </c>
      <c r="GD42" s="156">
        <f t="shared" si="327"/>
        <v>0</v>
      </c>
      <c r="GE42" s="156">
        <f t="shared" si="328"/>
        <v>0</v>
      </c>
      <c r="GF42" s="156">
        <f t="shared" si="329"/>
        <v>0</v>
      </c>
      <c r="GG42" s="156">
        <f t="shared" si="330"/>
        <v>0</v>
      </c>
      <c r="GH42" s="179">
        <f t="shared" si="331"/>
        <v>0</v>
      </c>
      <c r="GI42" s="156">
        <f t="shared" si="332"/>
        <v>0</v>
      </c>
      <c r="GJ42" s="179">
        <f t="shared" si="333"/>
        <v>0</v>
      </c>
      <c r="GK42" s="156">
        <f t="shared" si="334"/>
        <v>0</v>
      </c>
      <c r="GL42" s="156">
        <f t="shared" si="335"/>
        <v>0</v>
      </c>
      <c r="GM42" s="156">
        <f t="shared" si="336"/>
        <v>0</v>
      </c>
      <c r="GN42" s="156">
        <f t="shared" si="337"/>
        <v>0</v>
      </c>
      <c r="GO42" s="179">
        <f t="shared" si="338"/>
        <v>0</v>
      </c>
      <c r="GP42" s="156">
        <f t="shared" si="339"/>
        <v>0</v>
      </c>
      <c r="GQ42" s="179">
        <f t="shared" si="340"/>
        <v>0</v>
      </c>
      <c r="GR42" s="156">
        <f t="shared" si="341"/>
        <v>0</v>
      </c>
      <c r="GS42" s="156">
        <f t="shared" si="342"/>
        <v>0</v>
      </c>
      <c r="GT42" s="156">
        <f t="shared" si="343"/>
        <v>0</v>
      </c>
      <c r="GU42" s="156">
        <f t="shared" si="344"/>
        <v>0</v>
      </c>
      <c r="GV42" s="179">
        <f t="shared" si="345"/>
        <v>0</v>
      </c>
      <c r="GW42" s="156">
        <f t="shared" si="346"/>
        <v>0</v>
      </c>
      <c r="GX42" s="192">
        <f t="shared" si="347"/>
        <v>0</v>
      </c>
      <c r="GY42" s="119"/>
      <c r="GZ42" s="119"/>
      <c r="HA42" s="119"/>
      <c r="HB42" s="119"/>
      <c r="HC42" s="119"/>
      <c r="HD42" s="119"/>
      <c r="HE42" s="119"/>
      <c r="HF42" s="119"/>
      <c r="HG42" s="119"/>
      <c r="HH42" s="119"/>
      <c r="HI42" s="119"/>
      <c r="HJ42" s="119"/>
      <c r="HK42" s="119"/>
      <c r="HL42" s="119"/>
      <c r="HM42" s="119"/>
      <c r="HN42" s="119"/>
      <c r="HO42" s="119"/>
      <c r="HP42" s="119"/>
      <c r="HQ42" s="119"/>
      <c r="HR42" s="119"/>
      <c r="HS42" s="119"/>
      <c r="HT42" s="119"/>
      <c r="HU42" s="119"/>
      <c r="HV42" s="119"/>
      <c r="HW42" s="119"/>
      <c r="HX42" s="119"/>
      <c r="HY42" s="119"/>
      <c r="HZ42" s="119"/>
      <c r="IA42" s="119"/>
      <c r="IB42" s="119"/>
      <c r="IC42" s="119"/>
      <c r="ID42" s="119"/>
      <c r="IE42" s="119"/>
      <c r="IF42" s="119"/>
      <c r="IG42" s="119"/>
      <c r="IH42" s="119"/>
      <c r="II42" s="119"/>
      <c r="IJ42" s="119"/>
      <c r="IK42" s="119"/>
      <c r="IL42" s="119"/>
      <c r="IM42" s="119"/>
      <c r="IN42" s="119"/>
      <c r="IO42" s="119"/>
      <c r="IP42" s="119"/>
      <c r="IQ42" s="119"/>
      <c r="IR42" s="119"/>
      <c r="IS42" s="119"/>
      <c r="IT42" s="119"/>
      <c r="IU42" s="119"/>
      <c r="IV42" s="119"/>
      <c r="IW42" s="119"/>
      <c r="IX42" s="119"/>
      <c r="IY42" s="119"/>
      <c r="IZ42" s="119"/>
      <c r="JA42" s="119"/>
      <c r="JB42" s="119"/>
      <c r="JC42" s="119"/>
      <c r="JD42" s="119"/>
      <c r="JE42" s="119"/>
      <c r="JF42" s="119"/>
      <c r="JG42" s="119"/>
      <c r="JH42" s="119"/>
      <c r="JI42" s="119"/>
      <c r="JJ42" s="119"/>
      <c r="JK42" s="119"/>
      <c r="JL42" s="119"/>
      <c r="JM42" s="119"/>
      <c r="JN42" s="20"/>
      <c r="JO42" s="20"/>
      <c r="JP42" s="20"/>
      <c r="JQ42" s="20"/>
      <c r="JR42" s="20"/>
      <c r="JS42" s="20"/>
      <c r="JT42" s="20"/>
      <c r="JU42" s="20"/>
      <c r="JV42" s="20"/>
      <c r="JW42" s="20"/>
      <c r="JX42" s="20"/>
      <c r="JY42" s="20"/>
      <c r="JZ42" s="20"/>
      <c r="KA42" s="20"/>
      <c r="KB42" s="20"/>
      <c r="KC42" s="20"/>
      <c r="KD42" s="20"/>
      <c r="KE42" s="20"/>
      <c r="KF42" s="20"/>
      <c r="KG42" s="20"/>
      <c r="KH42" s="20"/>
      <c r="KI42" s="20"/>
      <c r="KJ42" s="20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/>
      <c r="LC42" s="23"/>
      <c r="LD42" s="23"/>
      <c r="LE42" s="23"/>
      <c r="LF42" s="23"/>
      <c r="LG42" s="23"/>
      <c r="LH42" s="23"/>
      <c r="LI42" s="23"/>
      <c r="LJ42" s="23"/>
      <c r="LK42" s="23"/>
      <c r="LL42" s="23"/>
      <c r="LM42" s="23"/>
      <c r="LN42" s="23"/>
      <c r="LO42" s="23"/>
      <c r="LP42" s="23"/>
      <c r="LQ42" s="23"/>
      <c r="LR42" s="23"/>
      <c r="LS42" s="23"/>
      <c r="LT42" s="23"/>
      <c r="LU42" s="23"/>
      <c r="LV42" s="23"/>
      <c r="LW42" s="23"/>
      <c r="LX42" s="23"/>
      <c r="LY42" s="23"/>
      <c r="LZ42" s="23"/>
      <c r="MA42" s="23"/>
      <c r="MB42" s="23"/>
      <c r="MC42" s="23"/>
      <c r="MD42" s="23"/>
      <c r="ME42" s="23"/>
      <c r="MF42" s="23"/>
      <c r="MG42" s="23"/>
      <c r="MH42" s="23"/>
      <c r="MI42" s="23"/>
      <c r="MJ42" s="23"/>
      <c r="MK42" s="23"/>
      <c r="ML42" s="23"/>
      <c r="MM42" s="23"/>
      <c r="MN42" s="23"/>
      <c r="MO42" s="23"/>
      <c r="MP42" s="23"/>
      <c r="MQ42" s="23"/>
      <c r="MR42" s="23"/>
      <c r="MS42" s="23"/>
      <c r="MT42" s="23"/>
      <c r="MU42" s="23"/>
      <c r="MV42" s="23"/>
      <c r="MW42" s="23"/>
      <c r="MX42" s="23"/>
      <c r="MY42" s="23"/>
      <c r="MZ42" s="23"/>
      <c r="NA42" s="23"/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  <c r="PW42" s="23"/>
      <c r="PX42" s="23"/>
      <c r="PY42" s="23"/>
      <c r="PZ42" s="23"/>
      <c r="QA42" s="23"/>
      <c r="QB42" s="23"/>
      <c r="QC42" s="23"/>
      <c r="QD42" s="23"/>
      <c r="QE42" s="23"/>
      <c r="QF42" s="23"/>
      <c r="QG42" s="23"/>
      <c r="QH42" s="23"/>
      <c r="QI42" s="23"/>
      <c r="QJ42" s="23"/>
      <c r="QK42" s="23"/>
      <c r="QL42" s="23"/>
      <c r="QM42" s="23"/>
      <c r="QN42" s="23"/>
      <c r="QO42" s="23"/>
      <c r="QP42" s="23"/>
      <c r="QQ42" s="23"/>
      <c r="QR42" s="23"/>
      <c r="QS42" s="23"/>
      <c r="QT42" s="23"/>
      <c r="QU42" s="23"/>
      <c r="QV42" s="23"/>
      <c r="QW42" s="23"/>
      <c r="QX42" s="23"/>
      <c r="QY42" s="23"/>
      <c r="QZ42" s="23"/>
      <c r="RA42" s="23"/>
      <c r="RB42" s="23"/>
      <c r="RC42" s="184"/>
      <c r="RD42" s="184"/>
      <c r="RE42" s="184"/>
      <c r="RF42" s="184"/>
      <c r="RG42" s="184"/>
      <c r="RH42" s="184"/>
      <c r="RI42" s="184"/>
      <c r="RJ42" s="184"/>
      <c r="RK42" s="184"/>
      <c r="RL42" s="184"/>
      <c r="RM42" s="184"/>
      <c r="RN42" s="184"/>
      <c r="RO42" s="184"/>
      <c r="RP42" s="184"/>
      <c r="RQ42" s="184"/>
      <c r="RR42" s="184"/>
      <c r="RS42" s="184"/>
      <c r="RT42" s="184"/>
      <c r="RU42" s="184"/>
      <c r="RV42" s="184"/>
      <c r="RW42" s="184"/>
      <c r="RX42" s="184"/>
      <c r="RY42" s="184"/>
      <c r="RZ42" s="184"/>
      <c r="SA42" s="185"/>
      <c r="SB42" s="185"/>
      <c r="SC42" s="185"/>
      <c r="SD42" s="185"/>
      <c r="SE42" s="185"/>
      <c r="SF42" s="185"/>
      <c r="SG42" s="185"/>
      <c r="SH42" s="185"/>
      <c r="SI42" s="185"/>
      <c r="SJ42" s="185"/>
      <c r="SK42" s="185"/>
      <c r="SL42" s="185"/>
      <c r="SM42" s="185"/>
      <c r="SN42" s="185"/>
      <c r="SO42" s="185"/>
      <c r="SP42" s="185"/>
      <c r="SQ42" s="185"/>
      <c r="SR42" s="185"/>
      <c r="SS42" s="185"/>
      <c r="ST42" s="185"/>
      <c r="SU42" s="185"/>
      <c r="SV42" s="185"/>
      <c r="SW42" s="185"/>
      <c r="SX42" s="185"/>
      <c r="SY42" s="185"/>
      <c r="SZ42" s="185"/>
      <c r="TA42" s="11"/>
      <c r="TB42" s="11"/>
      <c r="TC42" s="11"/>
      <c r="TD42" s="11"/>
    </row>
    <row r="43" spans="1:1013" ht="22.15" customHeight="1" thickBot="1" x14ac:dyDescent="0.3">
      <c r="A43" s="298"/>
      <c r="B43" s="25" t="s">
        <v>25</v>
      </c>
      <c r="M43" s="10"/>
      <c r="BB43" s="138">
        <f t="shared" si="195"/>
        <v>0</v>
      </c>
      <c r="BC43" s="108">
        <f t="shared" si="196"/>
        <v>0</v>
      </c>
      <c r="BD43" s="108">
        <f t="shared" si="197"/>
        <v>0</v>
      </c>
      <c r="BE43" s="108">
        <f t="shared" si="198"/>
        <v>0</v>
      </c>
      <c r="BF43" s="108">
        <f t="shared" si="199"/>
        <v>0</v>
      </c>
      <c r="BG43" s="108">
        <f t="shared" si="200"/>
        <v>0</v>
      </c>
      <c r="BH43" s="108">
        <f t="shared" si="201"/>
        <v>0</v>
      </c>
      <c r="BI43" s="108">
        <f t="shared" si="202"/>
        <v>0</v>
      </c>
      <c r="BJ43" s="108">
        <f t="shared" si="203"/>
        <v>0</v>
      </c>
      <c r="BK43" s="108">
        <f t="shared" si="204"/>
        <v>0</v>
      </c>
      <c r="BL43" s="108">
        <f t="shared" si="205"/>
        <v>0</v>
      </c>
      <c r="BM43" s="108">
        <f t="shared" si="206"/>
        <v>0</v>
      </c>
      <c r="BN43" s="108">
        <f t="shared" si="207"/>
        <v>0</v>
      </c>
      <c r="BO43" s="108">
        <f t="shared" si="208"/>
        <v>0</v>
      </c>
      <c r="BP43" s="108">
        <f t="shared" si="209"/>
        <v>0</v>
      </c>
      <c r="BQ43" s="108">
        <f t="shared" si="210"/>
        <v>0</v>
      </c>
      <c r="BR43" s="108">
        <f t="shared" si="211"/>
        <v>0</v>
      </c>
      <c r="BS43" s="108">
        <f t="shared" si="212"/>
        <v>0</v>
      </c>
      <c r="BT43" s="108">
        <f t="shared" si="213"/>
        <v>0</v>
      </c>
      <c r="BU43" s="108">
        <f t="shared" si="214"/>
        <v>0</v>
      </c>
      <c r="BV43" s="108">
        <f t="shared" si="215"/>
        <v>0</v>
      </c>
      <c r="BW43" s="108">
        <f t="shared" si="216"/>
        <v>0</v>
      </c>
      <c r="BX43" s="108">
        <f t="shared" si="217"/>
        <v>0</v>
      </c>
      <c r="BY43" s="108">
        <f t="shared" si="218"/>
        <v>0</v>
      </c>
      <c r="BZ43" s="108">
        <f t="shared" si="219"/>
        <v>0</v>
      </c>
      <c r="CA43" s="108">
        <f t="shared" si="220"/>
        <v>0</v>
      </c>
      <c r="CB43" s="108">
        <f t="shared" si="221"/>
        <v>0</v>
      </c>
      <c r="CC43" s="108">
        <f t="shared" si="222"/>
        <v>0</v>
      </c>
      <c r="CD43" s="108">
        <f t="shared" si="223"/>
        <v>0</v>
      </c>
      <c r="CE43" s="108">
        <f t="shared" si="224"/>
        <v>0</v>
      </c>
      <c r="CF43" s="108">
        <f t="shared" si="225"/>
        <v>0</v>
      </c>
      <c r="CG43" s="108">
        <f t="shared" si="226"/>
        <v>0</v>
      </c>
      <c r="CH43" s="108">
        <f t="shared" si="227"/>
        <v>0</v>
      </c>
      <c r="CI43" s="108">
        <f t="shared" si="228"/>
        <v>0</v>
      </c>
      <c r="CJ43" s="108">
        <f t="shared" si="229"/>
        <v>0</v>
      </c>
      <c r="CK43" s="108">
        <f t="shared" si="230"/>
        <v>0</v>
      </c>
      <c r="CL43" s="108">
        <f t="shared" si="231"/>
        <v>0</v>
      </c>
      <c r="CM43" s="108">
        <f t="shared" si="232"/>
        <v>0</v>
      </c>
      <c r="CN43" s="108">
        <f t="shared" si="233"/>
        <v>0</v>
      </c>
      <c r="CO43" s="108">
        <f t="shared" si="234"/>
        <v>0</v>
      </c>
      <c r="CP43" s="108">
        <f t="shared" si="235"/>
        <v>0</v>
      </c>
      <c r="CQ43" s="108">
        <f t="shared" si="236"/>
        <v>0</v>
      </c>
      <c r="CR43" s="108">
        <f t="shared" si="237"/>
        <v>0</v>
      </c>
      <c r="CS43" s="108">
        <f t="shared" si="238"/>
        <v>0</v>
      </c>
      <c r="CT43" s="108">
        <f t="shared" si="239"/>
        <v>0</v>
      </c>
      <c r="CU43" s="108">
        <f t="shared" si="240"/>
        <v>0</v>
      </c>
      <c r="CV43" s="108">
        <f t="shared" si="241"/>
        <v>0</v>
      </c>
      <c r="CW43" s="108">
        <f t="shared" si="242"/>
        <v>0</v>
      </c>
      <c r="CX43" s="108">
        <f t="shared" si="243"/>
        <v>0</v>
      </c>
      <c r="CY43" s="108">
        <f t="shared" si="244"/>
        <v>0</v>
      </c>
      <c r="CZ43" s="108">
        <f t="shared" si="245"/>
        <v>0</v>
      </c>
      <c r="DA43" s="145">
        <f t="shared" si="246"/>
        <v>0</v>
      </c>
      <c r="DB43" s="145">
        <f t="shared" si="247"/>
        <v>0</v>
      </c>
      <c r="DC43" s="145">
        <f t="shared" si="248"/>
        <v>0</v>
      </c>
      <c r="DD43" s="145">
        <f t="shared" si="249"/>
        <v>0</v>
      </c>
      <c r="DE43" s="145">
        <f t="shared" si="250"/>
        <v>0</v>
      </c>
      <c r="DF43" s="145">
        <f t="shared" si="251"/>
        <v>0</v>
      </c>
      <c r="DG43" s="145">
        <f t="shared" si="252"/>
        <v>0</v>
      </c>
      <c r="DH43" s="145">
        <f t="shared" si="253"/>
        <v>0</v>
      </c>
      <c r="DI43" s="145">
        <f t="shared" si="254"/>
        <v>0</v>
      </c>
      <c r="DJ43" s="145">
        <f t="shared" si="255"/>
        <v>0</v>
      </c>
      <c r="DK43" s="145">
        <f t="shared" si="256"/>
        <v>0</v>
      </c>
      <c r="DL43" s="145">
        <f t="shared" si="257"/>
        <v>0</v>
      </c>
      <c r="DM43" s="145">
        <f t="shared" si="258"/>
        <v>0</v>
      </c>
      <c r="DN43" s="145">
        <f t="shared" si="259"/>
        <v>0</v>
      </c>
      <c r="DO43" s="145">
        <f t="shared" si="260"/>
        <v>0</v>
      </c>
      <c r="DP43" s="145">
        <f t="shared" si="261"/>
        <v>0</v>
      </c>
      <c r="DQ43" s="145">
        <f t="shared" si="262"/>
        <v>0</v>
      </c>
      <c r="DR43" s="145">
        <f t="shared" si="263"/>
        <v>0</v>
      </c>
      <c r="DS43" s="145">
        <f t="shared" si="264"/>
        <v>0</v>
      </c>
      <c r="DT43" s="145">
        <f t="shared" si="265"/>
        <v>0</v>
      </c>
      <c r="DU43" s="145">
        <f t="shared" si="266"/>
        <v>0</v>
      </c>
      <c r="DV43" s="145">
        <f t="shared" si="267"/>
        <v>0</v>
      </c>
      <c r="DW43" s="145">
        <f t="shared" si="268"/>
        <v>0</v>
      </c>
      <c r="DX43" s="146">
        <f t="shared" si="269"/>
        <v>0</v>
      </c>
      <c r="DY43" s="146">
        <f t="shared" si="270"/>
        <v>0</v>
      </c>
      <c r="DZ43" s="146">
        <f t="shared" si="271"/>
        <v>0</v>
      </c>
      <c r="EA43" s="146">
        <f t="shared" si="272"/>
        <v>0</v>
      </c>
      <c r="EB43" s="146">
        <f t="shared" si="273"/>
        <v>0</v>
      </c>
      <c r="EC43" s="146">
        <f t="shared" si="274"/>
        <v>0</v>
      </c>
      <c r="ED43" s="146">
        <f t="shared" si="275"/>
        <v>0</v>
      </c>
      <c r="EE43" s="146">
        <f t="shared" si="276"/>
        <v>0</v>
      </c>
      <c r="EF43" s="146">
        <f t="shared" si="277"/>
        <v>0</v>
      </c>
      <c r="EG43" s="146">
        <f t="shared" si="278"/>
        <v>0</v>
      </c>
      <c r="EH43" s="146">
        <f t="shared" si="279"/>
        <v>0</v>
      </c>
      <c r="EI43" s="146">
        <f t="shared" si="280"/>
        <v>0</v>
      </c>
      <c r="EJ43" s="146">
        <f t="shared" si="281"/>
        <v>0</v>
      </c>
      <c r="EK43" s="146">
        <f t="shared" si="282"/>
        <v>0</v>
      </c>
      <c r="EL43" s="146">
        <f t="shared" si="283"/>
        <v>0</v>
      </c>
      <c r="EM43" s="146">
        <f t="shared" si="284"/>
        <v>0</v>
      </c>
      <c r="EN43" s="146">
        <f t="shared" si="285"/>
        <v>0</v>
      </c>
      <c r="EO43" s="146">
        <f t="shared" si="286"/>
        <v>0</v>
      </c>
      <c r="EP43" s="146">
        <f t="shared" si="287"/>
        <v>0</v>
      </c>
      <c r="EQ43" s="146">
        <f t="shared" si="288"/>
        <v>0</v>
      </c>
      <c r="ER43" s="146">
        <f t="shared" si="289"/>
        <v>0</v>
      </c>
      <c r="ES43" s="146">
        <f t="shared" si="290"/>
        <v>0</v>
      </c>
      <c r="ET43" s="146">
        <f t="shared" si="291"/>
        <v>0</v>
      </c>
      <c r="EU43" s="146">
        <f t="shared" si="292"/>
        <v>0</v>
      </c>
      <c r="EV43" s="146">
        <f t="shared" si="293"/>
        <v>0</v>
      </c>
      <c r="EW43" s="146">
        <f t="shared" si="294"/>
        <v>0</v>
      </c>
      <c r="EX43" s="146">
        <f t="shared" si="295"/>
        <v>0</v>
      </c>
      <c r="EY43" s="146">
        <f t="shared" si="296"/>
        <v>0</v>
      </c>
      <c r="EZ43" s="156">
        <f t="shared" si="297"/>
        <v>0</v>
      </c>
      <c r="FA43" s="156">
        <f t="shared" si="298"/>
        <v>0</v>
      </c>
      <c r="FB43" s="156">
        <f t="shared" si="299"/>
        <v>0</v>
      </c>
      <c r="FC43" s="156">
        <f t="shared" si="300"/>
        <v>0</v>
      </c>
      <c r="FD43" s="156">
        <f t="shared" si="301"/>
        <v>0</v>
      </c>
      <c r="FE43" s="156">
        <f t="shared" si="302"/>
        <v>0</v>
      </c>
      <c r="FF43" s="156">
        <f t="shared" si="303"/>
        <v>0</v>
      </c>
      <c r="FG43" s="156">
        <f t="shared" si="304"/>
        <v>0</v>
      </c>
      <c r="FH43" s="156">
        <f t="shared" si="305"/>
        <v>0</v>
      </c>
      <c r="FI43" s="156">
        <f t="shared" si="306"/>
        <v>0</v>
      </c>
      <c r="FJ43" s="156">
        <f t="shared" si="307"/>
        <v>0</v>
      </c>
      <c r="FK43" s="156">
        <f t="shared" si="308"/>
        <v>0</v>
      </c>
      <c r="FL43" s="156">
        <f t="shared" si="309"/>
        <v>0</v>
      </c>
      <c r="FM43" s="156">
        <f t="shared" si="310"/>
        <v>0</v>
      </c>
      <c r="FN43" s="156">
        <f t="shared" si="311"/>
        <v>0</v>
      </c>
      <c r="FO43" s="156">
        <f t="shared" si="312"/>
        <v>0</v>
      </c>
      <c r="FP43" s="156">
        <f t="shared" si="313"/>
        <v>0</v>
      </c>
      <c r="FQ43" s="156">
        <f t="shared" si="314"/>
        <v>0</v>
      </c>
      <c r="FR43" s="156">
        <f t="shared" si="315"/>
        <v>0</v>
      </c>
      <c r="FS43" s="156">
        <f t="shared" si="316"/>
        <v>0</v>
      </c>
      <c r="FT43" s="156">
        <f t="shared" si="317"/>
        <v>0</v>
      </c>
      <c r="FU43" s="156">
        <f t="shared" si="318"/>
        <v>0</v>
      </c>
      <c r="FV43" s="156">
        <f t="shared" si="319"/>
        <v>0</v>
      </c>
      <c r="FW43" s="156">
        <f t="shared" si="320"/>
        <v>0</v>
      </c>
      <c r="FX43" s="156">
        <f t="shared" si="321"/>
        <v>0</v>
      </c>
      <c r="FY43" s="156">
        <f t="shared" si="322"/>
        <v>0</v>
      </c>
      <c r="FZ43" s="178">
        <f t="shared" si="323"/>
        <v>0</v>
      </c>
      <c r="GA43" s="181">
        <f t="shared" si="324"/>
        <v>24.185735913858924</v>
      </c>
      <c r="GB43" s="177">
        <f t="shared" si="325"/>
        <v>0</v>
      </c>
      <c r="GC43" s="181">
        <f t="shared" si="326"/>
        <v>24.082193323306559</v>
      </c>
      <c r="GD43" s="155">
        <f t="shared" si="327"/>
        <v>0</v>
      </c>
      <c r="GE43" s="156">
        <f t="shared" si="328"/>
        <v>0</v>
      </c>
      <c r="GF43" s="156">
        <f t="shared" si="329"/>
        <v>0</v>
      </c>
      <c r="GG43" s="178">
        <f t="shared" si="330"/>
        <v>0</v>
      </c>
      <c r="GH43" s="181">
        <f t="shared" si="331"/>
        <v>23.834369382163725</v>
      </c>
      <c r="GI43" s="177">
        <f t="shared" si="332"/>
        <v>0</v>
      </c>
      <c r="GJ43" s="181">
        <f t="shared" si="333"/>
        <v>23.729612561855234</v>
      </c>
      <c r="GK43" s="155">
        <f t="shared" si="334"/>
        <v>0</v>
      </c>
      <c r="GL43" s="156">
        <f t="shared" si="335"/>
        <v>0</v>
      </c>
      <c r="GM43" s="156">
        <f t="shared" si="336"/>
        <v>0</v>
      </c>
      <c r="GN43" s="178">
        <f t="shared" si="337"/>
        <v>0</v>
      </c>
      <c r="GO43" s="181">
        <f t="shared" si="338"/>
        <v>23.481493552061213</v>
      </c>
      <c r="GP43" s="177">
        <f t="shared" si="339"/>
        <v>0</v>
      </c>
      <c r="GQ43" s="181">
        <f t="shared" si="340"/>
        <v>23.372038483450538</v>
      </c>
      <c r="GR43" s="155">
        <f t="shared" si="341"/>
        <v>0</v>
      </c>
      <c r="GS43" s="156">
        <f t="shared" si="342"/>
        <v>0</v>
      </c>
      <c r="GT43" s="156">
        <f t="shared" si="343"/>
        <v>0</v>
      </c>
      <c r="GU43" s="178">
        <f t="shared" si="344"/>
        <v>0</v>
      </c>
      <c r="GV43" s="181">
        <f t="shared" si="345"/>
        <v>23.116065489904333</v>
      </c>
      <c r="GW43" s="177">
        <f t="shared" si="346"/>
        <v>0</v>
      </c>
      <c r="GX43" s="181">
        <f t="shared" si="347"/>
        <v>22.977554025488825</v>
      </c>
      <c r="GY43" s="119"/>
      <c r="GZ43" s="119"/>
      <c r="HA43" s="119"/>
      <c r="HB43" s="119"/>
      <c r="HC43" s="119"/>
      <c r="HD43" s="119"/>
      <c r="HE43" s="119"/>
      <c r="HF43" s="119"/>
      <c r="HG43" s="119"/>
      <c r="HH43" s="119"/>
      <c r="HI43" s="119"/>
      <c r="HJ43" s="119"/>
      <c r="HK43" s="119"/>
      <c r="HL43" s="119"/>
      <c r="HM43" s="119"/>
      <c r="HN43" s="119"/>
      <c r="HO43" s="119"/>
      <c r="HP43" s="119"/>
      <c r="HQ43" s="119"/>
      <c r="HR43" s="119"/>
      <c r="HS43" s="119"/>
      <c r="HT43" s="119"/>
      <c r="HU43" s="119"/>
      <c r="HV43" s="119"/>
      <c r="HW43" s="119"/>
      <c r="HX43" s="119"/>
      <c r="HY43" s="119"/>
      <c r="HZ43" s="119"/>
      <c r="IA43" s="119"/>
      <c r="IB43" s="119"/>
      <c r="IC43" s="119"/>
      <c r="ID43" s="119"/>
      <c r="IE43" s="119"/>
      <c r="IF43" s="119"/>
      <c r="IG43" s="119"/>
      <c r="IH43" s="119"/>
      <c r="II43" s="119"/>
      <c r="IJ43" s="119"/>
      <c r="IK43" s="119"/>
      <c r="IL43" s="119"/>
      <c r="IM43" s="119"/>
      <c r="IN43" s="119"/>
      <c r="IO43" s="119"/>
      <c r="IP43" s="119"/>
      <c r="IQ43" s="119"/>
      <c r="IR43" s="119"/>
      <c r="IS43" s="119"/>
      <c r="IT43" s="119"/>
      <c r="IU43" s="119"/>
      <c r="IV43" s="119"/>
      <c r="IW43" s="119"/>
      <c r="IX43" s="119"/>
      <c r="IY43" s="119"/>
      <c r="IZ43" s="119"/>
      <c r="JA43" s="119"/>
      <c r="JB43" s="119"/>
      <c r="JC43" s="119"/>
      <c r="JD43" s="119"/>
      <c r="JE43" s="119"/>
      <c r="JF43" s="119"/>
      <c r="JG43" s="119"/>
      <c r="JH43" s="119"/>
      <c r="JI43" s="119"/>
      <c r="JJ43" s="119"/>
      <c r="JK43" s="119"/>
      <c r="JL43" s="119"/>
      <c r="JM43" s="119"/>
      <c r="JN43" s="20"/>
      <c r="JO43" s="20"/>
      <c r="JP43" s="20"/>
      <c r="JQ43" s="20"/>
      <c r="JR43" s="20"/>
      <c r="JS43" s="20"/>
      <c r="JT43" s="20"/>
      <c r="JU43" s="20"/>
      <c r="JV43" s="20"/>
      <c r="JW43" s="20"/>
      <c r="JX43" s="20"/>
      <c r="JY43" s="20"/>
      <c r="JZ43" s="20"/>
      <c r="KA43" s="20"/>
      <c r="KB43" s="20"/>
      <c r="KC43" s="20"/>
      <c r="KD43" s="20"/>
      <c r="KE43" s="20"/>
      <c r="KF43" s="20"/>
      <c r="KG43" s="20"/>
      <c r="KH43" s="20"/>
      <c r="KI43" s="20"/>
      <c r="KJ43" s="20"/>
      <c r="KK43" s="23"/>
      <c r="KL43" s="23"/>
      <c r="KM43" s="23"/>
      <c r="KN43" s="23"/>
      <c r="KO43" s="23"/>
      <c r="KP43" s="23"/>
      <c r="KQ43" s="23"/>
      <c r="KR43" s="23"/>
      <c r="KS43" s="23"/>
      <c r="KT43" s="23"/>
      <c r="KU43" s="23"/>
      <c r="KV43" s="23"/>
      <c r="KW43" s="23"/>
      <c r="KX43" s="23"/>
      <c r="KY43" s="23"/>
      <c r="KZ43" s="23"/>
      <c r="LA43" s="23"/>
      <c r="LB43" s="23"/>
      <c r="LC43" s="23"/>
      <c r="LD43" s="23"/>
      <c r="LE43" s="23"/>
      <c r="LF43" s="23"/>
      <c r="LG43" s="23"/>
      <c r="LH43" s="23"/>
      <c r="LI43" s="23"/>
      <c r="LJ43" s="23"/>
      <c r="LK43" s="23"/>
      <c r="LL43" s="23"/>
      <c r="LM43" s="23"/>
      <c r="LN43" s="23"/>
      <c r="LO43" s="23"/>
      <c r="LP43" s="23"/>
      <c r="LQ43" s="23"/>
      <c r="LR43" s="23"/>
      <c r="LS43" s="23"/>
      <c r="LT43" s="23"/>
      <c r="LU43" s="23"/>
      <c r="LV43" s="23"/>
      <c r="LW43" s="23"/>
      <c r="LX43" s="23"/>
      <c r="LY43" s="23"/>
      <c r="LZ43" s="23"/>
      <c r="MA43" s="23"/>
      <c r="MB43" s="23"/>
      <c r="MC43" s="23"/>
      <c r="MD43" s="23"/>
      <c r="ME43" s="23"/>
      <c r="MF43" s="23"/>
      <c r="MG43" s="23"/>
      <c r="MH43" s="23"/>
      <c r="MI43" s="23"/>
      <c r="MJ43" s="23"/>
      <c r="MK43" s="23"/>
      <c r="ML43" s="23"/>
      <c r="MM43" s="23"/>
      <c r="MN43" s="23"/>
      <c r="MO43" s="23"/>
      <c r="MP43" s="23"/>
      <c r="MQ43" s="23"/>
      <c r="MR43" s="23"/>
      <c r="MS43" s="23"/>
      <c r="MT43" s="23"/>
      <c r="MU43" s="23"/>
      <c r="MV43" s="23"/>
      <c r="MW43" s="23"/>
      <c r="MX43" s="23"/>
      <c r="MY43" s="23"/>
      <c r="MZ43" s="23"/>
      <c r="NA43" s="23"/>
      <c r="NB43" s="23"/>
      <c r="NC43" s="23"/>
      <c r="ND43" s="23"/>
      <c r="NE43" s="23"/>
      <c r="NF43" s="23"/>
      <c r="NG43" s="23"/>
      <c r="NH43" s="23"/>
      <c r="NI43" s="23"/>
      <c r="NJ43" s="23"/>
      <c r="NK43" s="23"/>
      <c r="NL43" s="23"/>
      <c r="NM43" s="23"/>
      <c r="NN43" s="23"/>
      <c r="NO43" s="23"/>
      <c r="NP43" s="23"/>
      <c r="NQ43" s="23"/>
      <c r="NR43" s="23"/>
      <c r="NS43" s="23"/>
      <c r="NT43" s="23"/>
      <c r="NU43" s="23"/>
      <c r="NV43" s="23"/>
      <c r="NW43" s="23"/>
      <c r="NX43" s="23"/>
      <c r="NY43" s="23"/>
      <c r="NZ43" s="23"/>
      <c r="OA43" s="23"/>
      <c r="OB43" s="23"/>
      <c r="OC43" s="23"/>
      <c r="OD43" s="23"/>
      <c r="OE43" s="23"/>
      <c r="OF43" s="23"/>
      <c r="OG43" s="23"/>
      <c r="OH43" s="23"/>
      <c r="OI43" s="23"/>
      <c r="OJ43" s="23"/>
      <c r="OK43" s="23"/>
      <c r="OL43" s="23"/>
      <c r="OM43" s="23"/>
      <c r="ON43" s="23"/>
      <c r="OO43" s="23"/>
      <c r="OP43" s="23"/>
      <c r="OQ43" s="23"/>
      <c r="OR43" s="23"/>
      <c r="OS43" s="23"/>
      <c r="OT43" s="23"/>
      <c r="OU43" s="23"/>
      <c r="OV43" s="23"/>
      <c r="OW43" s="23"/>
      <c r="OX43" s="23"/>
      <c r="OY43" s="23"/>
      <c r="OZ43" s="23"/>
      <c r="PA43" s="23"/>
      <c r="PB43" s="23"/>
      <c r="PC43" s="23"/>
      <c r="PD43" s="23"/>
      <c r="PE43" s="23"/>
      <c r="PF43" s="23"/>
      <c r="PG43" s="23"/>
      <c r="PH43" s="23"/>
      <c r="PI43" s="23"/>
      <c r="PJ43" s="23"/>
      <c r="PK43" s="23"/>
      <c r="PL43" s="23"/>
      <c r="PM43" s="23"/>
      <c r="PN43" s="23"/>
      <c r="PO43" s="23"/>
      <c r="PP43" s="23"/>
      <c r="PQ43" s="23"/>
      <c r="PR43" s="23"/>
      <c r="PS43" s="23"/>
      <c r="PT43" s="23"/>
      <c r="PU43" s="23"/>
      <c r="PV43" s="23"/>
      <c r="PW43" s="23"/>
      <c r="PX43" s="23"/>
      <c r="PY43" s="23"/>
      <c r="PZ43" s="23"/>
      <c r="QA43" s="23"/>
      <c r="QB43" s="23"/>
      <c r="QC43" s="23"/>
      <c r="QD43" s="23"/>
      <c r="QE43" s="23"/>
      <c r="QF43" s="23"/>
      <c r="QG43" s="23"/>
      <c r="QH43" s="23"/>
      <c r="QI43" s="23"/>
      <c r="QJ43" s="23"/>
      <c r="QK43" s="23"/>
      <c r="QL43" s="23"/>
      <c r="QM43" s="23"/>
      <c r="QN43" s="23"/>
      <c r="QO43" s="23"/>
      <c r="QP43" s="23"/>
      <c r="QQ43" s="23"/>
      <c r="QR43" s="23"/>
      <c r="QS43" s="23"/>
      <c r="QT43" s="23"/>
      <c r="QU43" s="23"/>
      <c r="QV43" s="23"/>
      <c r="QW43" s="23"/>
      <c r="QX43" s="23"/>
      <c r="QY43" s="23"/>
      <c r="QZ43" s="23"/>
      <c r="RA43" s="23"/>
      <c r="RB43" s="23"/>
      <c r="RC43" s="184"/>
      <c r="RD43" s="184"/>
      <c r="RE43" s="184"/>
      <c r="RF43" s="184"/>
      <c r="RG43" s="184"/>
      <c r="RH43" s="184"/>
      <c r="RI43" s="184"/>
      <c r="RJ43" s="184"/>
      <c r="RK43" s="184"/>
      <c r="RL43" s="184"/>
      <c r="RM43" s="184"/>
      <c r="RN43" s="184"/>
      <c r="RO43" s="184"/>
      <c r="RP43" s="184"/>
      <c r="RQ43" s="184"/>
      <c r="RR43" s="184"/>
      <c r="RS43" s="184"/>
      <c r="RT43" s="184"/>
      <c r="RU43" s="184"/>
      <c r="RV43" s="184"/>
      <c r="RW43" s="184"/>
      <c r="RX43" s="184"/>
      <c r="RY43" s="184"/>
      <c r="RZ43" s="184"/>
      <c r="SA43" s="185"/>
      <c r="SB43" s="185"/>
      <c r="SC43" s="185"/>
      <c r="SD43" s="185"/>
      <c r="SE43" s="185"/>
      <c r="SF43" s="185"/>
      <c r="SG43" s="185"/>
      <c r="SH43" s="185"/>
      <c r="SI43" s="185"/>
      <c r="SJ43" s="185"/>
      <c r="SK43" s="185"/>
      <c r="SL43" s="185"/>
      <c r="SM43" s="185"/>
      <c r="SN43" s="185"/>
      <c r="SO43" s="185"/>
      <c r="SP43" s="185"/>
      <c r="SQ43" s="185"/>
      <c r="SR43" s="185"/>
      <c r="SS43" s="185"/>
      <c r="ST43" s="185"/>
      <c r="SU43" s="185"/>
      <c r="SV43" s="185"/>
      <c r="SW43" s="185"/>
      <c r="SX43" s="185"/>
      <c r="SY43" s="185"/>
      <c r="SZ43" s="185"/>
      <c r="TA43" s="11"/>
      <c r="TB43" s="11"/>
      <c r="TC43" s="11"/>
      <c r="TD43" s="11"/>
    </row>
    <row r="44" spans="1:1013" ht="22.15" customHeight="1" thickBot="1" x14ac:dyDescent="0.3">
      <c r="A44" s="298"/>
      <c r="B44" s="25" t="s">
        <v>2</v>
      </c>
      <c r="M44" s="10"/>
      <c r="BB44" s="140">
        <f t="shared" si="195"/>
        <v>2E-3</v>
      </c>
      <c r="BC44" s="112">
        <f t="shared" si="196"/>
        <v>2E-3</v>
      </c>
      <c r="BD44" s="113">
        <f t="shared" si="197"/>
        <v>2E-3</v>
      </c>
      <c r="BE44" s="113">
        <f t="shared" si="198"/>
        <v>2E-3</v>
      </c>
      <c r="BF44" s="113">
        <f t="shared" si="199"/>
        <v>2E-3</v>
      </c>
      <c r="BG44" s="113">
        <f t="shared" si="200"/>
        <v>2E-3</v>
      </c>
      <c r="BH44" s="113">
        <f t="shared" si="201"/>
        <v>2E-3</v>
      </c>
      <c r="BI44" s="113">
        <f t="shared" si="202"/>
        <v>2E-3</v>
      </c>
      <c r="BJ44" s="113">
        <f t="shared" si="203"/>
        <v>2E-3</v>
      </c>
      <c r="BK44" s="113">
        <f t="shared" si="204"/>
        <v>2E-3</v>
      </c>
      <c r="BL44" s="113">
        <f t="shared" si="205"/>
        <v>2E-3</v>
      </c>
      <c r="BM44" s="113">
        <f t="shared" si="206"/>
        <v>2E-3</v>
      </c>
      <c r="BN44" s="113">
        <f t="shared" si="207"/>
        <v>2E-3</v>
      </c>
      <c r="BO44" s="113">
        <f t="shared" si="208"/>
        <v>2E-3</v>
      </c>
      <c r="BP44" s="113">
        <f t="shared" si="209"/>
        <v>2E-3</v>
      </c>
      <c r="BQ44" s="113">
        <f t="shared" si="210"/>
        <v>2E-3</v>
      </c>
      <c r="BR44" s="113">
        <f t="shared" si="211"/>
        <v>2E-3</v>
      </c>
      <c r="BS44" s="113">
        <f t="shared" si="212"/>
        <v>2E-3</v>
      </c>
      <c r="BT44" s="113">
        <f t="shared" si="213"/>
        <v>2E-3</v>
      </c>
      <c r="BU44" s="113">
        <f t="shared" si="214"/>
        <v>2E-3</v>
      </c>
      <c r="BV44" s="113">
        <f t="shared" si="215"/>
        <v>2E-3</v>
      </c>
      <c r="BW44" s="113">
        <f t="shared" si="216"/>
        <v>2E-3</v>
      </c>
      <c r="BX44" s="113">
        <f t="shared" si="217"/>
        <v>2E-3</v>
      </c>
      <c r="BY44" s="113">
        <f t="shared" si="218"/>
        <v>2E-3</v>
      </c>
      <c r="BZ44" s="113">
        <f t="shared" si="219"/>
        <v>2E-3</v>
      </c>
      <c r="CA44" s="113">
        <f t="shared" si="220"/>
        <v>2E-3</v>
      </c>
      <c r="CB44" s="113">
        <f t="shared" si="221"/>
        <v>2E-3</v>
      </c>
      <c r="CC44" s="113">
        <f t="shared" si="222"/>
        <v>2E-3</v>
      </c>
      <c r="CD44" s="113">
        <f t="shared" si="223"/>
        <v>2E-3</v>
      </c>
      <c r="CE44" s="113">
        <f t="shared" si="224"/>
        <v>2E-3</v>
      </c>
      <c r="CF44" s="113">
        <f t="shared" si="225"/>
        <v>2E-3</v>
      </c>
      <c r="CG44" s="113">
        <f t="shared" si="226"/>
        <v>2E-3</v>
      </c>
      <c r="CH44" s="113">
        <f t="shared" si="227"/>
        <v>2E-3</v>
      </c>
      <c r="CI44" s="113">
        <f t="shared" si="228"/>
        <v>2E-3</v>
      </c>
      <c r="CJ44" s="113">
        <f t="shared" si="229"/>
        <v>2E-3</v>
      </c>
      <c r="CK44" s="113">
        <f t="shared" si="230"/>
        <v>2E-3</v>
      </c>
      <c r="CL44" s="113">
        <f t="shared" si="231"/>
        <v>2E-3</v>
      </c>
      <c r="CM44" s="113">
        <f t="shared" si="232"/>
        <v>2E-3</v>
      </c>
      <c r="CN44" s="113">
        <f t="shared" si="233"/>
        <v>2E-3</v>
      </c>
      <c r="CO44" s="113">
        <f t="shared" si="234"/>
        <v>2E-3</v>
      </c>
      <c r="CP44" s="113">
        <f t="shared" si="235"/>
        <v>2E-3</v>
      </c>
      <c r="CQ44" s="113">
        <f t="shared" si="236"/>
        <v>2E-3</v>
      </c>
      <c r="CR44" s="113">
        <f t="shared" si="237"/>
        <v>2E-3</v>
      </c>
      <c r="CS44" s="113">
        <f t="shared" si="238"/>
        <v>2E-3</v>
      </c>
      <c r="CT44" s="113">
        <f t="shared" si="239"/>
        <v>2E-3</v>
      </c>
      <c r="CU44" s="113">
        <f t="shared" si="240"/>
        <v>2E-3</v>
      </c>
      <c r="CV44" s="113">
        <f t="shared" si="241"/>
        <v>2E-3</v>
      </c>
      <c r="CW44" s="113">
        <f t="shared" si="242"/>
        <v>2E-3</v>
      </c>
      <c r="CX44" s="113">
        <f t="shared" si="243"/>
        <v>2E-3</v>
      </c>
      <c r="CY44" s="113">
        <f t="shared" si="244"/>
        <v>2E-3</v>
      </c>
      <c r="CZ44" s="113">
        <f t="shared" si="245"/>
        <v>2E-3</v>
      </c>
      <c r="DA44" s="147">
        <f t="shared" si="246"/>
        <v>2E-3</v>
      </c>
      <c r="DB44" s="147">
        <f t="shared" si="247"/>
        <v>2E-3</v>
      </c>
      <c r="DC44" s="147">
        <f t="shared" si="248"/>
        <v>2E-3</v>
      </c>
      <c r="DD44" s="147">
        <f t="shared" si="249"/>
        <v>2E-3</v>
      </c>
      <c r="DE44" s="147">
        <f t="shared" si="250"/>
        <v>2E-3</v>
      </c>
      <c r="DF44" s="147">
        <f t="shared" si="251"/>
        <v>2E-3</v>
      </c>
      <c r="DG44" s="147">
        <f t="shared" si="252"/>
        <v>2E-3</v>
      </c>
      <c r="DH44" s="147">
        <f t="shared" si="253"/>
        <v>2E-3</v>
      </c>
      <c r="DI44" s="147">
        <f t="shared" si="254"/>
        <v>2E-3</v>
      </c>
      <c r="DJ44" s="147">
        <f t="shared" si="255"/>
        <v>2E-3</v>
      </c>
      <c r="DK44" s="147">
        <f t="shared" si="256"/>
        <v>2E-3</v>
      </c>
      <c r="DL44" s="147">
        <f t="shared" si="257"/>
        <v>2E-3</v>
      </c>
      <c r="DM44" s="147">
        <f t="shared" si="258"/>
        <v>2E-3</v>
      </c>
      <c r="DN44" s="147">
        <f t="shared" si="259"/>
        <v>2E-3</v>
      </c>
      <c r="DO44" s="147">
        <f t="shared" si="260"/>
        <v>2E-3</v>
      </c>
      <c r="DP44" s="147">
        <f t="shared" si="261"/>
        <v>2E-3</v>
      </c>
      <c r="DQ44" s="147">
        <f t="shared" si="262"/>
        <v>2E-3</v>
      </c>
      <c r="DR44" s="147">
        <f t="shared" si="263"/>
        <v>2E-3</v>
      </c>
      <c r="DS44" s="147">
        <f t="shared" si="264"/>
        <v>2E-3</v>
      </c>
      <c r="DT44" s="147">
        <f t="shared" si="265"/>
        <v>2E-3</v>
      </c>
      <c r="DU44" s="147">
        <f t="shared" si="266"/>
        <v>2E-3</v>
      </c>
      <c r="DV44" s="147">
        <f t="shared" si="267"/>
        <v>2E-3</v>
      </c>
      <c r="DW44" s="147">
        <f t="shared" si="268"/>
        <v>2E-3</v>
      </c>
      <c r="DX44" s="147">
        <f t="shared" si="269"/>
        <v>2E-3</v>
      </c>
      <c r="DY44" s="147">
        <f t="shared" si="270"/>
        <v>2E-3</v>
      </c>
      <c r="DZ44" s="147">
        <f t="shared" si="271"/>
        <v>2E-3</v>
      </c>
      <c r="EA44" s="147">
        <f t="shared" si="272"/>
        <v>2E-3</v>
      </c>
      <c r="EB44" s="147">
        <f t="shared" si="273"/>
        <v>2E-3</v>
      </c>
      <c r="EC44" s="147">
        <f t="shared" si="274"/>
        <v>2E-3</v>
      </c>
      <c r="ED44" s="147">
        <f t="shared" si="275"/>
        <v>2E-3</v>
      </c>
      <c r="EE44" s="147">
        <f t="shared" si="276"/>
        <v>2E-3</v>
      </c>
      <c r="EF44" s="147">
        <f t="shared" si="277"/>
        <v>2E-3</v>
      </c>
      <c r="EG44" s="147">
        <f t="shared" si="278"/>
        <v>2E-3</v>
      </c>
      <c r="EH44" s="147">
        <f t="shared" si="279"/>
        <v>2E-3</v>
      </c>
      <c r="EI44" s="147">
        <f t="shared" si="280"/>
        <v>2E-3</v>
      </c>
      <c r="EJ44" s="147">
        <f t="shared" si="281"/>
        <v>2E-3</v>
      </c>
      <c r="EK44" s="147">
        <f t="shared" si="282"/>
        <v>2E-3</v>
      </c>
      <c r="EL44" s="147">
        <f t="shared" si="283"/>
        <v>2E-3</v>
      </c>
      <c r="EM44" s="147">
        <f t="shared" si="284"/>
        <v>2E-3</v>
      </c>
      <c r="EN44" s="147">
        <f t="shared" si="285"/>
        <v>2E-3</v>
      </c>
      <c r="EO44" s="147">
        <f t="shared" si="286"/>
        <v>2E-3</v>
      </c>
      <c r="EP44" s="147">
        <f t="shared" si="287"/>
        <v>2E-3</v>
      </c>
      <c r="EQ44" s="147">
        <f t="shared" si="288"/>
        <v>2E-3</v>
      </c>
      <c r="ER44" s="147">
        <f t="shared" si="289"/>
        <v>2E-3</v>
      </c>
      <c r="ES44" s="147">
        <f t="shared" si="290"/>
        <v>2E-3</v>
      </c>
      <c r="ET44" s="147">
        <f t="shared" si="291"/>
        <v>2E-3</v>
      </c>
      <c r="EU44" s="147">
        <f t="shared" si="292"/>
        <v>2E-3</v>
      </c>
      <c r="EV44" s="147">
        <f t="shared" si="293"/>
        <v>2E-3</v>
      </c>
      <c r="EW44" s="147">
        <f t="shared" si="294"/>
        <v>2E-3</v>
      </c>
      <c r="EX44" s="147">
        <f t="shared" si="295"/>
        <v>2E-3</v>
      </c>
      <c r="EY44" s="147">
        <f t="shared" si="296"/>
        <v>2E-3</v>
      </c>
      <c r="EZ44" s="157">
        <f t="shared" si="297"/>
        <v>2E-3</v>
      </c>
      <c r="FA44" s="157">
        <f t="shared" si="298"/>
        <v>2E-3</v>
      </c>
      <c r="FB44" s="157">
        <f t="shared" si="299"/>
        <v>2E-3</v>
      </c>
      <c r="FC44" s="157">
        <f t="shared" si="300"/>
        <v>2E-3</v>
      </c>
      <c r="FD44" s="157">
        <f t="shared" si="301"/>
        <v>2E-3</v>
      </c>
      <c r="FE44" s="157">
        <f t="shared" si="302"/>
        <v>2E-3</v>
      </c>
      <c r="FF44" s="157">
        <f t="shared" si="303"/>
        <v>2E-3</v>
      </c>
      <c r="FG44" s="157">
        <f t="shared" si="304"/>
        <v>2E-3</v>
      </c>
      <c r="FH44" s="157">
        <f t="shared" si="305"/>
        <v>2E-3</v>
      </c>
      <c r="FI44" s="157">
        <f t="shared" si="306"/>
        <v>2E-3</v>
      </c>
      <c r="FJ44" s="157">
        <f t="shared" si="307"/>
        <v>2E-3</v>
      </c>
      <c r="FK44" s="157">
        <f t="shared" si="308"/>
        <v>2E-3</v>
      </c>
      <c r="FL44" s="157">
        <f t="shared" si="309"/>
        <v>2E-3</v>
      </c>
      <c r="FM44" s="157">
        <f t="shared" si="310"/>
        <v>2E-3</v>
      </c>
      <c r="FN44" s="157">
        <f t="shared" si="311"/>
        <v>2E-3</v>
      </c>
      <c r="FO44" s="157">
        <f t="shared" si="312"/>
        <v>2E-3</v>
      </c>
      <c r="FP44" s="157">
        <f t="shared" si="313"/>
        <v>2E-3</v>
      </c>
      <c r="FQ44" s="157">
        <f t="shared" si="314"/>
        <v>2E-3</v>
      </c>
      <c r="FR44" s="157">
        <f t="shared" si="315"/>
        <v>2E-3</v>
      </c>
      <c r="FS44" s="157">
        <f t="shared" si="316"/>
        <v>2E-3</v>
      </c>
      <c r="FT44" s="157">
        <f t="shared" si="317"/>
        <v>2E-3</v>
      </c>
      <c r="FU44" s="157">
        <f t="shared" si="318"/>
        <v>2E-3</v>
      </c>
      <c r="FV44" s="157">
        <f t="shared" si="319"/>
        <v>2E-3</v>
      </c>
      <c r="FW44" s="157">
        <f t="shared" si="320"/>
        <v>2E-3</v>
      </c>
      <c r="FX44" s="157">
        <f t="shared" si="321"/>
        <v>2E-3</v>
      </c>
      <c r="FY44" s="157">
        <f t="shared" si="322"/>
        <v>2E-3</v>
      </c>
      <c r="FZ44" s="157">
        <f t="shared" si="323"/>
        <v>2E-3</v>
      </c>
      <c r="GA44" s="180">
        <f t="shared" si="324"/>
        <v>2E-3</v>
      </c>
      <c r="GB44" s="157">
        <f t="shared" si="325"/>
        <v>2E-3</v>
      </c>
      <c r="GC44" s="180">
        <f t="shared" si="326"/>
        <v>2E-3</v>
      </c>
      <c r="GD44" s="157">
        <f t="shared" si="327"/>
        <v>2E-3</v>
      </c>
      <c r="GE44" s="157">
        <f t="shared" si="328"/>
        <v>2E-3</v>
      </c>
      <c r="GF44" s="157">
        <f t="shared" si="329"/>
        <v>2E-3</v>
      </c>
      <c r="GG44" s="157">
        <f t="shared" si="330"/>
        <v>2E-3</v>
      </c>
      <c r="GH44" s="180">
        <f t="shared" si="331"/>
        <v>2E-3</v>
      </c>
      <c r="GI44" s="157">
        <f t="shared" si="332"/>
        <v>2E-3</v>
      </c>
      <c r="GJ44" s="180">
        <f t="shared" si="333"/>
        <v>2E-3</v>
      </c>
      <c r="GK44" s="157">
        <f t="shared" si="334"/>
        <v>2E-3</v>
      </c>
      <c r="GL44" s="157">
        <f t="shared" si="335"/>
        <v>2E-3</v>
      </c>
      <c r="GM44" s="157">
        <f t="shared" si="336"/>
        <v>2E-3</v>
      </c>
      <c r="GN44" s="157">
        <f t="shared" si="337"/>
        <v>2E-3</v>
      </c>
      <c r="GO44" s="180">
        <f t="shared" si="338"/>
        <v>2E-3</v>
      </c>
      <c r="GP44" s="157">
        <f t="shared" si="339"/>
        <v>2E-3</v>
      </c>
      <c r="GQ44" s="180">
        <f t="shared" si="340"/>
        <v>2E-3</v>
      </c>
      <c r="GR44" s="157">
        <f t="shared" si="341"/>
        <v>2E-3</v>
      </c>
      <c r="GS44" s="157">
        <f t="shared" si="342"/>
        <v>2E-3</v>
      </c>
      <c r="GT44" s="157">
        <f t="shared" si="343"/>
        <v>2E-3</v>
      </c>
      <c r="GU44" s="157">
        <f t="shared" si="344"/>
        <v>2E-3</v>
      </c>
      <c r="GV44" s="180">
        <f t="shared" si="345"/>
        <v>2E-3</v>
      </c>
      <c r="GW44" s="157">
        <f t="shared" si="346"/>
        <v>2E-3</v>
      </c>
      <c r="GX44" s="193">
        <f t="shared" si="347"/>
        <v>2E-3</v>
      </c>
      <c r="GY44" s="119"/>
      <c r="GZ44" s="119"/>
      <c r="HA44" s="119"/>
      <c r="HB44" s="119"/>
      <c r="HC44" s="119"/>
      <c r="HD44" s="119"/>
      <c r="HE44" s="119"/>
      <c r="HF44" s="119"/>
      <c r="HG44" s="119"/>
      <c r="HH44" s="119"/>
      <c r="HI44" s="119"/>
      <c r="HJ44" s="119"/>
      <c r="HK44" s="119"/>
      <c r="HL44" s="119"/>
      <c r="HM44" s="119"/>
      <c r="HN44" s="119"/>
      <c r="HO44" s="119"/>
      <c r="HP44" s="119"/>
      <c r="HQ44" s="119"/>
      <c r="HR44" s="119"/>
      <c r="HS44" s="119"/>
      <c r="HT44" s="119"/>
      <c r="HU44" s="119"/>
      <c r="HV44" s="119"/>
      <c r="HW44" s="119"/>
      <c r="HX44" s="119"/>
      <c r="HY44" s="119"/>
      <c r="HZ44" s="119"/>
      <c r="IA44" s="119"/>
      <c r="IB44" s="119"/>
      <c r="IC44" s="119"/>
      <c r="ID44" s="119"/>
      <c r="IE44" s="119"/>
      <c r="IF44" s="119"/>
      <c r="IG44" s="119"/>
      <c r="IH44" s="119"/>
      <c r="II44" s="119"/>
      <c r="IJ44" s="119"/>
      <c r="IK44" s="119"/>
      <c r="IL44" s="119"/>
      <c r="IM44" s="119"/>
      <c r="IN44" s="119"/>
      <c r="IO44" s="119"/>
      <c r="IP44" s="119"/>
      <c r="IQ44" s="119"/>
      <c r="IR44" s="119"/>
      <c r="IS44" s="119"/>
      <c r="IT44" s="119"/>
      <c r="IU44" s="119"/>
      <c r="IV44" s="119"/>
      <c r="IW44" s="119"/>
      <c r="IX44" s="119"/>
      <c r="IY44" s="119"/>
      <c r="IZ44" s="119"/>
      <c r="JA44" s="119"/>
      <c r="JB44" s="119"/>
      <c r="JC44" s="119"/>
      <c r="JD44" s="119"/>
      <c r="JE44" s="119"/>
      <c r="JF44" s="119"/>
      <c r="JG44" s="119"/>
      <c r="JH44" s="119"/>
      <c r="JI44" s="119"/>
      <c r="JJ44" s="119"/>
      <c r="JK44" s="119"/>
      <c r="JL44" s="119"/>
      <c r="JM44" s="119"/>
      <c r="JN44" s="130"/>
      <c r="JO44" s="130"/>
      <c r="JP44" s="130"/>
      <c r="JQ44" s="130"/>
      <c r="JR44" s="130"/>
      <c r="JS44" s="130"/>
      <c r="JT44" s="130"/>
      <c r="JU44" s="130"/>
      <c r="JV44" s="130"/>
      <c r="JW44" s="130"/>
      <c r="JX44" s="130"/>
      <c r="JY44" s="130"/>
      <c r="JZ44" s="130"/>
      <c r="KA44" s="130"/>
      <c r="KB44" s="130"/>
      <c r="KC44" s="130"/>
      <c r="KD44" s="130"/>
      <c r="KE44" s="130"/>
      <c r="KF44" s="130"/>
      <c r="KG44" s="130"/>
      <c r="KH44" s="130"/>
      <c r="KI44" s="130"/>
      <c r="KJ44" s="130"/>
      <c r="KK44" s="32"/>
      <c r="KL44" s="32"/>
      <c r="KM44" s="32"/>
      <c r="KN44" s="32"/>
      <c r="KO44" s="32"/>
      <c r="KP44" s="32"/>
      <c r="KQ44" s="32"/>
      <c r="KR44" s="32"/>
      <c r="KS44" s="32"/>
      <c r="KT44" s="32"/>
      <c r="KU44" s="32"/>
      <c r="KV44" s="32"/>
      <c r="KW44" s="32"/>
      <c r="KX44" s="32"/>
      <c r="KY44" s="32"/>
      <c r="KZ44" s="32"/>
      <c r="LA44" s="32"/>
      <c r="LB44" s="32"/>
      <c r="LC44" s="32"/>
      <c r="LD44" s="32"/>
      <c r="LE44" s="32"/>
      <c r="LF44" s="32"/>
      <c r="LG44" s="32"/>
      <c r="LH44" s="32"/>
      <c r="LI44" s="32"/>
      <c r="LJ44" s="32"/>
      <c r="LK44" s="32"/>
      <c r="LL44" s="32"/>
      <c r="LM44" s="32"/>
      <c r="LN44" s="32"/>
      <c r="LO44" s="32"/>
      <c r="LP44" s="32"/>
      <c r="LQ44" s="32"/>
      <c r="LR44" s="32"/>
      <c r="LS44" s="32"/>
      <c r="LT44" s="32"/>
      <c r="LU44" s="32"/>
      <c r="LV44" s="32"/>
      <c r="LW44" s="32"/>
      <c r="LX44" s="32"/>
      <c r="LY44" s="32"/>
      <c r="LZ44" s="32"/>
      <c r="MA44" s="32"/>
      <c r="MB44" s="32"/>
      <c r="MC44" s="32"/>
      <c r="MD44" s="32"/>
      <c r="ME44" s="32"/>
      <c r="MF44" s="32"/>
      <c r="MG44" s="32"/>
      <c r="MH44" s="32"/>
      <c r="MI44" s="32"/>
      <c r="MJ44" s="32"/>
      <c r="MK44" s="32"/>
      <c r="ML44" s="32"/>
      <c r="MM44" s="32"/>
      <c r="MN44" s="32"/>
      <c r="MO44" s="32"/>
      <c r="MP44" s="32"/>
      <c r="MQ44" s="32"/>
      <c r="MR44" s="32"/>
      <c r="MS44" s="32"/>
      <c r="MT44" s="32"/>
      <c r="MU44" s="32"/>
      <c r="MV44" s="32"/>
      <c r="MW44" s="32"/>
      <c r="MX44" s="32"/>
      <c r="MY44" s="32"/>
      <c r="MZ44" s="32"/>
      <c r="NA44" s="32"/>
      <c r="NB44" s="32"/>
      <c r="NC44" s="32"/>
      <c r="ND44" s="32"/>
      <c r="NE44" s="32"/>
      <c r="NF44" s="32"/>
      <c r="NG44" s="32"/>
      <c r="NH44" s="32"/>
      <c r="NI44" s="32"/>
      <c r="NJ44" s="32"/>
      <c r="NK44" s="32"/>
      <c r="NL44" s="32"/>
      <c r="NM44" s="32"/>
      <c r="NN44" s="32"/>
      <c r="NO44" s="32"/>
      <c r="NP44" s="32"/>
      <c r="NQ44" s="32"/>
      <c r="NR44" s="32"/>
      <c r="NS44" s="32"/>
      <c r="NT44" s="32"/>
      <c r="NU44" s="32"/>
      <c r="NV44" s="32"/>
      <c r="NW44" s="32"/>
      <c r="NX44" s="32"/>
      <c r="NY44" s="32"/>
      <c r="NZ44" s="32"/>
      <c r="OA44" s="32"/>
      <c r="OB44" s="32"/>
      <c r="OC44" s="32"/>
      <c r="OD44" s="32"/>
      <c r="OE44" s="32"/>
      <c r="OF44" s="32"/>
      <c r="OG44" s="32"/>
      <c r="OH44" s="32"/>
      <c r="OI44" s="32"/>
      <c r="OJ44" s="32"/>
      <c r="OK44" s="32"/>
      <c r="OL44" s="32"/>
      <c r="OM44" s="32"/>
      <c r="ON44" s="32"/>
      <c r="OO44" s="32"/>
      <c r="OP44" s="32"/>
      <c r="OQ44" s="32"/>
      <c r="OR44" s="32"/>
      <c r="OS44" s="32"/>
      <c r="OT44" s="32"/>
      <c r="OU44" s="32"/>
      <c r="OV44" s="32"/>
      <c r="OW44" s="32"/>
      <c r="OX44" s="32"/>
      <c r="OY44" s="32"/>
      <c r="OZ44" s="32"/>
      <c r="PA44" s="32"/>
      <c r="PB44" s="32"/>
      <c r="PC44" s="32"/>
      <c r="PD44" s="32"/>
      <c r="PE44" s="32"/>
      <c r="PF44" s="32"/>
      <c r="PG44" s="32"/>
      <c r="PH44" s="32"/>
      <c r="PI44" s="32"/>
      <c r="PJ44" s="32"/>
      <c r="PK44" s="32"/>
      <c r="PL44" s="32"/>
      <c r="PM44" s="32"/>
      <c r="PN44" s="32"/>
      <c r="PO44" s="32"/>
      <c r="PP44" s="32"/>
      <c r="PQ44" s="32"/>
      <c r="PR44" s="32"/>
      <c r="PS44" s="32"/>
      <c r="PT44" s="32"/>
      <c r="PU44" s="32"/>
      <c r="PV44" s="32"/>
      <c r="PW44" s="32"/>
      <c r="PX44" s="32"/>
      <c r="PY44" s="32"/>
      <c r="PZ44" s="32"/>
      <c r="QA44" s="32"/>
      <c r="QB44" s="32"/>
      <c r="QC44" s="32"/>
      <c r="QD44" s="32"/>
      <c r="QE44" s="32"/>
      <c r="QF44" s="32"/>
      <c r="QG44" s="32"/>
      <c r="QH44" s="32"/>
      <c r="QI44" s="32"/>
      <c r="QJ44" s="32"/>
      <c r="QK44" s="32"/>
      <c r="QL44" s="32"/>
      <c r="QM44" s="32"/>
      <c r="QN44" s="32"/>
      <c r="QO44" s="32"/>
      <c r="QP44" s="32"/>
      <c r="QQ44" s="32"/>
      <c r="QR44" s="32"/>
      <c r="QS44" s="32"/>
      <c r="QT44" s="32"/>
      <c r="QU44" s="32"/>
      <c r="QV44" s="32"/>
      <c r="QW44" s="32"/>
      <c r="QX44" s="32"/>
      <c r="QY44" s="32"/>
      <c r="QZ44" s="32"/>
      <c r="RA44" s="32"/>
      <c r="RB44" s="32"/>
      <c r="RC44" s="184"/>
      <c r="RD44" s="184"/>
      <c r="RE44" s="184"/>
      <c r="RF44" s="184"/>
      <c r="RG44" s="184"/>
      <c r="RH44" s="184"/>
      <c r="RI44" s="184"/>
      <c r="RJ44" s="184"/>
      <c r="RK44" s="184"/>
      <c r="RL44" s="184"/>
      <c r="RM44" s="184"/>
      <c r="RN44" s="184"/>
      <c r="RO44" s="184"/>
      <c r="RP44" s="184"/>
      <c r="RQ44" s="184"/>
      <c r="RR44" s="184"/>
      <c r="RS44" s="184"/>
      <c r="RT44" s="184"/>
      <c r="RU44" s="184"/>
      <c r="RV44" s="184"/>
      <c r="RW44" s="184"/>
      <c r="RX44" s="184"/>
      <c r="RY44" s="184"/>
      <c r="RZ44" s="184"/>
      <c r="SA44" s="185"/>
      <c r="SB44" s="185"/>
      <c r="SC44" s="185"/>
      <c r="SD44" s="185"/>
      <c r="SE44" s="185"/>
      <c r="SF44" s="185"/>
      <c r="SG44" s="185"/>
      <c r="SH44" s="185"/>
      <c r="SI44" s="185"/>
      <c r="SJ44" s="185"/>
      <c r="SK44" s="185"/>
      <c r="SL44" s="185"/>
      <c r="SM44" s="185"/>
      <c r="SN44" s="185"/>
      <c r="SO44" s="185"/>
      <c r="SP44" s="185"/>
      <c r="SQ44" s="185"/>
      <c r="SR44" s="185"/>
      <c r="SS44" s="185"/>
      <c r="ST44" s="185"/>
      <c r="SU44" s="185"/>
      <c r="SV44" s="185"/>
      <c r="SW44" s="185"/>
      <c r="SX44" s="185"/>
      <c r="SY44" s="185"/>
      <c r="SZ44" s="185"/>
      <c r="TA44" s="11"/>
      <c r="TB44" s="11"/>
      <c r="TC44" s="11"/>
      <c r="TD44" s="11"/>
    </row>
    <row r="45" spans="1:1013" ht="22.15" customHeight="1" x14ac:dyDescent="0.25">
      <c r="A45" s="298"/>
      <c r="B45" s="25" t="s">
        <v>15</v>
      </c>
      <c r="M45" s="10"/>
      <c r="BB45" s="139">
        <f t="shared" si="195"/>
        <v>0.5</v>
      </c>
      <c r="BC45" s="110">
        <f t="shared" si="196"/>
        <v>0.499</v>
      </c>
      <c r="BD45" s="110">
        <f t="shared" si="197"/>
        <v>0.498002</v>
      </c>
      <c r="BE45" s="110">
        <f t="shared" si="198"/>
        <v>0.49700599600000001</v>
      </c>
      <c r="BF45" s="110">
        <f t="shared" si="199"/>
        <v>0.49601198400799995</v>
      </c>
      <c r="BG45" s="110">
        <f t="shared" si="200"/>
        <v>0.495019960039984</v>
      </c>
      <c r="BH45" s="110">
        <f t="shared" si="201"/>
        <v>0.49402992011990399</v>
      </c>
      <c r="BI45" s="110">
        <f t="shared" si="202"/>
        <v>0.49304186027966418</v>
      </c>
      <c r="BJ45" s="110">
        <f t="shared" si="203"/>
        <v>0.49205577655910482</v>
      </c>
      <c r="BK45" s="110">
        <f t="shared" si="204"/>
        <v>0.49107166500598659</v>
      </c>
      <c r="BL45" s="110">
        <f t="shared" si="205"/>
        <v>0.49008952167597458</v>
      </c>
      <c r="BM45" s="110">
        <f t="shared" si="206"/>
        <v>0.48910934263262268</v>
      </c>
      <c r="BN45" s="110">
        <f t="shared" si="207"/>
        <v>0.48813112394735741</v>
      </c>
      <c r="BO45" s="110">
        <f t="shared" si="208"/>
        <v>0.4871548616994627</v>
      </c>
      <c r="BP45" s="110">
        <f t="shared" si="209"/>
        <v>0.4861805519760638</v>
      </c>
      <c r="BQ45" s="110">
        <f t="shared" si="210"/>
        <v>0.48520819087211164</v>
      </c>
      <c r="BR45" s="110">
        <f t="shared" si="211"/>
        <v>0.48423777449036742</v>
      </c>
      <c r="BS45" s="110">
        <f t="shared" si="212"/>
        <v>0.4832692989413867</v>
      </c>
      <c r="BT45" s="110">
        <f t="shared" si="213"/>
        <v>0.48230276034350389</v>
      </c>
      <c r="BU45" s="110">
        <f t="shared" si="214"/>
        <v>0.48133815482281689</v>
      </c>
      <c r="BV45" s="110">
        <f t="shared" si="215"/>
        <v>0.48037547851317125</v>
      </c>
      <c r="BW45" s="110">
        <f t="shared" si="216"/>
        <v>0.47941472755614489</v>
      </c>
      <c r="BX45" s="110">
        <f t="shared" si="217"/>
        <v>0.47845589810103262</v>
      </c>
      <c r="BY45" s="110">
        <f t="shared" si="218"/>
        <v>0.47749898630483056</v>
      </c>
      <c r="BZ45" s="110">
        <f t="shared" si="219"/>
        <v>0.47654398833222095</v>
      </c>
      <c r="CA45" s="110">
        <f t="shared" si="220"/>
        <v>0.47559090035555646</v>
      </c>
      <c r="CB45" s="110">
        <f t="shared" si="221"/>
        <v>0.47463971855484532</v>
      </c>
      <c r="CC45" s="110">
        <f t="shared" si="222"/>
        <v>0.47369043911773567</v>
      </c>
      <c r="CD45" s="110">
        <f t="shared" si="223"/>
        <v>0.47274305823950019</v>
      </c>
      <c r="CE45" s="110">
        <f t="shared" si="224"/>
        <v>0.47179757212302115</v>
      </c>
      <c r="CF45" s="110">
        <f t="shared" si="225"/>
        <v>0.47085397697877512</v>
      </c>
      <c r="CG45" s="110">
        <f t="shared" si="226"/>
        <v>0.46991226902481753</v>
      </c>
      <c r="CH45" s="110">
        <f t="shared" si="227"/>
        <v>0.46897244448676789</v>
      </c>
      <c r="CI45" s="110">
        <f t="shared" si="228"/>
        <v>0.46803449959779431</v>
      </c>
      <c r="CJ45" s="110">
        <f t="shared" si="229"/>
        <v>0.46709843059859874</v>
      </c>
      <c r="CK45" s="110">
        <f t="shared" si="230"/>
        <v>0.46616423373740151</v>
      </c>
      <c r="CL45" s="110">
        <f t="shared" si="231"/>
        <v>0.46523190526992669</v>
      </c>
      <c r="CM45" s="110">
        <f t="shared" si="232"/>
        <v>0.4643014414593869</v>
      </c>
      <c r="CN45" s="110">
        <f t="shared" si="233"/>
        <v>0.4633728385764681</v>
      </c>
      <c r="CO45" s="110">
        <f t="shared" si="234"/>
        <v>0.46244609289931515</v>
      </c>
      <c r="CP45" s="110">
        <f t="shared" si="235"/>
        <v>0.46152120071351654</v>
      </c>
      <c r="CQ45" s="110">
        <f t="shared" si="236"/>
        <v>0.4605981583120895</v>
      </c>
      <c r="CR45" s="110">
        <f t="shared" si="237"/>
        <v>0.45967696199546532</v>
      </c>
      <c r="CS45" s="110">
        <f t="shared" si="238"/>
        <v>0.45875760807147442</v>
      </c>
      <c r="CT45" s="110">
        <f t="shared" si="239"/>
        <v>0.4578400928553315</v>
      </c>
      <c r="CU45" s="110">
        <f t="shared" si="240"/>
        <v>0.45692441266962086</v>
      </c>
      <c r="CV45" s="110">
        <f t="shared" si="241"/>
        <v>0.45601056384428162</v>
      </c>
      <c r="CW45" s="110">
        <f t="shared" si="242"/>
        <v>0.45509854271659306</v>
      </c>
      <c r="CX45" s="110">
        <f t="shared" si="243"/>
        <v>0.45418834563115984</v>
      </c>
      <c r="CY45" s="110">
        <f t="shared" si="244"/>
        <v>0.45327996893989753</v>
      </c>
      <c r="CZ45" s="110">
        <f t="shared" si="245"/>
        <v>0.45237340900201772</v>
      </c>
      <c r="DA45" s="148">
        <f t="shared" si="246"/>
        <v>0.45146866218401371</v>
      </c>
      <c r="DB45" s="148">
        <f t="shared" si="247"/>
        <v>0.45056572485964563</v>
      </c>
      <c r="DC45" s="148">
        <f t="shared" si="248"/>
        <v>0.44966459340992637</v>
      </c>
      <c r="DD45" s="148">
        <f t="shared" si="249"/>
        <v>0.44876526422310653</v>
      </c>
      <c r="DE45" s="148">
        <f t="shared" si="250"/>
        <v>0.44786773369466026</v>
      </c>
      <c r="DF45" s="148">
        <f t="shared" si="251"/>
        <v>0.44697199822727096</v>
      </c>
      <c r="DG45" s="148">
        <f t="shared" si="252"/>
        <v>0.44607805423081642</v>
      </c>
      <c r="DH45" s="148">
        <f t="shared" si="253"/>
        <v>0.44518589812235482</v>
      </c>
      <c r="DI45" s="148">
        <f t="shared" si="254"/>
        <v>0.44429552632611008</v>
      </c>
      <c r="DJ45" s="148">
        <f t="shared" si="255"/>
        <v>0.44340693527345787</v>
      </c>
      <c r="DK45" s="148">
        <f t="shared" si="256"/>
        <v>0.44252012140291097</v>
      </c>
      <c r="DL45" s="148">
        <f t="shared" si="257"/>
        <v>0.44163508116010514</v>
      </c>
      <c r="DM45" s="148">
        <f t="shared" si="258"/>
        <v>0.44075181099778493</v>
      </c>
      <c r="DN45" s="148">
        <f t="shared" si="259"/>
        <v>0.4398703073757893</v>
      </c>
      <c r="DO45" s="148">
        <f t="shared" si="260"/>
        <v>0.4389905667610377</v>
      </c>
      <c r="DP45" s="148">
        <f t="shared" si="261"/>
        <v>0.43811258562751565</v>
      </c>
      <c r="DQ45" s="148">
        <f t="shared" si="262"/>
        <v>0.43723636045626058</v>
      </c>
      <c r="DR45" s="148">
        <f t="shared" si="263"/>
        <v>0.43636188773534806</v>
      </c>
      <c r="DS45" s="148">
        <f t="shared" si="264"/>
        <v>0.4354891639598773</v>
      </c>
      <c r="DT45" s="148">
        <f t="shared" si="265"/>
        <v>0.43461818563195753</v>
      </c>
      <c r="DU45" s="148">
        <f t="shared" si="266"/>
        <v>0.43374894926069363</v>
      </c>
      <c r="DV45" s="148">
        <f t="shared" si="267"/>
        <v>0.43288145136217226</v>
      </c>
      <c r="DW45" s="148">
        <f t="shared" si="268"/>
        <v>0.43201568845944793</v>
      </c>
      <c r="DX45" s="148">
        <f t="shared" si="269"/>
        <v>0.43115165708252906</v>
      </c>
      <c r="DY45" s="148">
        <f t="shared" si="270"/>
        <v>0.43028935376836397</v>
      </c>
      <c r="DZ45" s="148">
        <f t="shared" si="271"/>
        <v>0.42942877506082727</v>
      </c>
      <c r="EA45" s="148">
        <f t="shared" si="272"/>
        <v>0.42856991751070567</v>
      </c>
      <c r="EB45" s="148">
        <f t="shared" si="273"/>
        <v>0.42771277767568422</v>
      </c>
      <c r="EC45" s="148">
        <f t="shared" si="274"/>
        <v>0.42685735212033288</v>
      </c>
      <c r="ED45" s="148">
        <f t="shared" si="275"/>
        <v>0.42600363741609221</v>
      </c>
      <c r="EE45" s="148">
        <f t="shared" si="276"/>
        <v>0.42515163014126001</v>
      </c>
      <c r="EF45" s="148">
        <f t="shared" si="277"/>
        <v>0.42430132688097749</v>
      </c>
      <c r="EG45" s="148">
        <f t="shared" si="278"/>
        <v>0.42345272422721553</v>
      </c>
      <c r="EH45" s="148">
        <f t="shared" si="279"/>
        <v>0.42260581877876108</v>
      </c>
      <c r="EI45" s="148">
        <f t="shared" si="280"/>
        <v>0.42176060714120361</v>
      </c>
      <c r="EJ45" s="148">
        <f t="shared" si="281"/>
        <v>0.42091708592692118</v>
      </c>
      <c r="EK45" s="148">
        <f t="shared" si="282"/>
        <v>0.42007525175506732</v>
      </c>
      <c r="EL45" s="148">
        <f t="shared" si="283"/>
        <v>0.41923510125155722</v>
      </c>
      <c r="EM45" s="148">
        <f t="shared" si="284"/>
        <v>0.41839663104905406</v>
      </c>
      <c r="EN45" s="148">
        <f t="shared" si="285"/>
        <v>0.41755983778695593</v>
      </c>
      <c r="EO45" s="148">
        <f t="shared" si="286"/>
        <v>0.41672471811138201</v>
      </c>
      <c r="EP45" s="148">
        <f t="shared" si="287"/>
        <v>0.4158912686751593</v>
      </c>
      <c r="EQ45" s="148">
        <f t="shared" si="288"/>
        <v>0.41505948613780896</v>
      </c>
      <c r="ER45" s="148">
        <f t="shared" si="289"/>
        <v>0.41422936716553338</v>
      </c>
      <c r="ES45" s="148">
        <f t="shared" si="290"/>
        <v>0.41340090843120225</v>
      </c>
      <c r="ET45" s="148">
        <f t="shared" si="291"/>
        <v>0.41257410661433985</v>
      </c>
      <c r="EU45" s="148">
        <f t="shared" si="292"/>
        <v>0.4117489584011112</v>
      </c>
      <c r="EV45" s="148">
        <f t="shared" si="293"/>
        <v>0.41092546048430895</v>
      </c>
      <c r="EW45" s="148">
        <f t="shared" si="294"/>
        <v>0.4101036095633403</v>
      </c>
      <c r="EX45" s="148">
        <f t="shared" si="295"/>
        <v>0.40928340234421362</v>
      </c>
      <c r="EY45" s="148">
        <f t="shared" si="296"/>
        <v>0.40846483553952517</v>
      </c>
      <c r="EZ45" s="158">
        <f t="shared" si="297"/>
        <v>0.40764790586844613</v>
      </c>
      <c r="FA45" s="158">
        <f t="shared" si="298"/>
        <v>0.40683261005670923</v>
      </c>
      <c r="FB45" s="158">
        <f t="shared" si="299"/>
        <v>0.40601894483659579</v>
      </c>
      <c r="FC45" s="158">
        <f t="shared" si="300"/>
        <v>0.40520690694692257</v>
      </c>
      <c r="FD45" s="158">
        <f t="shared" si="301"/>
        <v>0.40439649313302872</v>
      </c>
      <c r="FE45" s="158">
        <f t="shared" si="302"/>
        <v>0.40358770014676271</v>
      </c>
      <c r="FF45" s="158">
        <f t="shared" si="303"/>
        <v>0.40278052474646914</v>
      </c>
      <c r="FG45" s="158">
        <f t="shared" si="304"/>
        <v>0.40197496369697622</v>
      </c>
      <c r="FH45" s="158">
        <f t="shared" si="305"/>
        <v>0.40117101376958225</v>
      </c>
      <c r="FI45" s="158">
        <f t="shared" si="306"/>
        <v>0.4003686717420431</v>
      </c>
      <c r="FJ45" s="158">
        <f t="shared" si="307"/>
        <v>0.39956793439855903</v>
      </c>
      <c r="FK45" s="158">
        <f t="shared" si="308"/>
        <v>0.39876879852976194</v>
      </c>
      <c r="FL45" s="158">
        <f t="shared" si="309"/>
        <v>0.39797126093270235</v>
      </c>
      <c r="FM45" s="158">
        <f t="shared" si="310"/>
        <v>0.39717531841083697</v>
      </c>
      <c r="FN45" s="158">
        <f t="shared" si="311"/>
        <v>0.39638096777401532</v>
      </c>
      <c r="FO45" s="158">
        <f t="shared" si="312"/>
        <v>0.39558820583846727</v>
      </c>
      <c r="FP45" s="158">
        <f t="shared" si="313"/>
        <v>0.39479702942679035</v>
      </c>
      <c r="FQ45" s="158">
        <f t="shared" si="314"/>
        <v>0.39400743536793675</v>
      </c>
      <c r="FR45" s="158">
        <f t="shared" si="315"/>
        <v>0.39321942049720088</v>
      </c>
      <c r="FS45" s="158">
        <f t="shared" si="316"/>
        <v>0.39243298165620649</v>
      </c>
      <c r="FT45" s="158">
        <f t="shared" si="317"/>
        <v>0.39164811569289409</v>
      </c>
      <c r="FU45" s="158">
        <f t="shared" si="318"/>
        <v>0.39086481946150825</v>
      </c>
      <c r="FV45" s="158">
        <f t="shared" si="319"/>
        <v>0.39008308982258527</v>
      </c>
      <c r="FW45" s="158">
        <f t="shared" si="320"/>
        <v>0.38930292364294006</v>
      </c>
      <c r="FX45" s="158">
        <f t="shared" si="321"/>
        <v>0.38852431779565422</v>
      </c>
      <c r="FY45" s="158">
        <f t="shared" si="322"/>
        <v>0.38774726916006291</v>
      </c>
      <c r="FZ45" s="158">
        <f t="shared" si="323"/>
        <v>0.38697177462174281</v>
      </c>
      <c r="GA45" s="158">
        <f t="shared" si="324"/>
        <v>0.33782635924478144</v>
      </c>
      <c r="GB45" s="158">
        <f t="shared" si="325"/>
        <v>0.33715070652629187</v>
      </c>
      <c r="GC45" s="158">
        <f t="shared" si="326"/>
        <v>0.28831201846662613</v>
      </c>
      <c r="GD45" s="158">
        <f t="shared" si="327"/>
        <v>0.28773539442969287</v>
      </c>
      <c r="GE45" s="158">
        <f t="shared" si="328"/>
        <v>0.28715992364083348</v>
      </c>
      <c r="GF45" s="158">
        <f t="shared" si="329"/>
        <v>0.2865856037935518</v>
      </c>
      <c r="GG45" s="158">
        <f t="shared" si="330"/>
        <v>0.2860124325859647</v>
      </c>
      <c r="GH45" s="158">
        <f t="shared" si="331"/>
        <v>0.23777166895646529</v>
      </c>
      <c r="GI45" s="158">
        <f t="shared" si="332"/>
        <v>0.23729612561855234</v>
      </c>
      <c r="GJ45" s="158">
        <f t="shared" si="333"/>
        <v>0.18936230824360475</v>
      </c>
      <c r="GK45" s="158">
        <f t="shared" si="334"/>
        <v>0.18898358362711756</v>
      </c>
      <c r="GL45" s="158">
        <f t="shared" si="335"/>
        <v>0.18860561645986332</v>
      </c>
      <c r="GM45" s="158">
        <f t="shared" si="336"/>
        <v>0.18822840522694359</v>
      </c>
      <c r="GN45" s="158">
        <f t="shared" si="337"/>
        <v>0.18785194841648972</v>
      </c>
      <c r="GO45" s="158">
        <f t="shared" si="338"/>
        <v>0.1405132574155343</v>
      </c>
      <c r="GP45" s="158">
        <f t="shared" si="339"/>
        <v>0.14023223090070322</v>
      </c>
      <c r="GQ45" s="158">
        <f t="shared" si="340"/>
        <v>9.320768947200074E-2</v>
      </c>
      <c r="GR45" s="158">
        <f t="shared" si="341"/>
        <v>9.302127409305673E-2</v>
      </c>
      <c r="GS45" s="158">
        <f t="shared" si="342"/>
        <v>9.2835231544870625E-2</v>
      </c>
      <c r="GT45" s="158">
        <f t="shared" si="343"/>
        <v>9.2649561081780893E-2</v>
      </c>
      <c r="GU45" s="158">
        <f t="shared" si="344"/>
        <v>9.2464261959617336E-2</v>
      </c>
      <c r="GV45" s="158">
        <f t="shared" si="345"/>
        <v>4.6047202455889426E-2</v>
      </c>
      <c r="GW45" s="158">
        <f t="shared" si="346"/>
        <v>4.5955108050977654E-2</v>
      </c>
      <c r="GX45" s="194">
        <f t="shared" si="347"/>
        <v>-9.1910216101958044E-5</v>
      </c>
      <c r="GY45" s="119"/>
      <c r="GZ45" s="119"/>
      <c r="HA45" s="119"/>
      <c r="HB45" s="119"/>
      <c r="HC45" s="119"/>
      <c r="HD45" s="119"/>
      <c r="HE45" s="119"/>
      <c r="HF45" s="119"/>
      <c r="HG45" s="119"/>
      <c r="HH45" s="119"/>
      <c r="HI45" s="119"/>
      <c r="HJ45" s="119"/>
      <c r="HK45" s="119"/>
      <c r="HL45" s="119"/>
      <c r="HM45" s="119"/>
      <c r="HN45" s="119"/>
      <c r="HO45" s="119"/>
      <c r="HP45" s="119"/>
      <c r="HQ45" s="119"/>
      <c r="HR45" s="119"/>
      <c r="HS45" s="119"/>
      <c r="HT45" s="119"/>
      <c r="HU45" s="119"/>
      <c r="HV45" s="119"/>
      <c r="HW45" s="119"/>
      <c r="HX45" s="119"/>
      <c r="HY45" s="119"/>
      <c r="HZ45" s="119"/>
      <c r="IA45" s="119"/>
      <c r="IB45" s="119"/>
      <c r="IC45" s="119"/>
      <c r="ID45" s="119"/>
      <c r="IE45" s="119"/>
      <c r="IF45" s="119"/>
      <c r="IG45" s="119"/>
      <c r="IH45" s="119"/>
      <c r="II45" s="119"/>
      <c r="IJ45" s="119"/>
      <c r="IK45" s="119"/>
      <c r="IL45" s="119"/>
      <c r="IM45" s="119"/>
      <c r="IN45" s="119"/>
      <c r="IO45" s="119"/>
      <c r="IP45" s="119"/>
      <c r="IQ45" s="119"/>
      <c r="IR45" s="119"/>
      <c r="IS45" s="119"/>
      <c r="IT45" s="119"/>
      <c r="IU45" s="119"/>
      <c r="IV45" s="119"/>
      <c r="IW45" s="119"/>
      <c r="IX45" s="119"/>
      <c r="IY45" s="119"/>
      <c r="IZ45" s="119"/>
      <c r="JA45" s="119"/>
      <c r="JB45" s="119"/>
      <c r="JC45" s="119"/>
      <c r="JD45" s="119"/>
      <c r="JE45" s="119"/>
      <c r="JF45" s="119"/>
      <c r="JG45" s="119"/>
      <c r="JH45" s="119"/>
      <c r="JI45" s="119"/>
      <c r="JJ45" s="119"/>
      <c r="JK45" s="119"/>
      <c r="JL45" s="119"/>
      <c r="JM45" s="119"/>
      <c r="JN45" s="23"/>
      <c r="JO45" s="23"/>
      <c r="JP45" s="23"/>
      <c r="JQ45" s="23"/>
      <c r="JR45" s="23"/>
      <c r="JS45" s="23"/>
      <c r="JT45" s="23"/>
      <c r="JU45" s="23"/>
      <c r="JV45" s="23"/>
      <c r="JW45" s="23"/>
      <c r="JX45" s="23"/>
      <c r="JY45" s="23"/>
      <c r="JZ45" s="23"/>
      <c r="KA45" s="23"/>
      <c r="KB45" s="23"/>
      <c r="KC45" s="23"/>
      <c r="KD45" s="23"/>
      <c r="KE45" s="23"/>
      <c r="KF45" s="23"/>
      <c r="KG45" s="23"/>
      <c r="KH45" s="23"/>
      <c r="KI45" s="23"/>
      <c r="KJ45" s="23"/>
      <c r="KK45" s="23"/>
      <c r="KL45" s="23"/>
      <c r="KM45" s="23"/>
      <c r="KN45" s="23"/>
      <c r="KO45" s="23"/>
      <c r="KP45" s="23"/>
      <c r="KQ45" s="23"/>
      <c r="KR45" s="23"/>
      <c r="KS45" s="23"/>
      <c r="KT45" s="23"/>
      <c r="KU45" s="23"/>
      <c r="KV45" s="23"/>
      <c r="KW45" s="23"/>
      <c r="KX45" s="23"/>
      <c r="KY45" s="23"/>
      <c r="KZ45" s="23"/>
      <c r="LA45" s="23"/>
      <c r="LB45" s="23"/>
      <c r="LC45" s="23"/>
      <c r="LD45" s="23"/>
      <c r="LE45" s="23"/>
      <c r="LF45" s="23"/>
      <c r="LG45" s="23"/>
      <c r="LH45" s="23"/>
      <c r="LI45" s="23"/>
      <c r="LJ45" s="23"/>
      <c r="LK45" s="23"/>
      <c r="LL45" s="23"/>
      <c r="LM45" s="23"/>
      <c r="LN45" s="23"/>
      <c r="LO45" s="23"/>
      <c r="LP45" s="23"/>
      <c r="LQ45" s="23"/>
      <c r="LR45" s="23"/>
      <c r="LS45" s="23"/>
      <c r="LT45" s="23"/>
      <c r="LU45" s="23"/>
      <c r="LV45" s="23"/>
      <c r="LW45" s="23"/>
      <c r="LX45" s="23"/>
      <c r="LY45" s="23"/>
      <c r="LZ45" s="23"/>
      <c r="MA45" s="23"/>
      <c r="MB45" s="23"/>
      <c r="MC45" s="23"/>
      <c r="MD45" s="23"/>
      <c r="ME45" s="23"/>
      <c r="MF45" s="23"/>
      <c r="MG45" s="23"/>
      <c r="MH45" s="23"/>
      <c r="MI45" s="23"/>
      <c r="MJ45" s="23"/>
      <c r="MK45" s="23"/>
      <c r="ML45" s="23"/>
      <c r="MM45" s="23"/>
      <c r="MN45" s="23"/>
      <c r="MO45" s="23"/>
      <c r="MP45" s="23"/>
      <c r="MQ45" s="23"/>
      <c r="MR45" s="23"/>
      <c r="MS45" s="23"/>
      <c r="MT45" s="23"/>
      <c r="MU45" s="23"/>
      <c r="MV45" s="23"/>
      <c r="MW45" s="23"/>
      <c r="MX45" s="23"/>
      <c r="MY45" s="23"/>
      <c r="MZ45" s="23"/>
      <c r="NA45" s="23"/>
      <c r="NB45" s="23"/>
      <c r="NC45" s="23"/>
      <c r="ND45" s="23"/>
      <c r="NE45" s="23"/>
      <c r="NF45" s="23"/>
      <c r="NG45" s="23"/>
      <c r="NH45" s="23"/>
      <c r="NI45" s="23"/>
      <c r="NJ45" s="23"/>
      <c r="NK45" s="23"/>
      <c r="NL45" s="23"/>
      <c r="NM45" s="23"/>
      <c r="NN45" s="23"/>
      <c r="NO45" s="23"/>
      <c r="NP45" s="23"/>
      <c r="NQ45" s="23"/>
      <c r="NR45" s="23"/>
      <c r="NS45" s="23"/>
      <c r="NT45" s="23"/>
      <c r="NU45" s="23"/>
      <c r="NV45" s="23"/>
      <c r="NW45" s="23"/>
      <c r="NX45" s="23"/>
      <c r="NY45" s="23"/>
      <c r="NZ45" s="23"/>
      <c r="OA45" s="23"/>
      <c r="OB45" s="23"/>
      <c r="OC45" s="23"/>
      <c r="OD45" s="23"/>
      <c r="OE45" s="23"/>
      <c r="OF45" s="23"/>
      <c r="OG45" s="23"/>
      <c r="OH45" s="23"/>
      <c r="OI45" s="23"/>
      <c r="OJ45" s="23"/>
      <c r="OK45" s="23"/>
      <c r="OL45" s="23"/>
      <c r="OM45" s="23"/>
      <c r="ON45" s="23"/>
      <c r="OO45" s="23"/>
      <c r="OP45" s="23"/>
      <c r="OQ45" s="23"/>
      <c r="OR45" s="23"/>
      <c r="OS45" s="23"/>
      <c r="OT45" s="23"/>
      <c r="OU45" s="23"/>
      <c r="OV45" s="23"/>
      <c r="OW45" s="23"/>
      <c r="OX45" s="23"/>
      <c r="OY45" s="23"/>
      <c r="OZ45" s="23"/>
      <c r="PA45" s="23"/>
      <c r="PB45" s="23"/>
      <c r="PC45" s="23"/>
      <c r="PD45" s="23"/>
      <c r="PE45" s="23"/>
      <c r="PF45" s="23"/>
      <c r="PG45" s="23"/>
      <c r="PH45" s="23"/>
      <c r="PI45" s="23"/>
      <c r="PJ45" s="23"/>
      <c r="PK45" s="23"/>
      <c r="PL45" s="23"/>
      <c r="PM45" s="23"/>
      <c r="PN45" s="23"/>
      <c r="PO45" s="23"/>
      <c r="PP45" s="23"/>
      <c r="PQ45" s="23"/>
      <c r="PR45" s="23"/>
      <c r="PS45" s="23"/>
      <c r="PT45" s="23"/>
      <c r="PU45" s="23"/>
      <c r="PV45" s="23"/>
      <c r="PW45" s="23"/>
      <c r="PX45" s="23"/>
      <c r="PY45" s="23"/>
      <c r="PZ45" s="23"/>
      <c r="QA45" s="23"/>
      <c r="QB45" s="23"/>
      <c r="QC45" s="23"/>
      <c r="QD45" s="23"/>
      <c r="QE45" s="23"/>
      <c r="QF45" s="23"/>
      <c r="QG45" s="23"/>
      <c r="QH45" s="23"/>
      <c r="QI45" s="23"/>
      <c r="QJ45" s="23"/>
      <c r="QK45" s="23"/>
      <c r="QL45" s="23"/>
      <c r="QM45" s="23"/>
      <c r="QN45" s="23"/>
      <c r="QO45" s="23"/>
      <c r="QP45" s="23"/>
      <c r="QQ45" s="23"/>
      <c r="QR45" s="23"/>
      <c r="QS45" s="23"/>
      <c r="QT45" s="23"/>
      <c r="QU45" s="23"/>
      <c r="QV45" s="23"/>
      <c r="QW45" s="23"/>
      <c r="QX45" s="23"/>
      <c r="QY45" s="23"/>
      <c r="QZ45" s="23"/>
      <c r="RA45" s="23"/>
      <c r="RB45" s="23"/>
      <c r="RC45" s="184"/>
      <c r="RD45" s="184"/>
      <c r="RE45" s="184"/>
      <c r="RF45" s="184"/>
      <c r="RG45" s="184"/>
      <c r="RH45" s="184"/>
      <c r="RI45" s="184"/>
      <c r="RJ45" s="184"/>
      <c r="RK45" s="184"/>
      <c r="RL45" s="184"/>
      <c r="RM45" s="184"/>
      <c r="RN45" s="184"/>
      <c r="RO45" s="184"/>
      <c r="RP45" s="184"/>
      <c r="RQ45" s="184"/>
      <c r="RR45" s="184"/>
      <c r="RS45" s="184"/>
      <c r="RT45" s="184"/>
      <c r="RU45" s="184"/>
      <c r="RV45" s="184"/>
      <c r="RW45" s="184"/>
      <c r="RX45" s="184"/>
      <c r="RY45" s="184"/>
      <c r="RZ45" s="184"/>
      <c r="SA45" s="185"/>
      <c r="SB45" s="185"/>
      <c r="SC45" s="185"/>
      <c r="SD45" s="185"/>
      <c r="SE45" s="185"/>
      <c r="SF45" s="185"/>
      <c r="SG45" s="185"/>
      <c r="SH45" s="185"/>
      <c r="SI45" s="185"/>
      <c r="SJ45" s="185"/>
      <c r="SK45" s="185"/>
      <c r="SL45" s="185"/>
      <c r="SM45" s="185"/>
      <c r="SN45" s="185"/>
      <c r="SO45" s="185"/>
      <c r="SP45" s="185"/>
      <c r="SQ45" s="185"/>
      <c r="SR45" s="185"/>
      <c r="SS45" s="185"/>
      <c r="ST45" s="185"/>
      <c r="SU45" s="185"/>
      <c r="SV45" s="185"/>
      <c r="SW45" s="185"/>
      <c r="SX45" s="185"/>
      <c r="SY45" s="185"/>
      <c r="SZ45" s="185"/>
      <c r="TA45" s="11"/>
      <c r="TB45" s="11"/>
      <c r="TC45" s="11"/>
      <c r="TD45" s="11"/>
    </row>
    <row r="46" spans="1:1013" ht="22.15" customHeight="1" x14ac:dyDescent="0.25">
      <c r="A46" s="298"/>
      <c r="B46" s="25" t="s">
        <v>10</v>
      </c>
      <c r="C46" s="10"/>
      <c r="BB46" s="122">
        <f t="shared" si="195"/>
        <v>0.01</v>
      </c>
      <c r="BC46" s="115">
        <f t="shared" si="196"/>
        <v>1.1005582593758946E-2</v>
      </c>
      <c r="BD46" s="115">
        <f t="shared" si="197"/>
        <v>1.2106377159660616E-2</v>
      </c>
      <c r="BE46" s="115">
        <f t="shared" si="198"/>
        <v>1.329177463494996E-2</v>
      </c>
      <c r="BF46" s="115">
        <f t="shared" si="199"/>
        <v>1.4588567329531619E-2</v>
      </c>
      <c r="BG46" s="115">
        <f t="shared" si="200"/>
        <v>1.6001621613287186E-2</v>
      </c>
      <c r="BH46" s="115">
        <f t="shared" si="201"/>
        <v>1.7513764350912106E-2</v>
      </c>
      <c r="BI46" s="115">
        <f t="shared" si="202"/>
        <v>1.9159726586917943E-2</v>
      </c>
      <c r="BJ46" s="115">
        <f t="shared" si="203"/>
        <v>2.0916842913967924E-2</v>
      </c>
      <c r="BK46" s="115">
        <f t="shared" si="204"/>
        <v>2.2820893014488763E-2</v>
      </c>
      <c r="BL46" s="115">
        <f t="shared" si="205"/>
        <v>2.4875013679153523E-2</v>
      </c>
      <c r="BM46" s="115">
        <f t="shared" si="206"/>
        <v>2.7051785083274507E-2</v>
      </c>
      <c r="BN46" s="115">
        <f t="shared" si="207"/>
        <v>2.9391936164292577E-2</v>
      </c>
      <c r="BO46" s="115">
        <f t="shared" si="208"/>
        <v>3.1863875340368962E-2</v>
      </c>
      <c r="BP46" s="115">
        <f t="shared" si="209"/>
        <v>3.4512306780663762E-2</v>
      </c>
      <c r="BQ46" s="115">
        <f t="shared" si="210"/>
        <v>3.7295557327491485E-2</v>
      </c>
      <c r="BR46" s="115">
        <f t="shared" si="211"/>
        <v>4.026107129173058E-2</v>
      </c>
      <c r="BS46" s="115">
        <f t="shared" si="212"/>
        <v>4.3360342612975861E-2</v>
      </c>
      <c r="BT46" s="115">
        <f t="shared" si="213"/>
        <v>4.664991913528866E-2</v>
      </c>
      <c r="BU46" s="115">
        <f t="shared" si="214"/>
        <v>5.0082638009534913E-2</v>
      </c>
      <c r="BV46" s="115">
        <f t="shared" si="215"/>
        <v>5.3713064706430995E-2</v>
      </c>
      <c r="BW46" s="115">
        <f t="shared" si="216"/>
        <v>5.7488794243371416E-2</v>
      </c>
      <c r="BX46" s="115">
        <f t="shared" si="217"/>
        <v>6.1459039321378257E-2</v>
      </c>
      <c r="BY46" s="115">
        <f t="shared" si="218"/>
        <v>6.5573850206895934E-2</v>
      </c>
      <c r="BZ46" s="115">
        <f t="shared" si="219"/>
        <v>6.9894468866911849E-2</v>
      </c>
      <c r="CA46" s="115">
        <f t="shared" si="220"/>
        <v>7.4436102539565979E-2</v>
      </c>
      <c r="CB46" s="115">
        <f t="shared" si="221"/>
        <v>7.9133861530936309E-2</v>
      </c>
      <c r="CC46" s="115">
        <f t="shared" si="222"/>
        <v>8.405709402530856E-2</v>
      </c>
      <c r="CD46" s="115">
        <f t="shared" si="223"/>
        <v>8.9135398951392567E-2</v>
      </c>
      <c r="CE46" s="115">
        <f t="shared" si="224"/>
        <v>9.4441702908772407E-2</v>
      </c>
      <c r="CF46" s="115">
        <f t="shared" si="225"/>
        <v>9.9980397615493405E-2</v>
      </c>
      <c r="CG46" s="115">
        <f t="shared" si="226"/>
        <v>0.10567182625033895</v>
      </c>
      <c r="CH46" s="115">
        <f t="shared" si="227"/>
        <v>0.11159516930349321</v>
      </c>
      <c r="CI46" s="115">
        <f t="shared" si="228"/>
        <v>0.11775330649604171</v>
      </c>
      <c r="CJ46" s="115">
        <f t="shared" si="229"/>
        <v>0.12405730544100586</v>
      </c>
      <c r="CK46" s="115">
        <f t="shared" si="230"/>
        <v>0.13059224509206371</v>
      </c>
      <c r="CL46" s="115">
        <f t="shared" si="231"/>
        <v>0.13724552354731717</v>
      </c>
      <c r="CM46" s="115">
        <f t="shared" si="232"/>
        <v>0.14412155178115069</v>
      </c>
      <c r="CN46" s="115">
        <f t="shared" si="233"/>
        <v>0.15119969398384345</v>
      </c>
      <c r="CO46" s="115">
        <f t="shared" si="234"/>
        <v>0.15839607220451735</v>
      </c>
      <c r="CP46" s="115">
        <f t="shared" si="235"/>
        <v>0.16580270216732043</v>
      </c>
      <c r="CQ46" s="115">
        <f t="shared" si="236"/>
        <v>0.17339414742075068</v>
      </c>
      <c r="CR46" s="115">
        <f t="shared" si="237"/>
        <v>0.18108161957284974</v>
      </c>
      <c r="CS46" s="115">
        <f t="shared" si="238"/>
        <v>0.18893592980770582</v>
      </c>
      <c r="CT46" s="115">
        <f t="shared" si="239"/>
        <v>0.19697531518673633</v>
      </c>
      <c r="CU46" s="115">
        <f t="shared" si="240"/>
        <v>0.20508349043138344</v>
      </c>
      <c r="CV46" s="115">
        <f t="shared" si="241"/>
        <v>0.21335880865547383</v>
      </c>
      <c r="CW46" s="115">
        <f t="shared" si="242"/>
        <v>0.22179470370603419</v>
      </c>
      <c r="CX46" s="115">
        <f t="shared" si="243"/>
        <v>0.2302694245156435</v>
      </c>
      <c r="CY46" s="115">
        <f t="shared" si="244"/>
        <v>0.23888337760373704</v>
      </c>
      <c r="CZ46" s="115">
        <f t="shared" si="245"/>
        <v>0.24751301127415998</v>
      </c>
      <c r="DA46" s="149">
        <f t="shared" si="246"/>
        <v>0.24751301127415998</v>
      </c>
      <c r="DB46" s="149">
        <f t="shared" si="247"/>
        <v>0.25606279623273898</v>
      </c>
      <c r="DC46" s="149">
        <f t="shared" si="248"/>
        <v>0.26459311346923547</v>
      </c>
      <c r="DD46" s="149">
        <f t="shared" si="249"/>
        <v>0.27320101477409309</v>
      </c>
      <c r="DE46" s="149">
        <f t="shared" si="250"/>
        <v>0.28194674644970757</v>
      </c>
      <c r="DF46" s="149">
        <f t="shared" si="251"/>
        <v>0.29071185521092607</v>
      </c>
      <c r="DG46" s="149">
        <f t="shared" si="252"/>
        <v>0.29956272485855329</v>
      </c>
      <c r="DH46" s="149">
        <f t="shared" si="253"/>
        <v>0.3085291339449367</v>
      </c>
      <c r="DI46" s="149">
        <f t="shared" si="254"/>
        <v>0.31760538538029337</v>
      </c>
      <c r="DJ46" s="149">
        <f t="shared" si="255"/>
        <v>0.32666923608303633</v>
      </c>
      <c r="DK46" s="149">
        <f t="shared" si="256"/>
        <v>0.33582601815025315</v>
      </c>
      <c r="DL46" s="149">
        <f t="shared" si="257"/>
        <v>0.34502649758005638</v>
      </c>
      <c r="DM46" s="149">
        <f t="shared" si="258"/>
        <v>0.35430399149027836</v>
      </c>
      <c r="DN46" s="149">
        <f t="shared" si="259"/>
        <v>0.36353435599804113</v>
      </c>
      <c r="DO46" s="149">
        <f t="shared" si="260"/>
        <v>0.3728685923431812</v>
      </c>
      <c r="DP46" s="149">
        <f t="shared" si="261"/>
        <v>0.38230239189895809</v>
      </c>
      <c r="DQ46" s="149">
        <f t="shared" si="262"/>
        <v>0.39183122155676026</v>
      </c>
      <c r="DR46" s="149">
        <f t="shared" si="263"/>
        <v>0.4014503246911697</v>
      </c>
      <c r="DS46" s="149">
        <f t="shared" si="264"/>
        <v>0.41103491518888063</v>
      </c>
      <c r="DT46" s="149">
        <f t="shared" si="265"/>
        <v>0.42069579669088308</v>
      </c>
      <c r="DU46" s="149">
        <f t="shared" si="266"/>
        <v>0.43042762008844304</v>
      </c>
      <c r="DV46" s="149">
        <f t="shared" si="267"/>
        <v>0.44022482958104225</v>
      </c>
      <c r="DW46" s="149">
        <f t="shared" si="268"/>
        <v>0.44996146066689308</v>
      </c>
      <c r="DX46" s="149">
        <f t="shared" si="269"/>
        <v>0.45974849082461178</v>
      </c>
      <c r="DY46" s="149">
        <f t="shared" si="270"/>
        <v>0.46963603840576573</v>
      </c>
      <c r="DZ46" s="149">
        <f t="shared" si="271"/>
        <v>0.47962145688694802</v>
      </c>
      <c r="EA46" s="149">
        <f t="shared" si="272"/>
        <v>0.48970197042433439</v>
      </c>
      <c r="EB46" s="149">
        <f t="shared" si="273"/>
        <v>0.49975211106370188</v>
      </c>
      <c r="EC46" s="149">
        <f t="shared" si="274"/>
        <v>0.50988784695218992</v>
      </c>
      <c r="ED46" s="149">
        <f t="shared" si="275"/>
        <v>0.5201060402778851</v>
      </c>
      <c r="EE46" s="149">
        <f t="shared" si="276"/>
        <v>0.53040342910440241</v>
      </c>
      <c r="EF46" s="149">
        <f t="shared" si="277"/>
        <v>0.54077662797381754</v>
      </c>
      <c r="EG46" s="149">
        <f t="shared" si="278"/>
        <v>0.55122212867109288</v>
      </c>
      <c r="EH46" s="149">
        <f t="shared" si="279"/>
        <v>0.56173630115220363</v>
      </c>
      <c r="EI46" s="149">
        <f t="shared" si="280"/>
        <v>0.57225646043277623</v>
      </c>
      <c r="EJ46" s="149">
        <f t="shared" si="281"/>
        <v>0.58290537824787225</v>
      </c>
      <c r="EK46" s="149">
        <f t="shared" si="282"/>
        <v>0.59368292544087975</v>
      </c>
      <c r="EL46" s="149">
        <f t="shared" si="283"/>
        <v>0.6045889244052246</v>
      </c>
      <c r="EM46" s="149">
        <f t="shared" si="284"/>
        <v>0.61562314826174713</v>
      </c>
      <c r="EN46" s="149">
        <f t="shared" si="285"/>
        <v>0.62678532005006016</v>
      </c>
      <c r="EO46" s="149">
        <f t="shared" si="286"/>
        <v>0.63794229085373333</v>
      </c>
      <c r="EP46" s="149">
        <f t="shared" si="287"/>
        <v>0.64922265671817514</v>
      </c>
      <c r="EQ46" s="149">
        <f t="shared" si="288"/>
        <v>0.66062595459050899</v>
      </c>
      <c r="ER46" s="149">
        <f t="shared" si="289"/>
        <v>0.67215166970065821</v>
      </c>
      <c r="ES46" s="149">
        <f t="shared" si="290"/>
        <v>0.68379923488349403</v>
      </c>
      <c r="ET46" s="149">
        <f t="shared" si="291"/>
        <v>0.69556802991980082</v>
      </c>
      <c r="EU46" s="149">
        <f t="shared" si="292"/>
        <v>0.70745738089685739</v>
      </c>
      <c r="EV46" s="149">
        <f t="shared" si="293"/>
        <v>0.71946655958943639</v>
      </c>
      <c r="EW46" s="149">
        <f t="shared" si="294"/>
        <v>0.73145375701000881</v>
      </c>
      <c r="EX46" s="149">
        <f t="shared" si="295"/>
        <v>0.74355545266823475</v>
      </c>
      <c r="EY46" s="149">
        <f t="shared" si="296"/>
        <v>0.75577073425771846</v>
      </c>
      <c r="EZ46" s="159">
        <f t="shared" si="297"/>
        <v>0.75577073425771846</v>
      </c>
      <c r="FA46" s="159">
        <f t="shared" si="298"/>
        <v>0.76801057813871565</v>
      </c>
      <c r="FB46" s="159">
        <f t="shared" si="299"/>
        <v>0.78035916598687038</v>
      </c>
      <c r="FC46" s="159">
        <f t="shared" si="300"/>
        <v>0.7928153814107648</v>
      </c>
      <c r="FD46" s="159">
        <f t="shared" si="301"/>
        <v>0.80537805231907722</v>
      </c>
      <c r="FE46" s="159">
        <f t="shared" si="302"/>
        <v>0.81790034253895094</v>
      </c>
      <c r="FF46" s="159">
        <f t="shared" si="303"/>
        <v>0.83052313362689922</v>
      </c>
      <c r="FG46" s="159">
        <f t="shared" si="304"/>
        <v>0.84334073433475221</v>
      </c>
      <c r="FH46" s="159">
        <f t="shared" si="305"/>
        <v>0.85625902121500952</v>
      </c>
      <c r="FI46" s="159">
        <f t="shared" si="306"/>
        <v>0.86927657250153445</v>
      </c>
      <c r="FJ46" s="159">
        <f t="shared" si="307"/>
        <v>0.88239191018813767</v>
      </c>
      <c r="FK46" s="159">
        <f t="shared" si="308"/>
        <v>0.8956034998415201</v>
      </c>
      <c r="FL46" s="159">
        <f t="shared" si="309"/>
        <v>0.9087585430506151</v>
      </c>
      <c r="FM46" s="159">
        <f t="shared" si="310"/>
        <v>0.92200333872269546</v>
      </c>
      <c r="FN46" s="159">
        <f t="shared" si="311"/>
        <v>0.93533618897066662</v>
      </c>
      <c r="FO46" s="159">
        <f t="shared" si="312"/>
        <v>0.94886184209501467</v>
      </c>
      <c r="FP46" s="159">
        <f t="shared" si="313"/>
        <v>0.96247504487602809</v>
      </c>
      <c r="FQ46" s="159">
        <f t="shared" si="314"/>
        <v>0.97617396323655636</v>
      </c>
      <c r="FR46" s="159">
        <f t="shared" si="315"/>
        <v>0.98995670729755714</v>
      </c>
      <c r="FS46" s="159">
        <f t="shared" si="316"/>
        <v>1.0036655491382722</v>
      </c>
      <c r="FT46" s="159">
        <f t="shared" si="317"/>
        <v>1.0175642299317702</v>
      </c>
      <c r="FU46" s="159">
        <f t="shared" si="318"/>
        <v>1.0315408163688777</v>
      </c>
      <c r="FV46" s="159">
        <f t="shared" si="319"/>
        <v>1.0455932401806174</v>
      </c>
      <c r="FW46" s="159">
        <f t="shared" si="320"/>
        <v>1.0597193788423986</v>
      </c>
      <c r="FX46" s="159">
        <f t="shared" si="321"/>
        <v>1.0739170557785458</v>
      </c>
      <c r="FY46" s="159">
        <f t="shared" si="322"/>
        <v>1.0881840406000842</v>
      </c>
      <c r="FZ46" s="159">
        <f t="shared" si="323"/>
        <v>1.102358782611909</v>
      </c>
      <c r="GA46" s="159">
        <f t="shared" si="324"/>
        <v>1.1187742054915824</v>
      </c>
      <c r="GB46" s="159">
        <f t="shared" si="325"/>
        <v>1.1332228592253859</v>
      </c>
      <c r="GC46" s="159">
        <f t="shared" si="326"/>
        <v>1.1501557842295889</v>
      </c>
      <c r="GD46" s="159">
        <f t="shared" si="327"/>
        <v>1.1647536198343733</v>
      </c>
      <c r="GE46" s="159">
        <f t="shared" si="328"/>
        <v>1.1794070554880456</v>
      </c>
      <c r="GF46" s="159">
        <f t="shared" si="329"/>
        <v>1.1941135340245252</v>
      </c>
      <c r="GG46" s="159">
        <f t="shared" si="330"/>
        <v>1.2087082842146553</v>
      </c>
      <c r="GH46" s="159">
        <f t="shared" si="331"/>
        <v>1.2262833758099052</v>
      </c>
      <c r="GI46" s="159">
        <f t="shared" si="332"/>
        <v>1.2411362872744927</v>
      </c>
      <c r="GJ46" s="159">
        <f t="shared" si="333"/>
        <v>1.2597658082352627</v>
      </c>
      <c r="GK46" s="159">
        <f t="shared" si="334"/>
        <v>1.274746837027948</v>
      </c>
      <c r="GL46" s="159">
        <f t="shared" si="335"/>
        <v>1.2897656561565338</v>
      </c>
      <c r="GM46" s="159">
        <f t="shared" si="336"/>
        <v>1.3048194075662316</v>
      </c>
      <c r="GN46" s="159">
        <f t="shared" si="337"/>
        <v>1.3200488617715675</v>
      </c>
      <c r="GO46" s="159">
        <f t="shared" si="338"/>
        <v>1.3404116064513016</v>
      </c>
      <c r="GP46" s="159">
        <f t="shared" si="339"/>
        <v>1.3557612956176492</v>
      </c>
      <c r="GQ46" s="159">
        <f t="shared" si="340"/>
        <v>1.3788487029134848</v>
      </c>
      <c r="GR46" s="159">
        <f t="shared" si="341"/>
        <v>1.3943167494848983</v>
      </c>
      <c r="GS46" s="159">
        <f t="shared" si="342"/>
        <v>1.4098064580811625</v>
      </c>
      <c r="GT46" s="159">
        <f t="shared" si="343"/>
        <v>1.4254682445589308</v>
      </c>
      <c r="GU46" s="159">
        <f t="shared" si="344"/>
        <v>1.4411487678555732</v>
      </c>
      <c r="GV46" s="159">
        <f t="shared" si="345"/>
        <v>1.4726039094623389</v>
      </c>
      <c r="GW46" s="159">
        <f t="shared" si="346"/>
        <v>1.4886425509786578</v>
      </c>
      <c r="GX46" s="195">
        <f t="shared" si="347"/>
        <v>1.5046616392989716</v>
      </c>
      <c r="GY46" s="119"/>
      <c r="GZ46" s="119"/>
      <c r="HA46" s="119"/>
      <c r="HB46" s="119"/>
      <c r="HC46" s="119"/>
      <c r="HD46" s="119"/>
      <c r="HE46" s="119"/>
      <c r="HF46" s="119"/>
      <c r="HG46" s="119"/>
      <c r="HH46" s="119"/>
      <c r="HI46" s="119"/>
      <c r="HJ46" s="119"/>
      <c r="HK46" s="119"/>
      <c r="HL46" s="119"/>
      <c r="HM46" s="119"/>
      <c r="HN46" s="119"/>
      <c r="HO46" s="119"/>
      <c r="HP46" s="119"/>
      <c r="HQ46" s="119"/>
      <c r="HR46" s="119"/>
      <c r="HS46" s="119"/>
      <c r="HT46" s="119"/>
      <c r="HU46" s="119"/>
      <c r="HV46" s="119"/>
      <c r="HW46" s="119"/>
      <c r="HX46" s="119"/>
      <c r="HY46" s="119"/>
      <c r="HZ46" s="119"/>
      <c r="IA46" s="119"/>
      <c r="IB46" s="119"/>
      <c r="IC46" s="119"/>
      <c r="ID46" s="119"/>
      <c r="IE46" s="119"/>
      <c r="IF46" s="119"/>
      <c r="IG46" s="119"/>
      <c r="IH46" s="119"/>
      <c r="II46" s="119"/>
      <c r="IJ46" s="119"/>
      <c r="IK46" s="119"/>
      <c r="IL46" s="119"/>
      <c r="IM46" s="119"/>
      <c r="IN46" s="119"/>
      <c r="IO46" s="119"/>
      <c r="IP46" s="119"/>
      <c r="IQ46" s="119"/>
      <c r="IR46" s="119"/>
      <c r="IS46" s="119"/>
      <c r="IT46" s="119"/>
      <c r="IU46" s="119"/>
      <c r="IV46" s="119"/>
      <c r="IW46" s="119"/>
      <c r="IX46" s="119"/>
      <c r="IY46" s="119"/>
      <c r="IZ46" s="119"/>
      <c r="JA46" s="119"/>
      <c r="JB46" s="119"/>
      <c r="JC46" s="119"/>
      <c r="JD46" s="119"/>
      <c r="JE46" s="119"/>
      <c r="JF46" s="119"/>
      <c r="JG46" s="119"/>
      <c r="JH46" s="119"/>
      <c r="JI46" s="119"/>
      <c r="JJ46" s="119"/>
      <c r="JK46" s="119"/>
      <c r="JL46" s="119"/>
      <c r="JM46" s="119"/>
      <c r="JN46" s="131"/>
      <c r="JO46" s="131"/>
      <c r="JP46" s="131"/>
      <c r="JQ46" s="131"/>
      <c r="JR46" s="131"/>
      <c r="JS46" s="131"/>
      <c r="JT46" s="131"/>
      <c r="JU46" s="131"/>
      <c r="JV46" s="131"/>
      <c r="JW46" s="131"/>
      <c r="JX46" s="131"/>
      <c r="JY46" s="131"/>
      <c r="JZ46" s="131"/>
      <c r="KA46" s="131"/>
      <c r="KB46" s="131"/>
      <c r="KC46" s="131"/>
      <c r="KD46" s="131"/>
      <c r="KE46" s="131"/>
      <c r="KF46" s="131"/>
      <c r="KG46" s="131"/>
      <c r="KH46" s="131"/>
      <c r="KI46" s="131"/>
      <c r="KJ46" s="131"/>
      <c r="KK46" s="23"/>
      <c r="KL46" s="23"/>
      <c r="KM46" s="23"/>
      <c r="KN46" s="23"/>
      <c r="KO46" s="23"/>
      <c r="KP46" s="23"/>
      <c r="KQ46" s="23"/>
      <c r="KR46" s="23"/>
      <c r="KS46" s="23"/>
      <c r="KT46" s="23"/>
      <c r="KU46" s="23"/>
      <c r="KV46" s="23"/>
      <c r="KW46" s="23"/>
      <c r="KX46" s="23"/>
      <c r="KY46" s="23"/>
      <c r="KZ46" s="23"/>
      <c r="LA46" s="23"/>
      <c r="LB46" s="23"/>
      <c r="LC46" s="23"/>
      <c r="LD46" s="23"/>
      <c r="LE46" s="23"/>
      <c r="LF46" s="23"/>
      <c r="LG46" s="23"/>
      <c r="LH46" s="23"/>
      <c r="LI46" s="23"/>
      <c r="LJ46" s="23"/>
      <c r="LK46" s="23"/>
      <c r="LL46" s="23"/>
      <c r="LM46" s="23"/>
      <c r="LN46" s="23"/>
      <c r="LO46" s="23"/>
      <c r="LP46" s="23"/>
      <c r="LQ46" s="23"/>
      <c r="LR46" s="23"/>
      <c r="LS46" s="23"/>
      <c r="LT46" s="23"/>
      <c r="LU46" s="23"/>
      <c r="LV46" s="23"/>
      <c r="LW46" s="23"/>
      <c r="LX46" s="23"/>
      <c r="LY46" s="23"/>
      <c r="LZ46" s="23"/>
      <c r="MA46" s="23"/>
      <c r="MB46" s="23"/>
      <c r="MC46" s="23"/>
      <c r="MD46" s="23"/>
      <c r="ME46" s="23"/>
      <c r="MF46" s="23"/>
      <c r="MG46" s="23"/>
      <c r="MH46" s="23"/>
      <c r="MI46" s="23"/>
      <c r="MJ46" s="23"/>
      <c r="MK46" s="23"/>
      <c r="ML46" s="23"/>
      <c r="MM46" s="23"/>
      <c r="MN46" s="23"/>
      <c r="MO46" s="23"/>
      <c r="MP46" s="23"/>
      <c r="MQ46" s="23"/>
      <c r="MR46" s="23"/>
      <c r="MS46" s="23"/>
      <c r="MT46" s="23"/>
      <c r="MU46" s="23"/>
      <c r="MV46" s="23"/>
      <c r="MW46" s="23"/>
      <c r="MX46" s="23"/>
      <c r="MY46" s="23"/>
      <c r="MZ46" s="23"/>
      <c r="NA46" s="23"/>
      <c r="NB46" s="23"/>
      <c r="NC46" s="23"/>
      <c r="ND46" s="23"/>
      <c r="NE46" s="23"/>
      <c r="NF46" s="23"/>
      <c r="NG46" s="23"/>
      <c r="NH46" s="23"/>
      <c r="NI46" s="23"/>
      <c r="NJ46" s="23"/>
      <c r="NK46" s="23"/>
      <c r="NL46" s="23"/>
      <c r="NM46" s="23"/>
      <c r="NN46" s="23"/>
      <c r="NO46" s="23"/>
      <c r="NP46" s="23"/>
      <c r="NQ46" s="23"/>
      <c r="NR46" s="23"/>
      <c r="NS46" s="23"/>
      <c r="NT46" s="23"/>
      <c r="NU46" s="23"/>
      <c r="NV46" s="23"/>
      <c r="NW46" s="23"/>
      <c r="NX46" s="23"/>
      <c r="NY46" s="23"/>
      <c r="NZ46" s="23"/>
      <c r="OA46" s="23"/>
      <c r="OB46" s="23"/>
      <c r="OC46" s="23"/>
      <c r="OD46" s="23"/>
      <c r="OE46" s="23"/>
      <c r="OF46" s="23"/>
      <c r="OG46" s="23"/>
      <c r="OH46" s="23"/>
      <c r="OI46" s="23"/>
      <c r="OJ46" s="23"/>
      <c r="OK46" s="23"/>
      <c r="OL46" s="23"/>
      <c r="OM46" s="23"/>
      <c r="ON46" s="23"/>
      <c r="OO46" s="23"/>
      <c r="OP46" s="23"/>
      <c r="OQ46" s="23"/>
      <c r="OR46" s="23"/>
      <c r="OS46" s="23"/>
      <c r="OT46" s="23"/>
      <c r="OU46" s="23"/>
      <c r="OV46" s="23"/>
      <c r="OW46" s="23"/>
      <c r="OX46" s="23"/>
      <c r="OY46" s="23"/>
      <c r="OZ46" s="23"/>
      <c r="PA46" s="23"/>
      <c r="PB46" s="23"/>
      <c r="PC46" s="23"/>
      <c r="PD46" s="23"/>
      <c r="PE46" s="23"/>
      <c r="PF46" s="23"/>
      <c r="PG46" s="23"/>
      <c r="PH46" s="23"/>
      <c r="PI46" s="23"/>
      <c r="PJ46" s="23"/>
      <c r="PK46" s="23"/>
      <c r="PL46" s="23"/>
      <c r="PM46" s="23"/>
      <c r="PN46" s="23"/>
      <c r="PO46" s="23"/>
      <c r="PP46" s="23"/>
      <c r="PQ46" s="23"/>
      <c r="PR46" s="23"/>
      <c r="PS46" s="23"/>
      <c r="PT46" s="23"/>
      <c r="PU46" s="23"/>
      <c r="PV46" s="23"/>
      <c r="PW46" s="23"/>
      <c r="PX46" s="23"/>
      <c r="PY46" s="23"/>
      <c r="PZ46" s="23"/>
      <c r="QA46" s="23"/>
      <c r="QB46" s="23"/>
      <c r="QC46" s="23"/>
      <c r="QD46" s="23"/>
      <c r="QE46" s="23"/>
      <c r="QF46" s="23"/>
      <c r="QG46" s="23"/>
      <c r="QH46" s="23"/>
      <c r="QI46" s="23"/>
      <c r="QJ46" s="23"/>
      <c r="QK46" s="23"/>
      <c r="QL46" s="23"/>
      <c r="QM46" s="23"/>
      <c r="QN46" s="23"/>
      <c r="QO46" s="23"/>
      <c r="QP46" s="23"/>
      <c r="QQ46" s="23"/>
      <c r="QR46" s="23"/>
      <c r="QS46" s="23"/>
      <c r="QT46" s="23"/>
      <c r="QU46" s="23"/>
      <c r="QV46" s="23"/>
      <c r="QW46" s="23"/>
      <c r="QX46" s="23"/>
      <c r="QY46" s="23"/>
      <c r="QZ46" s="23"/>
      <c r="RA46" s="23"/>
      <c r="RB46" s="23"/>
      <c r="RC46" s="184"/>
      <c r="RD46" s="184"/>
      <c r="RE46" s="184"/>
      <c r="RF46" s="184"/>
      <c r="RG46" s="184"/>
      <c r="RH46" s="184"/>
      <c r="RI46" s="184"/>
      <c r="RJ46" s="184"/>
      <c r="RK46" s="184"/>
      <c r="RL46" s="184"/>
      <c r="RM46" s="184"/>
      <c r="RN46" s="184"/>
      <c r="RO46" s="184"/>
      <c r="RP46" s="184"/>
      <c r="RQ46" s="184"/>
      <c r="RR46" s="184"/>
      <c r="RS46" s="184"/>
      <c r="RT46" s="184"/>
      <c r="RU46" s="184"/>
      <c r="RV46" s="184"/>
      <c r="RW46" s="184"/>
      <c r="RX46" s="184"/>
      <c r="RY46" s="184"/>
      <c r="RZ46" s="184"/>
      <c r="SA46" s="185"/>
      <c r="SB46" s="185"/>
      <c r="SC46" s="185"/>
      <c r="SD46" s="185"/>
      <c r="SE46" s="185"/>
      <c r="SF46" s="185"/>
      <c r="SG46" s="185"/>
      <c r="SH46" s="185"/>
      <c r="SI46" s="185"/>
      <c r="SJ46" s="185"/>
      <c r="SK46" s="185"/>
      <c r="SL46" s="185"/>
      <c r="SM46" s="185"/>
      <c r="SN46" s="185"/>
      <c r="SO46" s="185"/>
      <c r="SP46" s="185"/>
      <c r="SQ46" s="185"/>
      <c r="SR46" s="185"/>
      <c r="SS46" s="185"/>
      <c r="ST46" s="185"/>
      <c r="SU46" s="185"/>
      <c r="SV46" s="185"/>
      <c r="SW46" s="185"/>
      <c r="SX46" s="185"/>
      <c r="SY46" s="185"/>
      <c r="SZ46" s="185"/>
      <c r="TA46" s="11"/>
      <c r="TB46" s="11"/>
      <c r="TC46" s="11"/>
      <c r="TD46" s="11"/>
    </row>
    <row r="47" spans="1:1013" ht="22.15" customHeight="1" thickBot="1" x14ac:dyDescent="0.3">
      <c r="A47" s="298"/>
      <c r="B47" s="25" t="s">
        <v>11</v>
      </c>
      <c r="BB47" s="123">
        <f t="shared" si="195"/>
        <v>2.5</v>
      </c>
      <c r="BC47" s="110">
        <f t="shared" si="196"/>
        <v>2.7458928571428571</v>
      </c>
      <c r="BD47" s="110">
        <f t="shared" si="197"/>
        <v>3.0145000191326532</v>
      </c>
      <c r="BE47" s="110">
        <f t="shared" si="198"/>
        <v>3.3030458455254204</v>
      </c>
      <c r="BF47" s="110">
        <f t="shared" si="199"/>
        <v>3.6180521124776339</v>
      </c>
      <c r="BG47" s="110">
        <f t="shared" si="200"/>
        <v>3.9605610457921832</v>
      </c>
      <c r="BH47" s="110">
        <f t="shared" si="201"/>
        <v>4.326161801639965</v>
      </c>
      <c r="BI47" s="110">
        <f t="shared" si="202"/>
        <v>4.7232736194318816</v>
      </c>
      <c r="BJ47" s="110">
        <f t="shared" si="203"/>
        <v>5.1461266915986474</v>
      </c>
      <c r="BK47" s="110">
        <f t="shared" si="204"/>
        <v>5.603346964774242</v>
      </c>
      <c r="BL47" s="110">
        <f t="shared" si="205"/>
        <v>6.0954917778498379</v>
      </c>
      <c r="BM47" s="110">
        <f t="shared" si="206"/>
        <v>6.615640409559691</v>
      </c>
      <c r="BN47" s="110">
        <f t="shared" si="207"/>
        <v>7.1735594174325588</v>
      </c>
      <c r="BO47" s="110">
        <f t="shared" si="208"/>
        <v>7.7613208923231802</v>
      </c>
      <c r="BP47" s="110">
        <f t="shared" si="209"/>
        <v>8.3896061802951785</v>
      </c>
      <c r="BQ47" s="110">
        <f t="shared" si="210"/>
        <v>9.0480549492196349</v>
      </c>
      <c r="BR47" s="110">
        <f t="shared" si="211"/>
        <v>9.7479657804528195</v>
      </c>
      <c r="BS47" s="110">
        <f t="shared" si="212"/>
        <v>10.477361188215589</v>
      </c>
      <c r="BT47" s="110">
        <f t="shared" si="213"/>
        <v>11.249692384375482</v>
      </c>
      <c r="BU47" s="110">
        <f t="shared" si="214"/>
        <v>12.053342284084305</v>
      </c>
      <c r="BV47" s="110">
        <f t="shared" si="215"/>
        <v>12.90121958038036</v>
      </c>
      <c r="BW47" s="110">
        <f t="shared" si="216"/>
        <v>13.78048731485859</v>
      </c>
      <c r="BX47" s="110">
        <f t="shared" si="217"/>
        <v>14.702719927468356</v>
      </c>
      <c r="BY47" s="110">
        <f t="shared" si="218"/>
        <v>15.655723500948806</v>
      </c>
      <c r="BZ47" s="110">
        <f t="shared" si="219"/>
        <v>16.653894478100209</v>
      </c>
      <c r="CA47" s="110">
        <f t="shared" si="220"/>
        <v>17.700566512875355</v>
      </c>
      <c r="CB47" s="110">
        <f t="shared" si="221"/>
        <v>18.780036882600857</v>
      </c>
      <c r="CC47" s="110">
        <f t="shared" si="222"/>
        <v>19.908520889904604</v>
      </c>
      <c r="CD47" s="110">
        <f t="shared" si="223"/>
        <v>21.06907054883963</v>
      </c>
      <c r="CE47" s="110">
        <f t="shared" si="224"/>
        <v>22.278683069761243</v>
      </c>
      <c r="CF47" s="110">
        <f t="shared" si="225"/>
        <v>23.538083918587155</v>
      </c>
      <c r="CG47" s="110">
        <f t="shared" si="226"/>
        <v>24.828243822646527</v>
      </c>
      <c r="CH47" s="110">
        <f t="shared" si="227"/>
        <v>26.167529670586966</v>
      </c>
      <c r="CI47" s="110">
        <f t="shared" si="228"/>
        <v>27.556304940930293</v>
      </c>
      <c r="CJ47" s="110">
        <f t="shared" si="229"/>
        <v>28.973486337892421</v>
      </c>
      <c r="CK47" s="110">
        <f t="shared" si="230"/>
        <v>30.438716932694408</v>
      </c>
      <c r="CL47" s="110">
        <f t="shared" si="231"/>
        <v>31.925498204843478</v>
      </c>
      <c r="CM47" s="110">
        <f t="shared" si="232"/>
        <v>33.457922118675967</v>
      </c>
      <c r="CN47" s="110">
        <f t="shared" si="233"/>
        <v>35.030915696593432</v>
      </c>
      <c r="CO47" s="110">
        <f t="shared" si="234"/>
        <v>36.624822360788428</v>
      </c>
      <c r="CP47" s="110">
        <f t="shared" si="235"/>
        <v>38.260731092903647</v>
      </c>
      <c r="CQ47" s="110">
        <f t="shared" si="236"/>
        <v>39.932512482046356</v>
      </c>
      <c r="CR47" s="110">
        <f t="shared" si="237"/>
        <v>41.619524379233077</v>
      </c>
      <c r="CS47" s="110">
        <f t="shared" si="238"/>
        <v>43.337897618671555</v>
      </c>
      <c r="CT47" s="110">
        <f t="shared" si="239"/>
        <v>45.091598297651771</v>
      </c>
      <c r="CU47" s="110">
        <f t="shared" si="240"/>
        <v>46.85382670679784</v>
      </c>
      <c r="CV47" s="110">
        <f t="shared" si="241"/>
        <v>48.646935318063406</v>
      </c>
      <c r="CW47" s="110">
        <f t="shared" si="242"/>
        <v>50.469223219437346</v>
      </c>
      <c r="CX47" s="110">
        <f t="shared" si="243"/>
        <v>52.292844485099678</v>
      </c>
      <c r="CY47" s="110">
        <f t="shared" si="244"/>
        <v>54.140524990239868</v>
      </c>
      <c r="CZ47" s="110">
        <f t="shared" si="245"/>
        <v>55.984152341223293</v>
      </c>
      <c r="DA47" s="148">
        <f t="shared" si="246"/>
        <v>55.872184036540851</v>
      </c>
      <c r="DB47" s="148">
        <f t="shared" si="247"/>
        <v>57.686559697095888</v>
      </c>
      <c r="DC47" s="148">
        <f t="shared" si="248"/>
        <v>59.489077393605136</v>
      </c>
      <c r="DD47" s="148">
        <f t="shared" si="249"/>
        <v>61.30156279055835</v>
      </c>
      <c r="DE47" s="148">
        <f t="shared" si="250"/>
        <v>63.137425177506771</v>
      </c>
      <c r="DF47" s="148">
        <f t="shared" si="251"/>
        <v>64.970029415992343</v>
      </c>
      <c r="DG47" s="148">
        <f t="shared" si="252"/>
        <v>66.814178712492435</v>
      </c>
      <c r="DH47" s="148">
        <f t="shared" si="253"/>
        <v>68.676409796094475</v>
      </c>
      <c r="DI47" s="148">
        <f t="shared" si="254"/>
        <v>70.555325930772227</v>
      </c>
      <c r="DJ47" s="148">
        <f t="shared" si="255"/>
        <v>72.423702409850407</v>
      </c>
      <c r="DK47" s="148">
        <f t="shared" si="256"/>
        <v>74.304885161053093</v>
      </c>
      <c r="DL47" s="148">
        <f t="shared" si="257"/>
        <v>76.187902630577511</v>
      </c>
      <c r="DM47" s="148">
        <f t="shared" si="258"/>
        <v>78.080062946541972</v>
      </c>
      <c r="DN47" s="148">
        <f t="shared" si="259"/>
        <v>79.953984457258983</v>
      </c>
      <c r="DO47" s="148">
        <f t="shared" si="260"/>
        <v>81.842897340061725</v>
      </c>
      <c r="DP47" s="148">
        <f t="shared" si="261"/>
        <v>83.745744703218151</v>
      </c>
      <c r="DQ47" s="148">
        <f t="shared" si="262"/>
        <v>85.661428613304267</v>
      </c>
      <c r="DR47" s="148">
        <f t="shared" si="263"/>
        <v>87.588810757103602</v>
      </c>
      <c r="DS47" s="148">
        <f t="shared" si="264"/>
        <v>89.50062578696236</v>
      </c>
      <c r="DT47" s="148">
        <f t="shared" si="265"/>
        <v>91.421021930391248</v>
      </c>
      <c r="DU47" s="148">
        <f t="shared" si="266"/>
        <v>93.348763973071598</v>
      </c>
      <c r="DV47" s="148">
        <f t="shared" si="267"/>
        <v>95.282581577353255</v>
      </c>
      <c r="DW47" s="148">
        <f t="shared" si="268"/>
        <v>97.195205105113303</v>
      </c>
      <c r="DX47" s="148">
        <f t="shared" si="269"/>
        <v>99.110661830111624</v>
      </c>
      <c r="DY47" s="148">
        <f t="shared" si="270"/>
        <v>101.03969373597575</v>
      </c>
      <c r="DZ47" s="148">
        <f t="shared" si="271"/>
        <v>102.98162736192573</v>
      </c>
      <c r="EA47" s="148">
        <f t="shared" si="272"/>
        <v>104.9357665347935</v>
      </c>
      <c r="EB47" s="148">
        <f t="shared" si="273"/>
        <v>106.87518178617148</v>
      </c>
      <c r="EC47" s="148">
        <f t="shared" si="274"/>
        <v>108.82468811417466</v>
      </c>
      <c r="ED47" s="148">
        <f t="shared" si="275"/>
        <v>110.78353250022981</v>
      </c>
      <c r="EE47" s="148">
        <f t="shared" si="276"/>
        <v>112.75094125812545</v>
      </c>
      <c r="EF47" s="148">
        <f t="shared" si="277"/>
        <v>114.72612039775575</v>
      </c>
      <c r="EG47" s="148">
        <f t="shared" si="278"/>
        <v>116.7082560200495</v>
      </c>
      <c r="EH47" s="148">
        <f t="shared" si="279"/>
        <v>118.69651474308986</v>
      </c>
      <c r="EI47" s="148">
        <f t="shared" si="280"/>
        <v>120.67761609630193</v>
      </c>
      <c r="EJ47" s="148">
        <f t="shared" si="281"/>
        <v>122.67741659161207</v>
      </c>
      <c r="EK47" s="148">
        <f t="shared" si="282"/>
        <v>124.69575218363121</v>
      </c>
      <c r="EL47" s="148">
        <f t="shared" si="283"/>
        <v>126.73244946929719</v>
      </c>
      <c r="EM47" s="148">
        <f t="shared" si="284"/>
        <v>128.78732561426366</v>
      </c>
      <c r="EN47" s="148">
        <f t="shared" si="285"/>
        <v>130.86018828367418</v>
      </c>
      <c r="EO47" s="148">
        <f t="shared" si="286"/>
        <v>132.92316066367565</v>
      </c>
      <c r="EP47" s="148">
        <f t="shared" si="287"/>
        <v>135.00301717758964</v>
      </c>
      <c r="EQ47" s="148">
        <f t="shared" si="288"/>
        <v>137.09953462081808</v>
      </c>
      <c r="ER47" s="148">
        <f t="shared" si="289"/>
        <v>139.21248038968011</v>
      </c>
      <c r="ES47" s="148">
        <f t="shared" si="290"/>
        <v>141.34161244269873</v>
      </c>
      <c r="ET47" s="148">
        <f t="shared" si="291"/>
        <v>143.4866792668291</v>
      </c>
      <c r="EU47" s="148">
        <f t="shared" si="292"/>
        <v>145.64741984872958</v>
      </c>
      <c r="EV47" s="148">
        <f t="shared" si="293"/>
        <v>147.82356365117531</v>
      </c>
      <c r="EW47" s="148">
        <f t="shared" si="294"/>
        <v>149.98591298923552</v>
      </c>
      <c r="EX47" s="148">
        <f t="shared" si="295"/>
        <v>152.1624527498235</v>
      </c>
      <c r="EY47" s="148">
        <f t="shared" si="296"/>
        <v>154.35288433708257</v>
      </c>
      <c r="EZ47" s="158">
        <f t="shared" si="297"/>
        <v>154.0441785684084</v>
      </c>
      <c r="FA47" s="158">
        <f t="shared" si="298"/>
        <v>156.22587402766794</v>
      </c>
      <c r="FB47" s="158">
        <f t="shared" si="299"/>
        <v>158.4203025837775</v>
      </c>
      <c r="FC47" s="158">
        <f t="shared" si="300"/>
        <v>160.62713424070034</v>
      </c>
      <c r="FD47" s="158">
        <f t="shared" si="301"/>
        <v>162.8460300020719</v>
      </c>
      <c r="FE47" s="158">
        <f t="shared" si="302"/>
        <v>165.0472590972723</v>
      </c>
      <c r="FF47" s="158">
        <f t="shared" si="303"/>
        <v>167.25927178816221</v>
      </c>
      <c r="FG47" s="158">
        <f t="shared" si="304"/>
        <v>169.50093053419664</v>
      </c>
      <c r="FH47" s="158">
        <f t="shared" si="305"/>
        <v>171.75314979508781</v>
      </c>
      <c r="FI47" s="158">
        <f t="shared" si="306"/>
        <v>174.01555335445758</v>
      </c>
      <c r="FJ47" s="158">
        <f t="shared" si="307"/>
        <v>176.28775644193649</v>
      </c>
      <c r="FK47" s="158">
        <f t="shared" si="308"/>
        <v>178.56936579542639</v>
      </c>
      <c r="FL47" s="158">
        <f t="shared" si="309"/>
        <v>180.82989163060938</v>
      </c>
      <c r="FM47" s="158">
        <f t="shared" si="310"/>
        <v>183.09848481652065</v>
      </c>
      <c r="FN47" s="158">
        <f t="shared" si="311"/>
        <v>185.37473188912605</v>
      </c>
      <c r="FO47" s="158">
        <f t="shared" si="312"/>
        <v>187.67927685147495</v>
      </c>
      <c r="FP47" s="158">
        <f t="shared" si="313"/>
        <v>189.99114430723631</v>
      </c>
      <c r="FQ47" s="158">
        <f t="shared" si="314"/>
        <v>192.30989986389508</v>
      </c>
      <c r="FR47" s="158">
        <f t="shared" si="315"/>
        <v>194.63510138043125</v>
      </c>
      <c r="FS47" s="158">
        <f t="shared" si="316"/>
        <v>196.93573201697299</v>
      </c>
      <c r="FT47" s="158">
        <f t="shared" si="317"/>
        <v>199.2635566246343</v>
      </c>
      <c r="FU47" s="158">
        <f t="shared" si="318"/>
        <v>201.59650747859911</v>
      </c>
      <c r="FV47" s="158">
        <f t="shared" si="319"/>
        <v>203.93412091363186</v>
      </c>
      <c r="FW47" s="158">
        <f t="shared" si="320"/>
        <v>206.27592621221311</v>
      </c>
      <c r="FX47" s="158">
        <f t="shared" si="321"/>
        <v>208.62144573273852</v>
      </c>
      <c r="FY47" s="158">
        <f t="shared" si="322"/>
        <v>210.97019504312283</v>
      </c>
      <c r="FZ47" s="158">
        <f t="shared" si="323"/>
        <v>213.29086718859719</v>
      </c>
      <c r="GA47" s="158">
        <f t="shared" si="324"/>
        <v>188.9757083290971</v>
      </c>
      <c r="GB47" s="158">
        <f t="shared" si="325"/>
        <v>191.03344381979173</v>
      </c>
      <c r="GC47" s="158">
        <f t="shared" si="326"/>
        <v>165.80186785114904</v>
      </c>
      <c r="GD47" s="158">
        <f t="shared" si="327"/>
        <v>167.57042110822798</v>
      </c>
      <c r="GE47" s="158">
        <f t="shared" si="328"/>
        <v>169.33921999770371</v>
      </c>
      <c r="GF47" s="158">
        <f t="shared" si="329"/>
        <v>171.10787407323525</v>
      </c>
      <c r="GG47" s="158">
        <f t="shared" si="330"/>
        <v>172.85279832752056</v>
      </c>
      <c r="GH47" s="158">
        <f t="shared" si="331"/>
        <v>145.78772243994473</v>
      </c>
      <c r="GI47" s="158">
        <f t="shared" si="332"/>
        <v>147.25841616741585</v>
      </c>
      <c r="GJ47" s="158">
        <f t="shared" si="333"/>
        <v>119.27608064689986</v>
      </c>
      <c r="GK47" s="158">
        <f t="shared" si="334"/>
        <v>120.4531127394374</v>
      </c>
      <c r="GL47" s="158">
        <f t="shared" si="335"/>
        <v>121.62852333408158</v>
      </c>
      <c r="GM47" s="158">
        <f t="shared" si="336"/>
        <v>122.80203809767855</v>
      </c>
      <c r="GN47" s="158">
        <f t="shared" si="337"/>
        <v>123.98687534437923</v>
      </c>
      <c r="GO47" s="158">
        <f t="shared" si="338"/>
        <v>94.1728005500308</v>
      </c>
      <c r="GP47" s="158">
        <f t="shared" si="339"/>
        <v>95.060715526645382</v>
      </c>
      <c r="GQ47" s="158">
        <f t="shared" si="340"/>
        <v>64.259650865015544</v>
      </c>
      <c r="GR47" s="158">
        <f t="shared" si="341"/>
        <v>64.850560263187319</v>
      </c>
      <c r="GS47" s="158">
        <f t="shared" si="342"/>
        <v>65.439854484709329</v>
      </c>
      <c r="GT47" s="158">
        <f t="shared" si="343"/>
        <v>66.034503597200825</v>
      </c>
      <c r="GU47" s="158">
        <f t="shared" si="344"/>
        <v>66.627378596888732</v>
      </c>
      <c r="GV47" s="158">
        <f t="shared" si="345"/>
        <v>33.90464517817329</v>
      </c>
      <c r="GW47" s="158">
        <f t="shared" si="346"/>
        <v>34.205364639753611</v>
      </c>
      <c r="GX47" s="196">
        <f t="shared" si="347"/>
        <v>-6.9146888214147453E-2</v>
      </c>
      <c r="GY47" s="119"/>
      <c r="GZ47" s="119"/>
      <c r="HA47" s="119"/>
      <c r="HB47" s="119"/>
      <c r="HC47" s="119"/>
      <c r="HD47" s="119"/>
      <c r="HE47" s="119"/>
      <c r="HF47" s="119"/>
      <c r="HG47" s="119"/>
      <c r="HH47" s="119"/>
      <c r="HI47" s="119"/>
      <c r="HJ47" s="119"/>
      <c r="HK47" s="119"/>
      <c r="HL47" s="119"/>
      <c r="HM47" s="119"/>
      <c r="HN47" s="119"/>
      <c r="HO47" s="119"/>
      <c r="HP47" s="119"/>
      <c r="HQ47" s="119"/>
      <c r="HR47" s="119"/>
      <c r="HS47" s="119"/>
      <c r="HT47" s="119"/>
      <c r="HU47" s="119"/>
      <c r="HV47" s="119"/>
      <c r="HW47" s="119"/>
      <c r="HX47" s="119"/>
      <c r="HY47" s="119"/>
      <c r="HZ47" s="119"/>
      <c r="IA47" s="119"/>
      <c r="IB47" s="119"/>
      <c r="IC47" s="119"/>
      <c r="ID47" s="119"/>
      <c r="IE47" s="119"/>
      <c r="IF47" s="119"/>
      <c r="IG47" s="119"/>
      <c r="IH47" s="119"/>
      <c r="II47" s="119"/>
      <c r="IJ47" s="119"/>
      <c r="IK47" s="119"/>
      <c r="IL47" s="119"/>
      <c r="IM47" s="119"/>
      <c r="IN47" s="119"/>
      <c r="IO47" s="119"/>
      <c r="IP47" s="119"/>
      <c r="IQ47" s="119"/>
      <c r="IR47" s="119"/>
      <c r="IS47" s="119"/>
      <c r="IT47" s="119"/>
      <c r="IU47" s="119"/>
      <c r="IV47" s="119"/>
      <c r="IW47" s="119"/>
      <c r="IX47" s="119"/>
      <c r="IY47" s="119"/>
      <c r="IZ47" s="119"/>
      <c r="JA47" s="119"/>
      <c r="JB47" s="119"/>
      <c r="JC47" s="119"/>
      <c r="JD47" s="119"/>
      <c r="JE47" s="119"/>
      <c r="JF47" s="119"/>
      <c r="JG47" s="119"/>
      <c r="JH47" s="119"/>
      <c r="JI47" s="119"/>
      <c r="JJ47" s="119"/>
      <c r="JK47" s="119"/>
      <c r="JL47" s="119"/>
      <c r="JM47" s="119"/>
      <c r="JN47" s="23"/>
      <c r="JO47" s="23"/>
      <c r="JP47" s="23"/>
      <c r="JQ47" s="23"/>
      <c r="JR47" s="23"/>
      <c r="JS47" s="23"/>
      <c r="JT47" s="23"/>
      <c r="JU47" s="23"/>
      <c r="JV47" s="23"/>
      <c r="JW47" s="23"/>
      <c r="JX47" s="23"/>
      <c r="JY47" s="23"/>
      <c r="JZ47" s="23"/>
      <c r="KA47" s="23"/>
      <c r="KB47" s="23"/>
      <c r="KC47" s="23"/>
      <c r="KD47" s="23"/>
      <c r="KE47" s="23"/>
      <c r="KF47" s="23"/>
      <c r="KG47" s="23"/>
      <c r="KH47" s="23"/>
      <c r="KI47" s="23"/>
      <c r="KJ47" s="23"/>
      <c r="KK47" s="34"/>
      <c r="KL47" s="34"/>
      <c r="KM47" s="34"/>
      <c r="KN47" s="34"/>
      <c r="KO47" s="34"/>
      <c r="KP47" s="34"/>
      <c r="KQ47" s="34"/>
      <c r="KR47" s="34"/>
      <c r="KS47" s="34"/>
      <c r="KT47" s="34"/>
      <c r="KU47" s="34"/>
      <c r="KV47" s="34"/>
      <c r="KW47" s="34"/>
      <c r="KX47" s="34"/>
      <c r="KY47" s="34"/>
      <c r="KZ47" s="34"/>
      <c r="LA47" s="34"/>
      <c r="LB47" s="34"/>
      <c r="LC47" s="34"/>
      <c r="LD47" s="34"/>
      <c r="LE47" s="34"/>
      <c r="LF47" s="34"/>
      <c r="LG47" s="34"/>
      <c r="LH47" s="34"/>
      <c r="LI47" s="34"/>
      <c r="LJ47" s="34"/>
      <c r="LK47" s="34"/>
      <c r="LL47" s="34"/>
      <c r="LM47" s="34"/>
      <c r="LN47" s="34"/>
      <c r="LO47" s="34"/>
      <c r="LP47" s="34"/>
      <c r="LQ47" s="34"/>
      <c r="LR47" s="34"/>
      <c r="LS47" s="34"/>
      <c r="LT47" s="34"/>
      <c r="LU47" s="34"/>
      <c r="LV47" s="34"/>
      <c r="LW47" s="34"/>
      <c r="LX47" s="34"/>
      <c r="LY47" s="34"/>
      <c r="LZ47" s="34"/>
      <c r="MA47" s="34"/>
      <c r="MB47" s="34"/>
      <c r="MC47" s="34"/>
      <c r="MD47" s="34"/>
      <c r="ME47" s="34"/>
      <c r="MF47" s="34"/>
      <c r="MG47" s="34"/>
      <c r="MH47" s="34"/>
      <c r="MI47" s="34"/>
      <c r="MJ47" s="34"/>
      <c r="MK47" s="34"/>
      <c r="ML47" s="34"/>
      <c r="MM47" s="34"/>
      <c r="MN47" s="34"/>
      <c r="MO47" s="34"/>
      <c r="MP47" s="34"/>
      <c r="MQ47" s="34"/>
      <c r="MR47" s="34"/>
      <c r="MS47" s="34"/>
      <c r="MT47" s="34"/>
      <c r="MU47" s="34"/>
      <c r="MV47" s="34"/>
      <c r="MW47" s="34"/>
      <c r="MX47" s="34"/>
      <c r="MY47" s="34"/>
      <c r="MZ47" s="34"/>
      <c r="NA47" s="34"/>
      <c r="NB47" s="34"/>
      <c r="NC47" s="34"/>
      <c r="ND47" s="34"/>
      <c r="NE47" s="34"/>
      <c r="NF47" s="34"/>
      <c r="NG47" s="34"/>
      <c r="NH47" s="34"/>
      <c r="NI47" s="34"/>
      <c r="NJ47" s="34"/>
      <c r="NK47" s="34"/>
      <c r="NL47" s="34"/>
      <c r="NM47" s="34"/>
      <c r="NN47" s="34"/>
      <c r="NO47" s="34"/>
      <c r="NP47" s="34"/>
      <c r="NQ47" s="34"/>
      <c r="NR47" s="34"/>
      <c r="NS47" s="34"/>
      <c r="NT47" s="34"/>
      <c r="NU47" s="34"/>
      <c r="NV47" s="34"/>
      <c r="NW47" s="34"/>
      <c r="NX47" s="34"/>
      <c r="NY47" s="34"/>
      <c r="NZ47" s="34"/>
      <c r="OA47" s="34"/>
      <c r="OB47" s="34"/>
      <c r="OC47" s="34"/>
      <c r="OD47" s="34"/>
      <c r="OE47" s="34"/>
      <c r="OF47" s="34"/>
      <c r="OG47" s="34"/>
      <c r="OH47" s="34"/>
      <c r="OI47" s="34"/>
      <c r="OJ47" s="34"/>
      <c r="OK47" s="34"/>
      <c r="OL47" s="34"/>
      <c r="OM47" s="34"/>
      <c r="ON47" s="34"/>
      <c r="OO47" s="34"/>
      <c r="OP47" s="34"/>
      <c r="OQ47" s="34"/>
      <c r="OR47" s="34"/>
      <c r="OS47" s="34"/>
      <c r="OT47" s="34"/>
      <c r="OU47" s="34"/>
      <c r="OV47" s="34"/>
      <c r="OW47" s="34"/>
      <c r="OX47" s="34"/>
      <c r="OY47" s="34"/>
      <c r="OZ47" s="34"/>
      <c r="PA47" s="34"/>
      <c r="PB47" s="34"/>
      <c r="PC47" s="34"/>
      <c r="PD47" s="34"/>
      <c r="PE47" s="34"/>
      <c r="PF47" s="34"/>
      <c r="PG47" s="34"/>
      <c r="PH47" s="34"/>
      <c r="PI47" s="34"/>
      <c r="PJ47" s="34"/>
      <c r="PK47" s="34"/>
      <c r="PL47" s="34"/>
      <c r="PM47" s="34"/>
      <c r="PN47" s="34"/>
      <c r="PO47" s="34"/>
      <c r="PP47" s="34"/>
      <c r="PQ47" s="34"/>
      <c r="PR47" s="34"/>
      <c r="PS47" s="34"/>
      <c r="PT47" s="34"/>
      <c r="PU47" s="34"/>
      <c r="PV47" s="34"/>
      <c r="PW47" s="34"/>
      <c r="PX47" s="34"/>
      <c r="PY47" s="34"/>
      <c r="PZ47" s="34"/>
      <c r="QA47" s="34"/>
      <c r="QB47" s="34"/>
      <c r="QC47" s="34"/>
      <c r="QD47" s="34"/>
      <c r="QE47" s="34"/>
      <c r="QF47" s="34"/>
      <c r="QG47" s="34"/>
      <c r="QH47" s="34"/>
      <c r="QI47" s="34"/>
      <c r="QJ47" s="34"/>
      <c r="QK47" s="34"/>
      <c r="QL47" s="34"/>
      <c r="QM47" s="34"/>
      <c r="QN47" s="34"/>
      <c r="QO47" s="34"/>
      <c r="QP47" s="34"/>
      <c r="QQ47" s="34"/>
      <c r="QR47" s="34"/>
      <c r="QS47" s="34"/>
      <c r="QT47" s="34"/>
      <c r="QU47" s="34"/>
      <c r="QV47" s="34"/>
      <c r="QW47" s="34"/>
      <c r="QX47" s="34"/>
      <c r="QY47" s="34"/>
      <c r="QZ47" s="34"/>
      <c r="RA47" s="34"/>
      <c r="RB47" s="34"/>
      <c r="RC47" s="184"/>
      <c r="RD47" s="184"/>
      <c r="RE47" s="184"/>
      <c r="RF47" s="184"/>
      <c r="RG47" s="184"/>
      <c r="RH47" s="184"/>
      <c r="RI47" s="184"/>
      <c r="RJ47" s="184"/>
      <c r="RK47" s="184"/>
      <c r="RL47" s="184"/>
      <c r="RM47" s="184"/>
      <c r="RN47" s="184"/>
      <c r="RO47" s="184"/>
      <c r="RP47" s="184"/>
      <c r="RQ47" s="184"/>
      <c r="RR47" s="184"/>
      <c r="RS47" s="184"/>
      <c r="RT47" s="184"/>
      <c r="RU47" s="184"/>
      <c r="RV47" s="184"/>
      <c r="RW47" s="184"/>
      <c r="RX47" s="184"/>
      <c r="RY47" s="184"/>
      <c r="RZ47" s="184"/>
      <c r="SA47" s="185"/>
      <c r="SB47" s="185"/>
      <c r="SC47" s="185"/>
      <c r="SD47" s="185"/>
      <c r="SE47" s="185"/>
      <c r="SF47" s="185"/>
      <c r="SG47" s="185"/>
      <c r="SH47" s="185"/>
      <c r="SI47" s="185"/>
      <c r="SJ47" s="185"/>
      <c r="SK47" s="185"/>
      <c r="SL47" s="185"/>
      <c r="SM47" s="185"/>
      <c r="SN47" s="185"/>
      <c r="SO47" s="185"/>
      <c r="SP47" s="185"/>
      <c r="SQ47" s="185"/>
      <c r="SR47" s="185"/>
      <c r="SS47" s="185"/>
      <c r="ST47" s="185"/>
      <c r="SU47" s="185"/>
      <c r="SV47" s="185"/>
      <c r="SW47" s="185"/>
      <c r="SX47" s="185"/>
      <c r="SY47" s="185"/>
      <c r="SZ47" s="185"/>
      <c r="TA47" s="11"/>
      <c r="TB47" s="11"/>
      <c r="TC47" s="11"/>
      <c r="TD47" s="11"/>
    </row>
    <row r="48" spans="1:1013" ht="22.15" customHeight="1" thickBot="1" x14ac:dyDescent="0.3">
      <c r="A48" s="298"/>
      <c r="B48" s="25" t="s">
        <v>12</v>
      </c>
      <c r="BB48" s="137">
        <f t="shared" si="195"/>
        <v>5.62E-2</v>
      </c>
      <c r="BC48" s="116">
        <f t="shared" si="196"/>
        <v>5.5899999999999998E-2</v>
      </c>
      <c r="BD48" s="116">
        <f t="shared" si="197"/>
        <v>5.57E-2</v>
      </c>
      <c r="BE48" s="116">
        <f t="shared" si="198"/>
        <v>5.5500000000000001E-2</v>
      </c>
      <c r="BF48" s="116">
        <f t="shared" si="199"/>
        <v>5.5099999999999996E-2</v>
      </c>
      <c r="BG48" s="116">
        <f t="shared" si="200"/>
        <v>5.4699999999999999E-2</v>
      </c>
      <c r="BH48" s="116">
        <f t="shared" si="201"/>
        <v>5.4400000000000004E-2</v>
      </c>
      <c r="BI48" s="116">
        <f t="shared" si="202"/>
        <v>5.4000000000000006E-2</v>
      </c>
      <c r="BJ48" s="116">
        <f t="shared" si="203"/>
        <v>5.3600000000000002E-2</v>
      </c>
      <c r="BK48" s="116">
        <f t="shared" si="204"/>
        <v>5.2999999999999999E-2</v>
      </c>
      <c r="BL48" s="116">
        <f t="shared" si="205"/>
        <v>5.2400000000000002E-2</v>
      </c>
      <c r="BM48" s="116">
        <f t="shared" si="206"/>
        <v>5.1799999999999999E-2</v>
      </c>
      <c r="BN48" s="116">
        <f t="shared" si="207"/>
        <v>5.1200000000000002E-2</v>
      </c>
      <c r="BO48" s="116">
        <f t="shared" si="208"/>
        <v>5.0599999999999999E-2</v>
      </c>
      <c r="BP48" s="116">
        <f t="shared" si="209"/>
        <v>4.99E-2</v>
      </c>
      <c r="BQ48" s="116">
        <f t="shared" si="210"/>
        <v>4.9200000000000001E-2</v>
      </c>
      <c r="BR48" s="116">
        <f t="shared" si="211"/>
        <v>4.8399999999999999E-2</v>
      </c>
      <c r="BS48" s="116">
        <f t="shared" si="212"/>
        <v>4.7699999999999992E-2</v>
      </c>
      <c r="BT48" s="116">
        <f t="shared" si="213"/>
        <v>4.7E-2</v>
      </c>
      <c r="BU48" s="116">
        <f t="shared" si="214"/>
        <v>4.6300000000000001E-2</v>
      </c>
      <c r="BV48" s="116">
        <f t="shared" si="215"/>
        <v>4.5599999999999995E-2</v>
      </c>
      <c r="BW48" s="116">
        <f t="shared" si="216"/>
        <v>4.4800000000000006E-2</v>
      </c>
      <c r="BX48" s="116">
        <f t="shared" si="217"/>
        <v>4.41E-2</v>
      </c>
      <c r="BY48" s="116">
        <f t="shared" si="218"/>
        <v>4.3400000000000001E-2</v>
      </c>
      <c r="BZ48" s="116">
        <f t="shared" si="219"/>
        <v>4.2800000000000005E-2</v>
      </c>
      <c r="CA48" s="116">
        <f t="shared" si="220"/>
        <v>4.2199999999999994E-2</v>
      </c>
      <c r="CB48" s="116">
        <f t="shared" si="221"/>
        <v>4.1599999999999998E-2</v>
      </c>
      <c r="CC48" s="116">
        <f t="shared" si="222"/>
        <v>4.0999999999999995E-2</v>
      </c>
      <c r="CD48" s="116">
        <f t="shared" si="223"/>
        <v>4.0399999999999998E-2</v>
      </c>
      <c r="CE48" s="116">
        <f t="shared" si="224"/>
        <v>3.9800000000000002E-2</v>
      </c>
      <c r="CF48" s="116">
        <f t="shared" si="225"/>
        <v>3.9199999999999999E-2</v>
      </c>
      <c r="CG48" s="116">
        <f t="shared" si="226"/>
        <v>3.8599999999999995E-2</v>
      </c>
      <c r="CH48" s="116">
        <f t="shared" si="227"/>
        <v>3.7999999999999999E-2</v>
      </c>
      <c r="CI48" s="116">
        <f t="shared" si="228"/>
        <v>3.7400000000000003E-2</v>
      </c>
      <c r="CJ48" s="116">
        <f t="shared" si="229"/>
        <v>3.6799999999999999E-2</v>
      </c>
      <c r="CK48" s="116">
        <f t="shared" si="230"/>
        <v>3.61E-2</v>
      </c>
      <c r="CL48" s="116">
        <f t="shared" si="231"/>
        <v>3.5499999999999997E-2</v>
      </c>
      <c r="CM48" s="116">
        <f t="shared" si="232"/>
        <v>3.4799999999999998E-2</v>
      </c>
      <c r="CN48" s="116">
        <f t="shared" si="233"/>
        <v>3.4200000000000001E-2</v>
      </c>
      <c r="CO48" s="116">
        <f t="shared" si="234"/>
        <v>3.3599999999999998E-2</v>
      </c>
      <c r="CP48" s="116">
        <f t="shared" si="235"/>
        <v>3.2899999999999999E-2</v>
      </c>
      <c r="CQ48" s="116">
        <f t="shared" si="236"/>
        <v>3.2300000000000002E-2</v>
      </c>
      <c r="CR48" s="116">
        <f t="shared" si="237"/>
        <v>3.1600000000000003E-2</v>
      </c>
      <c r="CS48" s="116">
        <f t="shared" si="238"/>
        <v>3.1E-2</v>
      </c>
      <c r="CT48" s="116">
        <f t="shared" si="239"/>
        <v>3.04E-2</v>
      </c>
      <c r="CU48" s="116">
        <f t="shared" si="240"/>
        <v>2.98E-2</v>
      </c>
      <c r="CV48" s="116">
        <f t="shared" si="241"/>
        <v>2.92E-2</v>
      </c>
      <c r="CW48" s="116">
        <f t="shared" si="242"/>
        <v>2.86E-2</v>
      </c>
      <c r="CX48" s="116">
        <f t="shared" si="243"/>
        <v>2.7999999999999997E-2</v>
      </c>
      <c r="CY48" s="116">
        <f t="shared" si="244"/>
        <v>2.7400000000000001E-2</v>
      </c>
      <c r="CZ48" s="171">
        <f t="shared" si="245"/>
        <v>2.6800000000000001E-2</v>
      </c>
      <c r="DA48" s="150">
        <f t="shared" si="246"/>
        <v>2.6200000000000001E-2</v>
      </c>
      <c r="DB48" s="150">
        <f t="shared" si="247"/>
        <v>2.5600000000000001E-2</v>
      </c>
      <c r="DC48" s="150">
        <f t="shared" si="248"/>
        <v>2.5000000000000001E-2</v>
      </c>
      <c r="DD48" s="150">
        <f t="shared" si="249"/>
        <v>2.46E-2</v>
      </c>
      <c r="DE48" s="150">
        <f t="shared" si="250"/>
        <v>2.4199999999999999E-2</v>
      </c>
      <c r="DF48" s="150">
        <f t="shared" si="251"/>
        <v>2.3700000000000002E-2</v>
      </c>
      <c r="DG48" s="150">
        <f t="shared" si="252"/>
        <v>2.3300000000000001E-2</v>
      </c>
      <c r="DH48" s="150">
        <f t="shared" si="253"/>
        <v>2.29E-2</v>
      </c>
      <c r="DI48" s="150">
        <f t="shared" si="254"/>
        <v>2.2499999999999999E-2</v>
      </c>
      <c r="DJ48" s="150">
        <f t="shared" si="255"/>
        <v>2.2099999999999998E-2</v>
      </c>
      <c r="DK48" s="150">
        <f t="shared" si="256"/>
        <v>2.1600000000000001E-2</v>
      </c>
      <c r="DL48" s="150">
        <f t="shared" si="257"/>
        <v>2.12E-2</v>
      </c>
      <c r="DM48" s="150">
        <f t="shared" si="258"/>
        <v>2.0799999999999999E-2</v>
      </c>
      <c r="DN48" s="150">
        <f t="shared" si="259"/>
        <v>2.0499999999999997E-2</v>
      </c>
      <c r="DO48" s="150">
        <f t="shared" si="260"/>
        <v>2.0199999999999999E-2</v>
      </c>
      <c r="DP48" s="150">
        <f t="shared" si="261"/>
        <v>1.9900000000000001E-2</v>
      </c>
      <c r="DQ48" s="150">
        <f t="shared" si="262"/>
        <v>1.9599999999999999E-2</v>
      </c>
      <c r="DR48" s="150">
        <f t="shared" si="263"/>
        <v>1.9299999999999998E-2</v>
      </c>
      <c r="DS48" s="150">
        <f t="shared" si="264"/>
        <v>1.9E-2</v>
      </c>
      <c r="DT48" s="150">
        <f t="shared" si="265"/>
        <v>1.8700000000000001E-2</v>
      </c>
      <c r="DU48" s="150">
        <f t="shared" si="266"/>
        <v>1.84E-2</v>
      </c>
      <c r="DV48" s="150">
        <f t="shared" si="267"/>
        <v>1.8100000000000002E-2</v>
      </c>
      <c r="DW48" s="150">
        <f t="shared" si="268"/>
        <v>1.78E-2</v>
      </c>
      <c r="DX48" s="150">
        <f t="shared" si="269"/>
        <v>1.7600000000000001E-2</v>
      </c>
      <c r="DY48" s="150">
        <f t="shared" si="270"/>
        <v>1.7399999999999999E-2</v>
      </c>
      <c r="DZ48" s="150">
        <f t="shared" si="271"/>
        <v>1.72E-2</v>
      </c>
      <c r="EA48" s="150">
        <f t="shared" si="272"/>
        <v>1.7000000000000001E-2</v>
      </c>
      <c r="EB48" s="150">
        <f t="shared" si="273"/>
        <v>1.6799999999999999E-2</v>
      </c>
      <c r="EC48" s="150">
        <f t="shared" si="274"/>
        <v>1.66E-2</v>
      </c>
      <c r="ED48" s="150">
        <f t="shared" si="275"/>
        <v>1.6399999999999998E-2</v>
      </c>
      <c r="EE48" s="150">
        <f t="shared" si="276"/>
        <v>1.6200000000000003E-2</v>
      </c>
      <c r="EF48" s="150">
        <f t="shared" si="277"/>
        <v>1.6E-2</v>
      </c>
      <c r="EG48" s="150">
        <f t="shared" si="278"/>
        <v>1.5800000000000002E-2</v>
      </c>
      <c r="EH48" s="150">
        <f t="shared" si="279"/>
        <v>1.5700000000000002E-2</v>
      </c>
      <c r="EI48" s="150">
        <f t="shared" si="280"/>
        <v>1.5600000000000001E-2</v>
      </c>
      <c r="EJ48" s="150">
        <f t="shared" si="281"/>
        <v>1.55E-2</v>
      </c>
      <c r="EK48" s="150">
        <f t="shared" si="282"/>
        <v>1.54E-2</v>
      </c>
      <c r="EL48" s="150">
        <f t="shared" si="283"/>
        <v>1.5300000000000001E-2</v>
      </c>
      <c r="EM48" s="150">
        <f t="shared" si="284"/>
        <v>1.52E-2</v>
      </c>
      <c r="EN48" s="150">
        <f t="shared" si="285"/>
        <v>1.5100000000000001E-2</v>
      </c>
      <c r="EO48" s="150">
        <f t="shared" si="286"/>
        <v>1.4999999999999999E-2</v>
      </c>
      <c r="EP48" s="150">
        <f t="shared" si="287"/>
        <v>1.49E-2</v>
      </c>
      <c r="EQ48" s="150">
        <f t="shared" si="288"/>
        <v>1.4800000000000001E-2</v>
      </c>
      <c r="ER48" s="150">
        <f t="shared" si="289"/>
        <v>1.47E-2</v>
      </c>
      <c r="ES48" s="150">
        <f t="shared" si="290"/>
        <v>1.46E-2</v>
      </c>
      <c r="ET48" s="150">
        <f t="shared" si="291"/>
        <v>1.4499999999999999E-2</v>
      </c>
      <c r="EU48" s="150">
        <f t="shared" si="292"/>
        <v>1.44E-2</v>
      </c>
      <c r="EV48" s="150">
        <f t="shared" si="293"/>
        <v>1.43E-2</v>
      </c>
      <c r="EW48" s="150">
        <f t="shared" si="294"/>
        <v>1.4199999999999999E-2</v>
      </c>
      <c r="EX48" s="150">
        <f t="shared" si="295"/>
        <v>1.41E-2</v>
      </c>
      <c r="EY48" s="175">
        <f t="shared" si="296"/>
        <v>1.3999999999999999E-2</v>
      </c>
      <c r="EZ48" s="161">
        <f t="shared" si="297"/>
        <v>1.3899999999999999E-2</v>
      </c>
      <c r="FA48" s="161">
        <f t="shared" si="298"/>
        <v>1.38E-2</v>
      </c>
      <c r="FB48" s="161">
        <f t="shared" si="299"/>
        <v>1.37E-2</v>
      </c>
      <c r="FC48" s="161">
        <f t="shared" si="300"/>
        <v>1.3600000000000001E-2</v>
      </c>
      <c r="FD48" s="161">
        <f t="shared" si="301"/>
        <v>1.3500000000000002E-2</v>
      </c>
      <c r="FE48" s="161">
        <f t="shared" si="302"/>
        <v>1.34E-2</v>
      </c>
      <c r="FF48" s="161">
        <f t="shared" si="303"/>
        <v>1.34E-2</v>
      </c>
      <c r="FG48" s="161">
        <f t="shared" si="304"/>
        <v>1.3300000000000001E-2</v>
      </c>
      <c r="FH48" s="161">
        <f t="shared" si="305"/>
        <v>1.32E-2</v>
      </c>
      <c r="FI48" s="161">
        <f t="shared" si="306"/>
        <v>1.3100000000000001E-2</v>
      </c>
      <c r="FJ48" s="161">
        <f t="shared" si="307"/>
        <v>1.3000000000000001E-2</v>
      </c>
      <c r="FK48" s="161">
        <f t="shared" si="308"/>
        <v>1.29E-2</v>
      </c>
      <c r="FL48" s="161">
        <f t="shared" si="309"/>
        <v>1.2800000000000001E-2</v>
      </c>
      <c r="FM48" s="161">
        <f t="shared" si="310"/>
        <v>1.2699999999999999E-2</v>
      </c>
      <c r="FN48" s="161">
        <f t="shared" si="311"/>
        <v>1.2699999999999999E-2</v>
      </c>
      <c r="FO48" s="161">
        <f t="shared" si="312"/>
        <v>1.26E-2</v>
      </c>
      <c r="FP48" s="161">
        <f t="shared" si="313"/>
        <v>1.2500000000000001E-2</v>
      </c>
      <c r="FQ48" s="161">
        <f t="shared" si="314"/>
        <v>1.24E-2</v>
      </c>
      <c r="FR48" s="161">
        <f t="shared" si="315"/>
        <v>1.23E-2</v>
      </c>
      <c r="FS48" s="161">
        <f t="shared" si="316"/>
        <v>1.23E-2</v>
      </c>
      <c r="FT48" s="161">
        <f t="shared" si="317"/>
        <v>1.2199999999999999E-2</v>
      </c>
      <c r="FU48" s="161">
        <f t="shared" si="318"/>
        <v>1.21E-2</v>
      </c>
      <c r="FV48" s="161">
        <f t="shared" si="319"/>
        <v>1.2E-2</v>
      </c>
      <c r="FW48" s="161">
        <f t="shared" si="320"/>
        <v>1.1899999999999999E-2</v>
      </c>
      <c r="FX48" s="161">
        <f t="shared" si="321"/>
        <v>1.18E-2</v>
      </c>
      <c r="FY48" s="161">
        <f t="shared" si="322"/>
        <v>1.1699999999999999E-2</v>
      </c>
      <c r="FZ48" s="161">
        <f t="shared" si="323"/>
        <v>1.1699999999999999E-2</v>
      </c>
      <c r="GA48" s="161">
        <f t="shared" si="324"/>
        <v>1.1599999999999999E-2</v>
      </c>
      <c r="GB48" s="161">
        <f t="shared" si="325"/>
        <v>1.15E-2</v>
      </c>
      <c r="GC48" s="161">
        <f t="shared" si="326"/>
        <v>1.1399999999999999E-2</v>
      </c>
      <c r="GD48" s="161">
        <f t="shared" si="327"/>
        <v>1.1299999999999999E-2</v>
      </c>
      <c r="GE48" s="161">
        <f t="shared" si="328"/>
        <v>1.1200000000000002E-2</v>
      </c>
      <c r="GF48" s="161">
        <f t="shared" si="329"/>
        <v>1.11E-2</v>
      </c>
      <c r="GG48" s="161">
        <f t="shared" si="330"/>
        <v>1.1000000000000001E-2</v>
      </c>
      <c r="GH48" s="161">
        <f t="shared" si="331"/>
        <v>1.1000000000000001E-2</v>
      </c>
      <c r="GI48" s="161">
        <f t="shared" si="332"/>
        <v>1.09E-2</v>
      </c>
      <c r="GJ48" s="161">
        <f t="shared" si="333"/>
        <v>1.0800000000000001E-2</v>
      </c>
      <c r="GK48" s="161">
        <f t="shared" si="334"/>
        <v>1.0700000000000001E-2</v>
      </c>
      <c r="GL48" s="161">
        <f t="shared" si="335"/>
        <v>1.06E-2</v>
      </c>
      <c r="GM48" s="161">
        <f t="shared" si="336"/>
        <v>1.06E-2</v>
      </c>
      <c r="GN48" s="161">
        <f t="shared" si="337"/>
        <v>1.0500000000000001E-2</v>
      </c>
      <c r="GO48" s="161">
        <f t="shared" si="338"/>
        <v>1.04E-2</v>
      </c>
      <c r="GP48" s="161">
        <f t="shared" si="339"/>
        <v>1.03E-2</v>
      </c>
      <c r="GQ48" s="161">
        <f t="shared" si="340"/>
        <v>1.03E-2</v>
      </c>
      <c r="GR48" s="161">
        <f t="shared" si="341"/>
        <v>1.0200000000000001E-2</v>
      </c>
      <c r="GS48" s="161">
        <f t="shared" si="342"/>
        <v>1.0200000000000001E-2</v>
      </c>
      <c r="GT48" s="161">
        <f t="shared" si="343"/>
        <v>1.01E-2</v>
      </c>
      <c r="GU48" s="161">
        <f t="shared" si="344"/>
        <v>0.01</v>
      </c>
      <c r="GV48" s="161">
        <f t="shared" si="345"/>
        <v>0.01</v>
      </c>
      <c r="GW48" s="161">
        <f t="shared" si="346"/>
        <v>9.8999999999999991E-3</v>
      </c>
      <c r="GX48" s="118">
        <f t="shared" si="347"/>
        <v>9.8999999999999991E-3</v>
      </c>
      <c r="GY48" s="119"/>
      <c r="GZ48" s="119"/>
      <c r="HA48" s="119"/>
      <c r="HB48" s="119"/>
      <c r="HC48" s="119"/>
      <c r="HD48" s="119"/>
      <c r="HE48" s="119"/>
      <c r="HF48" s="119"/>
      <c r="HG48" s="119"/>
      <c r="HH48" s="119"/>
      <c r="HI48" s="119"/>
      <c r="HJ48" s="119"/>
      <c r="HK48" s="119"/>
      <c r="HL48" s="119"/>
      <c r="HM48" s="119"/>
      <c r="HN48" s="119"/>
      <c r="HO48" s="119"/>
      <c r="HP48" s="119"/>
      <c r="HQ48" s="119"/>
      <c r="HR48" s="119"/>
      <c r="HS48" s="119"/>
      <c r="HT48" s="119"/>
      <c r="HU48" s="119"/>
      <c r="HV48" s="119"/>
      <c r="HW48" s="119"/>
      <c r="HX48" s="119"/>
      <c r="HY48" s="119"/>
      <c r="HZ48" s="119"/>
      <c r="IA48" s="119"/>
      <c r="IB48" s="119"/>
      <c r="IC48" s="119"/>
      <c r="ID48" s="119"/>
      <c r="IE48" s="119"/>
      <c r="IF48" s="119"/>
      <c r="IG48" s="119"/>
      <c r="IH48" s="119"/>
      <c r="II48" s="119"/>
      <c r="IJ48" s="119"/>
      <c r="IK48" s="119"/>
      <c r="IL48" s="119"/>
      <c r="IM48" s="119"/>
      <c r="IN48" s="119"/>
      <c r="IO48" s="119"/>
      <c r="IP48" s="119"/>
      <c r="IQ48" s="119"/>
      <c r="IR48" s="119"/>
      <c r="IS48" s="119"/>
      <c r="IT48" s="119"/>
      <c r="IU48" s="119"/>
      <c r="IV48" s="119"/>
      <c r="IW48" s="119"/>
      <c r="IX48" s="119"/>
      <c r="IY48" s="119"/>
      <c r="IZ48" s="119"/>
      <c r="JA48" s="119"/>
      <c r="JB48" s="119"/>
      <c r="JC48" s="119"/>
      <c r="JD48" s="119"/>
      <c r="JE48" s="119"/>
      <c r="JF48" s="119"/>
      <c r="JG48" s="119"/>
      <c r="JH48" s="119"/>
      <c r="JI48" s="119"/>
      <c r="JJ48" s="119"/>
      <c r="JK48" s="119"/>
      <c r="JL48" s="119"/>
      <c r="JM48" s="119"/>
      <c r="JN48" s="132"/>
      <c r="JO48" s="132"/>
      <c r="JP48" s="132"/>
      <c r="JQ48" s="132"/>
      <c r="JR48" s="132"/>
      <c r="JS48" s="132"/>
      <c r="JT48" s="132"/>
      <c r="JU48" s="132"/>
      <c r="JV48" s="132"/>
      <c r="JW48" s="132"/>
      <c r="JX48" s="132"/>
      <c r="JY48" s="132"/>
      <c r="JZ48" s="132"/>
      <c r="KA48" s="132"/>
      <c r="KB48" s="132"/>
      <c r="KC48" s="132"/>
      <c r="KD48" s="132"/>
      <c r="KE48" s="132"/>
      <c r="KF48" s="132"/>
      <c r="KG48" s="132"/>
      <c r="KH48" s="132"/>
      <c r="KI48" s="132"/>
      <c r="KJ48" s="132"/>
      <c r="KK48" s="35"/>
      <c r="KL48" s="35"/>
      <c r="KM48" s="35"/>
      <c r="KN48" s="35"/>
      <c r="KO48" s="35"/>
      <c r="KP48" s="35"/>
      <c r="KQ48" s="35"/>
      <c r="KR48" s="35"/>
      <c r="KS48" s="35"/>
      <c r="KT48" s="35"/>
      <c r="KU48" s="35"/>
      <c r="KV48" s="35"/>
      <c r="KW48" s="35"/>
      <c r="KX48" s="35"/>
      <c r="KY48" s="35"/>
      <c r="KZ48" s="35"/>
      <c r="LA48" s="35"/>
      <c r="LB48" s="35"/>
      <c r="LC48" s="35"/>
      <c r="LD48" s="35"/>
      <c r="LE48" s="35"/>
      <c r="LF48" s="35"/>
      <c r="LG48" s="35"/>
      <c r="LH48" s="35"/>
      <c r="LI48" s="35"/>
      <c r="LJ48" s="35"/>
      <c r="LK48" s="35"/>
      <c r="LL48" s="35"/>
      <c r="LM48" s="35"/>
      <c r="LN48" s="35"/>
      <c r="LO48" s="35"/>
      <c r="LP48" s="35"/>
      <c r="LQ48" s="35"/>
      <c r="LR48" s="35"/>
      <c r="LS48" s="35"/>
      <c r="LT48" s="35"/>
      <c r="LU48" s="35"/>
      <c r="LV48" s="35"/>
      <c r="LW48" s="35"/>
      <c r="LX48" s="35"/>
      <c r="LY48" s="35"/>
      <c r="LZ48" s="35"/>
      <c r="MA48" s="35"/>
      <c r="MB48" s="35"/>
      <c r="MC48" s="35"/>
      <c r="MD48" s="35"/>
      <c r="ME48" s="35"/>
      <c r="MF48" s="35"/>
      <c r="MG48" s="35"/>
      <c r="MH48" s="35"/>
      <c r="MI48" s="35"/>
      <c r="MJ48" s="35"/>
      <c r="MK48" s="35"/>
      <c r="ML48" s="35"/>
      <c r="MM48" s="35"/>
      <c r="MN48" s="35"/>
      <c r="MO48" s="35"/>
      <c r="MP48" s="35"/>
      <c r="MQ48" s="35"/>
      <c r="MR48" s="35"/>
      <c r="MS48" s="35"/>
      <c r="MT48" s="35"/>
      <c r="MU48" s="35"/>
      <c r="MV48" s="35"/>
      <c r="MW48" s="35"/>
      <c r="MX48" s="35"/>
      <c r="MY48" s="35"/>
      <c r="MZ48" s="35"/>
      <c r="NA48" s="35"/>
      <c r="NB48" s="35"/>
      <c r="NC48" s="35"/>
      <c r="ND48" s="35"/>
      <c r="NE48" s="35"/>
      <c r="NF48" s="35"/>
      <c r="NG48" s="35"/>
      <c r="NH48" s="35"/>
      <c r="NI48" s="35"/>
      <c r="NJ48" s="35"/>
      <c r="NK48" s="35"/>
      <c r="NL48" s="35"/>
      <c r="NM48" s="35"/>
      <c r="NN48" s="35"/>
      <c r="NO48" s="35"/>
      <c r="NP48" s="35"/>
      <c r="NQ48" s="35"/>
      <c r="NR48" s="35"/>
      <c r="NS48" s="35"/>
      <c r="NT48" s="35"/>
      <c r="NU48" s="35"/>
      <c r="NV48" s="35"/>
      <c r="NW48" s="35"/>
      <c r="NX48" s="35"/>
      <c r="NY48" s="35"/>
      <c r="NZ48" s="35"/>
      <c r="OA48" s="35"/>
      <c r="OB48" s="35"/>
      <c r="OC48" s="35"/>
      <c r="OD48" s="35"/>
      <c r="OE48" s="35"/>
      <c r="OF48" s="35"/>
      <c r="OG48" s="35"/>
      <c r="OH48" s="35"/>
      <c r="OI48" s="35"/>
      <c r="OJ48" s="35"/>
      <c r="OK48" s="35"/>
      <c r="OL48" s="35"/>
      <c r="OM48" s="35"/>
      <c r="ON48" s="35"/>
      <c r="OO48" s="35"/>
      <c r="OP48" s="35"/>
      <c r="OQ48" s="35"/>
      <c r="OR48" s="35"/>
      <c r="OS48" s="35"/>
      <c r="OT48" s="35"/>
      <c r="OU48" s="35"/>
      <c r="OV48" s="35"/>
      <c r="OW48" s="35"/>
      <c r="OX48" s="35"/>
      <c r="OY48" s="35"/>
      <c r="OZ48" s="35"/>
      <c r="PA48" s="35"/>
      <c r="PB48" s="35"/>
      <c r="PC48" s="35"/>
      <c r="PD48" s="35"/>
      <c r="PE48" s="35"/>
      <c r="PF48" s="35"/>
      <c r="PG48" s="35"/>
      <c r="PH48" s="35"/>
      <c r="PI48" s="35"/>
      <c r="PJ48" s="35"/>
      <c r="PK48" s="35"/>
      <c r="PL48" s="35"/>
      <c r="PM48" s="35"/>
      <c r="PN48" s="35"/>
      <c r="PO48" s="35"/>
      <c r="PP48" s="35"/>
      <c r="PQ48" s="35"/>
      <c r="PR48" s="35"/>
      <c r="PS48" s="35"/>
      <c r="PT48" s="35"/>
      <c r="PU48" s="35"/>
      <c r="PV48" s="35"/>
      <c r="PW48" s="35"/>
      <c r="PX48" s="35"/>
      <c r="PY48" s="35"/>
      <c r="PZ48" s="35"/>
      <c r="QA48" s="35"/>
      <c r="QB48" s="35"/>
      <c r="QC48" s="35"/>
      <c r="QD48" s="35"/>
      <c r="QE48" s="35"/>
      <c r="QF48" s="35"/>
      <c r="QG48" s="35"/>
      <c r="QH48" s="35"/>
      <c r="QI48" s="35"/>
      <c r="QJ48" s="35"/>
      <c r="QK48" s="35"/>
      <c r="QL48" s="35"/>
      <c r="QM48" s="35"/>
      <c r="QN48" s="35"/>
      <c r="QO48" s="35"/>
      <c r="QP48" s="35"/>
      <c r="QQ48" s="35"/>
      <c r="QR48" s="35"/>
      <c r="QS48" s="35"/>
      <c r="QT48" s="35"/>
      <c r="QU48" s="35"/>
      <c r="QV48" s="35"/>
      <c r="QW48" s="35"/>
      <c r="QX48" s="35"/>
      <c r="QY48" s="35"/>
      <c r="QZ48" s="35"/>
      <c r="RA48" s="35"/>
      <c r="RB48" s="35"/>
      <c r="RC48" s="184"/>
      <c r="RD48" s="184"/>
      <c r="RE48" s="184"/>
      <c r="RF48" s="184"/>
      <c r="RG48" s="184"/>
      <c r="RH48" s="184"/>
      <c r="RI48" s="184"/>
      <c r="RJ48" s="184"/>
      <c r="RK48" s="184"/>
      <c r="RL48" s="184"/>
      <c r="RM48" s="184"/>
      <c r="RN48" s="184"/>
      <c r="RO48" s="184"/>
      <c r="RP48" s="184"/>
      <c r="RQ48" s="184"/>
      <c r="RR48" s="184"/>
      <c r="RS48" s="184"/>
      <c r="RT48" s="184"/>
      <c r="RU48" s="184"/>
      <c r="RV48" s="184"/>
      <c r="RW48" s="184"/>
      <c r="RX48" s="184"/>
      <c r="RY48" s="184"/>
      <c r="RZ48" s="184"/>
      <c r="SA48" s="185"/>
      <c r="SB48" s="185"/>
      <c r="SC48" s="185"/>
      <c r="SD48" s="185"/>
      <c r="SE48" s="185"/>
      <c r="SF48" s="185"/>
      <c r="SG48" s="185"/>
      <c r="SH48" s="185"/>
      <c r="SI48" s="185"/>
      <c r="SJ48" s="185"/>
      <c r="SK48" s="185"/>
      <c r="SL48" s="185"/>
      <c r="SM48" s="185"/>
      <c r="SN48" s="185"/>
      <c r="SO48" s="185"/>
      <c r="SP48" s="185"/>
      <c r="SQ48" s="185"/>
      <c r="SR48" s="185"/>
      <c r="SS48" s="185"/>
      <c r="ST48" s="185"/>
      <c r="SU48" s="185"/>
      <c r="SV48" s="185"/>
      <c r="SW48" s="185"/>
      <c r="SX48" s="185"/>
      <c r="SY48" s="185"/>
      <c r="SZ48" s="185"/>
      <c r="TA48" s="11"/>
      <c r="TB48" s="11"/>
      <c r="TC48" s="11"/>
      <c r="TD48" s="11"/>
    </row>
    <row r="49" spans="1:525" ht="22.15" customHeight="1" thickBot="1" x14ac:dyDescent="0.3">
      <c r="A49" s="298"/>
      <c r="B49" s="25" t="s">
        <v>105</v>
      </c>
      <c r="D49" s="10"/>
      <c r="BB49" s="124">
        <f t="shared" si="195"/>
        <v>0.14050000000000001</v>
      </c>
      <c r="BC49" s="115">
        <f t="shared" si="196"/>
        <v>0.15349541071428571</v>
      </c>
      <c r="BD49" s="115">
        <f t="shared" si="197"/>
        <v>0.16790765106568878</v>
      </c>
      <c r="BE49" s="115">
        <f t="shared" si="198"/>
        <v>0.18331904442666083</v>
      </c>
      <c r="BF49" s="115">
        <f t="shared" si="199"/>
        <v>0.19935467139751761</v>
      </c>
      <c r="BG49" s="115">
        <f t="shared" si="200"/>
        <v>0.2166426892048324</v>
      </c>
      <c r="BH49" s="115">
        <f t="shared" si="201"/>
        <v>0.2353432020092141</v>
      </c>
      <c r="BI49" s="115">
        <f t="shared" si="202"/>
        <v>0.25505677544932165</v>
      </c>
      <c r="BJ49" s="115">
        <f t="shared" si="203"/>
        <v>0.27583239066968751</v>
      </c>
      <c r="BK49" s="115">
        <f t="shared" si="204"/>
        <v>0.29697738913303484</v>
      </c>
      <c r="BL49" s="115">
        <f t="shared" si="205"/>
        <v>0.3194037691593315</v>
      </c>
      <c r="BM49" s="115">
        <f t="shared" si="206"/>
        <v>0.34269017321519196</v>
      </c>
      <c r="BN49" s="115">
        <f t="shared" si="207"/>
        <v>0.36728624217254702</v>
      </c>
      <c r="BO49" s="115">
        <f t="shared" si="208"/>
        <v>0.39272283715155293</v>
      </c>
      <c r="BP49" s="115">
        <f t="shared" si="209"/>
        <v>0.4186413483967294</v>
      </c>
      <c r="BQ49" s="115">
        <f t="shared" si="210"/>
        <v>0.44516430350160602</v>
      </c>
      <c r="BR49" s="115">
        <f t="shared" si="211"/>
        <v>0.47180154377391648</v>
      </c>
      <c r="BS49" s="115">
        <f t="shared" si="212"/>
        <v>0.49977012867788351</v>
      </c>
      <c r="BT49" s="115">
        <f t="shared" si="213"/>
        <v>0.52873554206564766</v>
      </c>
      <c r="BU49" s="115">
        <f t="shared" si="214"/>
        <v>0.55806974775310336</v>
      </c>
      <c r="BV49" s="115">
        <f t="shared" si="215"/>
        <v>0.58829561286534438</v>
      </c>
      <c r="BW49" s="115">
        <f t="shared" si="216"/>
        <v>0.61736583170566495</v>
      </c>
      <c r="BX49" s="115">
        <f t="shared" si="217"/>
        <v>0.64838994880135448</v>
      </c>
      <c r="BY49" s="115">
        <f t="shared" si="218"/>
        <v>0.67945839994117818</v>
      </c>
      <c r="BZ49" s="115">
        <f t="shared" si="219"/>
        <v>0.71278668366268905</v>
      </c>
      <c r="CA49" s="115">
        <f t="shared" si="220"/>
        <v>0.74696390684333991</v>
      </c>
      <c r="CB49" s="115">
        <f t="shared" si="221"/>
        <v>0.78124953431619559</v>
      </c>
      <c r="CC49" s="115">
        <f t="shared" si="222"/>
        <v>0.81624935648608865</v>
      </c>
      <c r="CD49" s="115">
        <f t="shared" si="223"/>
        <v>0.851190450173121</v>
      </c>
      <c r="CE49" s="115">
        <f t="shared" si="224"/>
        <v>0.88669158617649757</v>
      </c>
      <c r="CF49" s="115">
        <f t="shared" si="225"/>
        <v>0.9226928896086164</v>
      </c>
      <c r="CG49" s="115">
        <f t="shared" si="226"/>
        <v>0.9583702115541558</v>
      </c>
      <c r="CH49" s="115">
        <f t="shared" si="227"/>
        <v>0.99436612748230468</v>
      </c>
      <c r="CI49" s="115">
        <f t="shared" si="228"/>
        <v>1.0306058047907931</v>
      </c>
      <c r="CJ49" s="115">
        <f t="shared" si="229"/>
        <v>1.0662242972344411</v>
      </c>
      <c r="CK49" s="115">
        <f t="shared" si="230"/>
        <v>1.098837681270268</v>
      </c>
      <c r="CL49" s="115">
        <f t="shared" si="231"/>
        <v>1.1333551862719433</v>
      </c>
      <c r="CM49" s="115">
        <f t="shared" si="232"/>
        <v>1.1643356897299235</v>
      </c>
      <c r="CN49" s="115">
        <f t="shared" si="233"/>
        <v>1.1980573168234954</v>
      </c>
      <c r="CO49" s="115">
        <f t="shared" si="234"/>
        <v>1.230594031322491</v>
      </c>
      <c r="CP49" s="115">
        <f t="shared" si="235"/>
        <v>1.25877805295653</v>
      </c>
      <c r="CQ49" s="115">
        <f t="shared" si="236"/>
        <v>1.2898201531700975</v>
      </c>
      <c r="CR49" s="115">
        <f t="shared" si="237"/>
        <v>1.3151769703837655</v>
      </c>
      <c r="CS49" s="115">
        <f t="shared" si="238"/>
        <v>1.3434748261788181</v>
      </c>
      <c r="CT49" s="115">
        <f t="shared" si="239"/>
        <v>1.3707845882486138</v>
      </c>
      <c r="CU49" s="115">
        <f t="shared" si="240"/>
        <v>1.3962440358625756</v>
      </c>
      <c r="CV49" s="115">
        <f t="shared" si="241"/>
        <v>1.4204905112874515</v>
      </c>
      <c r="CW49" s="115">
        <f t="shared" si="242"/>
        <v>1.4434197840759082</v>
      </c>
      <c r="CX49" s="115">
        <f t="shared" si="243"/>
        <v>1.4641996455827908</v>
      </c>
      <c r="CY49" s="169">
        <f t="shared" si="244"/>
        <v>1.4834503847325724</v>
      </c>
      <c r="CZ49" s="136">
        <f t="shared" si="245"/>
        <v>0</v>
      </c>
      <c r="DA49" s="170">
        <f t="shared" si="246"/>
        <v>1.4638512217573703</v>
      </c>
      <c r="DB49" s="149">
        <f t="shared" si="247"/>
        <v>1.4767759282456547</v>
      </c>
      <c r="DC49" s="149">
        <f t="shared" si="248"/>
        <v>1.4872269348401286</v>
      </c>
      <c r="DD49" s="149">
        <f t="shared" si="249"/>
        <v>1.5080184446477354</v>
      </c>
      <c r="DE49" s="149">
        <f t="shared" si="250"/>
        <v>1.5279256892956639</v>
      </c>
      <c r="DF49" s="149">
        <f t="shared" si="251"/>
        <v>1.5397896971590186</v>
      </c>
      <c r="DG49" s="149">
        <f t="shared" si="252"/>
        <v>1.5567703640010737</v>
      </c>
      <c r="DH49" s="149">
        <f t="shared" si="253"/>
        <v>1.5726897843305634</v>
      </c>
      <c r="DI49" s="149">
        <f t="shared" si="254"/>
        <v>1.5874948334423751</v>
      </c>
      <c r="DJ49" s="149">
        <f t="shared" si="255"/>
        <v>1.6005638232576938</v>
      </c>
      <c r="DK49" s="149">
        <f t="shared" si="256"/>
        <v>1.6049855194787468</v>
      </c>
      <c r="DL49" s="149">
        <f t="shared" si="257"/>
        <v>1.6151835357682431</v>
      </c>
      <c r="DM49" s="149">
        <f t="shared" si="258"/>
        <v>1.624065309288073</v>
      </c>
      <c r="DN49" s="149">
        <f t="shared" si="259"/>
        <v>1.639056681373809</v>
      </c>
      <c r="DO49" s="149">
        <f t="shared" si="260"/>
        <v>1.6532265262692467</v>
      </c>
      <c r="DP49" s="149">
        <f t="shared" si="261"/>
        <v>1.6665403195940414</v>
      </c>
      <c r="DQ49" s="149">
        <f t="shared" si="262"/>
        <v>1.6789640008207636</v>
      </c>
      <c r="DR49" s="149">
        <f t="shared" si="263"/>
        <v>1.6904640476120993</v>
      </c>
      <c r="DS49" s="149">
        <f t="shared" si="264"/>
        <v>1.7005118899522849</v>
      </c>
      <c r="DT49" s="149">
        <f t="shared" si="265"/>
        <v>1.7095731100983165</v>
      </c>
      <c r="DU49" s="149">
        <f t="shared" si="266"/>
        <v>1.7176172571045174</v>
      </c>
      <c r="DV49" s="149">
        <f t="shared" si="267"/>
        <v>1.724614726550094</v>
      </c>
      <c r="DW49" s="149">
        <f t="shared" si="268"/>
        <v>1.7300746508710168</v>
      </c>
      <c r="DX49" s="149">
        <f t="shared" si="269"/>
        <v>1.7443476482099647</v>
      </c>
      <c r="DY49" s="149">
        <f t="shared" si="270"/>
        <v>1.7580906710059778</v>
      </c>
      <c r="DZ49" s="149">
        <f t="shared" si="271"/>
        <v>1.7712839906251225</v>
      </c>
      <c r="EA49" s="149">
        <f t="shared" si="272"/>
        <v>1.7839080310914897</v>
      </c>
      <c r="EB49" s="149">
        <f t="shared" si="273"/>
        <v>1.7955030540076808</v>
      </c>
      <c r="EC49" s="149">
        <f t="shared" si="274"/>
        <v>1.8064898226952995</v>
      </c>
      <c r="ED49" s="149">
        <f t="shared" si="275"/>
        <v>1.8168499330037686</v>
      </c>
      <c r="EE49" s="149">
        <f t="shared" si="276"/>
        <v>1.8265652483816326</v>
      </c>
      <c r="EF49" s="149">
        <f t="shared" si="277"/>
        <v>1.8356179263640919</v>
      </c>
      <c r="EG49" s="149">
        <f t="shared" si="278"/>
        <v>1.8439904451167823</v>
      </c>
      <c r="EH49" s="149">
        <f t="shared" si="279"/>
        <v>1.8635352814665112</v>
      </c>
      <c r="EI49" s="149">
        <f t="shared" si="280"/>
        <v>1.8825708111023103</v>
      </c>
      <c r="EJ49" s="149">
        <f t="shared" si="281"/>
        <v>1.9014999571699871</v>
      </c>
      <c r="EK49" s="149">
        <f t="shared" si="282"/>
        <v>1.9203145836279207</v>
      </c>
      <c r="EL49" s="149">
        <f t="shared" si="283"/>
        <v>1.9390064768802473</v>
      </c>
      <c r="EM49" s="149">
        <f t="shared" si="284"/>
        <v>1.9575673493368078</v>
      </c>
      <c r="EN49" s="149">
        <f t="shared" si="285"/>
        <v>1.9759888430834802</v>
      </c>
      <c r="EO49" s="149">
        <f t="shared" si="286"/>
        <v>1.9938474099551347</v>
      </c>
      <c r="EP49" s="149">
        <f t="shared" si="287"/>
        <v>2.0115449559460856</v>
      </c>
      <c r="EQ49" s="149">
        <f t="shared" si="288"/>
        <v>2.0290731123881076</v>
      </c>
      <c r="ER49" s="149">
        <f t="shared" si="289"/>
        <v>2.0464234617282977</v>
      </c>
      <c r="ES49" s="149">
        <f t="shared" si="290"/>
        <v>2.0635875416634013</v>
      </c>
      <c r="ET49" s="149">
        <f t="shared" si="291"/>
        <v>2.0805568493690219</v>
      </c>
      <c r="EU49" s="149">
        <f t="shared" si="292"/>
        <v>2.0973228458217061</v>
      </c>
      <c r="EV49" s="149">
        <f t="shared" si="293"/>
        <v>2.1138769602118068</v>
      </c>
      <c r="EW49" s="149">
        <f t="shared" si="294"/>
        <v>2.1297999644471441</v>
      </c>
      <c r="EX49" s="173">
        <f t="shared" si="295"/>
        <v>2.1454905837725113</v>
      </c>
      <c r="EY49" s="136">
        <f t="shared" si="296"/>
        <v>0</v>
      </c>
      <c r="EZ49" s="174">
        <f t="shared" si="297"/>
        <v>2.1412140821008765</v>
      </c>
      <c r="FA49" s="159">
        <f t="shared" si="298"/>
        <v>2.1559170615818175</v>
      </c>
      <c r="FB49" s="159">
        <f t="shared" si="299"/>
        <v>2.1703581453977518</v>
      </c>
      <c r="FC49" s="159">
        <f t="shared" si="300"/>
        <v>2.184529025673525</v>
      </c>
      <c r="FD49" s="159">
        <f t="shared" si="301"/>
        <v>2.1984214050279709</v>
      </c>
      <c r="FE49" s="159">
        <f t="shared" si="302"/>
        <v>2.211633271903449</v>
      </c>
      <c r="FF49" s="159">
        <f t="shared" si="303"/>
        <v>2.2412742419613738</v>
      </c>
      <c r="FG49" s="159">
        <f t="shared" si="304"/>
        <v>2.2543623761048157</v>
      </c>
      <c r="FH49" s="159">
        <f t="shared" si="305"/>
        <v>2.2671415772951589</v>
      </c>
      <c r="FI49" s="159">
        <f t="shared" si="306"/>
        <v>2.2796037489433942</v>
      </c>
      <c r="FJ49" s="159">
        <f t="shared" si="307"/>
        <v>2.2917408337451746</v>
      </c>
      <c r="FK49" s="159">
        <f t="shared" si="308"/>
        <v>2.3035448187610004</v>
      </c>
      <c r="FL49" s="159">
        <f t="shared" si="309"/>
        <v>2.3146226128718004</v>
      </c>
      <c r="FM49" s="159">
        <f t="shared" si="310"/>
        <v>2.325350757169812</v>
      </c>
      <c r="FN49" s="159">
        <f t="shared" si="311"/>
        <v>2.3542590949919009</v>
      </c>
      <c r="FO49" s="159">
        <f t="shared" si="312"/>
        <v>2.3647588883285846</v>
      </c>
      <c r="FP49" s="159">
        <f t="shared" si="313"/>
        <v>2.3748893038404542</v>
      </c>
      <c r="FQ49" s="159">
        <f t="shared" si="314"/>
        <v>2.3846427583122991</v>
      </c>
      <c r="FR49" s="159">
        <f t="shared" si="315"/>
        <v>2.3940117469793045</v>
      </c>
      <c r="FS49" s="159">
        <f t="shared" si="316"/>
        <v>2.4223095038087679</v>
      </c>
      <c r="FT49" s="159">
        <f t="shared" si="317"/>
        <v>2.4310153908205385</v>
      </c>
      <c r="FU49" s="159">
        <f t="shared" si="318"/>
        <v>2.4393177404910493</v>
      </c>
      <c r="FV49" s="159">
        <f t="shared" si="319"/>
        <v>2.4472094509635824</v>
      </c>
      <c r="FW49" s="159">
        <f t="shared" si="320"/>
        <v>2.454683521925336</v>
      </c>
      <c r="FX49" s="159">
        <f t="shared" si="321"/>
        <v>2.4617330596463143</v>
      </c>
      <c r="FY49" s="159">
        <f t="shared" si="322"/>
        <v>2.4683512820045368</v>
      </c>
      <c r="FZ49" s="159">
        <f t="shared" si="323"/>
        <v>2.4955031461065866</v>
      </c>
      <c r="GA49" s="159">
        <f t="shared" si="324"/>
        <v>2.1921182166175264</v>
      </c>
      <c r="GB49" s="159">
        <f t="shared" si="325"/>
        <v>2.1968846039276047</v>
      </c>
      <c r="GC49" s="159">
        <f t="shared" si="326"/>
        <v>1.8901412935030988</v>
      </c>
      <c r="GD49" s="159">
        <f t="shared" si="327"/>
        <v>1.893545758522976</v>
      </c>
      <c r="GE49" s="159">
        <f t="shared" si="328"/>
        <v>1.8965992639742819</v>
      </c>
      <c r="GF49" s="159">
        <f t="shared" si="329"/>
        <v>1.8992974022129114</v>
      </c>
      <c r="GG49" s="159">
        <f t="shared" si="330"/>
        <v>1.9013807816027264</v>
      </c>
      <c r="GH49" s="159">
        <f t="shared" si="331"/>
        <v>1.6036649468393922</v>
      </c>
      <c r="GI49" s="159">
        <f t="shared" si="332"/>
        <v>1.6051167362248326</v>
      </c>
      <c r="GJ49" s="159">
        <f t="shared" si="333"/>
        <v>1.2881816709865186</v>
      </c>
      <c r="GK49" s="159">
        <f t="shared" si="334"/>
        <v>1.2888483063119804</v>
      </c>
      <c r="GL49" s="159">
        <f t="shared" si="335"/>
        <v>1.2892623473412648</v>
      </c>
      <c r="GM49" s="159">
        <f t="shared" si="336"/>
        <v>1.3017016038353926</v>
      </c>
      <c r="GN49" s="159">
        <f t="shared" si="337"/>
        <v>1.301862191115982</v>
      </c>
      <c r="GO49" s="159">
        <f t="shared" si="338"/>
        <v>0.97939712572032023</v>
      </c>
      <c r="GP49" s="159">
        <f t="shared" si="339"/>
        <v>0.97912536992444743</v>
      </c>
      <c r="GQ49" s="159">
        <f t="shared" si="340"/>
        <v>0.66187440390966013</v>
      </c>
      <c r="GR49" s="159">
        <f t="shared" si="341"/>
        <v>0.66147571468451072</v>
      </c>
      <c r="GS49" s="159">
        <f t="shared" si="342"/>
        <v>0.66748651574403517</v>
      </c>
      <c r="GT49" s="159">
        <f t="shared" si="343"/>
        <v>0.66694848633172832</v>
      </c>
      <c r="GU49" s="159">
        <f t="shared" si="344"/>
        <v>0.66627378596888731</v>
      </c>
      <c r="GV49" s="159">
        <f t="shared" si="345"/>
        <v>0.33904645178173293</v>
      </c>
      <c r="GW49" s="159">
        <f t="shared" si="346"/>
        <v>0.33863310993356072</v>
      </c>
      <c r="GX49" s="197">
        <f t="shared" si="347"/>
        <v>-6.845541933200597E-4</v>
      </c>
      <c r="GY49" s="119"/>
      <c r="GZ49" s="119"/>
      <c r="HA49" s="119"/>
      <c r="HB49" s="119"/>
      <c r="HC49" s="119"/>
      <c r="HD49" s="119"/>
      <c r="HE49" s="119"/>
      <c r="HF49" s="119"/>
      <c r="HG49" s="119"/>
      <c r="HH49" s="119"/>
      <c r="HI49" s="119"/>
      <c r="HJ49" s="119"/>
      <c r="HK49" s="119"/>
      <c r="HL49" s="119"/>
      <c r="HM49" s="119"/>
      <c r="HN49" s="119"/>
      <c r="HO49" s="119"/>
      <c r="HP49" s="119"/>
      <c r="HQ49" s="119"/>
      <c r="HR49" s="119"/>
      <c r="HS49" s="119"/>
      <c r="HT49" s="119"/>
      <c r="HU49" s="119"/>
      <c r="HV49" s="119"/>
      <c r="HW49" s="119"/>
      <c r="HX49" s="119"/>
      <c r="HY49" s="119"/>
      <c r="HZ49" s="119"/>
      <c r="IA49" s="119"/>
      <c r="IB49" s="119"/>
      <c r="IC49" s="119"/>
      <c r="ID49" s="119"/>
      <c r="IE49" s="119"/>
      <c r="IF49" s="119"/>
      <c r="IG49" s="119"/>
      <c r="IH49" s="119"/>
      <c r="II49" s="119"/>
      <c r="IJ49" s="119"/>
      <c r="IK49" s="119"/>
      <c r="IL49" s="119"/>
      <c r="IM49" s="119"/>
      <c r="IN49" s="119"/>
      <c r="IO49" s="119"/>
      <c r="IP49" s="119"/>
      <c r="IQ49" s="119"/>
      <c r="IR49" s="119"/>
      <c r="IS49" s="119"/>
      <c r="IT49" s="119"/>
      <c r="IU49" s="119"/>
      <c r="IV49" s="119"/>
      <c r="IW49" s="119"/>
      <c r="IX49" s="119"/>
      <c r="IY49" s="119"/>
      <c r="IZ49" s="119"/>
      <c r="JA49" s="119"/>
      <c r="JB49" s="119"/>
      <c r="JC49" s="119"/>
      <c r="JD49" s="119"/>
      <c r="JE49" s="119"/>
      <c r="JF49" s="119"/>
      <c r="JG49" s="119"/>
      <c r="JH49" s="119"/>
      <c r="JI49" s="119"/>
      <c r="JJ49" s="119"/>
      <c r="JK49" s="119"/>
      <c r="JL49" s="119"/>
      <c r="JM49" s="119"/>
      <c r="JN49" s="131"/>
      <c r="JO49" s="131"/>
      <c r="JP49" s="131"/>
      <c r="JQ49" s="131"/>
      <c r="JR49" s="131"/>
      <c r="JS49" s="131"/>
      <c r="JT49" s="131"/>
      <c r="JU49" s="131"/>
      <c r="JV49" s="131"/>
      <c r="JW49" s="131"/>
      <c r="JX49" s="131"/>
      <c r="JY49" s="131"/>
      <c r="JZ49" s="131"/>
      <c r="KA49" s="131"/>
      <c r="KB49" s="131"/>
      <c r="KC49" s="131"/>
      <c r="KD49" s="131"/>
      <c r="KE49" s="131"/>
      <c r="KF49" s="131"/>
      <c r="KG49" s="131"/>
      <c r="KH49" s="131"/>
      <c r="KI49" s="131"/>
      <c r="KJ49" s="131"/>
      <c r="KK49" s="23"/>
      <c r="KL49" s="23"/>
      <c r="KM49" s="23"/>
      <c r="KN49" s="23"/>
      <c r="KO49" s="23"/>
      <c r="KP49" s="23"/>
      <c r="KQ49" s="23"/>
      <c r="KR49" s="23"/>
      <c r="KS49" s="23"/>
      <c r="KT49" s="23"/>
      <c r="KU49" s="23"/>
      <c r="KV49" s="23"/>
      <c r="KW49" s="23"/>
      <c r="KX49" s="23"/>
      <c r="KY49" s="23"/>
      <c r="KZ49" s="23"/>
      <c r="LA49" s="23"/>
      <c r="LB49" s="23"/>
      <c r="LC49" s="23"/>
      <c r="LD49" s="23"/>
      <c r="LE49" s="23"/>
      <c r="LF49" s="23"/>
      <c r="LG49" s="23"/>
      <c r="LH49" s="23"/>
      <c r="LI49" s="23"/>
      <c r="LJ49" s="23"/>
      <c r="LK49" s="23"/>
      <c r="LL49" s="23"/>
      <c r="LM49" s="23"/>
      <c r="LN49" s="23"/>
      <c r="LO49" s="23"/>
      <c r="LP49" s="23"/>
      <c r="LQ49" s="23"/>
      <c r="LR49" s="23"/>
      <c r="LS49" s="23"/>
      <c r="LT49" s="23"/>
      <c r="LU49" s="23"/>
      <c r="LV49" s="23"/>
      <c r="LW49" s="23"/>
      <c r="LX49" s="23"/>
      <c r="LY49" s="23"/>
      <c r="LZ49" s="23"/>
      <c r="MA49" s="23"/>
      <c r="MB49" s="23"/>
      <c r="MC49" s="23"/>
      <c r="MD49" s="23"/>
      <c r="ME49" s="23"/>
      <c r="MF49" s="23"/>
      <c r="MG49" s="23"/>
      <c r="MH49" s="23"/>
      <c r="MI49" s="23"/>
      <c r="MJ49" s="23"/>
      <c r="MK49" s="23"/>
      <c r="ML49" s="23"/>
      <c r="MM49" s="23"/>
      <c r="MN49" s="23"/>
      <c r="MO49" s="23"/>
      <c r="MP49" s="23"/>
      <c r="MQ49" s="23"/>
      <c r="MR49" s="23"/>
      <c r="MS49" s="23"/>
      <c r="MT49" s="23"/>
      <c r="MU49" s="23"/>
      <c r="MV49" s="23"/>
      <c r="MW49" s="23"/>
      <c r="MX49" s="23"/>
      <c r="MY49" s="23"/>
      <c r="MZ49" s="23"/>
      <c r="NA49" s="23"/>
      <c r="NB49" s="23"/>
      <c r="NC49" s="23"/>
      <c r="ND49" s="23"/>
      <c r="NE49" s="23"/>
      <c r="NF49" s="23"/>
      <c r="NG49" s="23"/>
      <c r="NH49" s="23"/>
      <c r="NI49" s="23"/>
      <c r="NJ49" s="23"/>
      <c r="NK49" s="23"/>
      <c r="NL49" s="23"/>
      <c r="NM49" s="23"/>
      <c r="NN49" s="23"/>
      <c r="NO49" s="23"/>
      <c r="NP49" s="23"/>
      <c r="NQ49" s="23"/>
      <c r="NR49" s="23"/>
      <c r="NS49" s="23"/>
      <c r="NT49" s="23"/>
      <c r="NU49" s="23"/>
      <c r="NV49" s="23"/>
      <c r="NW49" s="23"/>
      <c r="NX49" s="23"/>
      <c r="NY49" s="23"/>
      <c r="NZ49" s="23"/>
      <c r="OA49" s="23"/>
      <c r="OB49" s="23"/>
      <c r="OC49" s="23"/>
      <c r="OD49" s="23"/>
      <c r="OE49" s="23"/>
      <c r="OF49" s="23"/>
      <c r="OG49" s="23"/>
      <c r="OH49" s="23"/>
      <c r="OI49" s="23"/>
      <c r="OJ49" s="23"/>
      <c r="OK49" s="23"/>
      <c r="OL49" s="23"/>
      <c r="OM49" s="23"/>
      <c r="ON49" s="23"/>
      <c r="OO49" s="23"/>
      <c r="OP49" s="23"/>
      <c r="OQ49" s="23"/>
      <c r="OR49" s="23"/>
      <c r="OS49" s="23"/>
      <c r="OT49" s="23"/>
      <c r="OU49" s="23"/>
      <c r="OV49" s="23"/>
      <c r="OW49" s="23"/>
      <c r="OX49" s="23"/>
      <c r="OY49" s="23"/>
      <c r="OZ49" s="23"/>
      <c r="PA49" s="23"/>
      <c r="PB49" s="23"/>
      <c r="PC49" s="23"/>
      <c r="PD49" s="23"/>
      <c r="PE49" s="23"/>
      <c r="PF49" s="23"/>
      <c r="PG49" s="23"/>
      <c r="PH49" s="23"/>
      <c r="PI49" s="23"/>
      <c r="PJ49" s="23"/>
      <c r="PK49" s="23"/>
      <c r="PL49" s="23"/>
      <c r="PM49" s="23"/>
      <c r="PN49" s="23"/>
      <c r="PO49" s="23"/>
      <c r="PP49" s="23"/>
      <c r="PQ49" s="23"/>
      <c r="PR49" s="23"/>
      <c r="PS49" s="23"/>
      <c r="PT49" s="23"/>
      <c r="PU49" s="23"/>
      <c r="PV49" s="23"/>
      <c r="PW49" s="23"/>
      <c r="PX49" s="23"/>
      <c r="PY49" s="23"/>
      <c r="PZ49" s="23"/>
      <c r="QA49" s="23"/>
      <c r="QB49" s="23"/>
      <c r="QC49" s="23"/>
      <c r="QD49" s="23"/>
      <c r="QE49" s="23"/>
      <c r="QF49" s="23"/>
      <c r="QG49" s="23"/>
      <c r="QH49" s="23"/>
      <c r="QI49" s="23"/>
      <c r="QJ49" s="23"/>
      <c r="QK49" s="23"/>
      <c r="QL49" s="23"/>
      <c r="QM49" s="23"/>
      <c r="QN49" s="23"/>
      <c r="QO49" s="23"/>
      <c r="QP49" s="23"/>
      <c r="QQ49" s="23"/>
      <c r="QR49" s="23"/>
      <c r="QS49" s="23"/>
      <c r="QT49" s="23"/>
      <c r="QU49" s="23"/>
      <c r="QV49" s="23"/>
      <c r="QW49" s="23"/>
      <c r="QX49" s="23"/>
      <c r="QY49" s="23"/>
      <c r="QZ49" s="23"/>
      <c r="RA49" s="23"/>
      <c r="RB49" s="23"/>
      <c r="RC49" s="184"/>
      <c r="RD49" s="184"/>
      <c r="RE49" s="184"/>
      <c r="RF49" s="184"/>
      <c r="RG49" s="184"/>
      <c r="RH49" s="184"/>
      <c r="RI49" s="184"/>
      <c r="RJ49" s="184"/>
      <c r="RK49" s="184"/>
      <c r="RL49" s="184"/>
      <c r="RM49" s="184"/>
      <c r="RN49" s="184"/>
      <c r="RO49" s="184"/>
      <c r="RP49" s="184"/>
      <c r="RQ49" s="184"/>
      <c r="RR49" s="184"/>
      <c r="RS49" s="184"/>
      <c r="RT49" s="184"/>
      <c r="RU49" s="184"/>
      <c r="RV49" s="184"/>
      <c r="RW49" s="184"/>
      <c r="RX49" s="184"/>
      <c r="RY49" s="184"/>
      <c r="RZ49" s="184"/>
      <c r="SA49" s="185"/>
      <c r="SB49" s="185"/>
      <c r="SC49" s="185"/>
      <c r="SD49" s="185"/>
      <c r="SE49" s="185"/>
      <c r="SF49" s="185"/>
      <c r="SG49" s="185"/>
      <c r="SH49" s="185"/>
      <c r="SI49" s="185"/>
      <c r="SJ49" s="185"/>
      <c r="SK49" s="185"/>
      <c r="SL49" s="185"/>
      <c r="SM49" s="185"/>
      <c r="SN49" s="185"/>
      <c r="SO49" s="185"/>
      <c r="SP49" s="185"/>
      <c r="SQ49" s="185"/>
      <c r="SR49" s="185"/>
      <c r="SS49" s="185"/>
      <c r="ST49" s="185"/>
      <c r="SU49" s="185"/>
      <c r="SV49" s="185"/>
      <c r="SW49" s="185"/>
      <c r="SX49" s="185"/>
      <c r="SY49" s="185"/>
      <c r="SZ49" s="185"/>
      <c r="TA49" s="11"/>
      <c r="TB49" s="11"/>
      <c r="TC49" s="11"/>
      <c r="TD49" s="11"/>
    </row>
    <row r="50" spans="1:525" ht="22.15" customHeight="1" thickBot="1" x14ac:dyDescent="0.3">
      <c r="A50" s="298"/>
      <c r="B50" s="25" t="s">
        <v>13</v>
      </c>
      <c r="D50" s="10"/>
      <c r="E50" s="17"/>
      <c r="F50" s="10"/>
      <c r="G50" s="10"/>
      <c r="H50" s="10"/>
      <c r="I50" s="10"/>
      <c r="J50" s="10"/>
      <c r="BB50" s="141">
        <f t="shared" si="195"/>
        <v>0.56000000000000005</v>
      </c>
      <c r="BC50" s="114">
        <f t="shared" si="196"/>
        <v>0.56000000000000005</v>
      </c>
      <c r="BD50" s="114">
        <f t="shared" si="197"/>
        <v>0.56999999999999995</v>
      </c>
      <c r="BE50" s="114">
        <f t="shared" si="198"/>
        <v>0.56999999999999995</v>
      </c>
      <c r="BF50" s="114">
        <f t="shared" si="199"/>
        <v>0.56999999999999995</v>
      </c>
      <c r="BG50" s="114">
        <f t="shared" si="200"/>
        <v>0.57999999999999996</v>
      </c>
      <c r="BH50" s="114">
        <f t="shared" si="201"/>
        <v>0.57999999999999996</v>
      </c>
      <c r="BI50" s="114">
        <f t="shared" si="202"/>
        <v>0.59</v>
      </c>
      <c r="BJ50" s="114">
        <f t="shared" si="203"/>
        <v>0.59</v>
      </c>
      <c r="BK50" s="114">
        <f t="shared" si="204"/>
        <v>0.59</v>
      </c>
      <c r="BL50" s="114">
        <f t="shared" si="205"/>
        <v>0.6</v>
      </c>
      <c r="BM50" s="114">
        <f t="shared" si="206"/>
        <v>0.6</v>
      </c>
      <c r="BN50" s="114">
        <f t="shared" si="207"/>
        <v>0.61</v>
      </c>
      <c r="BO50" s="114">
        <f t="shared" si="208"/>
        <v>0.61</v>
      </c>
      <c r="BP50" s="114">
        <f t="shared" si="209"/>
        <v>0.62</v>
      </c>
      <c r="BQ50" s="114">
        <f t="shared" si="210"/>
        <v>0.62</v>
      </c>
      <c r="BR50" s="114">
        <f t="shared" si="211"/>
        <v>0.63</v>
      </c>
      <c r="BS50" s="114">
        <f t="shared" si="212"/>
        <v>0.63</v>
      </c>
      <c r="BT50" s="114">
        <f t="shared" si="213"/>
        <v>0.64</v>
      </c>
      <c r="BU50" s="114">
        <f t="shared" si="214"/>
        <v>0.64</v>
      </c>
      <c r="BV50" s="114">
        <f t="shared" si="215"/>
        <v>0.65</v>
      </c>
      <c r="BW50" s="114">
        <f t="shared" si="216"/>
        <v>0.65</v>
      </c>
      <c r="BX50" s="114">
        <f t="shared" si="217"/>
        <v>0.66</v>
      </c>
      <c r="BY50" s="114">
        <f t="shared" si="218"/>
        <v>0.66</v>
      </c>
      <c r="BZ50" s="114">
        <f t="shared" si="219"/>
        <v>0.66</v>
      </c>
      <c r="CA50" s="114">
        <f t="shared" si="220"/>
        <v>0.67</v>
      </c>
      <c r="CB50" s="114">
        <f t="shared" si="221"/>
        <v>0.67</v>
      </c>
      <c r="CC50" s="114">
        <f t="shared" si="222"/>
        <v>0.68</v>
      </c>
      <c r="CD50" s="114">
        <f t="shared" si="223"/>
        <v>0.68</v>
      </c>
      <c r="CE50" s="114">
        <f t="shared" si="224"/>
        <v>0.68</v>
      </c>
      <c r="CF50" s="114">
        <f t="shared" si="225"/>
        <v>0.69</v>
      </c>
      <c r="CG50" s="114">
        <f t="shared" si="226"/>
        <v>0.69</v>
      </c>
      <c r="CH50" s="114">
        <f t="shared" si="227"/>
        <v>0.69</v>
      </c>
      <c r="CI50" s="114">
        <f t="shared" si="228"/>
        <v>0.7</v>
      </c>
      <c r="CJ50" s="114">
        <f t="shared" si="229"/>
        <v>0.7</v>
      </c>
      <c r="CK50" s="114">
        <f t="shared" si="230"/>
        <v>0.71</v>
      </c>
      <c r="CL50" s="114">
        <f t="shared" si="231"/>
        <v>0.71</v>
      </c>
      <c r="CM50" s="114">
        <f t="shared" si="232"/>
        <v>0.71</v>
      </c>
      <c r="CN50" s="114">
        <f t="shared" si="233"/>
        <v>0.72</v>
      </c>
      <c r="CO50" s="114">
        <f t="shared" si="234"/>
        <v>0.72</v>
      </c>
      <c r="CP50" s="114">
        <f t="shared" si="235"/>
        <v>0.72</v>
      </c>
      <c r="CQ50" s="114">
        <f t="shared" si="236"/>
        <v>0.73</v>
      </c>
      <c r="CR50" s="114">
        <f t="shared" si="237"/>
        <v>0.73</v>
      </c>
      <c r="CS50" s="114">
        <f t="shared" si="238"/>
        <v>0.73</v>
      </c>
      <c r="CT50" s="114">
        <f t="shared" si="239"/>
        <v>0.74</v>
      </c>
      <c r="CU50" s="114">
        <f t="shared" si="240"/>
        <v>0.74</v>
      </c>
      <c r="CV50" s="114">
        <f t="shared" si="241"/>
        <v>0.74</v>
      </c>
      <c r="CW50" s="114">
        <f t="shared" si="242"/>
        <v>0.75</v>
      </c>
      <c r="CX50" s="114">
        <f t="shared" si="243"/>
        <v>0.75</v>
      </c>
      <c r="CY50" s="114">
        <f t="shared" si="244"/>
        <v>0.76</v>
      </c>
      <c r="CZ50" s="172">
        <f t="shared" si="245"/>
        <v>0.76</v>
      </c>
      <c r="DA50" s="151">
        <f t="shared" si="246"/>
        <v>0.76</v>
      </c>
      <c r="DB50" s="151">
        <f t="shared" si="247"/>
        <v>0.77</v>
      </c>
      <c r="DC50" s="151">
        <f t="shared" si="248"/>
        <v>0.77</v>
      </c>
      <c r="DD50" s="151">
        <f t="shared" si="249"/>
        <v>0.77</v>
      </c>
      <c r="DE50" s="151">
        <f t="shared" si="250"/>
        <v>0.78</v>
      </c>
      <c r="DF50" s="151">
        <f t="shared" si="251"/>
        <v>0.78</v>
      </c>
      <c r="DG50" s="151">
        <f t="shared" si="252"/>
        <v>0.78</v>
      </c>
      <c r="DH50" s="151">
        <f t="shared" si="253"/>
        <v>0.78</v>
      </c>
      <c r="DI50" s="151">
        <f t="shared" si="254"/>
        <v>0.79</v>
      </c>
      <c r="DJ50" s="151">
        <f t="shared" si="255"/>
        <v>0.79</v>
      </c>
      <c r="DK50" s="151">
        <f t="shared" si="256"/>
        <v>0.79</v>
      </c>
      <c r="DL50" s="151">
        <f t="shared" si="257"/>
        <v>0.79</v>
      </c>
      <c r="DM50" s="151">
        <f t="shared" si="258"/>
        <v>0.8</v>
      </c>
      <c r="DN50" s="151">
        <f t="shared" si="259"/>
        <v>0.8</v>
      </c>
      <c r="DO50" s="151">
        <f t="shared" si="260"/>
        <v>0.8</v>
      </c>
      <c r="DP50" s="151">
        <f t="shared" si="261"/>
        <v>0.8</v>
      </c>
      <c r="DQ50" s="151">
        <f t="shared" si="262"/>
        <v>0.8</v>
      </c>
      <c r="DR50" s="151">
        <f t="shared" si="263"/>
        <v>0.81</v>
      </c>
      <c r="DS50" s="151">
        <f t="shared" si="264"/>
        <v>0.81</v>
      </c>
      <c r="DT50" s="151">
        <f t="shared" si="265"/>
        <v>0.81</v>
      </c>
      <c r="DU50" s="151">
        <f t="shared" si="266"/>
        <v>0.81</v>
      </c>
      <c r="DV50" s="151">
        <f t="shared" si="267"/>
        <v>0.82</v>
      </c>
      <c r="DW50" s="151">
        <f t="shared" si="268"/>
        <v>0.82</v>
      </c>
      <c r="DX50" s="151">
        <f t="shared" si="269"/>
        <v>0.82</v>
      </c>
      <c r="DY50" s="151">
        <f t="shared" si="270"/>
        <v>0.82</v>
      </c>
      <c r="DZ50" s="151">
        <f t="shared" si="271"/>
        <v>0.82</v>
      </c>
      <c r="EA50" s="151">
        <f t="shared" si="272"/>
        <v>0.83</v>
      </c>
      <c r="EB50" s="151">
        <f t="shared" si="273"/>
        <v>0.83</v>
      </c>
      <c r="EC50" s="151">
        <f t="shared" si="274"/>
        <v>0.83</v>
      </c>
      <c r="ED50" s="151">
        <f t="shared" si="275"/>
        <v>0.83</v>
      </c>
      <c r="EE50" s="151">
        <f t="shared" si="276"/>
        <v>0.83</v>
      </c>
      <c r="EF50" s="151">
        <f t="shared" si="277"/>
        <v>0.83</v>
      </c>
      <c r="EG50" s="151">
        <f t="shared" si="278"/>
        <v>0.83</v>
      </c>
      <c r="EH50" s="151">
        <f t="shared" si="279"/>
        <v>0.84</v>
      </c>
      <c r="EI50" s="151">
        <f t="shared" si="280"/>
        <v>0.84</v>
      </c>
      <c r="EJ50" s="151">
        <f t="shared" si="281"/>
        <v>0.84</v>
      </c>
      <c r="EK50" s="151">
        <f t="shared" si="282"/>
        <v>0.84</v>
      </c>
      <c r="EL50" s="151">
        <f t="shared" si="283"/>
        <v>0.84</v>
      </c>
      <c r="EM50" s="151">
        <f t="shared" si="284"/>
        <v>0.84</v>
      </c>
      <c r="EN50" s="151">
        <f t="shared" si="285"/>
        <v>0.85</v>
      </c>
      <c r="EO50" s="151">
        <f t="shared" si="286"/>
        <v>0.85</v>
      </c>
      <c r="EP50" s="151">
        <f t="shared" si="287"/>
        <v>0.85</v>
      </c>
      <c r="EQ50" s="151">
        <f t="shared" si="288"/>
        <v>0.85</v>
      </c>
      <c r="ER50" s="151">
        <f t="shared" si="289"/>
        <v>0.85</v>
      </c>
      <c r="ES50" s="151">
        <f t="shared" si="290"/>
        <v>0.85</v>
      </c>
      <c r="ET50" s="151">
        <f t="shared" si="291"/>
        <v>0.85</v>
      </c>
      <c r="EU50" s="151">
        <f t="shared" si="292"/>
        <v>0.85</v>
      </c>
      <c r="EV50" s="151">
        <f t="shared" si="293"/>
        <v>0.86</v>
      </c>
      <c r="EW50" s="151">
        <f t="shared" si="294"/>
        <v>0.86</v>
      </c>
      <c r="EX50" s="151">
        <f t="shared" si="295"/>
        <v>0.86</v>
      </c>
      <c r="EY50" s="176">
        <f t="shared" si="296"/>
        <v>0.86</v>
      </c>
      <c r="EZ50" s="163">
        <f t="shared" si="297"/>
        <v>0.86</v>
      </c>
      <c r="FA50" s="163">
        <f t="shared" si="298"/>
        <v>0.86</v>
      </c>
      <c r="FB50" s="163">
        <f t="shared" si="299"/>
        <v>0.86</v>
      </c>
      <c r="FC50" s="163">
        <f t="shared" si="300"/>
        <v>0.86</v>
      </c>
      <c r="FD50" s="163">
        <f t="shared" si="301"/>
        <v>0.87</v>
      </c>
      <c r="FE50" s="163">
        <f t="shared" si="302"/>
        <v>0.87</v>
      </c>
      <c r="FF50" s="163">
        <f t="shared" si="303"/>
        <v>0.87</v>
      </c>
      <c r="FG50" s="163">
        <f t="shared" si="304"/>
        <v>0.87</v>
      </c>
      <c r="FH50" s="163">
        <f t="shared" si="305"/>
        <v>0.87</v>
      </c>
      <c r="FI50" s="163">
        <f t="shared" si="306"/>
        <v>0.87</v>
      </c>
      <c r="FJ50" s="163">
        <f t="shared" si="307"/>
        <v>0.87</v>
      </c>
      <c r="FK50" s="163">
        <f t="shared" si="308"/>
        <v>0.88</v>
      </c>
      <c r="FL50" s="163">
        <f t="shared" si="309"/>
        <v>0.88</v>
      </c>
      <c r="FM50" s="163">
        <f t="shared" si="310"/>
        <v>0.88</v>
      </c>
      <c r="FN50" s="163">
        <f t="shared" si="311"/>
        <v>0.88</v>
      </c>
      <c r="FO50" s="163">
        <f t="shared" si="312"/>
        <v>0.88</v>
      </c>
      <c r="FP50" s="163">
        <f t="shared" si="313"/>
        <v>0.88</v>
      </c>
      <c r="FQ50" s="163">
        <f t="shared" si="314"/>
        <v>0.88</v>
      </c>
      <c r="FR50" s="163">
        <f t="shared" si="315"/>
        <v>0.89</v>
      </c>
      <c r="FS50" s="163">
        <f t="shared" si="316"/>
        <v>0.89</v>
      </c>
      <c r="FT50" s="163">
        <f t="shared" si="317"/>
        <v>0.89</v>
      </c>
      <c r="FU50" s="163">
        <f t="shared" si="318"/>
        <v>0.89</v>
      </c>
      <c r="FV50" s="163">
        <f t="shared" si="319"/>
        <v>0.89</v>
      </c>
      <c r="FW50" s="163">
        <f t="shared" si="320"/>
        <v>0.89</v>
      </c>
      <c r="FX50" s="163">
        <f t="shared" si="321"/>
        <v>0.89</v>
      </c>
      <c r="FY50" s="163">
        <f t="shared" si="322"/>
        <v>0.9</v>
      </c>
      <c r="FZ50" s="163">
        <f t="shared" si="323"/>
        <v>0.9</v>
      </c>
      <c r="GA50" s="163">
        <f t="shared" si="324"/>
        <v>0.9</v>
      </c>
      <c r="GB50" s="163">
        <f t="shared" si="325"/>
        <v>0.9</v>
      </c>
      <c r="GC50" s="163">
        <f t="shared" si="326"/>
        <v>0.9</v>
      </c>
      <c r="GD50" s="163">
        <f t="shared" si="327"/>
        <v>0.9</v>
      </c>
      <c r="GE50" s="163">
        <f t="shared" si="328"/>
        <v>0.9</v>
      </c>
      <c r="GF50" s="163">
        <f t="shared" si="329"/>
        <v>0.91</v>
      </c>
      <c r="GG50" s="163">
        <f t="shared" si="330"/>
        <v>0.91</v>
      </c>
      <c r="GH50" s="163">
        <f t="shared" si="331"/>
        <v>0.91</v>
      </c>
      <c r="GI50" s="163">
        <f t="shared" si="332"/>
        <v>0.91</v>
      </c>
      <c r="GJ50" s="163">
        <f t="shared" si="333"/>
        <v>0.91</v>
      </c>
      <c r="GK50" s="163">
        <f t="shared" si="334"/>
        <v>0.91</v>
      </c>
      <c r="GL50" s="163">
        <f t="shared" si="335"/>
        <v>0.91</v>
      </c>
      <c r="GM50" s="163">
        <f t="shared" si="336"/>
        <v>0.91</v>
      </c>
      <c r="GN50" s="163">
        <f t="shared" si="337"/>
        <v>0.91</v>
      </c>
      <c r="GO50" s="163">
        <f t="shared" si="338"/>
        <v>0.91</v>
      </c>
      <c r="GP50" s="163">
        <f t="shared" si="339"/>
        <v>0.91</v>
      </c>
      <c r="GQ50" s="163">
        <f t="shared" si="340"/>
        <v>0.92</v>
      </c>
      <c r="GR50" s="163">
        <f t="shared" si="341"/>
        <v>0.92</v>
      </c>
      <c r="GS50" s="163">
        <f t="shared" si="342"/>
        <v>0.92</v>
      </c>
      <c r="GT50" s="163">
        <f t="shared" si="343"/>
        <v>0.92</v>
      </c>
      <c r="GU50" s="163">
        <f t="shared" si="344"/>
        <v>0.92</v>
      </c>
      <c r="GV50" s="163">
        <f t="shared" si="345"/>
        <v>0.92</v>
      </c>
      <c r="GW50" s="163">
        <f t="shared" si="346"/>
        <v>0.92</v>
      </c>
      <c r="GX50" s="117">
        <f t="shared" si="347"/>
        <v>0.92</v>
      </c>
      <c r="GY50" s="119"/>
      <c r="GZ50" s="119"/>
      <c r="HA50" s="119"/>
      <c r="HB50" s="119"/>
      <c r="HC50" s="119"/>
      <c r="HD50" s="119"/>
      <c r="HE50" s="119"/>
      <c r="HF50" s="119"/>
      <c r="HG50" s="119"/>
      <c r="HH50" s="119"/>
      <c r="HI50" s="119"/>
      <c r="HJ50" s="119"/>
      <c r="HK50" s="119"/>
      <c r="HL50" s="119"/>
      <c r="HM50" s="119"/>
      <c r="HN50" s="119"/>
      <c r="HO50" s="119"/>
      <c r="HP50" s="119"/>
      <c r="HQ50" s="119"/>
      <c r="HR50" s="119"/>
      <c r="HS50" s="119"/>
      <c r="HT50" s="119"/>
      <c r="HU50" s="119"/>
      <c r="HV50" s="119"/>
      <c r="HW50" s="119"/>
      <c r="HX50" s="119"/>
      <c r="HY50" s="119"/>
      <c r="HZ50" s="119"/>
      <c r="IA50" s="119"/>
      <c r="IB50" s="119"/>
      <c r="IC50" s="119"/>
      <c r="ID50" s="119"/>
      <c r="IE50" s="119"/>
      <c r="IF50" s="119"/>
      <c r="IG50" s="119"/>
      <c r="IH50" s="119"/>
      <c r="II50" s="119"/>
      <c r="IJ50" s="119"/>
      <c r="IK50" s="119"/>
      <c r="IL50" s="119"/>
      <c r="IM50" s="119"/>
      <c r="IN50" s="119"/>
      <c r="IO50" s="119"/>
      <c r="IP50" s="119"/>
      <c r="IQ50" s="119"/>
      <c r="IR50" s="119"/>
      <c r="IS50" s="119"/>
      <c r="IT50" s="119"/>
      <c r="IU50" s="119"/>
      <c r="IV50" s="119"/>
      <c r="IW50" s="119"/>
      <c r="IX50" s="119"/>
      <c r="IY50" s="119"/>
      <c r="IZ50" s="119"/>
      <c r="JA50" s="119"/>
      <c r="JB50" s="119"/>
      <c r="JC50" s="119"/>
      <c r="JD50" s="119"/>
      <c r="JE50" s="119"/>
      <c r="JF50" s="119"/>
      <c r="JG50" s="119"/>
      <c r="JH50" s="119"/>
      <c r="JI50" s="119"/>
      <c r="JJ50" s="119"/>
      <c r="JK50" s="119"/>
      <c r="JL50" s="119"/>
      <c r="JM50" s="119"/>
      <c r="JN50" s="23"/>
      <c r="JO50" s="23"/>
      <c r="JP50" s="23"/>
      <c r="JQ50" s="23"/>
      <c r="JR50" s="23"/>
      <c r="JS50" s="23"/>
      <c r="JT50" s="23"/>
      <c r="JU50" s="23"/>
      <c r="JV50" s="23"/>
      <c r="JW50" s="23"/>
      <c r="JX50" s="23"/>
      <c r="JY50" s="23"/>
      <c r="JZ50" s="23"/>
      <c r="KA50" s="23"/>
      <c r="KB50" s="23"/>
      <c r="KC50" s="23"/>
      <c r="KD50" s="23"/>
      <c r="KE50" s="23"/>
      <c r="KF50" s="23"/>
      <c r="KG50" s="23"/>
      <c r="KH50" s="23"/>
      <c r="KI50" s="23"/>
      <c r="KJ50" s="23"/>
      <c r="KK50" s="23"/>
      <c r="KL50" s="23"/>
      <c r="KM50" s="23"/>
      <c r="KN50" s="23"/>
      <c r="KO50" s="23"/>
      <c r="KP50" s="23"/>
      <c r="KQ50" s="23"/>
      <c r="KR50" s="23"/>
      <c r="KS50" s="23"/>
      <c r="KT50" s="23"/>
      <c r="KU50" s="23"/>
      <c r="KV50" s="23"/>
      <c r="KW50" s="23"/>
      <c r="KX50" s="23"/>
      <c r="KY50" s="23"/>
      <c r="KZ50" s="23"/>
      <c r="LA50" s="23"/>
      <c r="LB50" s="23"/>
      <c r="LC50" s="23"/>
      <c r="LD50" s="23"/>
      <c r="LE50" s="23"/>
      <c r="LF50" s="23"/>
      <c r="LG50" s="23"/>
      <c r="LH50" s="23"/>
      <c r="LI50" s="23"/>
      <c r="LJ50" s="23"/>
      <c r="LK50" s="23"/>
      <c r="LL50" s="23"/>
      <c r="LM50" s="23"/>
      <c r="LN50" s="23"/>
      <c r="LO50" s="23"/>
      <c r="LP50" s="23"/>
      <c r="LQ50" s="23"/>
      <c r="LR50" s="23"/>
      <c r="LS50" s="23"/>
      <c r="LT50" s="23"/>
      <c r="LU50" s="23"/>
      <c r="LV50" s="23"/>
      <c r="LW50" s="23"/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  <c r="NA50" s="23"/>
      <c r="NB50" s="23"/>
      <c r="NC50" s="23"/>
      <c r="ND50" s="23"/>
      <c r="NE50" s="23"/>
      <c r="NF50" s="23"/>
      <c r="NG50" s="23"/>
      <c r="NH50" s="23"/>
      <c r="NI50" s="23"/>
      <c r="NJ50" s="23"/>
      <c r="NK50" s="23"/>
      <c r="NL50" s="23"/>
      <c r="NM50" s="23"/>
      <c r="NN50" s="23"/>
      <c r="NO50" s="23"/>
      <c r="NP50" s="23"/>
      <c r="NQ50" s="23"/>
      <c r="NR50" s="23"/>
      <c r="NS50" s="23"/>
      <c r="NT50" s="23"/>
      <c r="NU50" s="23"/>
      <c r="NV50" s="23"/>
      <c r="NW50" s="23"/>
      <c r="NX50" s="23"/>
      <c r="NY50" s="23"/>
      <c r="NZ50" s="23"/>
      <c r="OA50" s="23"/>
      <c r="OB50" s="23"/>
      <c r="OC50" s="23"/>
      <c r="OD50" s="23"/>
      <c r="OE50" s="23"/>
      <c r="OF50" s="23"/>
      <c r="OG50" s="23"/>
      <c r="OH50" s="23"/>
      <c r="OI50" s="23"/>
      <c r="OJ50" s="23"/>
      <c r="OK50" s="23"/>
      <c r="OL50" s="23"/>
      <c r="OM50" s="23"/>
      <c r="ON50" s="23"/>
      <c r="OO50" s="23"/>
      <c r="OP50" s="23"/>
      <c r="OQ50" s="23"/>
      <c r="OR50" s="23"/>
      <c r="OS50" s="23"/>
      <c r="OT50" s="23"/>
      <c r="OU50" s="23"/>
      <c r="OV50" s="23"/>
      <c r="OW50" s="23"/>
      <c r="OX50" s="23"/>
      <c r="OY50" s="23"/>
      <c r="OZ50" s="23"/>
      <c r="PA50" s="23"/>
      <c r="PB50" s="23"/>
      <c r="PC50" s="23"/>
      <c r="PD50" s="23"/>
      <c r="PE50" s="23"/>
      <c r="PF50" s="23"/>
      <c r="PG50" s="23"/>
      <c r="PH50" s="23"/>
      <c r="PI50" s="23"/>
      <c r="PJ50" s="23"/>
      <c r="PK50" s="23"/>
      <c r="PL50" s="23"/>
      <c r="PM50" s="23"/>
      <c r="PN50" s="23"/>
      <c r="PO50" s="23"/>
      <c r="PP50" s="23"/>
      <c r="PQ50" s="23"/>
      <c r="PR50" s="23"/>
      <c r="PS50" s="23"/>
      <c r="PT50" s="23"/>
      <c r="PU50" s="23"/>
      <c r="PV50" s="23"/>
      <c r="PW50" s="23"/>
      <c r="PX50" s="23"/>
      <c r="PY50" s="23"/>
      <c r="PZ50" s="23"/>
      <c r="QA50" s="23"/>
      <c r="QB50" s="23"/>
      <c r="QC50" s="23"/>
      <c r="QD50" s="23"/>
      <c r="QE50" s="23"/>
      <c r="QF50" s="23"/>
      <c r="QG50" s="23"/>
      <c r="QH50" s="23"/>
      <c r="QI50" s="23"/>
      <c r="QJ50" s="23"/>
      <c r="QK50" s="23"/>
      <c r="QL50" s="23"/>
      <c r="QM50" s="23"/>
      <c r="QN50" s="23"/>
      <c r="QO50" s="23"/>
      <c r="QP50" s="23"/>
      <c r="QQ50" s="23"/>
      <c r="QR50" s="23"/>
      <c r="QS50" s="23"/>
      <c r="QT50" s="23"/>
      <c r="QU50" s="23"/>
      <c r="QV50" s="23"/>
      <c r="QW50" s="23"/>
      <c r="QX50" s="23"/>
      <c r="QY50" s="23"/>
      <c r="QZ50" s="23"/>
      <c r="RA50" s="23"/>
      <c r="RB50" s="23"/>
      <c r="RC50" s="184"/>
      <c r="RD50" s="184"/>
      <c r="RE50" s="184"/>
      <c r="RF50" s="184"/>
      <c r="RG50" s="184"/>
      <c r="RH50" s="184"/>
      <c r="RI50" s="184"/>
      <c r="RJ50" s="184"/>
      <c r="RK50" s="184"/>
      <c r="RL50" s="184"/>
      <c r="RM50" s="184"/>
      <c r="RN50" s="184"/>
      <c r="RO50" s="184"/>
      <c r="RP50" s="184"/>
      <c r="RQ50" s="184"/>
      <c r="RR50" s="184"/>
      <c r="RS50" s="184"/>
      <c r="RT50" s="184"/>
      <c r="RU50" s="184"/>
      <c r="RV50" s="184"/>
      <c r="RW50" s="184"/>
      <c r="RX50" s="184"/>
      <c r="RY50" s="184"/>
      <c r="RZ50" s="184"/>
      <c r="SA50" s="185"/>
      <c r="SB50" s="185"/>
      <c r="SC50" s="185"/>
      <c r="SD50" s="185"/>
      <c r="SE50" s="185"/>
      <c r="SF50" s="185"/>
      <c r="SG50" s="185"/>
      <c r="SH50" s="185"/>
      <c r="SI50" s="185"/>
      <c r="SJ50" s="185"/>
      <c r="SK50" s="185"/>
      <c r="SL50" s="185"/>
      <c r="SM50" s="185"/>
      <c r="SN50" s="185"/>
      <c r="SO50" s="185"/>
      <c r="SP50" s="185"/>
      <c r="SQ50" s="185"/>
      <c r="SR50" s="185"/>
      <c r="SS50" s="185"/>
      <c r="ST50" s="185"/>
      <c r="SU50" s="185"/>
      <c r="SV50" s="185"/>
      <c r="SW50" s="185"/>
      <c r="SX50" s="185"/>
      <c r="SY50" s="185"/>
      <c r="SZ50" s="185"/>
      <c r="TA50" s="11"/>
      <c r="TB50" s="11"/>
      <c r="TC50" s="11"/>
      <c r="TD50" s="11"/>
    </row>
    <row r="51" spans="1:525" ht="22.15" customHeight="1" x14ac:dyDescent="0.25">
      <c r="A51" s="298"/>
      <c r="B51" s="25" t="s">
        <v>3</v>
      </c>
      <c r="BB51" s="125" t="str">
        <f t="shared" si="195"/>
        <v>Tank 1</v>
      </c>
      <c r="BC51" s="111" t="str">
        <f t="shared" si="196"/>
        <v>Tank 1</v>
      </c>
      <c r="BD51" s="111" t="str">
        <f t="shared" si="197"/>
        <v>Tank 1</v>
      </c>
      <c r="BE51" s="111" t="str">
        <f t="shared" si="198"/>
        <v>Tank 1</v>
      </c>
      <c r="BF51" s="111" t="str">
        <f t="shared" si="199"/>
        <v>Tank 1</v>
      </c>
      <c r="BG51" s="111" t="str">
        <f t="shared" si="200"/>
        <v>Tank 1</v>
      </c>
      <c r="BH51" s="111" t="str">
        <f t="shared" si="201"/>
        <v>Tank 1</v>
      </c>
      <c r="BI51" s="111" t="str">
        <f t="shared" si="202"/>
        <v>Tank 1</v>
      </c>
      <c r="BJ51" s="111" t="str">
        <f t="shared" si="203"/>
        <v>Tank 1</v>
      </c>
      <c r="BK51" s="111" t="str">
        <f t="shared" si="204"/>
        <v>Tank 1</v>
      </c>
      <c r="BL51" s="111" t="str">
        <f t="shared" si="205"/>
        <v>Tank 1</v>
      </c>
      <c r="BM51" s="111" t="str">
        <f t="shared" si="206"/>
        <v>Tank 1</v>
      </c>
      <c r="BN51" s="111" t="str">
        <f t="shared" si="207"/>
        <v>Tank 1</v>
      </c>
      <c r="BO51" s="111" t="str">
        <f t="shared" si="208"/>
        <v>Tank 1</v>
      </c>
      <c r="BP51" s="111" t="str">
        <f t="shared" si="209"/>
        <v>Tank 1</v>
      </c>
      <c r="BQ51" s="111" t="str">
        <f t="shared" si="210"/>
        <v>Tank 1</v>
      </c>
      <c r="BR51" s="111" t="str">
        <f t="shared" si="211"/>
        <v>Tank 1</v>
      </c>
      <c r="BS51" s="111" t="str">
        <f t="shared" si="212"/>
        <v>Tank 1</v>
      </c>
      <c r="BT51" s="111" t="str">
        <f t="shared" si="213"/>
        <v>Tank 1</v>
      </c>
      <c r="BU51" s="111" t="str">
        <f t="shared" si="214"/>
        <v>Tank 1</v>
      </c>
      <c r="BV51" s="111" t="str">
        <f t="shared" si="215"/>
        <v>Tank 1</v>
      </c>
      <c r="BW51" s="111" t="str">
        <f t="shared" si="216"/>
        <v>Tank 1</v>
      </c>
      <c r="BX51" s="111" t="str">
        <f t="shared" si="217"/>
        <v>Tank 1</v>
      </c>
      <c r="BY51" s="111" t="str">
        <f t="shared" si="218"/>
        <v>Tank 1</v>
      </c>
      <c r="BZ51" s="111" t="str">
        <f t="shared" si="219"/>
        <v>Tank 1</v>
      </c>
      <c r="CA51" s="111" t="str">
        <f t="shared" si="220"/>
        <v>Tank 1</v>
      </c>
      <c r="CB51" s="111" t="str">
        <f t="shared" si="221"/>
        <v>Tank 1</v>
      </c>
      <c r="CC51" s="111" t="str">
        <f t="shared" si="222"/>
        <v>Tank 1</v>
      </c>
      <c r="CD51" s="111" t="str">
        <f t="shared" si="223"/>
        <v>Tank 1</v>
      </c>
      <c r="CE51" s="111" t="str">
        <f t="shared" si="224"/>
        <v>Tank 1</v>
      </c>
      <c r="CF51" s="111" t="str">
        <f t="shared" si="225"/>
        <v>Tank 1</v>
      </c>
      <c r="CG51" s="111" t="str">
        <f t="shared" si="226"/>
        <v>Tank 1</v>
      </c>
      <c r="CH51" s="111" t="str">
        <f t="shared" si="227"/>
        <v>Tank 1</v>
      </c>
      <c r="CI51" s="111" t="str">
        <f t="shared" si="228"/>
        <v>Tank 1</v>
      </c>
      <c r="CJ51" s="111" t="str">
        <f t="shared" si="229"/>
        <v>Tank 1</v>
      </c>
      <c r="CK51" s="111" t="str">
        <f t="shared" si="230"/>
        <v>Tank 1</v>
      </c>
      <c r="CL51" s="111" t="str">
        <f t="shared" si="231"/>
        <v>Tank 1</v>
      </c>
      <c r="CM51" s="111" t="str">
        <f t="shared" si="232"/>
        <v>Tank 1</v>
      </c>
      <c r="CN51" s="111" t="str">
        <f t="shared" si="233"/>
        <v>Tank 1</v>
      </c>
      <c r="CO51" s="111" t="str">
        <f t="shared" si="234"/>
        <v>Tank 1</v>
      </c>
      <c r="CP51" s="111" t="str">
        <f t="shared" si="235"/>
        <v>Tank 1</v>
      </c>
      <c r="CQ51" s="111" t="str">
        <f t="shared" si="236"/>
        <v>Tank 1</v>
      </c>
      <c r="CR51" s="111" t="str">
        <f t="shared" si="237"/>
        <v>Tank 1</v>
      </c>
      <c r="CS51" s="111" t="str">
        <f t="shared" si="238"/>
        <v>Tank 1</v>
      </c>
      <c r="CT51" s="111" t="str">
        <f t="shared" si="239"/>
        <v>Tank 1</v>
      </c>
      <c r="CU51" s="111" t="str">
        <f t="shared" si="240"/>
        <v>Tank 1</v>
      </c>
      <c r="CV51" s="111" t="str">
        <f t="shared" si="241"/>
        <v>Tank 1</v>
      </c>
      <c r="CW51" s="111" t="str">
        <f t="shared" si="242"/>
        <v>Tank 1</v>
      </c>
      <c r="CX51" s="111" t="str">
        <f t="shared" si="243"/>
        <v>Tank 1</v>
      </c>
      <c r="CY51" s="111" t="str">
        <f t="shared" si="244"/>
        <v>Tank 1</v>
      </c>
      <c r="CZ51" s="111" t="str">
        <f t="shared" si="245"/>
        <v>Tank 1</v>
      </c>
      <c r="DA51" s="152" t="str">
        <f t="shared" si="246"/>
        <v>Tank 2 + 3</v>
      </c>
      <c r="DB51" s="152" t="str">
        <f t="shared" si="247"/>
        <v>Tank 2 + 3</v>
      </c>
      <c r="DC51" s="152" t="str">
        <f t="shared" si="248"/>
        <v>Tank 2 + 3</v>
      </c>
      <c r="DD51" s="152" t="str">
        <f t="shared" si="249"/>
        <v>Tank 2 + 3</v>
      </c>
      <c r="DE51" s="152" t="str">
        <f t="shared" si="250"/>
        <v>Tank 2 + 3</v>
      </c>
      <c r="DF51" s="152" t="str">
        <f t="shared" si="251"/>
        <v>Tank 2 + 3</v>
      </c>
      <c r="DG51" s="152" t="str">
        <f t="shared" si="252"/>
        <v>Tank 2 + 3</v>
      </c>
      <c r="DH51" s="152" t="str">
        <f t="shared" si="253"/>
        <v>Tank 2 + 3</v>
      </c>
      <c r="DI51" s="152" t="str">
        <f t="shared" si="254"/>
        <v>Tank 2 + 3</v>
      </c>
      <c r="DJ51" s="152" t="str">
        <f t="shared" si="255"/>
        <v>Tank 2 + 3</v>
      </c>
      <c r="DK51" s="152" t="str">
        <f t="shared" si="256"/>
        <v>Tank 2 + 3</v>
      </c>
      <c r="DL51" s="152" t="str">
        <f t="shared" si="257"/>
        <v>Tank 2 + 3</v>
      </c>
      <c r="DM51" s="152" t="str">
        <f t="shared" si="258"/>
        <v>Tank 2 + 3</v>
      </c>
      <c r="DN51" s="152" t="str">
        <f t="shared" si="259"/>
        <v>Tank 2 + 3</v>
      </c>
      <c r="DO51" s="152" t="str">
        <f t="shared" si="260"/>
        <v>Tank 2 + 3</v>
      </c>
      <c r="DP51" s="152" t="str">
        <f t="shared" si="261"/>
        <v>Tank 2 + 3</v>
      </c>
      <c r="DQ51" s="152" t="str">
        <f t="shared" si="262"/>
        <v>Tank 2 + 3</v>
      </c>
      <c r="DR51" s="152" t="str">
        <f t="shared" si="263"/>
        <v>Tank 2 + 3</v>
      </c>
      <c r="DS51" s="152" t="str">
        <f t="shared" si="264"/>
        <v>Tank 2 + 3</v>
      </c>
      <c r="DT51" s="152" t="str">
        <f t="shared" si="265"/>
        <v>Tank 2 + 3</v>
      </c>
      <c r="DU51" s="152" t="str">
        <f t="shared" si="266"/>
        <v>Tank 2 + 3</v>
      </c>
      <c r="DV51" s="152" t="str">
        <f t="shared" si="267"/>
        <v>Tank 2 + 3</v>
      </c>
      <c r="DW51" s="152" t="str">
        <f t="shared" si="268"/>
        <v>Tank 2 + 3</v>
      </c>
      <c r="DX51" s="152" t="str">
        <f t="shared" si="269"/>
        <v>Tank 2 + 3</v>
      </c>
      <c r="DY51" s="152" t="str">
        <f t="shared" si="270"/>
        <v>Tank 2 + 3</v>
      </c>
      <c r="DZ51" s="152" t="str">
        <f t="shared" si="271"/>
        <v>Tank 2 + 3</v>
      </c>
      <c r="EA51" s="152" t="str">
        <f t="shared" si="272"/>
        <v>Tank 2 + 3</v>
      </c>
      <c r="EB51" s="152" t="str">
        <f t="shared" si="273"/>
        <v>Tank 2 + 3</v>
      </c>
      <c r="EC51" s="152" t="str">
        <f t="shared" si="274"/>
        <v>Tank 2 + 3</v>
      </c>
      <c r="ED51" s="152" t="str">
        <f t="shared" si="275"/>
        <v>Tank 2 + 3</v>
      </c>
      <c r="EE51" s="152" t="str">
        <f t="shared" si="276"/>
        <v>Tank 2 + 3</v>
      </c>
      <c r="EF51" s="152" t="str">
        <f t="shared" si="277"/>
        <v>Tank 2 + 3</v>
      </c>
      <c r="EG51" s="152" t="str">
        <f t="shared" si="278"/>
        <v>Tank 2 + 3</v>
      </c>
      <c r="EH51" s="152" t="str">
        <f t="shared" si="279"/>
        <v>Tank 2 + 3</v>
      </c>
      <c r="EI51" s="152" t="str">
        <f t="shared" si="280"/>
        <v>Tank 2 + 3</v>
      </c>
      <c r="EJ51" s="152" t="str">
        <f t="shared" si="281"/>
        <v>Tank 2 + 3</v>
      </c>
      <c r="EK51" s="152" t="str">
        <f t="shared" si="282"/>
        <v>Tank 2 + 3</v>
      </c>
      <c r="EL51" s="152" t="str">
        <f t="shared" si="283"/>
        <v>Tank 2 + 3</v>
      </c>
      <c r="EM51" s="152" t="str">
        <f t="shared" si="284"/>
        <v>Tank 2 + 3</v>
      </c>
      <c r="EN51" s="152" t="str">
        <f t="shared" si="285"/>
        <v>Tank 2 + 3</v>
      </c>
      <c r="EO51" s="152" t="str">
        <f t="shared" si="286"/>
        <v>Tank 2 + 3</v>
      </c>
      <c r="EP51" s="152" t="str">
        <f t="shared" si="287"/>
        <v>Tank 2 + 3</v>
      </c>
      <c r="EQ51" s="152" t="str">
        <f t="shared" si="288"/>
        <v>Tank 2 + 3</v>
      </c>
      <c r="ER51" s="152" t="str">
        <f t="shared" si="289"/>
        <v>Tank 2 + 3</v>
      </c>
      <c r="ES51" s="152" t="str">
        <f t="shared" si="290"/>
        <v>Tank 2 + 3</v>
      </c>
      <c r="ET51" s="152" t="str">
        <f t="shared" si="291"/>
        <v>Tank 2 + 3</v>
      </c>
      <c r="EU51" s="152" t="str">
        <f t="shared" si="292"/>
        <v>Tank 2 + 3</v>
      </c>
      <c r="EV51" s="152" t="str">
        <f t="shared" si="293"/>
        <v>Tank 2 + 3</v>
      </c>
      <c r="EW51" s="152" t="str">
        <f t="shared" si="294"/>
        <v>Tank 2 + 3</v>
      </c>
      <c r="EX51" s="152" t="str">
        <f t="shared" si="295"/>
        <v>Tank 2 + 3</v>
      </c>
      <c r="EY51" s="152" t="str">
        <f t="shared" si="296"/>
        <v>Tank 2 + 3</v>
      </c>
      <c r="EZ51" s="158" t="str">
        <f t="shared" si="297"/>
        <v xml:space="preserve">Tank 4 + 5 + 6 </v>
      </c>
      <c r="FA51" s="158" t="str">
        <f t="shared" si="298"/>
        <v xml:space="preserve">Tank 4 + 5 + 6 </v>
      </c>
      <c r="FB51" s="158" t="str">
        <f t="shared" si="299"/>
        <v xml:space="preserve">Tank 4 + 5 + 6 </v>
      </c>
      <c r="FC51" s="158" t="str">
        <f t="shared" si="300"/>
        <v xml:space="preserve">Tank 4 + 5 + 6 </v>
      </c>
      <c r="FD51" s="158" t="str">
        <f t="shared" si="301"/>
        <v xml:space="preserve">Tank 4 + 5 + 6 </v>
      </c>
      <c r="FE51" s="158" t="str">
        <f t="shared" si="302"/>
        <v xml:space="preserve">Tank 4 + 5 + 6 </v>
      </c>
      <c r="FF51" s="158" t="str">
        <f t="shared" si="303"/>
        <v xml:space="preserve">Tank 4 + 5 + 6 </v>
      </c>
      <c r="FG51" s="158" t="str">
        <f t="shared" si="304"/>
        <v xml:space="preserve">Tank 4 + 5 + 6 </v>
      </c>
      <c r="FH51" s="158" t="str">
        <f t="shared" si="305"/>
        <v xml:space="preserve">Tank 4 + 5 + 6 </v>
      </c>
      <c r="FI51" s="158" t="str">
        <f t="shared" si="306"/>
        <v xml:space="preserve">Tank 4 + 5 + 6 </v>
      </c>
      <c r="FJ51" s="158" t="str">
        <f t="shared" si="307"/>
        <v xml:space="preserve">Tank 4 + 5 + 6 </v>
      </c>
      <c r="FK51" s="158" t="str">
        <f t="shared" si="308"/>
        <v xml:space="preserve">Tank 4 + 5 + 6 </v>
      </c>
      <c r="FL51" s="158" t="str">
        <f t="shared" si="309"/>
        <v xml:space="preserve">Tank 4 + 5 + 6 </v>
      </c>
      <c r="FM51" s="158" t="str">
        <f t="shared" si="310"/>
        <v xml:space="preserve">Tank 4 + 5 + 6 </v>
      </c>
      <c r="FN51" s="158" t="str">
        <f t="shared" si="311"/>
        <v xml:space="preserve">Tank 4 + 5 + 6 </v>
      </c>
      <c r="FO51" s="158" t="str">
        <f t="shared" si="312"/>
        <v xml:space="preserve">Tank 4 + 5 + 6 </v>
      </c>
      <c r="FP51" s="158" t="str">
        <f t="shared" si="313"/>
        <v xml:space="preserve">Tank 4 + 5 + 6 </v>
      </c>
      <c r="FQ51" s="158" t="str">
        <f t="shared" si="314"/>
        <v xml:space="preserve">Tank 4 + 5 + 6 </v>
      </c>
      <c r="FR51" s="158" t="str">
        <f t="shared" si="315"/>
        <v xml:space="preserve">Tank 4 + 5 + 6 </v>
      </c>
      <c r="FS51" s="158" t="str">
        <f t="shared" si="316"/>
        <v xml:space="preserve">Tank 4 + 5 + 6 </v>
      </c>
      <c r="FT51" s="158" t="str">
        <f t="shared" si="317"/>
        <v xml:space="preserve">Tank 4 + 5 + 6 </v>
      </c>
      <c r="FU51" s="158" t="str">
        <f t="shared" si="318"/>
        <v xml:space="preserve">Tank 4 + 5 + 6 </v>
      </c>
      <c r="FV51" s="158" t="str">
        <f t="shared" si="319"/>
        <v xml:space="preserve">Tank 4 + 5 + 6 </v>
      </c>
      <c r="FW51" s="158" t="str">
        <f t="shared" si="320"/>
        <v xml:space="preserve">Tank 4 + 5 + 6 </v>
      </c>
      <c r="FX51" s="158" t="str">
        <f t="shared" si="321"/>
        <v xml:space="preserve">Tank 4 + 5 + 6 </v>
      </c>
      <c r="FY51" s="158" t="str">
        <f t="shared" si="322"/>
        <v xml:space="preserve">Tank 4 + 5 + 6 </v>
      </c>
      <c r="FZ51" s="158" t="str">
        <f t="shared" si="323"/>
        <v xml:space="preserve">Tank 4 + 5 + 6 </v>
      </c>
      <c r="GA51" s="158" t="str">
        <f t="shared" si="324"/>
        <v xml:space="preserve">Tank 4 + 5 + 6 </v>
      </c>
      <c r="GB51" s="158" t="str">
        <f t="shared" si="325"/>
        <v xml:space="preserve">Tank 4 + 5 + 6 </v>
      </c>
      <c r="GC51" s="158" t="str">
        <f t="shared" si="326"/>
        <v xml:space="preserve">Tank 4 + 5 + 6 </v>
      </c>
      <c r="GD51" s="158" t="str">
        <f t="shared" si="327"/>
        <v xml:space="preserve">Tank 4 + 5 + 6 </v>
      </c>
      <c r="GE51" s="158" t="str">
        <f t="shared" si="328"/>
        <v xml:space="preserve">Tank 4 + 5 + 6 </v>
      </c>
      <c r="GF51" s="158" t="str">
        <f t="shared" si="329"/>
        <v xml:space="preserve">Tank 4 + 5 + 6 </v>
      </c>
      <c r="GG51" s="158" t="str">
        <f t="shared" si="330"/>
        <v xml:space="preserve">Tank 4 + 5 + 6 </v>
      </c>
      <c r="GH51" s="158" t="str">
        <f t="shared" si="331"/>
        <v xml:space="preserve">Tank 4 + 5 + 6 </v>
      </c>
      <c r="GI51" s="158" t="str">
        <f t="shared" si="332"/>
        <v xml:space="preserve">Tank 4 + 5 + 6 </v>
      </c>
      <c r="GJ51" s="158" t="str">
        <f t="shared" si="333"/>
        <v xml:space="preserve">Tank 4 + 5 + 6 </v>
      </c>
      <c r="GK51" s="158" t="str">
        <f t="shared" si="334"/>
        <v xml:space="preserve">Tank 4 + 5 + 6 </v>
      </c>
      <c r="GL51" s="158" t="str">
        <f t="shared" si="335"/>
        <v xml:space="preserve">Tank 4 + 5 + 6 </v>
      </c>
      <c r="GM51" s="158" t="str">
        <f t="shared" si="336"/>
        <v xml:space="preserve">Tank 4 + 5 + 6 </v>
      </c>
      <c r="GN51" s="158" t="str">
        <f t="shared" si="337"/>
        <v xml:space="preserve">Tank 4 + 5 + 6 </v>
      </c>
      <c r="GO51" s="158" t="str">
        <f t="shared" si="338"/>
        <v xml:space="preserve">Tank 4 + 5 + 6 </v>
      </c>
      <c r="GP51" s="158" t="str">
        <f t="shared" si="339"/>
        <v xml:space="preserve">Tank 4 + 5 + 6 </v>
      </c>
      <c r="GQ51" s="158" t="str">
        <f t="shared" si="340"/>
        <v xml:space="preserve">Tank 4 + 5 + 6 </v>
      </c>
      <c r="GR51" s="158" t="str">
        <f t="shared" si="341"/>
        <v xml:space="preserve">Tank 4 + 5 + 6 </v>
      </c>
      <c r="GS51" s="158" t="str">
        <f t="shared" si="342"/>
        <v xml:space="preserve">Tank 4 + 5 + 6 </v>
      </c>
      <c r="GT51" s="158" t="str">
        <f t="shared" si="343"/>
        <v xml:space="preserve">Tank 4 + 5 + 6 </v>
      </c>
      <c r="GU51" s="158" t="str">
        <f t="shared" si="344"/>
        <v xml:space="preserve">Tank 4 + 5 + 6 </v>
      </c>
      <c r="GV51" s="158" t="str">
        <f t="shared" si="345"/>
        <v xml:space="preserve">Tank 4 + 5 + 6 </v>
      </c>
      <c r="GW51" s="158" t="str">
        <f t="shared" si="346"/>
        <v xml:space="preserve">Tank 4 + 5 + 6 </v>
      </c>
      <c r="GX51" s="194" t="str">
        <f t="shared" si="347"/>
        <v xml:space="preserve">Tank 4 + 5 + 6 </v>
      </c>
      <c r="GY51" s="119"/>
      <c r="GZ51" s="119"/>
      <c r="HA51" s="119"/>
      <c r="HB51" s="119"/>
      <c r="HC51" s="119"/>
      <c r="HD51" s="119"/>
      <c r="HE51" s="119"/>
      <c r="HF51" s="119"/>
      <c r="HG51" s="119"/>
      <c r="HH51" s="119"/>
      <c r="HI51" s="119"/>
      <c r="HJ51" s="119"/>
      <c r="HK51" s="119"/>
      <c r="HL51" s="119"/>
      <c r="HM51" s="119"/>
      <c r="HN51" s="119"/>
      <c r="HO51" s="119"/>
      <c r="HP51" s="119"/>
      <c r="HQ51" s="119"/>
      <c r="HR51" s="119"/>
      <c r="HS51" s="119"/>
      <c r="HT51" s="119"/>
      <c r="HU51" s="119"/>
      <c r="HV51" s="119"/>
      <c r="HW51" s="119"/>
      <c r="HX51" s="119"/>
      <c r="HY51" s="119"/>
      <c r="HZ51" s="119"/>
      <c r="IA51" s="119"/>
      <c r="IB51" s="119"/>
      <c r="IC51" s="119"/>
      <c r="ID51" s="119"/>
      <c r="IE51" s="119"/>
      <c r="IF51" s="119"/>
      <c r="IG51" s="119"/>
      <c r="IH51" s="119"/>
      <c r="II51" s="119"/>
      <c r="IJ51" s="119"/>
      <c r="IK51" s="119"/>
      <c r="IL51" s="119"/>
      <c r="IM51" s="119"/>
      <c r="IN51" s="119"/>
      <c r="IO51" s="119"/>
      <c r="IP51" s="119"/>
      <c r="IQ51" s="119"/>
      <c r="IR51" s="119"/>
      <c r="IS51" s="119"/>
      <c r="IT51" s="119"/>
      <c r="IU51" s="119"/>
      <c r="IV51" s="119"/>
      <c r="IW51" s="119"/>
      <c r="IX51" s="119"/>
      <c r="IY51" s="119"/>
      <c r="IZ51" s="119"/>
      <c r="JA51" s="119"/>
      <c r="JB51" s="119"/>
      <c r="JC51" s="119"/>
      <c r="JD51" s="119"/>
      <c r="JE51" s="119"/>
      <c r="JF51" s="119"/>
      <c r="JG51" s="119"/>
      <c r="JH51" s="119"/>
      <c r="JI51" s="119"/>
      <c r="JJ51" s="119"/>
      <c r="JK51" s="119"/>
      <c r="JL51" s="119"/>
      <c r="JM51" s="119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/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/>
      <c r="KN51" s="23"/>
      <c r="KO51" s="23"/>
      <c r="KP51" s="23"/>
      <c r="KQ51" s="23"/>
      <c r="KR51" s="23"/>
      <c r="KS51" s="23"/>
      <c r="KT51" s="23"/>
      <c r="KU51" s="23"/>
      <c r="KV51" s="23"/>
      <c r="KW51" s="23"/>
      <c r="KX51" s="23"/>
      <c r="KY51" s="23"/>
      <c r="KZ51" s="23"/>
      <c r="LA51" s="23"/>
      <c r="LB51" s="23"/>
      <c r="LC51" s="23"/>
      <c r="LD51" s="23"/>
      <c r="LE51" s="23"/>
      <c r="LF51" s="23"/>
      <c r="LG51" s="23"/>
      <c r="LH51" s="23"/>
      <c r="LI51" s="23"/>
      <c r="LJ51" s="23"/>
      <c r="LK51" s="23"/>
      <c r="LL51" s="23"/>
      <c r="LM51" s="23"/>
      <c r="LN51" s="23"/>
      <c r="LO51" s="23"/>
      <c r="LP51" s="23"/>
      <c r="LQ51" s="23"/>
      <c r="LR51" s="23"/>
      <c r="LS51" s="23"/>
      <c r="LT51" s="23"/>
      <c r="LU51" s="23"/>
      <c r="LV51" s="23"/>
      <c r="LW51" s="23"/>
      <c r="LX51" s="23"/>
      <c r="LY51" s="23"/>
      <c r="LZ51" s="23"/>
      <c r="MA51" s="23"/>
      <c r="MB51" s="23"/>
      <c r="MC51" s="23"/>
      <c r="MD51" s="23"/>
      <c r="ME51" s="23"/>
      <c r="MF51" s="23"/>
      <c r="MG51" s="23"/>
      <c r="MH51" s="23"/>
      <c r="MI51" s="23"/>
      <c r="MJ51" s="23"/>
      <c r="MK51" s="23"/>
      <c r="ML51" s="23"/>
      <c r="MM51" s="23"/>
      <c r="MN51" s="23"/>
      <c r="MO51" s="23"/>
      <c r="MP51" s="23"/>
      <c r="MQ51" s="23"/>
      <c r="MR51" s="23"/>
      <c r="MS51" s="23"/>
      <c r="MT51" s="23"/>
      <c r="MU51" s="23"/>
      <c r="MV51" s="23"/>
      <c r="MW51" s="23"/>
      <c r="MX51" s="23"/>
      <c r="MY51" s="23"/>
      <c r="MZ51" s="23"/>
      <c r="NA51" s="23"/>
      <c r="NB51" s="23"/>
      <c r="NC51" s="23"/>
      <c r="ND51" s="23"/>
      <c r="NE51" s="23"/>
      <c r="NF51" s="23"/>
      <c r="NG51" s="23"/>
      <c r="NH51" s="23"/>
      <c r="NI51" s="23"/>
      <c r="NJ51" s="23"/>
      <c r="NK51" s="23"/>
      <c r="NL51" s="23"/>
      <c r="NM51" s="23"/>
      <c r="NN51" s="23"/>
      <c r="NO51" s="23"/>
      <c r="NP51" s="23"/>
      <c r="NQ51" s="23"/>
      <c r="NR51" s="23"/>
      <c r="NS51" s="23"/>
      <c r="NT51" s="23"/>
      <c r="NU51" s="23"/>
      <c r="NV51" s="23"/>
      <c r="NW51" s="23"/>
      <c r="NX51" s="23"/>
      <c r="NY51" s="23"/>
      <c r="NZ51" s="23"/>
      <c r="OA51" s="23"/>
      <c r="OB51" s="23"/>
      <c r="OC51" s="23"/>
      <c r="OD51" s="23"/>
      <c r="OE51" s="23"/>
      <c r="OF51" s="23"/>
      <c r="OG51" s="23"/>
      <c r="OH51" s="23"/>
      <c r="OI51" s="23"/>
      <c r="OJ51" s="23"/>
      <c r="OK51" s="23"/>
      <c r="OL51" s="23"/>
      <c r="OM51" s="23"/>
      <c r="ON51" s="23"/>
      <c r="OO51" s="23"/>
      <c r="OP51" s="23"/>
      <c r="OQ51" s="23"/>
      <c r="OR51" s="23"/>
      <c r="OS51" s="23"/>
      <c r="OT51" s="23"/>
      <c r="OU51" s="23"/>
      <c r="OV51" s="23"/>
      <c r="OW51" s="23"/>
      <c r="OX51" s="23"/>
      <c r="OY51" s="23"/>
      <c r="OZ51" s="23"/>
      <c r="PA51" s="23"/>
      <c r="PB51" s="23"/>
      <c r="PC51" s="23"/>
      <c r="PD51" s="23"/>
      <c r="PE51" s="23"/>
      <c r="PF51" s="23"/>
      <c r="PG51" s="23"/>
      <c r="PH51" s="23"/>
      <c r="PI51" s="23"/>
      <c r="PJ51" s="23"/>
      <c r="PK51" s="23"/>
      <c r="PL51" s="23"/>
      <c r="PM51" s="23"/>
      <c r="PN51" s="23"/>
      <c r="PO51" s="23"/>
      <c r="PP51" s="23"/>
      <c r="PQ51" s="23"/>
      <c r="PR51" s="23"/>
      <c r="PS51" s="23"/>
      <c r="PT51" s="23"/>
      <c r="PU51" s="23"/>
      <c r="PV51" s="23"/>
      <c r="PW51" s="23"/>
      <c r="PX51" s="23"/>
      <c r="PY51" s="23"/>
      <c r="PZ51" s="23"/>
      <c r="QA51" s="23"/>
      <c r="QB51" s="23"/>
      <c r="QC51" s="23"/>
      <c r="QD51" s="23"/>
      <c r="QE51" s="23"/>
      <c r="QF51" s="23"/>
      <c r="QG51" s="23"/>
      <c r="QH51" s="23"/>
      <c r="QI51" s="23"/>
      <c r="QJ51" s="23"/>
      <c r="QK51" s="23"/>
      <c r="QL51" s="23"/>
      <c r="QM51" s="23"/>
      <c r="QN51" s="23"/>
      <c r="QO51" s="23"/>
      <c r="QP51" s="23"/>
      <c r="QQ51" s="23"/>
      <c r="QR51" s="23"/>
      <c r="QS51" s="23"/>
      <c r="QT51" s="23"/>
      <c r="QU51" s="23"/>
      <c r="QV51" s="23"/>
      <c r="QW51" s="23"/>
      <c r="QX51" s="23"/>
      <c r="QY51" s="23"/>
      <c r="QZ51" s="23"/>
      <c r="RA51" s="23"/>
      <c r="RB51" s="23"/>
      <c r="RC51" s="184"/>
      <c r="RD51" s="184"/>
      <c r="RE51" s="184"/>
      <c r="RF51" s="184"/>
      <c r="RG51" s="184"/>
      <c r="RH51" s="184"/>
      <c r="RI51" s="184"/>
      <c r="RJ51" s="184"/>
      <c r="RK51" s="184"/>
      <c r="RL51" s="184"/>
      <c r="RM51" s="184"/>
      <c r="RN51" s="184"/>
      <c r="RO51" s="184"/>
      <c r="RP51" s="184"/>
      <c r="RQ51" s="184"/>
      <c r="RR51" s="184"/>
      <c r="RS51" s="184"/>
      <c r="RT51" s="184"/>
      <c r="RU51" s="184"/>
      <c r="RV51" s="184"/>
      <c r="RW51" s="184"/>
      <c r="RX51" s="184"/>
      <c r="RY51" s="184"/>
      <c r="RZ51" s="184"/>
      <c r="SA51" s="185"/>
      <c r="SB51" s="185"/>
      <c r="SC51" s="185"/>
      <c r="SD51" s="185"/>
      <c r="SE51" s="185"/>
      <c r="SF51" s="185"/>
      <c r="SG51" s="185"/>
      <c r="SH51" s="185"/>
      <c r="SI51" s="185"/>
      <c r="SJ51" s="185"/>
      <c r="SK51" s="185"/>
      <c r="SL51" s="185"/>
      <c r="SM51" s="185"/>
      <c r="SN51" s="185"/>
      <c r="SO51" s="185"/>
      <c r="SP51" s="185"/>
      <c r="SQ51" s="185"/>
      <c r="SR51" s="185"/>
      <c r="SS51" s="185"/>
      <c r="ST51" s="185"/>
      <c r="SU51" s="185"/>
      <c r="SV51" s="185"/>
      <c r="SW51" s="185"/>
      <c r="SX51" s="185"/>
      <c r="SY51" s="185"/>
      <c r="SZ51" s="185"/>
      <c r="TA51" s="11"/>
      <c r="TB51" s="11"/>
      <c r="TC51" s="11"/>
      <c r="TD51" s="11"/>
    </row>
    <row r="52" spans="1:525" ht="22.15" customHeight="1" thickBot="1" x14ac:dyDescent="0.3">
      <c r="A52" s="299"/>
      <c r="B52" s="26" t="s">
        <v>19</v>
      </c>
      <c r="BB52" s="126">
        <f t="shared" si="195"/>
        <v>4.166666666666667</v>
      </c>
      <c r="BC52" s="127">
        <f t="shared" si="196"/>
        <v>4.5764880952380951</v>
      </c>
      <c r="BD52" s="127">
        <f t="shared" si="197"/>
        <v>5.0241666985544224</v>
      </c>
      <c r="BE52" s="127">
        <f t="shared" si="198"/>
        <v>5.5050764092090345</v>
      </c>
      <c r="BF52" s="127">
        <f t="shared" si="199"/>
        <v>6.0300868541293902</v>
      </c>
      <c r="BG52" s="127">
        <f t="shared" si="200"/>
        <v>6.6009350763203054</v>
      </c>
      <c r="BH52" s="127">
        <f t="shared" si="201"/>
        <v>7.210269669399942</v>
      </c>
      <c r="BI52" s="127">
        <f t="shared" si="202"/>
        <v>7.8721226990531363</v>
      </c>
      <c r="BJ52" s="127">
        <f t="shared" si="203"/>
        <v>8.5768778193310791</v>
      </c>
      <c r="BK52" s="127">
        <f t="shared" si="204"/>
        <v>9.3389116079570709</v>
      </c>
      <c r="BL52" s="127">
        <f t="shared" si="205"/>
        <v>10.159152963083063</v>
      </c>
      <c r="BM52" s="127">
        <f t="shared" si="206"/>
        <v>11.026067349266151</v>
      </c>
      <c r="BN52" s="127">
        <f t="shared" si="207"/>
        <v>11.955932362387598</v>
      </c>
      <c r="BO52" s="127">
        <f t="shared" si="208"/>
        <v>12.935534820538635</v>
      </c>
      <c r="BP52" s="127">
        <f t="shared" si="209"/>
        <v>13.982676967158632</v>
      </c>
      <c r="BQ52" s="127">
        <f t="shared" si="210"/>
        <v>15.080091582032725</v>
      </c>
      <c r="BR52" s="127">
        <f t="shared" si="211"/>
        <v>16.246609634088035</v>
      </c>
      <c r="BS52" s="127">
        <f t="shared" si="212"/>
        <v>17.462268647025983</v>
      </c>
      <c r="BT52" s="127">
        <f t="shared" si="213"/>
        <v>18.749487307292473</v>
      </c>
      <c r="BU52" s="127">
        <f t="shared" si="214"/>
        <v>20.088903806807178</v>
      </c>
      <c r="BV52" s="127">
        <f t="shared" si="215"/>
        <v>21.502032633967268</v>
      </c>
      <c r="BW52" s="127">
        <f t="shared" si="216"/>
        <v>22.96747885809765</v>
      </c>
      <c r="BX52" s="127">
        <f t="shared" si="217"/>
        <v>24.50453321244726</v>
      </c>
      <c r="BY52" s="127">
        <f t="shared" si="218"/>
        <v>26.092872501581343</v>
      </c>
      <c r="BZ52" s="127">
        <f t="shared" si="219"/>
        <v>27.756490796833685</v>
      </c>
      <c r="CA52" s="127">
        <f t="shared" si="220"/>
        <v>29.500944188125594</v>
      </c>
      <c r="CB52" s="127">
        <f t="shared" si="221"/>
        <v>31.300061471001431</v>
      </c>
      <c r="CC52" s="127">
        <f t="shared" si="222"/>
        <v>33.180868149841011</v>
      </c>
      <c r="CD52" s="127">
        <f t="shared" si="223"/>
        <v>35.115117581399382</v>
      </c>
      <c r="CE52" s="127">
        <f t="shared" si="224"/>
        <v>37.131138449602076</v>
      </c>
      <c r="CF52" s="127">
        <f t="shared" si="225"/>
        <v>39.23013986431193</v>
      </c>
      <c r="CG52" s="127">
        <f t="shared" si="226"/>
        <v>41.380406371077548</v>
      </c>
      <c r="CH52" s="127">
        <f t="shared" si="227"/>
        <v>43.612549450978278</v>
      </c>
      <c r="CI52" s="127">
        <f t="shared" si="228"/>
        <v>45.927174901550487</v>
      </c>
      <c r="CJ52" s="127">
        <f t="shared" si="229"/>
        <v>48.289143896487367</v>
      </c>
      <c r="CK52" s="127">
        <f t="shared" si="230"/>
        <v>50.731194887824017</v>
      </c>
      <c r="CL52" s="127">
        <f t="shared" si="231"/>
        <v>53.209163674739131</v>
      </c>
      <c r="CM52" s="127">
        <f t="shared" si="232"/>
        <v>55.763203531126614</v>
      </c>
      <c r="CN52" s="127">
        <f t="shared" si="233"/>
        <v>58.384859494322392</v>
      </c>
      <c r="CO52" s="127">
        <f t="shared" si="234"/>
        <v>61.04137060131405</v>
      </c>
      <c r="CP52" s="127">
        <f t="shared" si="235"/>
        <v>63.767885154839412</v>
      </c>
      <c r="CQ52" s="127">
        <f t="shared" si="236"/>
        <v>66.554187470077267</v>
      </c>
      <c r="CR52" s="127">
        <f t="shared" si="237"/>
        <v>69.36587396538846</v>
      </c>
      <c r="CS52" s="127">
        <f t="shared" si="238"/>
        <v>72.229829364452598</v>
      </c>
      <c r="CT52" s="127">
        <f t="shared" si="239"/>
        <v>75.152663829419623</v>
      </c>
      <c r="CU52" s="127">
        <f t="shared" si="240"/>
        <v>78.089711177996406</v>
      </c>
      <c r="CV52" s="127">
        <f t="shared" si="241"/>
        <v>81.078225530105684</v>
      </c>
      <c r="CW52" s="127">
        <f t="shared" si="242"/>
        <v>84.115372032395584</v>
      </c>
      <c r="CX52" s="127">
        <f t="shared" si="243"/>
        <v>87.154740808499469</v>
      </c>
      <c r="CY52" s="127">
        <f t="shared" si="244"/>
        <v>90.234208317066447</v>
      </c>
      <c r="CZ52" s="127">
        <f t="shared" si="245"/>
        <v>93.306920568705493</v>
      </c>
      <c r="DA52" s="153">
        <f t="shared" si="246"/>
        <v>46.560153363784046</v>
      </c>
      <c r="DB52" s="153">
        <f t="shared" si="247"/>
        <v>48.07213308091324</v>
      </c>
      <c r="DC52" s="153">
        <f t="shared" si="248"/>
        <v>49.574231161337615</v>
      </c>
      <c r="DD52" s="153">
        <f t="shared" si="249"/>
        <v>51.084635658798625</v>
      </c>
      <c r="DE52" s="153">
        <f t="shared" si="250"/>
        <v>52.614520981255644</v>
      </c>
      <c r="DF52" s="153">
        <f t="shared" si="251"/>
        <v>54.141691179993622</v>
      </c>
      <c r="DG52" s="153">
        <f t="shared" si="252"/>
        <v>55.678482260410362</v>
      </c>
      <c r="DH52" s="153">
        <f t="shared" si="253"/>
        <v>57.230341496745396</v>
      </c>
      <c r="DI52" s="153">
        <f t="shared" si="254"/>
        <v>58.796104942310194</v>
      </c>
      <c r="DJ52" s="153">
        <f t="shared" si="255"/>
        <v>60.353085341542005</v>
      </c>
      <c r="DK52" s="153">
        <f t="shared" si="256"/>
        <v>61.920737634210916</v>
      </c>
      <c r="DL52" s="153">
        <f t="shared" si="257"/>
        <v>63.489918858814598</v>
      </c>
      <c r="DM52" s="153">
        <f t="shared" si="258"/>
        <v>65.066719122118315</v>
      </c>
      <c r="DN52" s="153">
        <f t="shared" si="259"/>
        <v>66.62832038104915</v>
      </c>
      <c r="DO52" s="153">
        <f t="shared" si="260"/>
        <v>68.202414450051435</v>
      </c>
      <c r="DP52" s="153">
        <f t="shared" si="261"/>
        <v>69.788120586015125</v>
      </c>
      <c r="DQ52" s="153">
        <f t="shared" si="262"/>
        <v>71.384523844420229</v>
      </c>
      <c r="DR52" s="153">
        <f t="shared" si="263"/>
        <v>72.990675630919668</v>
      </c>
      <c r="DS52" s="153">
        <f t="shared" si="264"/>
        <v>74.583854822468638</v>
      </c>
      <c r="DT52" s="153">
        <f t="shared" si="265"/>
        <v>76.184184941992712</v>
      </c>
      <c r="DU52" s="153">
        <f t="shared" si="266"/>
        <v>77.790636644226339</v>
      </c>
      <c r="DV52" s="153">
        <f t="shared" si="267"/>
        <v>79.402151314461051</v>
      </c>
      <c r="DW52" s="153">
        <f t="shared" si="268"/>
        <v>80.996004254261095</v>
      </c>
      <c r="DX52" s="153">
        <f t="shared" si="269"/>
        <v>82.592218191759684</v>
      </c>
      <c r="DY52" s="153">
        <f t="shared" si="270"/>
        <v>84.199744779979795</v>
      </c>
      <c r="DZ52" s="153">
        <f t="shared" si="271"/>
        <v>85.818022801604783</v>
      </c>
      <c r="EA52" s="153">
        <f t="shared" si="272"/>
        <v>87.446472112327925</v>
      </c>
      <c r="EB52" s="153">
        <f t="shared" si="273"/>
        <v>89.062651488476234</v>
      </c>
      <c r="EC52" s="153">
        <f t="shared" si="274"/>
        <v>90.687240095145555</v>
      </c>
      <c r="ED52" s="153">
        <f t="shared" si="275"/>
        <v>92.319610416858183</v>
      </c>
      <c r="EE52" s="153">
        <f t="shared" si="276"/>
        <v>93.95911771510454</v>
      </c>
      <c r="EF52" s="153">
        <f t="shared" si="277"/>
        <v>95.605100331463134</v>
      </c>
      <c r="EG52" s="153">
        <f t="shared" si="278"/>
        <v>97.256880016707925</v>
      </c>
      <c r="EH52" s="153">
        <f t="shared" si="279"/>
        <v>98.91376228590822</v>
      </c>
      <c r="EI52" s="153">
        <f t="shared" si="280"/>
        <v>100.56468008025162</v>
      </c>
      <c r="EJ52" s="153">
        <f t="shared" si="281"/>
        <v>102.23118049301006</v>
      </c>
      <c r="EK52" s="153">
        <f t="shared" si="282"/>
        <v>103.91312681969268</v>
      </c>
      <c r="EL52" s="153">
        <f t="shared" si="283"/>
        <v>105.61037455774766</v>
      </c>
      <c r="EM52" s="153">
        <f t="shared" si="284"/>
        <v>107.32277134521972</v>
      </c>
      <c r="EN52" s="153">
        <f t="shared" si="285"/>
        <v>109.05015690306182</v>
      </c>
      <c r="EO52" s="153">
        <f t="shared" si="286"/>
        <v>110.76930055306305</v>
      </c>
      <c r="EP52" s="153">
        <f t="shared" si="287"/>
        <v>112.50251431465804</v>
      </c>
      <c r="EQ52" s="153">
        <f t="shared" si="288"/>
        <v>114.24961218401506</v>
      </c>
      <c r="ER52" s="153">
        <f t="shared" si="289"/>
        <v>116.01040032473342</v>
      </c>
      <c r="ES52" s="153">
        <f t="shared" si="290"/>
        <v>117.78467703558228</v>
      </c>
      <c r="ET52" s="153">
        <f t="shared" si="291"/>
        <v>119.57223272235758</v>
      </c>
      <c r="EU52" s="153">
        <f t="shared" si="292"/>
        <v>121.37284987394132</v>
      </c>
      <c r="EV52" s="153">
        <f t="shared" si="293"/>
        <v>123.18630304264609</v>
      </c>
      <c r="EW52" s="153">
        <f t="shared" si="294"/>
        <v>124.98826082436294</v>
      </c>
      <c r="EX52" s="153">
        <f t="shared" si="295"/>
        <v>126.80204395818626</v>
      </c>
      <c r="EY52" s="153">
        <f t="shared" si="296"/>
        <v>128.62740361423548</v>
      </c>
      <c r="EZ52" s="164">
        <f t="shared" si="297"/>
        <v>85.580099204671342</v>
      </c>
      <c r="FA52" s="164">
        <f t="shared" si="298"/>
        <v>86.792152237593314</v>
      </c>
      <c r="FB52" s="164">
        <f t="shared" si="299"/>
        <v>88.011279213209733</v>
      </c>
      <c r="FC52" s="164">
        <f t="shared" si="300"/>
        <v>89.237296800389089</v>
      </c>
      <c r="FD52" s="164">
        <f t="shared" si="301"/>
        <v>90.470016667817731</v>
      </c>
      <c r="FE52" s="164">
        <f t="shared" si="302"/>
        <v>91.692921720706849</v>
      </c>
      <c r="FF52" s="164">
        <f t="shared" si="303"/>
        <v>92.921817660090127</v>
      </c>
      <c r="FG52" s="164">
        <f t="shared" si="304"/>
        <v>94.16718363010925</v>
      </c>
      <c r="FH52" s="164">
        <f t="shared" si="305"/>
        <v>95.418416552826571</v>
      </c>
      <c r="FI52" s="164">
        <f t="shared" si="306"/>
        <v>96.67530741914311</v>
      </c>
      <c r="FJ52" s="164">
        <f t="shared" si="307"/>
        <v>97.937642467742506</v>
      </c>
      <c r="FK52" s="164">
        <f t="shared" si="308"/>
        <v>99.205203219681337</v>
      </c>
      <c r="FL52" s="164">
        <f t="shared" si="309"/>
        <v>100.46105090589411</v>
      </c>
      <c r="FM52" s="164">
        <f t="shared" si="310"/>
        <v>101.7213804536226</v>
      </c>
      <c r="FN52" s="164">
        <f t="shared" si="311"/>
        <v>102.98596216062559</v>
      </c>
      <c r="FO52" s="164">
        <f t="shared" si="312"/>
        <v>104.2662649174861</v>
      </c>
      <c r="FP52" s="164">
        <f t="shared" si="313"/>
        <v>105.5506357262424</v>
      </c>
      <c r="FQ52" s="164">
        <f t="shared" si="314"/>
        <v>106.8388332577195</v>
      </c>
      <c r="FR52" s="164">
        <f t="shared" si="315"/>
        <v>108.13061187801738</v>
      </c>
      <c r="FS52" s="164">
        <f t="shared" si="316"/>
        <v>109.40874000942945</v>
      </c>
      <c r="FT52" s="164">
        <f t="shared" si="317"/>
        <v>110.70197590257463</v>
      </c>
      <c r="FU52" s="164">
        <f t="shared" si="318"/>
        <v>111.99805971033285</v>
      </c>
      <c r="FV52" s="164">
        <f t="shared" si="319"/>
        <v>113.2967338409066</v>
      </c>
      <c r="FW52" s="164">
        <f t="shared" si="320"/>
        <v>114.59773678456285</v>
      </c>
      <c r="FX52" s="164">
        <f t="shared" si="321"/>
        <v>115.90080318485475</v>
      </c>
      <c r="FY52" s="164">
        <f t="shared" si="322"/>
        <v>117.20566391284602</v>
      </c>
      <c r="FZ52" s="164">
        <f t="shared" si="323"/>
        <v>118.49492621588733</v>
      </c>
      <c r="GA52" s="164">
        <f t="shared" si="324"/>
        <v>104.98650462727618</v>
      </c>
      <c r="GB52" s="164">
        <f t="shared" si="325"/>
        <v>106.12969101099542</v>
      </c>
      <c r="GC52" s="164">
        <f t="shared" si="326"/>
        <v>92.112148806193915</v>
      </c>
      <c r="GD52" s="164">
        <f t="shared" si="327"/>
        <v>93.094678393460001</v>
      </c>
      <c r="GE52" s="164">
        <f t="shared" si="328"/>
        <v>94.077344443168741</v>
      </c>
      <c r="GF52" s="164">
        <f t="shared" si="329"/>
        <v>95.059930040686254</v>
      </c>
      <c r="GG52" s="164">
        <f t="shared" si="330"/>
        <v>96.029332404178092</v>
      </c>
      <c r="GH52" s="164">
        <f t="shared" si="331"/>
        <v>80.993179133302633</v>
      </c>
      <c r="GI52" s="164">
        <f t="shared" si="332"/>
        <v>81.810231204119916</v>
      </c>
      <c r="GJ52" s="164">
        <f t="shared" si="333"/>
        <v>66.264489248277698</v>
      </c>
      <c r="GK52" s="164">
        <f t="shared" si="334"/>
        <v>66.918395966354112</v>
      </c>
      <c r="GL52" s="164">
        <f t="shared" si="335"/>
        <v>67.571401852267556</v>
      </c>
      <c r="GM52" s="164">
        <f t="shared" si="336"/>
        <v>68.223354498710307</v>
      </c>
      <c r="GN52" s="164">
        <f t="shared" si="337"/>
        <v>68.881597413544029</v>
      </c>
      <c r="GO52" s="164">
        <f t="shared" si="338"/>
        <v>52.318222527794894</v>
      </c>
      <c r="GP52" s="164">
        <f t="shared" si="339"/>
        <v>52.811508625914108</v>
      </c>
      <c r="GQ52" s="164">
        <f t="shared" si="340"/>
        <v>35.699806036119753</v>
      </c>
      <c r="GR52" s="164">
        <f t="shared" si="341"/>
        <v>36.028089035104067</v>
      </c>
      <c r="GS52" s="164">
        <f t="shared" si="342"/>
        <v>36.355474713727411</v>
      </c>
      <c r="GT52" s="164">
        <f t="shared" si="343"/>
        <v>36.685835331778243</v>
      </c>
      <c r="GU52" s="164">
        <f t="shared" si="344"/>
        <v>37.015210331604855</v>
      </c>
      <c r="GV52" s="164">
        <f t="shared" si="345"/>
        <v>18.835913987874051</v>
      </c>
      <c r="GW52" s="164">
        <f t="shared" si="346"/>
        <v>19.002980355418675</v>
      </c>
      <c r="GX52" s="198">
        <f t="shared" si="347"/>
        <v>-3.8414937896748588E-2</v>
      </c>
      <c r="GY52" s="119"/>
      <c r="GZ52" s="119"/>
      <c r="HA52" s="119"/>
      <c r="HB52" s="119"/>
      <c r="HC52" s="119"/>
      <c r="HD52" s="119"/>
      <c r="HE52" s="119"/>
      <c r="HF52" s="119"/>
      <c r="HG52" s="119"/>
      <c r="HH52" s="119"/>
      <c r="HI52" s="119"/>
      <c r="HJ52" s="119"/>
      <c r="HK52" s="119"/>
      <c r="HL52" s="119"/>
      <c r="HM52" s="119"/>
      <c r="HN52" s="119"/>
      <c r="HO52" s="119"/>
      <c r="HP52" s="119"/>
      <c r="HQ52" s="119"/>
      <c r="HR52" s="119"/>
      <c r="HS52" s="119"/>
      <c r="HT52" s="119"/>
      <c r="HU52" s="119"/>
      <c r="HV52" s="119"/>
      <c r="HW52" s="119"/>
      <c r="HX52" s="119"/>
      <c r="HY52" s="119"/>
      <c r="HZ52" s="119"/>
      <c r="IA52" s="119"/>
      <c r="IB52" s="119"/>
      <c r="IC52" s="119"/>
      <c r="ID52" s="119"/>
      <c r="IE52" s="119"/>
      <c r="IF52" s="119"/>
      <c r="IG52" s="119"/>
      <c r="IH52" s="119"/>
      <c r="II52" s="119"/>
      <c r="IJ52" s="119"/>
      <c r="IK52" s="119"/>
      <c r="IL52" s="119"/>
      <c r="IM52" s="119"/>
      <c r="IN52" s="119"/>
      <c r="IO52" s="119"/>
      <c r="IP52" s="119"/>
      <c r="IQ52" s="119"/>
      <c r="IR52" s="119"/>
      <c r="IS52" s="119"/>
      <c r="IT52" s="119"/>
      <c r="IU52" s="119"/>
      <c r="IV52" s="119"/>
      <c r="IW52" s="119"/>
      <c r="IX52" s="119"/>
      <c r="IY52" s="119"/>
      <c r="IZ52" s="119"/>
      <c r="JA52" s="119"/>
      <c r="JB52" s="119"/>
      <c r="JC52" s="119"/>
      <c r="JD52" s="119"/>
      <c r="JE52" s="119"/>
      <c r="JF52" s="119"/>
      <c r="JG52" s="119"/>
      <c r="JH52" s="119"/>
      <c r="JI52" s="119"/>
      <c r="JJ52" s="119"/>
      <c r="JK52" s="119"/>
      <c r="JL52" s="119"/>
      <c r="JM52" s="119"/>
      <c r="JN52" s="133"/>
      <c r="JO52" s="133"/>
      <c r="JP52" s="133"/>
      <c r="JQ52" s="133"/>
      <c r="JR52" s="133"/>
      <c r="JS52" s="133"/>
      <c r="JT52" s="133"/>
      <c r="JU52" s="133"/>
      <c r="JV52" s="133"/>
      <c r="JW52" s="133"/>
      <c r="JX52" s="133"/>
      <c r="JY52" s="133"/>
      <c r="JZ52" s="133"/>
      <c r="KA52" s="133"/>
      <c r="KB52" s="133"/>
      <c r="KC52" s="133"/>
      <c r="KD52" s="133"/>
      <c r="KE52" s="133"/>
      <c r="KF52" s="133"/>
      <c r="KG52" s="133"/>
      <c r="KH52" s="133"/>
      <c r="KI52" s="133"/>
      <c r="KJ52" s="133"/>
      <c r="KK52" s="23"/>
      <c r="KL52" s="23"/>
      <c r="KM52" s="23"/>
      <c r="KN52" s="23"/>
      <c r="KO52" s="23"/>
      <c r="KP52" s="23"/>
      <c r="KQ52" s="23"/>
      <c r="KR52" s="23"/>
      <c r="KS52" s="23"/>
      <c r="KT52" s="23"/>
      <c r="KU52" s="23"/>
      <c r="KV52" s="23"/>
      <c r="KW52" s="23"/>
      <c r="KX52" s="23"/>
      <c r="KY52" s="23"/>
      <c r="KZ52" s="23"/>
      <c r="LA52" s="23"/>
      <c r="LB52" s="23"/>
      <c r="LC52" s="23"/>
      <c r="LD52" s="23"/>
      <c r="LE52" s="23"/>
      <c r="LF52" s="23"/>
      <c r="LG52" s="23"/>
      <c r="LH52" s="23"/>
      <c r="LI52" s="23"/>
      <c r="LJ52" s="23"/>
      <c r="LK52" s="23"/>
      <c r="LL52" s="23"/>
      <c r="LM52" s="23"/>
      <c r="LN52" s="23"/>
      <c r="LO52" s="23"/>
      <c r="LP52" s="23"/>
      <c r="LQ52" s="23"/>
      <c r="LR52" s="23"/>
      <c r="LS52" s="23"/>
      <c r="LT52" s="23"/>
      <c r="LU52" s="23"/>
      <c r="LV52" s="23"/>
      <c r="LW52" s="23"/>
      <c r="LX52" s="23"/>
      <c r="LY52" s="23"/>
      <c r="LZ52" s="23"/>
      <c r="MA52" s="23"/>
      <c r="MB52" s="23"/>
      <c r="MC52" s="23"/>
      <c r="MD52" s="23"/>
      <c r="ME52" s="23"/>
      <c r="MF52" s="23"/>
      <c r="MG52" s="23"/>
      <c r="MH52" s="23"/>
      <c r="MI52" s="23"/>
      <c r="MJ52" s="23"/>
      <c r="MK52" s="23"/>
      <c r="ML52" s="23"/>
      <c r="MM52" s="23"/>
      <c r="MN52" s="23"/>
      <c r="MO52" s="23"/>
      <c r="MP52" s="23"/>
      <c r="MQ52" s="23"/>
      <c r="MR52" s="23"/>
      <c r="MS52" s="23"/>
      <c r="MT52" s="23"/>
      <c r="MU52" s="23"/>
      <c r="MV52" s="23"/>
      <c r="MW52" s="23"/>
      <c r="MX52" s="23"/>
      <c r="MY52" s="23"/>
      <c r="MZ52" s="23"/>
      <c r="NA52" s="23"/>
      <c r="NB52" s="23"/>
      <c r="NC52" s="23"/>
      <c r="ND52" s="23"/>
      <c r="NE52" s="23"/>
      <c r="NF52" s="23"/>
      <c r="NG52" s="23"/>
      <c r="NH52" s="23"/>
      <c r="NI52" s="23"/>
      <c r="NJ52" s="23"/>
      <c r="NK52" s="23"/>
      <c r="NL52" s="23"/>
      <c r="NM52" s="23"/>
      <c r="NN52" s="23"/>
      <c r="NO52" s="23"/>
      <c r="NP52" s="23"/>
      <c r="NQ52" s="23"/>
      <c r="NR52" s="23"/>
      <c r="NS52" s="23"/>
      <c r="NT52" s="23"/>
      <c r="NU52" s="23"/>
      <c r="NV52" s="23"/>
      <c r="NW52" s="23"/>
      <c r="NX52" s="23"/>
      <c r="NY52" s="23"/>
      <c r="NZ52" s="23"/>
      <c r="OA52" s="23"/>
      <c r="OB52" s="23"/>
      <c r="OC52" s="23"/>
      <c r="OD52" s="23"/>
      <c r="OE52" s="23"/>
      <c r="OF52" s="23"/>
      <c r="OG52" s="23"/>
      <c r="OH52" s="23"/>
      <c r="OI52" s="23"/>
      <c r="OJ52" s="23"/>
      <c r="OK52" s="23"/>
      <c r="OL52" s="23"/>
      <c r="OM52" s="23"/>
      <c r="ON52" s="23"/>
      <c r="OO52" s="23"/>
      <c r="OP52" s="23"/>
      <c r="OQ52" s="23"/>
      <c r="OR52" s="23"/>
      <c r="OS52" s="23"/>
      <c r="OT52" s="23"/>
      <c r="OU52" s="23"/>
      <c r="OV52" s="23"/>
      <c r="OW52" s="23"/>
      <c r="OX52" s="23"/>
      <c r="OY52" s="23"/>
      <c r="OZ52" s="23"/>
      <c r="PA52" s="23"/>
      <c r="PB52" s="23"/>
      <c r="PC52" s="23"/>
      <c r="PD52" s="23"/>
      <c r="PE52" s="23"/>
      <c r="PF52" s="23"/>
      <c r="PG52" s="23"/>
      <c r="PH52" s="23"/>
      <c r="PI52" s="23"/>
      <c r="PJ52" s="23"/>
      <c r="PK52" s="23"/>
      <c r="PL52" s="23"/>
      <c r="PM52" s="23"/>
      <c r="PN52" s="23"/>
      <c r="PO52" s="23"/>
      <c r="PP52" s="23"/>
      <c r="PQ52" s="23"/>
      <c r="PR52" s="23"/>
      <c r="PS52" s="23"/>
      <c r="PT52" s="23"/>
      <c r="PU52" s="23"/>
      <c r="PV52" s="23"/>
      <c r="PW52" s="23"/>
      <c r="PX52" s="23"/>
      <c r="PY52" s="23"/>
      <c r="PZ52" s="23"/>
      <c r="QA52" s="23"/>
      <c r="QB52" s="23"/>
      <c r="QC52" s="23"/>
      <c r="QD52" s="23"/>
      <c r="QE52" s="23"/>
      <c r="QF52" s="23"/>
      <c r="QG52" s="23"/>
      <c r="QH52" s="23"/>
      <c r="QI52" s="23"/>
      <c r="QJ52" s="23"/>
      <c r="QK52" s="23"/>
      <c r="QL52" s="23"/>
      <c r="QM52" s="23"/>
      <c r="QN52" s="23"/>
      <c r="QO52" s="23"/>
      <c r="QP52" s="23"/>
      <c r="QQ52" s="23"/>
      <c r="QR52" s="23"/>
      <c r="QS52" s="23"/>
      <c r="QT52" s="23"/>
      <c r="QU52" s="23"/>
      <c r="QV52" s="23"/>
      <c r="QW52" s="23"/>
      <c r="QX52" s="23"/>
      <c r="QY52" s="23"/>
      <c r="QZ52" s="23"/>
      <c r="RA52" s="23"/>
      <c r="RB52" s="23"/>
      <c r="RC52" s="184"/>
      <c r="RD52" s="184"/>
      <c r="RE52" s="184"/>
      <c r="RF52" s="184"/>
      <c r="RG52" s="184"/>
      <c r="RH52" s="184"/>
      <c r="RI52" s="184"/>
      <c r="RJ52" s="184"/>
      <c r="RK52" s="184"/>
      <c r="RL52" s="184"/>
      <c r="RM52" s="184"/>
      <c r="RN52" s="184"/>
      <c r="RO52" s="184"/>
      <c r="RP52" s="184"/>
      <c r="RQ52" s="184"/>
      <c r="RR52" s="184"/>
      <c r="RS52" s="184"/>
      <c r="RT52" s="184"/>
      <c r="RU52" s="184"/>
      <c r="RV52" s="184"/>
      <c r="RW52" s="184"/>
      <c r="RX52" s="184"/>
      <c r="RY52" s="184"/>
      <c r="RZ52" s="184"/>
      <c r="SA52" s="185"/>
      <c r="SB52" s="185"/>
      <c r="SC52" s="185"/>
      <c r="SD52" s="185"/>
      <c r="SE52" s="185"/>
      <c r="SF52" s="185"/>
      <c r="SG52" s="185"/>
      <c r="SH52" s="185"/>
      <c r="SI52" s="185"/>
      <c r="SJ52" s="185"/>
      <c r="SK52" s="185"/>
      <c r="SL52" s="185"/>
      <c r="SM52" s="185"/>
      <c r="SN52" s="185"/>
      <c r="SO52" s="185"/>
      <c r="SP52" s="185"/>
      <c r="SQ52" s="185"/>
      <c r="SR52" s="185"/>
      <c r="SS52" s="185"/>
      <c r="ST52" s="185"/>
      <c r="SU52" s="185"/>
      <c r="SV52" s="185"/>
      <c r="SW52" s="185"/>
      <c r="SX52" s="185"/>
      <c r="SY52" s="185"/>
      <c r="SZ52" s="185"/>
      <c r="TA52" s="11"/>
      <c r="TB52" s="11"/>
      <c r="TC52" s="11"/>
      <c r="TD52" s="11"/>
    </row>
    <row r="53" spans="1:525" ht="22.15" customHeight="1" thickBot="1" x14ac:dyDescent="0.3">
      <c r="A53" s="297" t="s">
        <v>5</v>
      </c>
      <c r="B53" s="24" t="s">
        <v>14</v>
      </c>
      <c r="BY53" s="184"/>
      <c r="BZ53" s="184"/>
      <c r="CA53" s="184"/>
      <c r="CB53" s="184"/>
      <c r="CC53" s="184"/>
      <c r="CD53" s="184"/>
      <c r="CE53" s="184"/>
      <c r="CF53" s="184"/>
      <c r="CG53" s="184"/>
      <c r="CH53" s="184"/>
      <c r="CI53" s="184"/>
      <c r="CJ53" s="184"/>
      <c r="CK53" s="184"/>
      <c r="CL53" s="184"/>
      <c r="CM53" s="184"/>
      <c r="CN53" s="184"/>
      <c r="CO53" s="184"/>
      <c r="CP53" s="184"/>
      <c r="CQ53" s="184"/>
      <c r="CR53" s="184"/>
      <c r="CS53" s="184"/>
      <c r="CT53" s="184"/>
      <c r="CU53" s="184"/>
      <c r="CV53" s="184"/>
      <c r="CW53" s="184"/>
      <c r="CX53" s="184"/>
      <c r="CY53" s="184"/>
      <c r="CZ53" s="184"/>
      <c r="DA53" s="143">
        <f t="shared" ref="DA53:DA65" si="348">C27</f>
        <v>250</v>
      </c>
      <c r="DB53" s="142">
        <f t="shared" ref="DB53:DB65" si="349">D27</f>
        <v>249.5</v>
      </c>
      <c r="DC53" s="109">
        <f t="shared" ref="DC53:DC65" si="350">E27</f>
        <v>249.001</v>
      </c>
      <c r="DD53" s="109">
        <f t="shared" ref="DD53:DD65" si="351">F27</f>
        <v>248.50299799999999</v>
      </c>
      <c r="DE53" s="109">
        <f t="shared" ref="DE53:EY56" si="352">G27</f>
        <v>248.00599200399998</v>
      </c>
      <c r="DF53" s="109">
        <f t="shared" ref="DF53:DF65" si="353">H27</f>
        <v>247.50998001999199</v>
      </c>
      <c r="DG53" s="109">
        <f t="shared" ref="DG53:DG65" si="354">I27</f>
        <v>247.01496005995199</v>
      </c>
      <c r="DH53" s="109">
        <f t="shared" ref="DH53:DH65" si="355">J27</f>
        <v>246.52093013983207</v>
      </c>
      <c r="DI53" s="109">
        <f t="shared" ref="DI53:DI65" si="356">K27</f>
        <v>246.0278882795524</v>
      </c>
      <c r="DJ53" s="109">
        <f t="shared" ref="DJ53:DJ65" si="357">L27</f>
        <v>245.53583250299329</v>
      </c>
      <c r="DK53" s="109">
        <f t="shared" ref="DK53:DK65" si="358">M27</f>
        <v>245.0447608379873</v>
      </c>
      <c r="DL53" s="109">
        <f t="shared" ref="DL53:DL65" si="359">N27</f>
        <v>244.55467131631133</v>
      </c>
      <c r="DM53" s="109">
        <f t="shared" ref="DM53:DM65" si="360">O27</f>
        <v>244.06556197367871</v>
      </c>
      <c r="DN53" s="109">
        <f t="shared" ref="DN53:DN65" si="361">P27</f>
        <v>243.57743084973134</v>
      </c>
      <c r="DO53" s="109">
        <f t="shared" ref="DO53:DO65" si="362">Q27</f>
        <v>243.09027598803189</v>
      </c>
      <c r="DP53" s="109">
        <f t="shared" si="352"/>
        <v>242.60409543605581</v>
      </c>
      <c r="DQ53" s="109">
        <f t="shared" si="352"/>
        <v>242.11888724518371</v>
      </c>
      <c r="DR53" s="109">
        <f t="shared" si="352"/>
        <v>241.63464947069335</v>
      </c>
      <c r="DS53" s="109">
        <f t="shared" si="352"/>
        <v>241.15138017175195</v>
      </c>
      <c r="DT53" s="109">
        <f t="shared" si="352"/>
        <v>240.66907741140844</v>
      </c>
      <c r="DU53" s="109">
        <f t="shared" si="352"/>
        <v>240.18773925658562</v>
      </c>
      <c r="DV53" s="109">
        <f t="shared" si="352"/>
        <v>239.70736377807245</v>
      </c>
      <c r="DW53" s="109">
        <f t="shared" si="352"/>
        <v>239.22794905051632</v>
      </c>
      <c r="DX53" s="109">
        <f t="shared" si="352"/>
        <v>238.74949315241528</v>
      </c>
      <c r="DY53" s="109">
        <f t="shared" si="352"/>
        <v>238.27199416611046</v>
      </c>
      <c r="DZ53" s="109">
        <f t="shared" si="352"/>
        <v>237.79545017777824</v>
      </c>
      <c r="EA53" s="109">
        <f t="shared" si="352"/>
        <v>237.31985927742267</v>
      </c>
      <c r="EB53" s="109">
        <f t="shared" si="352"/>
        <v>236.84521955886783</v>
      </c>
      <c r="EC53" s="109">
        <f t="shared" si="352"/>
        <v>236.37152911975008</v>
      </c>
      <c r="ED53" s="109">
        <f t="shared" si="352"/>
        <v>235.89878606151058</v>
      </c>
      <c r="EE53" s="109">
        <f t="shared" si="352"/>
        <v>235.42698848938755</v>
      </c>
      <c r="EF53" s="109">
        <f t="shared" si="352"/>
        <v>234.95613451240877</v>
      </c>
      <c r="EG53" s="109">
        <f t="shared" si="352"/>
        <v>234.48622224338393</v>
      </c>
      <c r="EH53" s="109">
        <f t="shared" si="352"/>
        <v>234.01724979889715</v>
      </c>
      <c r="EI53" s="109">
        <f t="shared" si="352"/>
        <v>233.54921529929936</v>
      </c>
      <c r="EJ53" s="109">
        <f t="shared" si="352"/>
        <v>233.08211686870075</v>
      </c>
      <c r="EK53" s="109">
        <f t="shared" si="352"/>
        <v>232.61595263496335</v>
      </c>
      <c r="EL53" s="109">
        <f t="shared" si="352"/>
        <v>232.15072072969343</v>
      </c>
      <c r="EM53" s="109">
        <f t="shared" si="352"/>
        <v>231.68641928823405</v>
      </c>
      <c r="EN53" s="109">
        <f t="shared" si="352"/>
        <v>231.22304644965757</v>
      </c>
      <c r="EO53" s="109">
        <f t="shared" si="352"/>
        <v>230.76060035675826</v>
      </c>
      <c r="EP53" s="109">
        <f t="shared" si="352"/>
        <v>230.29907915604474</v>
      </c>
      <c r="EQ53" s="109">
        <f t="shared" si="352"/>
        <v>229.83848099773266</v>
      </c>
      <c r="ER53" s="109">
        <f t="shared" si="352"/>
        <v>229.3788040357372</v>
      </c>
      <c r="ES53" s="109">
        <f t="shared" si="352"/>
        <v>228.92004642766574</v>
      </c>
      <c r="ET53" s="109">
        <f t="shared" si="352"/>
        <v>228.46220633481042</v>
      </c>
      <c r="EU53" s="109">
        <f t="shared" si="352"/>
        <v>228.0052819221408</v>
      </c>
      <c r="EV53" s="109">
        <f t="shared" si="352"/>
        <v>227.54927135829652</v>
      </c>
      <c r="EW53" s="109">
        <f t="shared" si="352"/>
        <v>227.09417281557992</v>
      </c>
      <c r="EX53" s="109">
        <f t="shared" si="352"/>
        <v>226.63998446994876</v>
      </c>
      <c r="EY53" s="109">
        <f t="shared" si="352"/>
        <v>226.18670450100885</v>
      </c>
      <c r="EZ53" s="144">
        <f t="shared" ref="EZ53:FM55" si="363">BB27</f>
        <v>225.73433109200684</v>
      </c>
      <c r="FA53" s="144">
        <f t="shared" si="363"/>
        <v>225.28286242982281</v>
      </c>
      <c r="FB53" s="144">
        <f t="shared" si="363"/>
        <v>224.83229670496317</v>
      </c>
      <c r="FC53" s="144">
        <f t="shared" si="363"/>
        <v>224.38263211155325</v>
      </c>
      <c r="FD53" s="144">
        <f t="shared" si="363"/>
        <v>223.93386684733014</v>
      </c>
      <c r="FE53" s="144">
        <f t="shared" si="363"/>
        <v>223.48599911363547</v>
      </c>
      <c r="FF53" s="144">
        <f t="shared" si="363"/>
        <v>223.0390271154082</v>
      </c>
      <c r="FG53" s="144">
        <f t="shared" si="363"/>
        <v>222.59294906117739</v>
      </c>
      <c r="FH53" s="144">
        <f t="shared" si="363"/>
        <v>222.14776316305503</v>
      </c>
      <c r="FI53" s="144">
        <f t="shared" si="363"/>
        <v>221.70346763672893</v>
      </c>
      <c r="FJ53" s="144">
        <f t="shared" si="363"/>
        <v>221.26006070145547</v>
      </c>
      <c r="FK53" s="144">
        <f t="shared" si="363"/>
        <v>220.81754058005257</v>
      </c>
      <c r="FL53" s="144">
        <f t="shared" si="363"/>
        <v>220.37590549889245</v>
      </c>
      <c r="FM53" s="144">
        <f t="shared" si="363"/>
        <v>219.93515368789465</v>
      </c>
      <c r="FN53" s="144">
        <f t="shared" ref="FN53:GX56" si="364">BP27</f>
        <v>219.49528338051886</v>
      </c>
      <c r="FO53" s="144">
        <f t="shared" si="364"/>
        <v>219.05629281375781</v>
      </c>
      <c r="FP53" s="144">
        <f t="shared" si="364"/>
        <v>218.61818022813029</v>
      </c>
      <c r="FQ53" s="144">
        <f t="shared" si="364"/>
        <v>218.18094386767402</v>
      </c>
      <c r="FR53" s="144">
        <f t="shared" si="364"/>
        <v>217.74458197993866</v>
      </c>
      <c r="FS53" s="144">
        <f t="shared" si="364"/>
        <v>217.30909281597877</v>
      </c>
      <c r="FT53" s="144">
        <f t="shared" si="364"/>
        <v>216.87447463034681</v>
      </c>
      <c r="FU53" s="144">
        <f t="shared" si="364"/>
        <v>216.44072568108612</v>
      </c>
      <c r="FV53" s="144">
        <f t="shared" si="364"/>
        <v>216.00784422972396</v>
      </c>
      <c r="FW53" s="144">
        <f t="shared" si="364"/>
        <v>215.57582854126451</v>
      </c>
      <c r="FX53" s="144">
        <f t="shared" si="364"/>
        <v>215.14467688418199</v>
      </c>
      <c r="FY53" s="144">
        <f t="shared" si="364"/>
        <v>214.71438753041363</v>
      </c>
      <c r="FZ53" s="144">
        <f t="shared" si="364"/>
        <v>214.28495875535282</v>
      </c>
      <c r="GA53" s="144">
        <f t="shared" si="364"/>
        <v>213.8563888378421</v>
      </c>
      <c r="GB53" s="144">
        <f t="shared" si="364"/>
        <v>213.42867606016642</v>
      </c>
      <c r="GC53" s="144">
        <f t="shared" si="364"/>
        <v>213.0018187080461</v>
      </c>
      <c r="GD53" s="144">
        <f t="shared" si="364"/>
        <v>212.57581507063</v>
      </c>
      <c r="GE53" s="144">
        <f t="shared" si="364"/>
        <v>212.15066344048873</v>
      </c>
      <c r="GF53" s="144">
        <f t="shared" si="364"/>
        <v>211.72636211360776</v>
      </c>
      <c r="GG53" s="144">
        <f t="shared" si="364"/>
        <v>211.30290938938055</v>
      </c>
      <c r="GH53" s="144">
        <f t="shared" si="364"/>
        <v>210.8803035706018</v>
      </c>
      <c r="GI53" s="144">
        <f t="shared" si="364"/>
        <v>210.45854296346059</v>
      </c>
      <c r="GJ53" s="144">
        <f t="shared" si="364"/>
        <v>210.03762587753366</v>
      </c>
      <c r="GK53" s="144">
        <f t="shared" si="364"/>
        <v>209.61755062577859</v>
      </c>
      <c r="GL53" s="144">
        <f t="shared" si="364"/>
        <v>209.19831552452703</v>
      </c>
      <c r="GM53" s="144">
        <f t="shared" si="364"/>
        <v>208.77991889347797</v>
      </c>
      <c r="GN53" s="144">
        <f t="shared" si="364"/>
        <v>208.362359055691</v>
      </c>
      <c r="GO53" s="144">
        <f t="shared" si="364"/>
        <v>207.94563433757963</v>
      </c>
      <c r="GP53" s="144">
        <f t="shared" si="364"/>
        <v>207.52974306890448</v>
      </c>
      <c r="GQ53" s="144">
        <f t="shared" si="364"/>
        <v>207.11468358276667</v>
      </c>
      <c r="GR53" s="144">
        <f t="shared" si="364"/>
        <v>206.70045421560113</v>
      </c>
      <c r="GS53" s="144">
        <f t="shared" si="364"/>
        <v>206.28705330716991</v>
      </c>
      <c r="GT53" s="144">
        <f t="shared" si="364"/>
        <v>205.87447920055558</v>
      </c>
      <c r="GU53" s="144">
        <f t="shared" si="364"/>
        <v>205.46273024215446</v>
      </c>
      <c r="GV53" s="144">
        <f t="shared" si="364"/>
        <v>205.05180478167014</v>
      </c>
      <c r="GW53" s="144">
        <f t="shared" si="364"/>
        <v>204.64170117210679</v>
      </c>
      <c r="GX53" s="144">
        <f t="shared" si="364"/>
        <v>204.23241776976258</v>
      </c>
      <c r="GY53" s="154">
        <f t="shared" ref="GY53:HH55" si="365">DA27</f>
        <v>203.82395293422306</v>
      </c>
      <c r="GZ53" s="154">
        <f t="shared" si="365"/>
        <v>203.4163050283546</v>
      </c>
      <c r="HA53" s="154">
        <f t="shared" si="365"/>
        <v>203.00947241829789</v>
      </c>
      <c r="HB53" s="154">
        <f t="shared" si="365"/>
        <v>202.60345347346129</v>
      </c>
      <c r="HC53" s="154">
        <f t="shared" si="365"/>
        <v>202.19824656651437</v>
      </c>
      <c r="HD53" s="154">
        <f t="shared" si="365"/>
        <v>201.79385007338135</v>
      </c>
      <c r="HE53" s="154">
        <f t="shared" si="365"/>
        <v>201.39026237323458</v>
      </c>
      <c r="HF53" s="154">
        <f t="shared" si="365"/>
        <v>200.9874818484881</v>
      </c>
      <c r="HG53" s="154">
        <f t="shared" si="365"/>
        <v>200.58550688479113</v>
      </c>
      <c r="HH53" s="154">
        <f t="shared" si="365"/>
        <v>200.18433587102155</v>
      </c>
      <c r="HI53" s="154">
        <f t="shared" ref="HI53:HR55" si="366">DK27</f>
        <v>199.78396719927952</v>
      </c>
      <c r="HJ53" s="154">
        <f t="shared" si="366"/>
        <v>199.38439926488095</v>
      </c>
      <c r="HK53" s="154">
        <f t="shared" si="366"/>
        <v>198.98563046635118</v>
      </c>
      <c r="HL53" s="154">
        <f t="shared" si="366"/>
        <v>198.58765920541848</v>
      </c>
      <c r="HM53" s="154">
        <f t="shared" si="366"/>
        <v>198.19048388700764</v>
      </c>
      <c r="HN53" s="154">
        <f t="shared" si="366"/>
        <v>197.79410291923364</v>
      </c>
      <c r="HO53" s="154">
        <f t="shared" si="366"/>
        <v>197.39851471339517</v>
      </c>
      <c r="HP53" s="154">
        <f t="shared" si="366"/>
        <v>197.00371768396838</v>
      </c>
      <c r="HQ53" s="154">
        <f t="shared" si="366"/>
        <v>196.60971024860044</v>
      </c>
      <c r="HR53" s="154">
        <f t="shared" si="366"/>
        <v>196.21649082810325</v>
      </c>
      <c r="HS53" s="154">
        <f t="shared" ref="HS53:IB55" si="367">DU27</f>
        <v>195.82405784644703</v>
      </c>
      <c r="HT53" s="154">
        <f t="shared" si="367"/>
        <v>195.43240973075413</v>
      </c>
      <c r="HU53" s="154">
        <f t="shared" si="367"/>
        <v>195.04154491129262</v>
      </c>
      <c r="HV53" s="154">
        <f t="shared" si="367"/>
        <v>194.65146182147004</v>
      </c>
      <c r="HW53" s="154">
        <f t="shared" si="367"/>
        <v>194.26215889782711</v>
      </c>
      <c r="HX53" s="154">
        <f t="shared" si="367"/>
        <v>193.87363458003145</v>
      </c>
      <c r="HY53" s="154">
        <f t="shared" si="367"/>
        <v>193.48588731087139</v>
      </c>
      <c r="HZ53" s="179">
        <f t="shared" si="367"/>
        <v>168.91317962239071</v>
      </c>
      <c r="IA53" s="154">
        <f t="shared" si="367"/>
        <v>168.57535326314593</v>
      </c>
      <c r="IB53" s="179">
        <f t="shared" si="367"/>
        <v>144.15600923331306</v>
      </c>
      <c r="IC53" s="154">
        <f t="shared" ref="IC53:IL55" si="368">EE27</f>
        <v>143.86769721484643</v>
      </c>
      <c r="ID53" s="154">
        <f t="shared" si="368"/>
        <v>143.57996182041674</v>
      </c>
      <c r="IE53" s="154">
        <f t="shared" si="368"/>
        <v>143.2928018967759</v>
      </c>
      <c r="IF53" s="154">
        <f t="shared" si="368"/>
        <v>143.00621629298234</v>
      </c>
      <c r="IG53" s="179">
        <f t="shared" si="368"/>
        <v>118.88583447823264</v>
      </c>
      <c r="IH53" s="154">
        <f t="shared" si="368"/>
        <v>118.64806280927617</v>
      </c>
      <c r="II53" s="179">
        <f t="shared" si="368"/>
        <v>94.681154121802379</v>
      </c>
      <c r="IJ53" s="154">
        <f t="shared" si="368"/>
        <v>94.491791813558777</v>
      </c>
      <c r="IK53" s="154">
        <f t="shared" si="368"/>
        <v>94.302808229931657</v>
      </c>
      <c r="IL53" s="154">
        <f t="shared" si="368"/>
        <v>94.11420261347179</v>
      </c>
      <c r="IM53" s="154">
        <f t="shared" ref="IM53:IV55" si="369">EO27</f>
        <v>93.925974208244853</v>
      </c>
      <c r="IN53" s="179">
        <f t="shared" si="369"/>
        <v>70.256628707767149</v>
      </c>
      <c r="IO53" s="154">
        <f t="shared" si="369"/>
        <v>70.116115450351614</v>
      </c>
      <c r="IP53" s="179">
        <f t="shared" si="369"/>
        <v>46.603844736000369</v>
      </c>
      <c r="IQ53" s="154">
        <f t="shared" si="369"/>
        <v>46.510637046528366</v>
      </c>
      <c r="IR53" s="154">
        <f t="shared" si="369"/>
        <v>46.417615772435312</v>
      </c>
      <c r="IS53" s="154">
        <f t="shared" si="369"/>
        <v>46.324780540890444</v>
      </c>
      <c r="IT53" s="154">
        <f t="shared" si="369"/>
        <v>46.232130979808666</v>
      </c>
      <c r="IU53" s="179">
        <f t="shared" si="369"/>
        <v>23.023601227944713</v>
      </c>
      <c r="IV53" s="154">
        <f t="shared" si="369"/>
        <v>22.977554025488825</v>
      </c>
      <c r="IW53" s="179">
        <f t="shared" ref="IW53:IW55" si="370">EY27</f>
        <v>-4.5955108050979021E-2</v>
      </c>
      <c r="IX53" s="184"/>
      <c r="IY53" s="184"/>
      <c r="IZ53" s="184"/>
      <c r="JA53" s="184"/>
      <c r="JB53" s="184"/>
      <c r="JC53" s="184"/>
      <c r="JD53" s="20"/>
      <c r="JE53" s="20"/>
      <c r="JF53" s="20"/>
      <c r="JG53" s="20"/>
      <c r="JH53" s="20"/>
      <c r="JI53" s="20"/>
      <c r="JJ53" s="20"/>
      <c r="JK53" s="20"/>
      <c r="JL53" s="20"/>
      <c r="JM53" s="20"/>
      <c r="JN53" s="20"/>
      <c r="JO53" s="20"/>
      <c r="JP53" s="20"/>
      <c r="JQ53" s="20"/>
      <c r="JR53" s="20"/>
      <c r="JS53" s="20"/>
      <c r="JT53" s="20"/>
      <c r="JU53" s="20"/>
      <c r="JV53" s="20"/>
      <c r="JW53" s="20"/>
      <c r="JX53" s="20"/>
      <c r="JY53" s="20"/>
      <c r="JZ53" s="20"/>
      <c r="KA53" s="20"/>
      <c r="KB53" s="20"/>
      <c r="KC53" s="20"/>
      <c r="KD53" s="20"/>
      <c r="KE53" s="20"/>
      <c r="KF53" s="20"/>
      <c r="KG53" s="20"/>
      <c r="KH53" s="20"/>
      <c r="KI53" s="20"/>
      <c r="KJ53" s="20"/>
      <c r="KK53" s="20"/>
      <c r="KL53" s="20"/>
      <c r="KM53" s="20"/>
      <c r="KN53" s="20"/>
      <c r="KO53" s="20"/>
      <c r="KP53" s="20"/>
      <c r="KQ53" s="20"/>
      <c r="KR53" s="20"/>
      <c r="KS53" s="20"/>
      <c r="KT53" s="20"/>
      <c r="KU53" s="20"/>
      <c r="KV53" s="20"/>
      <c r="KW53" s="20"/>
      <c r="KX53" s="20"/>
      <c r="KY53" s="20"/>
      <c r="KZ53" s="20"/>
      <c r="LA53" s="20"/>
      <c r="LB53" s="20"/>
      <c r="LC53" s="20"/>
      <c r="LD53" s="20"/>
      <c r="LE53" s="20"/>
      <c r="LF53" s="20"/>
      <c r="LG53" s="20"/>
      <c r="LH53" s="20"/>
      <c r="LI53" s="20"/>
      <c r="LJ53" s="20"/>
      <c r="LK53" s="20"/>
      <c r="LL53" s="20"/>
      <c r="LM53" s="20"/>
      <c r="LN53" s="20"/>
      <c r="LO53" s="20"/>
      <c r="LP53" s="20"/>
      <c r="LQ53" s="20"/>
      <c r="LR53" s="20"/>
      <c r="LS53" s="20"/>
      <c r="LT53" s="20"/>
      <c r="LU53" s="20"/>
      <c r="LV53" s="20"/>
      <c r="LW53" s="20"/>
      <c r="LX53" s="20"/>
      <c r="LY53" s="20"/>
      <c r="LZ53" s="20"/>
      <c r="MA53" s="20"/>
      <c r="MB53" s="20"/>
      <c r="MC53" s="20"/>
      <c r="MD53" s="20"/>
      <c r="ME53" s="20"/>
      <c r="MF53" s="20"/>
      <c r="MG53" s="20"/>
      <c r="MH53" s="20"/>
      <c r="MI53" s="20"/>
      <c r="MJ53" s="20"/>
      <c r="MK53" s="20"/>
      <c r="ML53" s="20"/>
      <c r="MM53" s="20"/>
      <c r="MN53" s="20"/>
      <c r="MO53" s="20"/>
      <c r="MP53" s="20"/>
      <c r="MQ53" s="20"/>
      <c r="MR53" s="20"/>
      <c r="MS53" s="20"/>
      <c r="MT53" s="20"/>
      <c r="MU53" s="20"/>
      <c r="MV53" s="20"/>
      <c r="MW53" s="20"/>
      <c r="MX53" s="20"/>
      <c r="MY53" s="20"/>
      <c r="MZ53" s="20"/>
      <c r="NA53" s="20"/>
      <c r="NB53" s="20"/>
      <c r="NC53" s="20"/>
      <c r="ND53" s="20"/>
      <c r="NE53" s="20"/>
      <c r="NF53" s="20"/>
      <c r="NG53" s="20"/>
      <c r="NH53" s="184"/>
      <c r="NI53" s="184"/>
      <c r="NJ53" s="184"/>
      <c r="NK53" s="184"/>
      <c r="NL53" s="184"/>
      <c r="NM53" s="184"/>
      <c r="NN53" s="184"/>
      <c r="NO53" s="184"/>
      <c r="NP53" s="184"/>
      <c r="NQ53" s="184"/>
      <c r="NR53" s="184"/>
      <c r="NS53" s="184"/>
      <c r="NT53" s="184"/>
      <c r="NU53" s="184"/>
      <c r="NV53" s="184"/>
      <c r="NW53" s="184"/>
      <c r="NX53" s="184"/>
      <c r="NY53" s="184"/>
      <c r="NZ53" s="184"/>
      <c r="OA53" s="184"/>
      <c r="OB53" s="184"/>
      <c r="OC53" s="184"/>
      <c r="OD53" s="184"/>
      <c r="OE53" s="184"/>
      <c r="OF53" s="184"/>
      <c r="OG53" s="184"/>
      <c r="OH53" s="184"/>
      <c r="OI53" s="184"/>
      <c r="OJ53" s="184"/>
      <c r="OK53" s="184"/>
      <c r="OL53" s="184"/>
      <c r="OM53" s="184"/>
      <c r="ON53" s="184"/>
      <c r="OO53" s="184"/>
      <c r="OP53" s="184"/>
      <c r="OQ53" s="184"/>
      <c r="OR53" s="184"/>
      <c r="OS53" s="184"/>
      <c r="OT53" s="184"/>
      <c r="OU53" s="184"/>
      <c r="OV53" s="184"/>
      <c r="OW53" s="184"/>
      <c r="OX53" s="184"/>
      <c r="OY53" s="184"/>
      <c r="OZ53" s="184"/>
      <c r="PA53" s="184"/>
      <c r="PB53" s="184"/>
      <c r="PC53" s="184"/>
      <c r="PD53" s="184"/>
      <c r="PE53" s="184"/>
      <c r="PF53" s="184"/>
      <c r="PG53" s="184"/>
      <c r="PH53" s="184"/>
      <c r="PI53" s="184"/>
      <c r="PJ53" s="184"/>
      <c r="PK53" s="184"/>
      <c r="PL53" s="184"/>
      <c r="PM53" s="184"/>
      <c r="PN53" s="184"/>
      <c r="PO53" s="184"/>
      <c r="PP53" s="184"/>
      <c r="PQ53" s="184"/>
      <c r="PR53" s="184"/>
      <c r="PS53" s="184"/>
      <c r="PT53" s="184"/>
      <c r="PU53" s="184"/>
      <c r="PV53" s="184"/>
      <c r="PW53" s="184"/>
      <c r="PX53" s="184"/>
      <c r="PY53" s="184"/>
      <c r="PZ53" s="184"/>
      <c r="QA53" s="184"/>
      <c r="QB53" s="184"/>
      <c r="QC53" s="184"/>
      <c r="QD53" s="184"/>
      <c r="QE53" s="184"/>
      <c r="QF53" s="184"/>
      <c r="QG53" s="184"/>
      <c r="QH53" s="184"/>
      <c r="QI53" s="184"/>
      <c r="QJ53" s="184"/>
      <c r="QK53" s="184"/>
      <c r="QL53" s="184"/>
      <c r="QM53" s="184"/>
      <c r="QN53" s="184"/>
      <c r="QO53" s="184"/>
      <c r="QP53" s="184"/>
      <c r="QQ53" s="184"/>
      <c r="QR53" s="184"/>
      <c r="QS53" s="184"/>
      <c r="QT53" s="184"/>
      <c r="QU53" s="184"/>
      <c r="QV53" s="184"/>
      <c r="QW53" s="184"/>
      <c r="QX53" s="184"/>
      <c r="QY53" s="184"/>
      <c r="QZ53" s="184"/>
      <c r="RA53" s="184"/>
      <c r="RB53" s="184"/>
      <c r="RC53" s="184"/>
      <c r="RD53" s="184"/>
      <c r="RE53" s="184"/>
      <c r="RF53" s="184"/>
      <c r="RG53" s="184"/>
      <c r="RH53" s="184"/>
      <c r="RI53" s="184"/>
      <c r="RJ53" s="184"/>
      <c r="RK53" s="184"/>
      <c r="RL53" s="184"/>
      <c r="RM53" s="184"/>
      <c r="RN53" s="184"/>
      <c r="RO53" s="184"/>
      <c r="RP53" s="184"/>
      <c r="RQ53" s="184"/>
      <c r="RR53" s="184"/>
      <c r="RS53" s="184"/>
      <c r="RT53" s="184"/>
      <c r="RU53" s="184"/>
      <c r="RV53" s="184"/>
      <c r="RW53" s="184"/>
      <c r="RX53" s="184"/>
      <c r="RY53" s="184"/>
      <c r="RZ53" s="184"/>
      <c r="SA53" s="184"/>
      <c r="SB53" s="185"/>
      <c r="SC53" s="185"/>
      <c r="SD53" s="185"/>
      <c r="SE53" s="185"/>
      <c r="SF53" s="185"/>
      <c r="SG53" s="185"/>
      <c r="SH53" s="185"/>
      <c r="SI53" s="185"/>
      <c r="SJ53" s="185"/>
      <c r="SK53" s="185"/>
      <c r="SL53" s="185"/>
      <c r="SM53" s="185"/>
      <c r="SN53" s="185"/>
      <c r="SO53" s="185"/>
      <c r="SP53" s="185"/>
      <c r="SQ53" s="185"/>
      <c r="SR53" s="185"/>
      <c r="SS53" s="185"/>
      <c r="ST53" s="185"/>
      <c r="SU53" s="185"/>
      <c r="SV53" s="185"/>
      <c r="SW53" s="185"/>
      <c r="SX53" s="185"/>
      <c r="SY53" s="185"/>
      <c r="SZ53" s="185"/>
      <c r="TA53" s="185"/>
      <c r="TB53" s="11"/>
      <c r="TC53" s="11"/>
      <c r="TD53" s="11"/>
      <c r="TE53" s="11"/>
    </row>
    <row r="54" spans="1:525" ht="22.15" customHeight="1" thickBot="1" x14ac:dyDescent="0.3">
      <c r="A54" s="298"/>
      <c r="B54" s="25" t="s">
        <v>1</v>
      </c>
      <c r="BY54" s="184"/>
      <c r="BZ54" s="184"/>
      <c r="CA54" s="184"/>
      <c r="CB54" s="184"/>
      <c r="CC54" s="184"/>
      <c r="CD54" s="184"/>
      <c r="CE54" s="184"/>
      <c r="CF54" s="184"/>
      <c r="CG54" s="184"/>
      <c r="CH54" s="184"/>
      <c r="CI54" s="184"/>
      <c r="CJ54" s="184"/>
      <c r="CK54" s="184"/>
      <c r="CL54" s="184"/>
      <c r="CM54" s="184"/>
      <c r="CN54" s="184"/>
      <c r="CO54" s="184"/>
      <c r="CP54" s="184"/>
      <c r="CQ54" s="184"/>
      <c r="CR54" s="184"/>
      <c r="CS54" s="184"/>
      <c r="CT54" s="184"/>
      <c r="CU54" s="184"/>
      <c r="CV54" s="184"/>
      <c r="CW54" s="184"/>
      <c r="CX54" s="184"/>
      <c r="CY54" s="184"/>
      <c r="CZ54" s="184"/>
      <c r="DA54" s="128" t="str">
        <f t="shared" si="348"/>
        <v>-</v>
      </c>
      <c r="DB54" s="108" t="str">
        <f t="shared" si="349"/>
        <v>-</v>
      </c>
      <c r="DC54" s="108" t="str">
        <f t="shared" si="350"/>
        <v>-</v>
      </c>
      <c r="DD54" s="108" t="str">
        <f t="shared" si="351"/>
        <v>-</v>
      </c>
      <c r="DE54" s="108" t="str">
        <f t="shared" si="352"/>
        <v>-</v>
      </c>
      <c r="DF54" s="108" t="str">
        <f t="shared" si="353"/>
        <v>-</v>
      </c>
      <c r="DG54" s="108" t="str">
        <f t="shared" si="354"/>
        <v>-</v>
      </c>
      <c r="DH54" s="108" t="str">
        <f t="shared" si="355"/>
        <v>-</v>
      </c>
      <c r="DI54" s="108" t="str">
        <f t="shared" si="356"/>
        <v>-</v>
      </c>
      <c r="DJ54" s="108" t="str">
        <f t="shared" si="357"/>
        <v>-</v>
      </c>
      <c r="DK54" s="108" t="str">
        <f t="shared" si="358"/>
        <v>-</v>
      </c>
      <c r="DL54" s="108" t="str">
        <f t="shared" si="359"/>
        <v>-</v>
      </c>
      <c r="DM54" s="108" t="str">
        <f t="shared" si="360"/>
        <v>-</v>
      </c>
      <c r="DN54" s="108" t="str">
        <f t="shared" si="361"/>
        <v>-</v>
      </c>
      <c r="DO54" s="108" t="str">
        <f t="shared" si="362"/>
        <v>-</v>
      </c>
      <c r="DP54" s="108" t="str">
        <f t="shared" si="352"/>
        <v>-</v>
      </c>
      <c r="DQ54" s="108" t="str">
        <f t="shared" si="352"/>
        <v>-</v>
      </c>
      <c r="DR54" s="108" t="str">
        <f t="shared" si="352"/>
        <v>-</v>
      </c>
      <c r="DS54" s="108" t="str">
        <f t="shared" si="352"/>
        <v>-</v>
      </c>
      <c r="DT54" s="108" t="str">
        <f t="shared" si="352"/>
        <v>-</v>
      </c>
      <c r="DU54" s="108" t="str">
        <f t="shared" si="352"/>
        <v>-</v>
      </c>
      <c r="DV54" s="108" t="str">
        <f t="shared" si="352"/>
        <v>-</v>
      </c>
      <c r="DW54" s="108" t="str">
        <f t="shared" si="352"/>
        <v>-</v>
      </c>
      <c r="DX54" s="108" t="str">
        <f t="shared" si="352"/>
        <v>-</v>
      </c>
      <c r="DY54" s="108" t="str">
        <f t="shared" si="352"/>
        <v>-</v>
      </c>
      <c r="DZ54" s="108" t="str">
        <f t="shared" si="352"/>
        <v>-</v>
      </c>
      <c r="EA54" s="108" t="str">
        <f t="shared" si="352"/>
        <v>-</v>
      </c>
      <c r="EB54" s="108" t="str">
        <f t="shared" si="352"/>
        <v>-</v>
      </c>
      <c r="EC54" s="108" t="str">
        <f t="shared" si="352"/>
        <v>-</v>
      </c>
      <c r="ED54" s="108" t="str">
        <f t="shared" si="352"/>
        <v>-</v>
      </c>
      <c r="EE54" s="108" t="str">
        <f t="shared" si="352"/>
        <v>-</v>
      </c>
      <c r="EF54" s="108" t="str">
        <f t="shared" si="352"/>
        <v>-</v>
      </c>
      <c r="EG54" s="108" t="str">
        <f t="shared" si="352"/>
        <v>-</v>
      </c>
      <c r="EH54" s="108" t="str">
        <f t="shared" si="352"/>
        <v>-</v>
      </c>
      <c r="EI54" s="108" t="str">
        <f t="shared" si="352"/>
        <v>-</v>
      </c>
      <c r="EJ54" s="108" t="str">
        <f t="shared" si="352"/>
        <v>-</v>
      </c>
      <c r="EK54" s="108" t="str">
        <f t="shared" si="352"/>
        <v>-</v>
      </c>
      <c r="EL54" s="108" t="str">
        <f t="shared" si="352"/>
        <v>-</v>
      </c>
      <c r="EM54" s="108" t="str">
        <f t="shared" si="352"/>
        <v>-</v>
      </c>
      <c r="EN54" s="108" t="str">
        <f t="shared" si="352"/>
        <v>-</v>
      </c>
      <c r="EO54" s="108" t="str">
        <f t="shared" si="352"/>
        <v>-</v>
      </c>
      <c r="EP54" s="108" t="str">
        <f t="shared" si="352"/>
        <v>-</v>
      </c>
      <c r="EQ54" s="108" t="str">
        <f t="shared" si="352"/>
        <v>-</v>
      </c>
      <c r="ER54" s="108" t="str">
        <f t="shared" si="352"/>
        <v>-</v>
      </c>
      <c r="ES54" s="108" t="str">
        <f t="shared" si="352"/>
        <v>-</v>
      </c>
      <c r="ET54" s="108" t="str">
        <f t="shared" si="352"/>
        <v>-</v>
      </c>
      <c r="EU54" s="108" t="str">
        <f t="shared" si="352"/>
        <v>-</v>
      </c>
      <c r="EV54" s="108" t="str">
        <f t="shared" si="352"/>
        <v>-</v>
      </c>
      <c r="EW54" s="108" t="str">
        <f t="shared" si="352"/>
        <v>-</v>
      </c>
      <c r="EX54" s="108" t="str">
        <f t="shared" si="352"/>
        <v>-</v>
      </c>
      <c r="EY54" s="108" t="str">
        <f t="shared" si="352"/>
        <v>-</v>
      </c>
      <c r="EZ54" s="145" t="str">
        <f t="shared" si="363"/>
        <v>-</v>
      </c>
      <c r="FA54" s="145" t="str">
        <f t="shared" si="363"/>
        <v>-</v>
      </c>
      <c r="FB54" s="145" t="str">
        <f t="shared" si="363"/>
        <v>-</v>
      </c>
      <c r="FC54" s="145" t="str">
        <f t="shared" si="363"/>
        <v>-</v>
      </c>
      <c r="FD54" s="145" t="str">
        <f t="shared" si="363"/>
        <v>-</v>
      </c>
      <c r="FE54" s="145" t="str">
        <f t="shared" si="363"/>
        <v>-</v>
      </c>
      <c r="FF54" s="145" t="str">
        <f t="shared" si="363"/>
        <v>-</v>
      </c>
      <c r="FG54" s="145" t="str">
        <f t="shared" si="363"/>
        <v>-</v>
      </c>
      <c r="FH54" s="145" t="str">
        <f t="shared" si="363"/>
        <v>-</v>
      </c>
      <c r="FI54" s="145" t="str">
        <f t="shared" si="363"/>
        <v>-</v>
      </c>
      <c r="FJ54" s="145" t="str">
        <f t="shared" si="363"/>
        <v>-</v>
      </c>
      <c r="FK54" s="145" t="str">
        <f t="shared" si="363"/>
        <v>-</v>
      </c>
      <c r="FL54" s="145" t="str">
        <f t="shared" si="363"/>
        <v>-</v>
      </c>
      <c r="FM54" s="145" t="str">
        <f t="shared" si="363"/>
        <v>-</v>
      </c>
      <c r="FN54" s="145" t="str">
        <f t="shared" si="364"/>
        <v>-</v>
      </c>
      <c r="FO54" s="145" t="str">
        <f t="shared" si="364"/>
        <v>-</v>
      </c>
      <c r="FP54" s="145" t="str">
        <f t="shared" si="364"/>
        <v>-</v>
      </c>
      <c r="FQ54" s="145" t="str">
        <f t="shared" si="364"/>
        <v>-</v>
      </c>
      <c r="FR54" s="145" t="str">
        <f t="shared" si="364"/>
        <v>-</v>
      </c>
      <c r="FS54" s="145" t="str">
        <f t="shared" si="364"/>
        <v>-</v>
      </c>
      <c r="FT54" s="145" t="str">
        <f t="shared" si="364"/>
        <v>-</v>
      </c>
      <c r="FU54" s="145" t="str">
        <f t="shared" si="364"/>
        <v>-</v>
      </c>
      <c r="FV54" s="145" t="str">
        <f t="shared" si="364"/>
        <v>-</v>
      </c>
      <c r="FW54" s="145" t="str">
        <f t="shared" si="364"/>
        <v>-</v>
      </c>
      <c r="FX54" s="145" t="str">
        <f t="shared" si="364"/>
        <v>-</v>
      </c>
      <c r="FY54" s="145" t="str">
        <f t="shared" si="364"/>
        <v>-</v>
      </c>
      <c r="FZ54" s="145" t="str">
        <f t="shared" si="364"/>
        <v>-</v>
      </c>
      <c r="GA54" s="145" t="str">
        <f t="shared" si="364"/>
        <v>-</v>
      </c>
      <c r="GB54" s="145" t="str">
        <f t="shared" si="364"/>
        <v>-</v>
      </c>
      <c r="GC54" s="145" t="str">
        <f t="shared" si="364"/>
        <v>-</v>
      </c>
      <c r="GD54" s="145" t="str">
        <f t="shared" si="364"/>
        <v>-</v>
      </c>
      <c r="GE54" s="145" t="str">
        <f t="shared" si="364"/>
        <v>-</v>
      </c>
      <c r="GF54" s="145" t="str">
        <f t="shared" si="364"/>
        <v>-</v>
      </c>
      <c r="GG54" s="145" t="str">
        <f t="shared" si="364"/>
        <v>-</v>
      </c>
      <c r="GH54" s="145" t="str">
        <f t="shared" si="364"/>
        <v>-</v>
      </c>
      <c r="GI54" s="145" t="str">
        <f t="shared" si="364"/>
        <v>-</v>
      </c>
      <c r="GJ54" s="145" t="str">
        <f t="shared" si="364"/>
        <v>-</v>
      </c>
      <c r="GK54" s="145" t="str">
        <f t="shared" si="364"/>
        <v>-</v>
      </c>
      <c r="GL54" s="145" t="str">
        <f t="shared" si="364"/>
        <v>-</v>
      </c>
      <c r="GM54" s="145" t="str">
        <f t="shared" si="364"/>
        <v>-</v>
      </c>
      <c r="GN54" s="145" t="str">
        <f t="shared" si="364"/>
        <v>-</v>
      </c>
      <c r="GO54" s="145" t="str">
        <f t="shared" si="364"/>
        <v>-</v>
      </c>
      <c r="GP54" s="145" t="str">
        <f t="shared" si="364"/>
        <v>-</v>
      </c>
      <c r="GQ54" s="145" t="str">
        <f t="shared" si="364"/>
        <v>-</v>
      </c>
      <c r="GR54" s="145" t="str">
        <f t="shared" si="364"/>
        <v>-</v>
      </c>
      <c r="GS54" s="145" t="str">
        <f t="shared" si="364"/>
        <v>-</v>
      </c>
      <c r="GT54" s="145" t="str">
        <f t="shared" si="364"/>
        <v>-</v>
      </c>
      <c r="GU54" s="145" t="str">
        <f t="shared" si="364"/>
        <v>-</v>
      </c>
      <c r="GV54" s="145" t="str">
        <f t="shared" si="364"/>
        <v>-</v>
      </c>
      <c r="GW54" s="145" t="str">
        <f t="shared" si="364"/>
        <v>-</v>
      </c>
      <c r="GX54" s="145" t="str">
        <f t="shared" si="364"/>
        <v>-</v>
      </c>
      <c r="GY54" s="155" t="str">
        <f t="shared" si="365"/>
        <v>-</v>
      </c>
      <c r="GZ54" s="155" t="str">
        <f t="shared" si="365"/>
        <v>-</v>
      </c>
      <c r="HA54" s="155" t="str">
        <f t="shared" si="365"/>
        <v>-</v>
      </c>
      <c r="HB54" s="155" t="str">
        <f t="shared" si="365"/>
        <v>-</v>
      </c>
      <c r="HC54" s="155" t="str">
        <f t="shared" si="365"/>
        <v>-</v>
      </c>
      <c r="HD54" s="155" t="str">
        <f t="shared" si="365"/>
        <v>-</v>
      </c>
      <c r="HE54" s="155" t="str">
        <f t="shared" si="365"/>
        <v>-</v>
      </c>
      <c r="HF54" s="155" t="str">
        <f t="shared" si="365"/>
        <v>-</v>
      </c>
      <c r="HG54" s="155" t="str">
        <f t="shared" si="365"/>
        <v>-</v>
      </c>
      <c r="HH54" s="155" t="str">
        <f t="shared" si="365"/>
        <v>-</v>
      </c>
      <c r="HI54" s="155" t="str">
        <f t="shared" si="366"/>
        <v>-</v>
      </c>
      <c r="HJ54" s="155" t="str">
        <f t="shared" si="366"/>
        <v>-</v>
      </c>
      <c r="HK54" s="155" t="str">
        <f t="shared" si="366"/>
        <v>-</v>
      </c>
      <c r="HL54" s="155" t="str">
        <f t="shared" si="366"/>
        <v>-</v>
      </c>
      <c r="HM54" s="155" t="str">
        <f t="shared" si="366"/>
        <v>-</v>
      </c>
      <c r="HN54" s="155" t="str">
        <f t="shared" si="366"/>
        <v>-</v>
      </c>
      <c r="HO54" s="155" t="str">
        <f t="shared" si="366"/>
        <v>-</v>
      </c>
      <c r="HP54" s="155" t="str">
        <f t="shared" si="366"/>
        <v>-</v>
      </c>
      <c r="HQ54" s="155" t="str">
        <f t="shared" si="366"/>
        <v>-</v>
      </c>
      <c r="HR54" s="155" t="str">
        <f t="shared" si="366"/>
        <v>-</v>
      </c>
      <c r="HS54" s="155" t="str">
        <f t="shared" si="367"/>
        <v>-</v>
      </c>
      <c r="HT54" s="155" t="str">
        <f t="shared" si="367"/>
        <v>-</v>
      </c>
      <c r="HU54" s="155" t="str">
        <f t="shared" si="367"/>
        <v>-</v>
      </c>
      <c r="HV54" s="155" t="str">
        <f t="shared" si="367"/>
        <v>-</v>
      </c>
      <c r="HW54" s="155" t="str">
        <f t="shared" si="367"/>
        <v>-</v>
      </c>
      <c r="HX54" s="155" t="str">
        <f t="shared" si="367"/>
        <v>-</v>
      </c>
      <c r="HY54" s="177" t="str">
        <f t="shared" si="367"/>
        <v>-</v>
      </c>
      <c r="HZ54" s="181" t="str">
        <f t="shared" si="367"/>
        <v>Harvest</v>
      </c>
      <c r="IA54" s="177" t="str">
        <f t="shared" si="367"/>
        <v>-</v>
      </c>
      <c r="IB54" s="181" t="str">
        <f t="shared" si="367"/>
        <v>Harvest</v>
      </c>
      <c r="IC54" s="155" t="str">
        <f t="shared" si="368"/>
        <v>-</v>
      </c>
      <c r="ID54" s="155" t="str">
        <f t="shared" si="368"/>
        <v>-</v>
      </c>
      <c r="IE54" s="155" t="str">
        <f t="shared" si="368"/>
        <v>-</v>
      </c>
      <c r="IF54" s="177" t="str">
        <f t="shared" si="368"/>
        <v>-</v>
      </c>
      <c r="IG54" s="181" t="str">
        <f t="shared" si="368"/>
        <v>Harvest</v>
      </c>
      <c r="IH54" s="177" t="str">
        <f t="shared" si="368"/>
        <v>-</v>
      </c>
      <c r="II54" s="181" t="str">
        <f t="shared" si="368"/>
        <v>Harvest</v>
      </c>
      <c r="IJ54" s="155" t="str">
        <f t="shared" si="368"/>
        <v>-</v>
      </c>
      <c r="IK54" s="155" t="str">
        <f t="shared" si="368"/>
        <v>-</v>
      </c>
      <c r="IL54" s="155" t="str">
        <f t="shared" si="368"/>
        <v>-</v>
      </c>
      <c r="IM54" s="177" t="str">
        <f t="shared" si="369"/>
        <v>-</v>
      </c>
      <c r="IN54" s="181" t="str">
        <f t="shared" si="369"/>
        <v>Harvest</v>
      </c>
      <c r="IO54" s="177" t="str">
        <f t="shared" si="369"/>
        <v>-</v>
      </c>
      <c r="IP54" s="181" t="str">
        <f t="shared" si="369"/>
        <v>Harvest</v>
      </c>
      <c r="IQ54" s="155" t="str">
        <f t="shared" si="369"/>
        <v>-</v>
      </c>
      <c r="IR54" s="155" t="str">
        <f t="shared" si="369"/>
        <v>-</v>
      </c>
      <c r="IS54" s="155" t="str">
        <f t="shared" si="369"/>
        <v>-</v>
      </c>
      <c r="IT54" s="177" t="str">
        <f t="shared" si="369"/>
        <v>-</v>
      </c>
      <c r="IU54" s="181" t="str">
        <f t="shared" si="369"/>
        <v>Harvest</v>
      </c>
      <c r="IV54" s="177" t="str">
        <f t="shared" si="369"/>
        <v>-</v>
      </c>
      <c r="IW54" s="181" t="str">
        <f t="shared" si="370"/>
        <v>Harvest</v>
      </c>
      <c r="IX54" s="184"/>
      <c r="IY54" s="184"/>
      <c r="IZ54" s="184"/>
      <c r="JA54" s="184"/>
      <c r="JB54" s="184"/>
      <c r="JC54" s="184"/>
      <c r="JD54" s="23"/>
      <c r="JE54" s="23"/>
      <c r="JF54" s="23"/>
      <c r="JG54" s="23"/>
      <c r="JH54" s="23"/>
      <c r="JI54" s="23"/>
      <c r="JJ54" s="23"/>
      <c r="JK54" s="23"/>
      <c r="JL54" s="23"/>
      <c r="JM54" s="23"/>
      <c r="JN54" s="23"/>
      <c r="JO54" s="23"/>
      <c r="JP54" s="23"/>
      <c r="JQ54" s="23"/>
      <c r="JR54" s="23"/>
      <c r="JS54" s="23"/>
      <c r="JT54" s="23"/>
      <c r="JU54" s="23"/>
      <c r="JV54" s="23"/>
      <c r="JW54" s="23"/>
      <c r="JX54" s="23"/>
      <c r="JY54" s="23"/>
      <c r="JZ54" s="23"/>
      <c r="KA54" s="23"/>
      <c r="KB54" s="23"/>
      <c r="KC54" s="23"/>
      <c r="KD54" s="23"/>
      <c r="KE54" s="23"/>
      <c r="KF54" s="23"/>
      <c r="KG54" s="23"/>
      <c r="KH54" s="23"/>
      <c r="KI54" s="23"/>
      <c r="KJ54" s="23"/>
      <c r="KK54" s="23"/>
      <c r="KL54" s="23"/>
      <c r="KM54" s="23"/>
      <c r="KN54" s="23"/>
      <c r="KO54" s="23"/>
      <c r="KP54" s="23"/>
      <c r="KQ54" s="23"/>
      <c r="KR54" s="23"/>
      <c r="KS54" s="23"/>
      <c r="KT54" s="23"/>
      <c r="KU54" s="23"/>
      <c r="KV54" s="23"/>
      <c r="KW54" s="23"/>
      <c r="KX54" s="23"/>
      <c r="KY54" s="23"/>
      <c r="KZ54" s="23"/>
      <c r="LA54" s="23"/>
      <c r="LB54" s="23"/>
      <c r="LC54" s="23"/>
      <c r="LD54" s="23"/>
      <c r="LE54" s="23"/>
      <c r="LF54" s="23"/>
      <c r="LG54" s="23"/>
      <c r="LH54" s="23"/>
      <c r="LI54" s="23"/>
      <c r="LJ54" s="23"/>
      <c r="LK54" s="23"/>
      <c r="LL54" s="23"/>
      <c r="LM54" s="23"/>
      <c r="LN54" s="23"/>
      <c r="LO54" s="23"/>
      <c r="LP54" s="23"/>
      <c r="LQ54" s="23"/>
      <c r="LR54" s="23"/>
      <c r="LS54" s="23"/>
      <c r="LT54" s="23"/>
      <c r="LU54" s="23"/>
      <c r="LV54" s="23"/>
      <c r="LW54" s="23"/>
      <c r="LX54" s="23"/>
      <c r="LY54" s="23"/>
      <c r="LZ54" s="23"/>
      <c r="MA54" s="23"/>
      <c r="MB54" s="23"/>
      <c r="MC54" s="23"/>
      <c r="MD54" s="23"/>
      <c r="ME54" s="23"/>
      <c r="MF54" s="23"/>
      <c r="MG54" s="23"/>
      <c r="MH54" s="23"/>
      <c r="MI54" s="23"/>
      <c r="MJ54" s="23"/>
      <c r="MK54" s="23"/>
      <c r="ML54" s="23"/>
      <c r="MM54" s="23"/>
      <c r="MN54" s="23"/>
      <c r="MO54" s="23"/>
      <c r="MP54" s="23"/>
      <c r="MQ54" s="23"/>
      <c r="MR54" s="23"/>
      <c r="MS54" s="23"/>
      <c r="MT54" s="23"/>
      <c r="MU54" s="23"/>
      <c r="MV54" s="23"/>
      <c r="MW54" s="23"/>
      <c r="MX54" s="23"/>
      <c r="MY54" s="23"/>
      <c r="MZ54" s="23"/>
      <c r="NA54" s="23"/>
      <c r="NB54" s="23"/>
      <c r="NC54" s="23"/>
      <c r="ND54" s="23"/>
      <c r="NE54" s="23"/>
      <c r="NF54" s="23"/>
      <c r="NG54" s="23"/>
      <c r="NH54" s="184"/>
      <c r="NI54" s="184"/>
      <c r="NJ54" s="184"/>
      <c r="NK54" s="184"/>
      <c r="NL54" s="184"/>
      <c r="NM54" s="184"/>
      <c r="NN54" s="184"/>
      <c r="NO54" s="184"/>
      <c r="NP54" s="184"/>
      <c r="NQ54" s="184"/>
      <c r="NR54" s="184"/>
      <c r="NS54" s="184"/>
      <c r="NT54" s="184"/>
      <c r="NU54" s="184"/>
      <c r="NV54" s="184"/>
      <c r="NW54" s="184"/>
      <c r="NX54" s="184"/>
      <c r="NY54" s="184"/>
      <c r="NZ54" s="184"/>
      <c r="OA54" s="184"/>
      <c r="OB54" s="184"/>
      <c r="OC54" s="184"/>
      <c r="OD54" s="184"/>
      <c r="OE54" s="184"/>
      <c r="OF54" s="184"/>
      <c r="OG54" s="184"/>
      <c r="OH54" s="184"/>
      <c r="OI54" s="184"/>
      <c r="OJ54" s="184"/>
      <c r="OK54" s="184"/>
      <c r="OL54" s="184"/>
      <c r="OM54" s="184"/>
      <c r="ON54" s="184"/>
      <c r="OO54" s="184"/>
      <c r="OP54" s="184"/>
      <c r="OQ54" s="184"/>
      <c r="OR54" s="184"/>
      <c r="OS54" s="184"/>
      <c r="OT54" s="184"/>
      <c r="OU54" s="184"/>
      <c r="OV54" s="184"/>
      <c r="OW54" s="184"/>
      <c r="OX54" s="184"/>
      <c r="OY54" s="184"/>
      <c r="OZ54" s="184"/>
      <c r="PA54" s="184"/>
      <c r="PB54" s="184"/>
      <c r="PC54" s="184"/>
      <c r="PD54" s="184"/>
      <c r="PE54" s="184"/>
      <c r="PF54" s="184"/>
      <c r="PG54" s="184"/>
      <c r="PH54" s="184"/>
      <c r="PI54" s="184"/>
      <c r="PJ54" s="184"/>
      <c r="PK54" s="184"/>
      <c r="PL54" s="184"/>
      <c r="PM54" s="184"/>
      <c r="PN54" s="184"/>
      <c r="PO54" s="184"/>
      <c r="PP54" s="184"/>
      <c r="PQ54" s="184"/>
      <c r="PR54" s="184"/>
      <c r="PS54" s="184"/>
      <c r="PT54" s="184"/>
      <c r="PU54" s="184"/>
      <c r="PV54" s="184"/>
      <c r="PW54" s="184"/>
      <c r="PX54" s="184"/>
      <c r="PY54" s="184"/>
      <c r="PZ54" s="184"/>
      <c r="QA54" s="184"/>
      <c r="QB54" s="184"/>
      <c r="QC54" s="184"/>
      <c r="QD54" s="184"/>
      <c r="QE54" s="184"/>
      <c r="QF54" s="184"/>
      <c r="QG54" s="184"/>
      <c r="QH54" s="184"/>
      <c r="QI54" s="184"/>
      <c r="QJ54" s="184"/>
      <c r="QK54" s="184"/>
      <c r="QL54" s="184"/>
      <c r="QM54" s="184"/>
      <c r="QN54" s="184"/>
      <c r="QO54" s="184"/>
      <c r="QP54" s="184"/>
      <c r="QQ54" s="184"/>
      <c r="QR54" s="184"/>
      <c r="QS54" s="184"/>
      <c r="QT54" s="184"/>
      <c r="QU54" s="184"/>
      <c r="QV54" s="184"/>
      <c r="QW54" s="184"/>
      <c r="QX54" s="184"/>
      <c r="QY54" s="184"/>
      <c r="QZ54" s="184"/>
      <c r="RA54" s="184"/>
      <c r="RB54" s="184"/>
      <c r="RC54" s="184"/>
      <c r="RD54" s="184"/>
      <c r="RE54" s="184"/>
      <c r="RF54" s="184"/>
      <c r="RG54" s="184"/>
      <c r="RH54" s="184"/>
      <c r="RI54" s="184"/>
      <c r="RJ54" s="184"/>
      <c r="RK54" s="184"/>
      <c r="RL54" s="184"/>
      <c r="RM54" s="184"/>
      <c r="RN54" s="184"/>
      <c r="RO54" s="184"/>
      <c r="RP54" s="184"/>
      <c r="RQ54" s="184"/>
      <c r="RR54" s="184"/>
      <c r="RS54" s="184"/>
      <c r="RT54" s="184"/>
      <c r="RU54" s="184"/>
      <c r="RV54" s="184"/>
      <c r="RW54" s="184"/>
      <c r="RX54" s="184"/>
      <c r="RY54" s="184"/>
      <c r="RZ54" s="184"/>
      <c r="SA54" s="184"/>
      <c r="SB54" s="185"/>
      <c r="SC54" s="185"/>
      <c r="SD54" s="185"/>
      <c r="SE54" s="185"/>
      <c r="SF54" s="185"/>
      <c r="SG54" s="185"/>
      <c r="SH54" s="185"/>
      <c r="SI54" s="185"/>
      <c r="SJ54" s="185"/>
      <c r="SK54" s="185"/>
      <c r="SL54" s="185"/>
      <c r="SM54" s="185"/>
      <c r="SN54" s="185"/>
      <c r="SO54" s="185"/>
      <c r="SP54" s="185"/>
      <c r="SQ54" s="185"/>
      <c r="SR54" s="185"/>
      <c r="SS54" s="185"/>
      <c r="ST54" s="185"/>
      <c r="SU54" s="185"/>
      <c r="SV54" s="185"/>
      <c r="SW54" s="185"/>
      <c r="SX54" s="185"/>
      <c r="SY54" s="185"/>
      <c r="SZ54" s="185"/>
      <c r="TA54" s="185"/>
      <c r="TB54" s="11"/>
      <c r="TC54" s="11"/>
      <c r="TD54" s="11"/>
      <c r="TE54" s="11"/>
    </row>
    <row r="55" spans="1:525" ht="22.15" customHeight="1" thickBot="1" x14ac:dyDescent="0.3">
      <c r="A55" s="298"/>
      <c r="B55" s="25" t="s">
        <v>27</v>
      </c>
      <c r="BY55" s="184"/>
      <c r="BZ55" s="184"/>
      <c r="CA55" s="184"/>
      <c r="CB55" s="184"/>
      <c r="CC55" s="184"/>
      <c r="CD55" s="184"/>
      <c r="CE55" s="184"/>
      <c r="CF55" s="184"/>
      <c r="CG55" s="184"/>
      <c r="CH55" s="184"/>
      <c r="CI55" s="184"/>
      <c r="CJ55" s="184"/>
      <c r="CK55" s="184"/>
      <c r="CL55" s="184"/>
      <c r="CM55" s="184"/>
      <c r="CN55" s="184"/>
      <c r="CO55" s="184"/>
      <c r="CP55" s="184"/>
      <c r="CQ55" s="184"/>
      <c r="CR55" s="184"/>
      <c r="CS55" s="184"/>
      <c r="CT55" s="184"/>
      <c r="CU55" s="184"/>
      <c r="CV55" s="184"/>
      <c r="CW55" s="184"/>
      <c r="CX55" s="184"/>
      <c r="CY55" s="184"/>
      <c r="CZ55" s="184"/>
      <c r="DA55" s="121">
        <f t="shared" si="348"/>
        <v>0</v>
      </c>
      <c r="DB55" s="108">
        <f t="shared" si="349"/>
        <v>0</v>
      </c>
      <c r="DC55" s="108">
        <f t="shared" si="350"/>
        <v>0</v>
      </c>
      <c r="DD55" s="108">
        <f t="shared" si="351"/>
        <v>0</v>
      </c>
      <c r="DE55" s="108">
        <f t="shared" si="352"/>
        <v>0</v>
      </c>
      <c r="DF55" s="108">
        <f t="shared" si="353"/>
        <v>0</v>
      </c>
      <c r="DG55" s="108">
        <f t="shared" si="354"/>
        <v>0</v>
      </c>
      <c r="DH55" s="108">
        <f t="shared" si="355"/>
        <v>0</v>
      </c>
      <c r="DI55" s="108">
        <f t="shared" si="356"/>
        <v>0</v>
      </c>
      <c r="DJ55" s="108">
        <f t="shared" si="357"/>
        <v>0</v>
      </c>
      <c r="DK55" s="108">
        <f t="shared" si="358"/>
        <v>0</v>
      </c>
      <c r="DL55" s="108">
        <f t="shared" si="359"/>
        <v>0</v>
      </c>
      <c r="DM55" s="108">
        <f t="shared" si="360"/>
        <v>0</v>
      </c>
      <c r="DN55" s="108">
        <f t="shared" si="361"/>
        <v>0</v>
      </c>
      <c r="DO55" s="108">
        <f t="shared" si="362"/>
        <v>0</v>
      </c>
      <c r="DP55" s="108">
        <f t="shared" si="352"/>
        <v>0</v>
      </c>
      <c r="DQ55" s="108">
        <f t="shared" si="352"/>
        <v>0</v>
      </c>
      <c r="DR55" s="108">
        <f t="shared" si="352"/>
        <v>0</v>
      </c>
      <c r="DS55" s="108">
        <f t="shared" si="352"/>
        <v>0</v>
      </c>
      <c r="DT55" s="108">
        <f t="shared" si="352"/>
        <v>0</v>
      </c>
      <c r="DU55" s="108">
        <f t="shared" si="352"/>
        <v>0</v>
      </c>
      <c r="DV55" s="108">
        <f t="shared" si="352"/>
        <v>0</v>
      </c>
      <c r="DW55" s="108">
        <f t="shared" si="352"/>
        <v>0</v>
      </c>
      <c r="DX55" s="108">
        <f t="shared" si="352"/>
        <v>0</v>
      </c>
      <c r="DY55" s="108">
        <f t="shared" si="352"/>
        <v>0</v>
      </c>
      <c r="DZ55" s="108">
        <f t="shared" si="352"/>
        <v>0</v>
      </c>
      <c r="EA55" s="108">
        <f t="shared" si="352"/>
        <v>0</v>
      </c>
      <c r="EB55" s="108">
        <f t="shared" si="352"/>
        <v>0</v>
      </c>
      <c r="EC55" s="108">
        <f t="shared" si="352"/>
        <v>0</v>
      </c>
      <c r="ED55" s="108">
        <f t="shared" si="352"/>
        <v>0</v>
      </c>
      <c r="EE55" s="108">
        <f t="shared" si="352"/>
        <v>0</v>
      </c>
      <c r="EF55" s="108">
        <f t="shared" si="352"/>
        <v>0</v>
      </c>
      <c r="EG55" s="108">
        <f t="shared" si="352"/>
        <v>0</v>
      </c>
      <c r="EH55" s="108">
        <f t="shared" si="352"/>
        <v>0</v>
      </c>
      <c r="EI55" s="108">
        <f t="shared" si="352"/>
        <v>0</v>
      </c>
      <c r="EJ55" s="108">
        <f t="shared" si="352"/>
        <v>0</v>
      </c>
      <c r="EK55" s="108">
        <f t="shared" si="352"/>
        <v>0</v>
      </c>
      <c r="EL55" s="108">
        <f t="shared" si="352"/>
        <v>0</v>
      </c>
      <c r="EM55" s="108">
        <f t="shared" si="352"/>
        <v>0</v>
      </c>
      <c r="EN55" s="108">
        <f t="shared" si="352"/>
        <v>0</v>
      </c>
      <c r="EO55" s="108">
        <f t="shared" si="352"/>
        <v>0</v>
      </c>
      <c r="EP55" s="108">
        <f t="shared" si="352"/>
        <v>0</v>
      </c>
      <c r="EQ55" s="108">
        <f t="shared" si="352"/>
        <v>0</v>
      </c>
      <c r="ER55" s="108">
        <f t="shared" si="352"/>
        <v>0</v>
      </c>
      <c r="ES55" s="108">
        <f t="shared" si="352"/>
        <v>0</v>
      </c>
      <c r="ET55" s="108">
        <f t="shared" si="352"/>
        <v>0</v>
      </c>
      <c r="EU55" s="108">
        <f t="shared" si="352"/>
        <v>0</v>
      </c>
      <c r="EV55" s="108">
        <f t="shared" si="352"/>
        <v>0</v>
      </c>
      <c r="EW55" s="108">
        <f t="shared" si="352"/>
        <v>0</v>
      </c>
      <c r="EX55" s="108">
        <f t="shared" si="352"/>
        <v>0</v>
      </c>
      <c r="EY55" s="108">
        <f t="shared" si="352"/>
        <v>0</v>
      </c>
      <c r="EZ55" s="145">
        <f t="shared" si="363"/>
        <v>0</v>
      </c>
      <c r="FA55" s="145">
        <f t="shared" si="363"/>
        <v>0</v>
      </c>
      <c r="FB55" s="145">
        <f t="shared" si="363"/>
        <v>0</v>
      </c>
      <c r="FC55" s="145">
        <f t="shared" si="363"/>
        <v>0</v>
      </c>
      <c r="FD55" s="145">
        <f t="shared" si="363"/>
        <v>0</v>
      </c>
      <c r="FE55" s="145">
        <f t="shared" si="363"/>
        <v>0</v>
      </c>
      <c r="FF55" s="145">
        <f t="shared" si="363"/>
        <v>0</v>
      </c>
      <c r="FG55" s="145">
        <f t="shared" si="363"/>
        <v>0</v>
      </c>
      <c r="FH55" s="145">
        <f t="shared" si="363"/>
        <v>0</v>
      </c>
      <c r="FI55" s="145">
        <f t="shared" si="363"/>
        <v>0</v>
      </c>
      <c r="FJ55" s="145">
        <f t="shared" si="363"/>
        <v>0</v>
      </c>
      <c r="FK55" s="145">
        <f t="shared" si="363"/>
        <v>0</v>
      </c>
      <c r="FL55" s="145">
        <f t="shared" si="363"/>
        <v>0</v>
      </c>
      <c r="FM55" s="145">
        <f t="shared" si="363"/>
        <v>0</v>
      </c>
      <c r="FN55" s="145">
        <f t="shared" si="364"/>
        <v>0</v>
      </c>
      <c r="FO55" s="145">
        <f t="shared" si="364"/>
        <v>0</v>
      </c>
      <c r="FP55" s="145">
        <f t="shared" si="364"/>
        <v>0</v>
      </c>
      <c r="FQ55" s="145">
        <f t="shared" si="364"/>
        <v>0</v>
      </c>
      <c r="FR55" s="145">
        <f t="shared" si="364"/>
        <v>0</v>
      </c>
      <c r="FS55" s="145">
        <f t="shared" si="364"/>
        <v>0</v>
      </c>
      <c r="FT55" s="145">
        <f t="shared" si="364"/>
        <v>0</v>
      </c>
      <c r="FU55" s="145">
        <f t="shared" si="364"/>
        <v>0</v>
      </c>
      <c r="FV55" s="145">
        <f t="shared" si="364"/>
        <v>0</v>
      </c>
      <c r="FW55" s="146">
        <f t="shared" si="364"/>
        <v>0</v>
      </c>
      <c r="FX55" s="146">
        <f t="shared" si="364"/>
        <v>0</v>
      </c>
      <c r="FY55" s="146">
        <f t="shared" si="364"/>
        <v>0</v>
      </c>
      <c r="FZ55" s="146">
        <f t="shared" si="364"/>
        <v>0</v>
      </c>
      <c r="GA55" s="146">
        <f t="shared" si="364"/>
        <v>0</v>
      </c>
      <c r="GB55" s="146">
        <f t="shared" si="364"/>
        <v>0</v>
      </c>
      <c r="GC55" s="146">
        <f t="shared" si="364"/>
        <v>0</v>
      </c>
      <c r="GD55" s="146">
        <f t="shared" si="364"/>
        <v>0</v>
      </c>
      <c r="GE55" s="146">
        <f t="shared" si="364"/>
        <v>0</v>
      </c>
      <c r="GF55" s="146">
        <f t="shared" si="364"/>
        <v>0</v>
      </c>
      <c r="GG55" s="146">
        <f t="shared" si="364"/>
        <v>0</v>
      </c>
      <c r="GH55" s="146">
        <f t="shared" si="364"/>
        <v>0</v>
      </c>
      <c r="GI55" s="146">
        <f t="shared" si="364"/>
        <v>0</v>
      </c>
      <c r="GJ55" s="146">
        <f t="shared" si="364"/>
        <v>0</v>
      </c>
      <c r="GK55" s="146">
        <f t="shared" si="364"/>
        <v>0</v>
      </c>
      <c r="GL55" s="146">
        <f t="shared" si="364"/>
        <v>0</v>
      </c>
      <c r="GM55" s="146">
        <f t="shared" si="364"/>
        <v>0</v>
      </c>
      <c r="GN55" s="146">
        <f t="shared" si="364"/>
        <v>0</v>
      </c>
      <c r="GO55" s="146">
        <f t="shared" si="364"/>
        <v>0</v>
      </c>
      <c r="GP55" s="146">
        <f t="shared" si="364"/>
        <v>0</v>
      </c>
      <c r="GQ55" s="146">
        <f t="shared" si="364"/>
        <v>0</v>
      </c>
      <c r="GR55" s="146">
        <f t="shared" si="364"/>
        <v>0</v>
      </c>
      <c r="GS55" s="146">
        <f t="shared" si="364"/>
        <v>0</v>
      </c>
      <c r="GT55" s="146">
        <f t="shared" si="364"/>
        <v>0</v>
      </c>
      <c r="GU55" s="146">
        <f t="shared" si="364"/>
        <v>0</v>
      </c>
      <c r="GV55" s="146">
        <f t="shared" si="364"/>
        <v>0</v>
      </c>
      <c r="GW55" s="146">
        <f t="shared" si="364"/>
        <v>0</v>
      </c>
      <c r="GX55" s="146">
        <f t="shared" si="364"/>
        <v>0</v>
      </c>
      <c r="GY55" s="156">
        <f t="shared" si="365"/>
        <v>0</v>
      </c>
      <c r="GZ55" s="156">
        <f t="shared" si="365"/>
        <v>0</v>
      </c>
      <c r="HA55" s="156">
        <f t="shared" si="365"/>
        <v>0</v>
      </c>
      <c r="HB55" s="156">
        <f t="shared" si="365"/>
        <v>0</v>
      </c>
      <c r="HC55" s="156">
        <f t="shared" si="365"/>
        <v>0</v>
      </c>
      <c r="HD55" s="156">
        <f t="shared" si="365"/>
        <v>0</v>
      </c>
      <c r="HE55" s="156">
        <f t="shared" si="365"/>
        <v>0</v>
      </c>
      <c r="HF55" s="156">
        <f t="shared" si="365"/>
        <v>0</v>
      </c>
      <c r="HG55" s="156">
        <f t="shared" si="365"/>
        <v>0</v>
      </c>
      <c r="HH55" s="156">
        <f t="shared" si="365"/>
        <v>0</v>
      </c>
      <c r="HI55" s="156">
        <f t="shared" si="366"/>
        <v>0</v>
      </c>
      <c r="HJ55" s="156">
        <f t="shared" si="366"/>
        <v>0</v>
      </c>
      <c r="HK55" s="156">
        <f t="shared" si="366"/>
        <v>0</v>
      </c>
      <c r="HL55" s="156">
        <f t="shared" si="366"/>
        <v>0</v>
      </c>
      <c r="HM55" s="156">
        <f t="shared" si="366"/>
        <v>0</v>
      </c>
      <c r="HN55" s="156">
        <f t="shared" si="366"/>
        <v>0</v>
      </c>
      <c r="HO55" s="156">
        <f t="shared" si="366"/>
        <v>0</v>
      </c>
      <c r="HP55" s="156">
        <f t="shared" si="366"/>
        <v>0</v>
      </c>
      <c r="HQ55" s="156">
        <f t="shared" si="366"/>
        <v>0</v>
      </c>
      <c r="HR55" s="156">
        <f t="shared" si="366"/>
        <v>0</v>
      </c>
      <c r="HS55" s="156">
        <f t="shared" si="367"/>
        <v>0</v>
      </c>
      <c r="HT55" s="156">
        <f t="shared" si="367"/>
        <v>0</v>
      </c>
      <c r="HU55" s="156">
        <f t="shared" si="367"/>
        <v>0</v>
      </c>
      <c r="HV55" s="156">
        <f t="shared" si="367"/>
        <v>0</v>
      </c>
      <c r="HW55" s="156">
        <f t="shared" si="367"/>
        <v>0</v>
      </c>
      <c r="HX55" s="156">
        <f t="shared" si="367"/>
        <v>0</v>
      </c>
      <c r="HY55" s="156">
        <f t="shared" si="367"/>
        <v>0</v>
      </c>
      <c r="HZ55" s="179">
        <f t="shared" si="367"/>
        <v>0</v>
      </c>
      <c r="IA55" s="156">
        <f t="shared" si="367"/>
        <v>0</v>
      </c>
      <c r="IB55" s="179">
        <f t="shared" si="367"/>
        <v>0</v>
      </c>
      <c r="IC55" s="156">
        <f t="shared" si="368"/>
        <v>0</v>
      </c>
      <c r="ID55" s="156">
        <f t="shared" si="368"/>
        <v>0</v>
      </c>
      <c r="IE55" s="156">
        <f t="shared" si="368"/>
        <v>0</v>
      </c>
      <c r="IF55" s="156">
        <f t="shared" si="368"/>
        <v>0</v>
      </c>
      <c r="IG55" s="179">
        <f t="shared" si="368"/>
        <v>0</v>
      </c>
      <c r="IH55" s="156">
        <f t="shared" si="368"/>
        <v>0</v>
      </c>
      <c r="II55" s="179">
        <f t="shared" si="368"/>
        <v>0</v>
      </c>
      <c r="IJ55" s="156">
        <f t="shared" si="368"/>
        <v>0</v>
      </c>
      <c r="IK55" s="156">
        <f t="shared" si="368"/>
        <v>0</v>
      </c>
      <c r="IL55" s="156">
        <f t="shared" si="368"/>
        <v>0</v>
      </c>
      <c r="IM55" s="156">
        <f t="shared" si="369"/>
        <v>0</v>
      </c>
      <c r="IN55" s="179">
        <f t="shared" si="369"/>
        <v>0</v>
      </c>
      <c r="IO55" s="156">
        <f t="shared" si="369"/>
        <v>0</v>
      </c>
      <c r="IP55" s="179">
        <f t="shared" si="369"/>
        <v>0</v>
      </c>
      <c r="IQ55" s="156">
        <f t="shared" si="369"/>
        <v>0</v>
      </c>
      <c r="IR55" s="156">
        <f t="shared" si="369"/>
        <v>0</v>
      </c>
      <c r="IS55" s="156">
        <f t="shared" si="369"/>
        <v>0</v>
      </c>
      <c r="IT55" s="156">
        <f t="shared" si="369"/>
        <v>0</v>
      </c>
      <c r="IU55" s="179">
        <f t="shared" si="369"/>
        <v>0</v>
      </c>
      <c r="IV55" s="156">
        <f t="shared" si="369"/>
        <v>0</v>
      </c>
      <c r="IW55" s="179">
        <f t="shared" si="370"/>
        <v>0</v>
      </c>
      <c r="IX55" s="184"/>
      <c r="IY55" s="184"/>
      <c r="IZ55" s="184"/>
      <c r="JA55" s="184"/>
      <c r="JB55" s="184"/>
      <c r="JC55" s="184"/>
      <c r="JD55" s="20"/>
      <c r="JE55" s="20"/>
      <c r="JF55" s="20"/>
      <c r="JG55" s="20"/>
      <c r="JH55" s="20"/>
      <c r="JI55" s="20"/>
      <c r="JJ55" s="20"/>
      <c r="JK55" s="20"/>
      <c r="JL55" s="20"/>
      <c r="JM55" s="20"/>
      <c r="JN55" s="20"/>
      <c r="JO55" s="20"/>
      <c r="JP55" s="20"/>
      <c r="JQ55" s="20"/>
      <c r="JR55" s="20"/>
      <c r="JS55" s="20"/>
      <c r="JT55" s="20"/>
      <c r="JU55" s="20"/>
      <c r="JV55" s="20"/>
      <c r="JW55" s="20"/>
      <c r="JX55" s="20"/>
      <c r="JY55" s="20"/>
      <c r="JZ55" s="20"/>
      <c r="KA55" s="20"/>
      <c r="KB55" s="20"/>
      <c r="KC55" s="20"/>
      <c r="KD55" s="20"/>
      <c r="KE55" s="20"/>
      <c r="KF55" s="20"/>
      <c r="KG55" s="20"/>
      <c r="KH55" s="20"/>
      <c r="KI55" s="20"/>
      <c r="KJ55" s="20"/>
      <c r="KK55" s="20"/>
      <c r="KL55" s="20"/>
      <c r="KM55" s="20"/>
      <c r="KN55" s="20"/>
      <c r="KO55" s="20"/>
      <c r="KP55" s="20"/>
      <c r="KQ55" s="20"/>
      <c r="KR55" s="20"/>
      <c r="KS55" s="20"/>
      <c r="KT55" s="20"/>
      <c r="KU55" s="20"/>
      <c r="KV55" s="20"/>
      <c r="KW55" s="20"/>
      <c r="KX55" s="20"/>
      <c r="KY55" s="20"/>
      <c r="KZ55" s="20"/>
      <c r="LA55" s="20"/>
      <c r="LB55" s="20"/>
      <c r="LC55" s="20"/>
      <c r="LD55" s="20"/>
      <c r="LE55" s="20"/>
      <c r="LF55" s="20"/>
      <c r="LG55" s="20"/>
      <c r="LH55" s="20"/>
      <c r="LI55" s="20"/>
      <c r="LJ55" s="20"/>
      <c r="LK55" s="20"/>
      <c r="LL55" s="20"/>
      <c r="LM55" s="20"/>
      <c r="LN55" s="20"/>
      <c r="LO55" s="20"/>
      <c r="LP55" s="20"/>
      <c r="LQ55" s="20"/>
      <c r="LR55" s="20"/>
      <c r="LS55" s="20"/>
      <c r="LT55" s="20"/>
      <c r="LU55" s="20"/>
      <c r="LV55" s="20"/>
      <c r="LW55" s="20"/>
      <c r="LX55" s="20"/>
      <c r="LY55" s="20"/>
      <c r="LZ55" s="20"/>
      <c r="MA55" s="20"/>
      <c r="MB55" s="20"/>
      <c r="MC55" s="20"/>
      <c r="MD55" s="20"/>
      <c r="ME55" s="20"/>
      <c r="MF55" s="20"/>
      <c r="MG55" s="20"/>
      <c r="MH55" s="20"/>
      <c r="MI55" s="20"/>
      <c r="MJ55" s="20"/>
      <c r="MK55" s="20"/>
      <c r="ML55" s="20"/>
      <c r="MM55" s="20"/>
      <c r="MN55" s="20"/>
      <c r="MO55" s="20"/>
      <c r="MP55" s="20"/>
      <c r="MQ55" s="20"/>
      <c r="MR55" s="20"/>
      <c r="MS55" s="20"/>
      <c r="MT55" s="20"/>
      <c r="MU55" s="20"/>
      <c r="MV55" s="20"/>
      <c r="MW55" s="20"/>
      <c r="MX55" s="20"/>
      <c r="MY55" s="20"/>
      <c r="MZ55" s="20"/>
      <c r="NA55" s="20"/>
      <c r="NB55" s="20"/>
      <c r="NC55" s="20"/>
      <c r="ND55" s="20"/>
      <c r="NE55" s="20"/>
      <c r="NF55" s="20"/>
      <c r="NG55" s="20"/>
      <c r="NH55" s="184"/>
      <c r="NI55" s="184"/>
      <c r="NJ55" s="184"/>
      <c r="NK55" s="184"/>
      <c r="NL55" s="184"/>
      <c r="NM55" s="184"/>
      <c r="NN55" s="184"/>
      <c r="NO55" s="184"/>
      <c r="NP55" s="184"/>
      <c r="NQ55" s="184"/>
      <c r="NR55" s="184"/>
      <c r="NS55" s="184"/>
      <c r="NT55" s="184"/>
      <c r="NU55" s="184"/>
      <c r="NV55" s="184"/>
      <c r="NW55" s="184"/>
      <c r="NX55" s="184"/>
      <c r="NY55" s="184"/>
      <c r="NZ55" s="184"/>
      <c r="OA55" s="184"/>
      <c r="OB55" s="184"/>
      <c r="OC55" s="184"/>
      <c r="OD55" s="184"/>
      <c r="OE55" s="184"/>
      <c r="OF55" s="184"/>
      <c r="OG55" s="184"/>
      <c r="OH55" s="184"/>
      <c r="OI55" s="184"/>
      <c r="OJ55" s="184"/>
      <c r="OK55" s="184"/>
      <c r="OL55" s="184"/>
      <c r="OM55" s="184"/>
      <c r="ON55" s="184"/>
      <c r="OO55" s="184"/>
      <c r="OP55" s="184"/>
      <c r="OQ55" s="184"/>
      <c r="OR55" s="184"/>
      <c r="OS55" s="184"/>
      <c r="OT55" s="184"/>
      <c r="OU55" s="184"/>
      <c r="OV55" s="184"/>
      <c r="OW55" s="184"/>
      <c r="OX55" s="184"/>
      <c r="OY55" s="184"/>
      <c r="OZ55" s="184"/>
      <c r="PA55" s="184"/>
      <c r="PB55" s="184"/>
      <c r="PC55" s="184"/>
      <c r="PD55" s="184"/>
      <c r="PE55" s="184"/>
      <c r="PF55" s="184"/>
      <c r="PG55" s="184"/>
      <c r="PH55" s="184"/>
      <c r="PI55" s="184"/>
      <c r="PJ55" s="184"/>
      <c r="PK55" s="184"/>
      <c r="PL55" s="184"/>
      <c r="PM55" s="184"/>
      <c r="PN55" s="184"/>
      <c r="PO55" s="184"/>
      <c r="PP55" s="184"/>
      <c r="PQ55" s="184"/>
      <c r="PR55" s="184"/>
      <c r="PS55" s="184"/>
      <c r="PT55" s="184"/>
      <c r="PU55" s="184"/>
      <c r="PV55" s="184"/>
      <c r="PW55" s="184"/>
      <c r="PX55" s="184"/>
      <c r="PY55" s="184"/>
      <c r="PZ55" s="184"/>
      <c r="QA55" s="184"/>
      <c r="QB55" s="184"/>
      <c r="QC55" s="184"/>
      <c r="QD55" s="184"/>
      <c r="QE55" s="184"/>
      <c r="QF55" s="184"/>
      <c r="QG55" s="184"/>
      <c r="QH55" s="184"/>
      <c r="QI55" s="184"/>
      <c r="QJ55" s="184"/>
      <c r="QK55" s="184"/>
      <c r="QL55" s="184"/>
      <c r="QM55" s="184"/>
      <c r="QN55" s="184"/>
      <c r="QO55" s="184"/>
      <c r="QP55" s="184"/>
      <c r="QQ55" s="184"/>
      <c r="QR55" s="184"/>
      <c r="QS55" s="184"/>
      <c r="QT55" s="184"/>
      <c r="QU55" s="184"/>
      <c r="QV55" s="184"/>
      <c r="QW55" s="184"/>
      <c r="QX55" s="184"/>
      <c r="QY55" s="184"/>
      <c r="QZ55" s="184"/>
      <c r="RA55" s="184"/>
      <c r="RB55" s="184"/>
      <c r="RC55" s="184"/>
      <c r="RD55" s="184"/>
      <c r="RE55" s="184"/>
      <c r="RF55" s="184"/>
      <c r="RG55" s="184"/>
      <c r="RH55" s="184"/>
      <c r="RI55" s="184"/>
      <c r="RJ55" s="184"/>
      <c r="RK55" s="184"/>
      <c r="RL55" s="184"/>
      <c r="RM55" s="184"/>
      <c r="RN55" s="184"/>
      <c r="RO55" s="184"/>
      <c r="RP55" s="184"/>
      <c r="RQ55" s="184"/>
      <c r="RR55" s="184"/>
      <c r="RS55" s="184"/>
      <c r="RT55" s="184"/>
      <c r="RU55" s="184"/>
      <c r="RV55" s="184"/>
      <c r="RW55" s="184"/>
      <c r="RX55" s="184"/>
      <c r="RY55" s="184"/>
      <c r="RZ55" s="184"/>
      <c r="SA55" s="184"/>
      <c r="SB55" s="185"/>
      <c r="SC55" s="185"/>
      <c r="SD55" s="185"/>
      <c r="SE55" s="185"/>
      <c r="SF55" s="185"/>
      <c r="SG55" s="185"/>
      <c r="SH55" s="185"/>
      <c r="SI55" s="185"/>
      <c r="SJ55" s="185"/>
      <c r="SK55" s="185"/>
      <c r="SL55" s="185"/>
      <c r="SM55" s="185"/>
      <c r="SN55" s="185"/>
      <c r="SO55" s="185"/>
      <c r="SP55" s="185"/>
      <c r="SQ55" s="185"/>
      <c r="SR55" s="185"/>
      <c r="SS55" s="185"/>
      <c r="ST55" s="185"/>
      <c r="SU55" s="185"/>
      <c r="SV55" s="185"/>
      <c r="SW55" s="185"/>
      <c r="SX55" s="185"/>
      <c r="SY55" s="185"/>
      <c r="SZ55" s="185"/>
      <c r="TA55" s="185"/>
      <c r="TB55" s="11"/>
      <c r="TC55" s="11"/>
      <c r="TD55" s="11"/>
      <c r="TE55" s="11"/>
    </row>
    <row r="56" spans="1:525" ht="22.15" customHeight="1" thickBot="1" x14ac:dyDescent="0.3">
      <c r="A56" s="298"/>
      <c r="B56" s="25" t="s">
        <v>25</v>
      </c>
      <c r="BY56" s="184"/>
      <c r="BZ56" s="184"/>
      <c r="CA56" s="184"/>
      <c r="CB56" s="184"/>
      <c r="CC56" s="184"/>
      <c r="CD56" s="184"/>
      <c r="CE56" s="184"/>
      <c r="CF56" s="184"/>
      <c r="CG56" s="184"/>
      <c r="CH56" s="184"/>
      <c r="CI56" s="184"/>
      <c r="CJ56" s="184"/>
      <c r="CK56" s="184"/>
      <c r="CL56" s="184"/>
      <c r="CM56" s="184"/>
      <c r="CN56" s="184"/>
      <c r="CO56" s="184"/>
      <c r="CP56" s="184"/>
      <c r="CQ56" s="184"/>
      <c r="CR56" s="184"/>
      <c r="CS56" s="184"/>
      <c r="CT56" s="184"/>
      <c r="CU56" s="184"/>
      <c r="CV56" s="184"/>
      <c r="CW56" s="184"/>
      <c r="CX56" s="184"/>
      <c r="CY56" s="184"/>
      <c r="CZ56" s="184"/>
      <c r="DA56" s="138">
        <f t="shared" si="348"/>
        <v>0</v>
      </c>
      <c r="DB56" s="108">
        <f t="shared" si="349"/>
        <v>0</v>
      </c>
      <c r="DC56" s="108">
        <f t="shared" si="350"/>
        <v>0</v>
      </c>
      <c r="DD56" s="108">
        <f t="shared" si="351"/>
        <v>0</v>
      </c>
      <c r="DE56" s="108">
        <f t="shared" si="352"/>
        <v>0</v>
      </c>
      <c r="DF56" s="108">
        <f t="shared" si="353"/>
        <v>0</v>
      </c>
      <c r="DG56" s="108">
        <f t="shared" si="354"/>
        <v>0</v>
      </c>
      <c r="DH56" s="108">
        <f t="shared" si="355"/>
        <v>0</v>
      </c>
      <c r="DI56" s="108">
        <f t="shared" si="356"/>
        <v>0</v>
      </c>
      <c r="DJ56" s="108">
        <f t="shared" si="357"/>
        <v>0</v>
      </c>
      <c r="DK56" s="108">
        <f t="shared" si="358"/>
        <v>0</v>
      </c>
      <c r="DL56" s="108">
        <f t="shared" si="359"/>
        <v>0</v>
      </c>
      <c r="DM56" s="108">
        <f t="shared" si="360"/>
        <v>0</v>
      </c>
      <c r="DN56" s="108">
        <f t="shared" si="361"/>
        <v>0</v>
      </c>
      <c r="DO56" s="108">
        <f t="shared" si="362"/>
        <v>0</v>
      </c>
      <c r="DP56" s="108">
        <f t="shared" si="352"/>
        <v>0</v>
      </c>
      <c r="DQ56" s="108">
        <f t="shared" si="352"/>
        <v>0</v>
      </c>
      <c r="DR56" s="108">
        <f t="shared" si="352"/>
        <v>0</v>
      </c>
      <c r="DS56" s="108">
        <f t="shared" si="352"/>
        <v>0</v>
      </c>
      <c r="DT56" s="108">
        <f t="shared" si="352"/>
        <v>0</v>
      </c>
      <c r="DU56" s="108">
        <f t="shared" si="352"/>
        <v>0</v>
      </c>
      <c r="DV56" s="108">
        <f t="shared" si="352"/>
        <v>0</v>
      </c>
      <c r="DW56" s="108">
        <f t="shared" si="352"/>
        <v>0</v>
      </c>
      <c r="DX56" s="108">
        <f t="shared" si="352"/>
        <v>0</v>
      </c>
      <c r="DY56" s="108">
        <f t="shared" si="352"/>
        <v>0</v>
      </c>
      <c r="DZ56" s="108">
        <f t="shared" si="352"/>
        <v>0</v>
      </c>
      <c r="EA56" s="108">
        <f t="shared" si="352"/>
        <v>0</v>
      </c>
      <c r="EB56" s="108">
        <f t="shared" si="352"/>
        <v>0</v>
      </c>
      <c r="EC56" s="108">
        <f t="shared" si="352"/>
        <v>0</v>
      </c>
      <c r="ED56" s="108">
        <f t="shared" si="352"/>
        <v>0</v>
      </c>
      <c r="EE56" s="108">
        <f t="shared" si="352"/>
        <v>0</v>
      </c>
      <c r="EF56" s="108">
        <f t="shared" si="352"/>
        <v>0</v>
      </c>
      <c r="EG56" s="108">
        <f t="shared" si="352"/>
        <v>0</v>
      </c>
      <c r="EH56" s="108">
        <f t="shared" si="352"/>
        <v>0</v>
      </c>
      <c r="EI56" s="108">
        <f t="shared" si="352"/>
        <v>0</v>
      </c>
      <c r="EJ56" s="108">
        <f t="shared" si="352"/>
        <v>0</v>
      </c>
      <c r="EK56" s="108">
        <f t="shared" si="352"/>
        <v>0</v>
      </c>
      <c r="EL56" s="108">
        <f t="shared" si="352"/>
        <v>0</v>
      </c>
      <c r="EM56" s="108">
        <f t="shared" si="352"/>
        <v>0</v>
      </c>
      <c r="EN56" s="108">
        <f t="shared" si="352"/>
        <v>0</v>
      </c>
      <c r="EO56" s="108">
        <f t="shared" si="352"/>
        <v>0</v>
      </c>
      <c r="EP56" s="108">
        <f t="shared" si="352"/>
        <v>0</v>
      </c>
      <c r="EQ56" s="108">
        <f t="shared" si="352"/>
        <v>0</v>
      </c>
      <c r="ER56" s="108">
        <f t="shared" si="352"/>
        <v>0</v>
      </c>
      <c r="ES56" s="108">
        <f t="shared" si="352"/>
        <v>0</v>
      </c>
      <c r="ET56" s="108">
        <f t="shared" si="352"/>
        <v>0</v>
      </c>
      <c r="EU56" s="108">
        <f t="shared" si="352"/>
        <v>0</v>
      </c>
      <c r="EV56" s="108">
        <f t="shared" si="352"/>
        <v>0</v>
      </c>
      <c r="EW56" s="108">
        <f t="shared" si="352"/>
        <v>0</v>
      </c>
      <c r="EX56" s="108">
        <f t="shared" si="352"/>
        <v>0</v>
      </c>
      <c r="EY56" s="108">
        <f t="shared" si="352"/>
        <v>0</v>
      </c>
      <c r="EZ56" s="145">
        <f t="shared" ref="EZ56:FL56" si="371">BB30</f>
        <v>0</v>
      </c>
      <c r="FA56" s="145">
        <f t="shared" si="371"/>
        <v>0</v>
      </c>
      <c r="FB56" s="145">
        <f t="shared" si="371"/>
        <v>0</v>
      </c>
      <c r="FC56" s="145">
        <f t="shared" si="371"/>
        <v>0</v>
      </c>
      <c r="FD56" s="145">
        <f t="shared" si="371"/>
        <v>0</v>
      </c>
      <c r="FE56" s="145">
        <f t="shared" si="371"/>
        <v>0</v>
      </c>
      <c r="FF56" s="145">
        <f t="shared" si="371"/>
        <v>0</v>
      </c>
      <c r="FG56" s="145">
        <f t="shared" si="371"/>
        <v>0</v>
      </c>
      <c r="FH56" s="145">
        <f t="shared" si="371"/>
        <v>0</v>
      </c>
      <c r="FI56" s="145">
        <f t="shared" si="371"/>
        <v>0</v>
      </c>
      <c r="FJ56" s="145">
        <f t="shared" si="371"/>
        <v>0</v>
      </c>
      <c r="FK56" s="145">
        <f t="shared" si="371"/>
        <v>0</v>
      </c>
      <c r="FL56" s="145">
        <f t="shared" si="371"/>
        <v>0</v>
      </c>
      <c r="FM56" s="145">
        <f t="shared" ref="FM56:FM65" si="372">BO30</f>
        <v>0</v>
      </c>
      <c r="FN56" s="145">
        <f t="shared" si="364"/>
        <v>0</v>
      </c>
      <c r="FO56" s="145">
        <f t="shared" si="364"/>
        <v>0</v>
      </c>
      <c r="FP56" s="145">
        <f t="shared" si="364"/>
        <v>0</v>
      </c>
      <c r="FQ56" s="145">
        <f t="shared" si="364"/>
        <v>0</v>
      </c>
      <c r="FR56" s="145">
        <f t="shared" si="364"/>
        <v>0</v>
      </c>
      <c r="FS56" s="145">
        <f t="shared" si="364"/>
        <v>0</v>
      </c>
      <c r="FT56" s="145">
        <f t="shared" si="364"/>
        <v>0</v>
      </c>
      <c r="FU56" s="145">
        <f t="shared" si="364"/>
        <v>0</v>
      </c>
      <c r="FV56" s="145">
        <f t="shared" si="364"/>
        <v>0</v>
      </c>
      <c r="FW56" s="146">
        <f t="shared" si="364"/>
        <v>0</v>
      </c>
      <c r="FX56" s="146">
        <f t="shared" si="364"/>
        <v>0</v>
      </c>
      <c r="FY56" s="146">
        <f t="shared" si="364"/>
        <v>0</v>
      </c>
      <c r="FZ56" s="146">
        <f t="shared" si="364"/>
        <v>0</v>
      </c>
      <c r="GA56" s="146">
        <f t="shared" si="364"/>
        <v>0</v>
      </c>
      <c r="GB56" s="146">
        <f t="shared" si="364"/>
        <v>0</v>
      </c>
      <c r="GC56" s="146">
        <f t="shared" si="364"/>
        <v>0</v>
      </c>
      <c r="GD56" s="146">
        <f t="shared" si="364"/>
        <v>0</v>
      </c>
      <c r="GE56" s="146">
        <f t="shared" si="364"/>
        <v>0</v>
      </c>
      <c r="GF56" s="146">
        <f t="shared" si="364"/>
        <v>0</v>
      </c>
      <c r="GG56" s="146">
        <f t="shared" si="364"/>
        <v>0</v>
      </c>
      <c r="GH56" s="146">
        <f t="shared" si="364"/>
        <v>0</v>
      </c>
      <c r="GI56" s="146">
        <f t="shared" si="364"/>
        <v>0</v>
      </c>
      <c r="GJ56" s="146">
        <f t="shared" si="364"/>
        <v>0</v>
      </c>
      <c r="GK56" s="146">
        <f t="shared" si="364"/>
        <v>0</v>
      </c>
      <c r="GL56" s="146">
        <f t="shared" si="364"/>
        <v>0</v>
      </c>
      <c r="GM56" s="146">
        <f t="shared" si="364"/>
        <v>0</v>
      </c>
      <c r="GN56" s="146">
        <f t="shared" si="364"/>
        <v>0</v>
      </c>
      <c r="GO56" s="146">
        <f t="shared" si="364"/>
        <v>0</v>
      </c>
      <c r="GP56" s="146">
        <f t="shared" si="364"/>
        <v>0</v>
      </c>
      <c r="GQ56" s="146">
        <f t="shared" si="364"/>
        <v>0</v>
      </c>
      <c r="GR56" s="146">
        <f t="shared" si="364"/>
        <v>0</v>
      </c>
      <c r="GS56" s="146">
        <f t="shared" si="364"/>
        <v>0</v>
      </c>
      <c r="GT56" s="146">
        <f t="shared" si="364"/>
        <v>0</v>
      </c>
      <c r="GU56" s="146">
        <f t="shared" si="364"/>
        <v>0</v>
      </c>
      <c r="GV56" s="146">
        <f t="shared" si="364"/>
        <v>0</v>
      </c>
      <c r="GW56" s="146">
        <f t="shared" si="364"/>
        <v>0</v>
      </c>
      <c r="GX56" s="146">
        <f t="shared" si="364"/>
        <v>0</v>
      </c>
      <c r="GY56" s="156">
        <f t="shared" ref="GY56:HX56" si="373">DA30</f>
        <v>0</v>
      </c>
      <c r="GZ56" s="156">
        <f t="shared" si="373"/>
        <v>0</v>
      </c>
      <c r="HA56" s="156">
        <f t="shared" si="373"/>
        <v>0</v>
      </c>
      <c r="HB56" s="156">
        <f t="shared" si="373"/>
        <v>0</v>
      </c>
      <c r="HC56" s="156">
        <f t="shared" si="373"/>
        <v>0</v>
      </c>
      <c r="HD56" s="156">
        <f t="shared" si="373"/>
        <v>0</v>
      </c>
      <c r="HE56" s="156">
        <f t="shared" si="373"/>
        <v>0</v>
      </c>
      <c r="HF56" s="156">
        <f t="shared" si="373"/>
        <v>0</v>
      </c>
      <c r="HG56" s="156">
        <f t="shared" si="373"/>
        <v>0</v>
      </c>
      <c r="HH56" s="156">
        <f t="shared" si="373"/>
        <v>0</v>
      </c>
      <c r="HI56" s="156">
        <f t="shared" si="373"/>
        <v>0</v>
      </c>
      <c r="HJ56" s="156">
        <f t="shared" si="373"/>
        <v>0</v>
      </c>
      <c r="HK56" s="156">
        <f t="shared" si="373"/>
        <v>0</v>
      </c>
      <c r="HL56" s="156">
        <f t="shared" si="373"/>
        <v>0</v>
      </c>
      <c r="HM56" s="156">
        <f t="shared" si="373"/>
        <v>0</v>
      </c>
      <c r="HN56" s="156">
        <f t="shared" si="373"/>
        <v>0</v>
      </c>
      <c r="HO56" s="156">
        <f t="shared" si="373"/>
        <v>0</v>
      </c>
      <c r="HP56" s="156">
        <f t="shared" si="373"/>
        <v>0</v>
      </c>
      <c r="HQ56" s="156">
        <f t="shared" si="373"/>
        <v>0</v>
      </c>
      <c r="HR56" s="156">
        <f t="shared" si="373"/>
        <v>0</v>
      </c>
      <c r="HS56" s="156">
        <f t="shared" si="373"/>
        <v>0</v>
      </c>
      <c r="HT56" s="156">
        <f t="shared" si="373"/>
        <v>0</v>
      </c>
      <c r="HU56" s="156">
        <f t="shared" si="373"/>
        <v>0</v>
      </c>
      <c r="HV56" s="156">
        <f t="shared" si="373"/>
        <v>0</v>
      </c>
      <c r="HW56" s="156">
        <f t="shared" si="373"/>
        <v>0</v>
      </c>
      <c r="HX56" s="156">
        <f t="shared" si="373"/>
        <v>0</v>
      </c>
      <c r="HY56" s="178">
        <f t="shared" ref="HY56:HY65" si="374">EA30</f>
        <v>0</v>
      </c>
      <c r="HZ56" s="181">
        <f t="shared" ref="HZ56:II60" si="375">EB30</f>
        <v>24.185735913858924</v>
      </c>
      <c r="IA56" s="177">
        <f t="shared" si="375"/>
        <v>0</v>
      </c>
      <c r="IB56" s="181">
        <f t="shared" si="375"/>
        <v>24.082193323306559</v>
      </c>
      <c r="IC56" s="155">
        <f t="shared" si="375"/>
        <v>0</v>
      </c>
      <c r="ID56" s="156">
        <f t="shared" si="375"/>
        <v>0</v>
      </c>
      <c r="IE56" s="156">
        <f t="shared" si="375"/>
        <v>0</v>
      </c>
      <c r="IF56" s="178">
        <f t="shared" si="375"/>
        <v>0</v>
      </c>
      <c r="IG56" s="181">
        <f t="shared" si="375"/>
        <v>23.834369382163725</v>
      </c>
      <c r="IH56" s="177">
        <f t="shared" si="375"/>
        <v>0</v>
      </c>
      <c r="II56" s="181">
        <f t="shared" si="375"/>
        <v>23.729612561855234</v>
      </c>
      <c r="IJ56" s="155">
        <f t="shared" ref="IJ56:IS60" si="376">EL30</f>
        <v>0</v>
      </c>
      <c r="IK56" s="156">
        <f t="shared" si="376"/>
        <v>0</v>
      </c>
      <c r="IL56" s="156">
        <f t="shared" si="376"/>
        <v>0</v>
      </c>
      <c r="IM56" s="178">
        <f t="shared" si="376"/>
        <v>0</v>
      </c>
      <c r="IN56" s="181">
        <f t="shared" si="376"/>
        <v>23.481493552061213</v>
      </c>
      <c r="IO56" s="177">
        <f t="shared" si="376"/>
        <v>0</v>
      </c>
      <c r="IP56" s="181">
        <f t="shared" si="376"/>
        <v>23.372038483450538</v>
      </c>
      <c r="IQ56" s="155">
        <f t="shared" si="376"/>
        <v>0</v>
      </c>
      <c r="IR56" s="156">
        <f t="shared" si="376"/>
        <v>0</v>
      </c>
      <c r="IS56" s="156">
        <f t="shared" si="376"/>
        <v>0</v>
      </c>
      <c r="IT56" s="178">
        <f t="shared" ref="IT56:IW60" si="377">EV30</f>
        <v>0</v>
      </c>
      <c r="IU56" s="181">
        <f t="shared" si="377"/>
        <v>23.116065489904333</v>
      </c>
      <c r="IV56" s="177">
        <f t="shared" si="377"/>
        <v>0</v>
      </c>
      <c r="IW56" s="181">
        <f t="shared" si="377"/>
        <v>22.977554025488825</v>
      </c>
      <c r="IX56" s="184"/>
      <c r="IY56" s="184"/>
      <c r="IZ56" s="184"/>
      <c r="JA56" s="184"/>
      <c r="JB56" s="184"/>
      <c r="JC56" s="184"/>
      <c r="JD56" s="20"/>
      <c r="JE56" s="20"/>
      <c r="JF56" s="20"/>
      <c r="JG56" s="20"/>
      <c r="JH56" s="20"/>
      <c r="JI56" s="20"/>
      <c r="JJ56" s="20"/>
      <c r="JK56" s="20"/>
      <c r="JL56" s="20"/>
      <c r="JM56" s="20"/>
      <c r="JN56" s="20"/>
      <c r="JO56" s="20"/>
      <c r="JP56" s="20"/>
      <c r="JQ56" s="20"/>
      <c r="JR56" s="20"/>
      <c r="JS56" s="20"/>
      <c r="JT56" s="20"/>
      <c r="JU56" s="20"/>
      <c r="JV56" s="20"/>
      <c r="JW56" s="20"/>
      <c r="JX56" s="20"/>
      <c r="JY56" s="20"/>
      <c r="JZ56" s="20"/>
      <c r="KA56" s="20"/>
      <c r="KB56" s="20"/>
      <c r="KC56" s="20"/>
      <c r="KD56" s="20"/>
      <c r="KE56" s="20"/>
      <c r="KF56" s="20"/>
      <c r="KG56" s="20"/>
      <c r="KH56" s="20"/>
      <c r="KI56" s="20"/>
      <c r="KJ56" s="20"/>
      <c r="KK56" s="20"/>
      <c r="KL56" s="20"/>
      <c r="KM56" s="20"/>
      <c r="KN56" s="20"/>
      <c r="KO56" s="20"/>
      <c r="KP56" s="20"/>
      <c r="KQ56" s="20"/>
      <c r="KR56" s="20"/>
      <c r="KS56" s="20"/>
      <c r="KT56" s="20"/>
      <c r="KU56" s="20"/>
      <c r="KV56" s="20"/>
      <c r="KW56" s="20"/>
      <c r="KX56" s="20"/>
      <c r="KY56" s="20"/>
      <c r="KZ56" s="20"/>
      <c r="LA56" s="20"/>
      <c r="LB56" s="20"/>
      <c r="LC56" s="20"/>
      <c r="LD56" s="20"/>
      <c r="LE56" s="20"/>
      <c r="LF56" s="20"/>
      <c r="LG56" s="20"/>
      <c r="LH56" s="20"/>
      <c r="LI56" s="20"/>
      <c r="LJ56" s="20"/>
      <c r="LK56" s="20"/>
      <c r="LL56" s="20"/>
      <c r="LM56" s="20"/>
      <c r="LN56" s="20"/>
      <c r="LO56" s="20"/>
      <c r="LP56" s="20"/>
      <c r="LQ56" s="20"/>
      <c r="LR56" s="20"/>
      <c r="LS56" s="20"/>
      <c r="LT56" s="20"/>
      <c r="LU56" s="20"/>
      <c r="LV56" s="20"/>
      <c r="LW56" s="20"/>
      <c r="LX56" s="20"/>
      <c r="LY56" s="20"/>
      <c r="LZ56" s="20"/>
      <c r="MA56" s="20"/>
      <c r="MB56" s="20"/>
      <c r="MC56" s="20"/>
      <c r="MD56" s="20"/>
      <c r="ME56" s="20"/>
      <c r="MF56" s="20"/>
      <c r="MG56" s="20"/>
      <c r="MH56" s="20"/>
      <c r="MI56" s="20"/>
      <c r="MJ56" s="20"/>
      <c r="MK56" s="20"/>
      <c r="ML56" s="20"/>
      <c r="MM56" s="20"/>
      <c r="MN56" s="20"/>
      <c r="MO56" s="20"/>
      <c r="MP56" s="20"/>
      <c r="MQ56" s="20"/>
      <c r="MR56" s="20"/>
      <c r="MS56" s="20"/>
      <c r="MT56" s="20"/>
      <c r="MU56" s="20"/>
      <c r="MV56" s="20"/>
      <c r="MW56" s="20"/>
      <c r="MX56" s="20"/>
      <c r="MY56" s="20"/>
      <c r="MZ56" s="20"/>
      <c r="NA56" s="20"/>
      <c r="NB56" s="20"/>
      <c r="NC56" s="20"/>
      <c r="ND56" s="20"/>
      <c r="NE56" s="20"/>
      <c r="NF56" s="20"/>
      <c r="NG56" s="20"/>
      <c r="NH56" s="184"/>
      <c r="NI56" s="184"/>
      <c r="NJ56" s="184"/>
      <c r="NK56" s="184"/>
      <c r="NL56" s="184"/>
      <c r="NM56" s="184"/>
      <c r="NN56" s="184"/>
      <c r="NO56" s="184"/>
      <c r="NP56" s="184"/>
      <c r="NQ56" s="184"/>
      <c r="NR56" s="184"/>
      <c r="NS56" s="184"/>
      <c r="NT56" s="184"/>
      <c r="NU56" s="184"/>
      <c r="NV56" s="184"/>
      <c r="NW56" s="184"/>
      <c r="NX56" s="184"/>
      <c r="NY56" s="184"/>
      <c r="NZ56" s="184"/>
      <c r="OA56" s="184"/>
      <c r="OB56" s="184"/>
      <c r="OC56" s="184"/>
      <c r="OD56" s="184"/>
      <c r="OE56" s="184"/>
      <c r="OF56" s="184"/>
      <c r="OG56" s="184"/>
      <c r="OH56" s="184"/>
      <c r="OI56" s="184"/>
      <c r="OJ56" s="184"/>
      <c r="OK56" s="184"/>
      <c r="OL56" s="184"/>
      <c r="OM56" s="184"/>
      <c r="ON56" s="184"/>
      <c r="OO56" s="184"/>
      <c r="OP56" s="184"/>
      <c r="OQ56" s="184"/>
      <c r="OR56" s="184"/>
      <c r="OS56" s="184"/>
      <c r="OT56" s="184"/>
      <c r="OU56" s="184"/>
      <c r="OV56" s="184"/>
      <c r="OW56" s="184"/>
      <c r="OX56" s="184"/>
      <c r="OY56" s="184"/>
      <c r="OZ56" s="184"/>
      <c r="PA56" s="184"/>
      <c r="PB56" s="184"/>
      <c r="PC56" s="184"/>
      <c r="PD56" s="184"/>
      <c r="PE56" s="184"/>
      <c r="PF56" s="184"/>
      <c r="PG56" s="184"/>
      <c r="PH56" s="184"/>
      <c r="PI56" s="184"/>
      <c r="PJ56" s="184"/>
      <c r="PK56" s="184"/>
      <c r="PL56" s="184"/>
      <c r="PM56" s="184"/>
      <c r="PN56" s="184"/>
      <c r="PO56" s="184"/>
      <c r="PP56" s="184"/>
      <c r="PQ56" s="184"/>
      <c r="PR56" s="184"/>
      <c r="PS56" s="184"/>
      <c r="PT56" s="184"/>
      <c r="PU56" s="184"/>
      <c r="PV56" s="184"/>
      <c r="PW56" s="184"/>
      <c r="PX56" s="184"/>
      <c r="PY56" s="184"/>
      <c r="PZ56" s="184"/>
      <c r="QA56" s="184"/>
      <c r="QB56" s="184"/>
      <c r="QC56" s="184"/>
      <c r="QD56" s="184"/>
      <c r="QE56" s="184"/>
      <c r="QF56" s="184"/>
      <c r="QG56" s="184"/>
      <c r="QH56" s="184"/>
      <c r="QI56" s="184"/>
      <c r="QJ56" s="184"/>
      <c r="QK56" s="184"/>
      <c r="QL56" s="184"/>
      <c r="QM56" s="184"/>
      <c r="QN56" s="184"/>
      <c r="QO56" s="184"/>
      <c r="QP56" s="184"/>
      <c r="QQ56" s="184"/>
      <c r="QR56" s="184"/>
      <c r="QS56" s="184"/>
      <c r="QT56" s="184"/>
      <c r="QU56" s="184"/>
      <c r="QV56" s="184"/>
      <c r="QW56" s="184"/>
      <c r="QX56" s="184"/>
      <c r="QY56" s="184"/>
      <c r="QZ56" s="184"/>
      <c r="RA56" s="184"/>
      <c r="RB56" s="184"/>
      <c r="RC56" s="184"/>
      <c r="RD56" s="184"/>
      <c r="RE56" s="184"/>
      <c r="RF56" s="184"/>
      <c r="RG56" s="184"/>
      <c r="RH56" s="184"/>
      <c r="RI56" s="184"/>
      <c r="RJ56" s="184"/>
      <c r="RK56" s="184"/>
      <c r="RL56" s="184"/>
      <c r="RM56" s="184"/>
      <c r="RN56" s="184"/>
      <c r="RO56" s="184"/>
      <c r="RP56" s="184"/>
      <c r="RQ56" s="184"/>
      <c r="RR56" s="184"/>
      <c r="RS56" s="184"/>
      <c r="RT56" s="184"/>
      <c r="RU56" s="184"/>
      <c r="RV56" s="184"/>
      <c r="RW56" s="184"/>
      <c r="RX56" s="184"/>
      <c r="RY56" s="184"/>
      <c r="RZ56" s="184"/>
      <c r="SA56" s="184"/>
      <c r="SB56" s="185"/>
      <c r="SC56" s="185"/>
      <c r="SD56" s="185"/>
      <c r="SE56" s="185"/>
      <c r="SF56" s="185"/>
      <c r="SG56" s="185"/>
      <c r="SH56" s="185"/>
      <c r="SI56" s="185"/>
      <c r="SJ56" s="185"/>
      <c r="SK56" s="185"/>
      <c r="SL56" s="185"/>
      <c r="SM56" s="185"/>
      <c r="SN56" s="185"/>
      <c r="SO56" s="185"/>
      <c r="SP56" s="185"/>
      <c r="SQ56" s="185"/>
      <c r="SR56" s="185"/>
      <c r="SS56" s="185"/>
      <c r="ST56" s="185"/>
      <c r="SU56" s="185"/>
      <c r="SV56" s="185"/>
      <c r="SW56" s="185"/>
      <c r="SX56" s="185"/>
      <c r="SY56" s="185"/>
      <c r="SZ56" s="185"/>
      <c r="TA56" s="185"/>
      <c r="TB56" s="11"/>
      <c r="TC56" s="11"/>
      <c r="TD56" s="11"/>
      <c r="TE56" s="11"/>
    </row>
    <row r="57" spans="1:525" ht="22.15" customHeight="1" thickBot="1" x14ac:dyDescent="0.3">
      <c r="A57" s="298"/>
      <c r="B57" s="25" t="s">
        <v>2</v>
      </c>
      <c r="BY57" s="184"/>
      <c r="BZ57" s="184"/>
      <c r="CA57" s="184"/>
      <c r="CB57" s="184"/>
      <c r="CC57" s="184"/>
      <c r="CD57" s="184"/>
      <c r="CE57" s="184"/>
      <c r="CF57" s="184"/>
      <c r="CG57" s="184"/>
      <c r="CH57" s="184"/>
      <c r="CI57" s="184"/>
      <c r="CJ57" s="184"/>
      <c r="CK57" s="184"/>
      <c r="CL57" s="184"/>
      <c r="CM57" s="184"/>
      <c r="CN57" s="184"/>
      <c r="CO57" s="184"/>
      <c r="CP57" s="184"/>
      <c r="CQ57" s="184"/>
      <c r="CR57" s="184"/>
      <c r="CS57" s="184"/>
      <c r="CT57" s="184"/>
      <c r="CU57" s="184"/>
      <c r="CV57" s="184"/>
      <c r="CW57" s="184"/>
      <c r="CX57" s="184"/>
      <c r="CY57" s="184"/>
      <c r="CZ57" s="184"/>
      <c r="DA57" s="140">
        <f t="shared" si="348"/>
        <v>2E-3</v>
      </c>
      <c r="DB57" s="112">
        <f t="shared" si="349"/>
        <v>2E-3</v>
      </c>
      <c r="DC57" s="113">
        <f t="shared" si="350"/>
        <v>2E-3</v>
      </c>
      <c r="DD57" s="113">
        <f t="shared" si="351"/>
        <v>2E-3</v>
      </c>
      <c r="DE57" s="113">
        <f t="shared" ref="DE57:DE65" si="378">G31</f>
        <v>2E-3</v>
      </c>
      <c r="DF57" s="113">
        <f t="shared" si="353"/>
        <v>2E-3</v>
      </c>
      <c r="DG57" s="113">
        <f t="shared" si="354"/>
        <v>2E-3</v>
      </c>
      <c r="DH57" s="113">
        <f t="shared" si="355"/>
        <v>2E-3</v>
      </c>
      <c r="DI57" s="113">
        <f t="shared" si="356"/>
        <v>2E-3</v>
      </c>
      <c r="DJ57" s="113">
        <f t="shared" si="357"/>
        <v>2E-3</v>
      </c>
      <c r="DK57" s="113">
        <f t="shared" si="358"/>
        <v>2E-3</v>
      </c>
      <c r="DL57" s="113">
        <f t="shared" si="359"/>
        <v>2E-3</v>
      </c>
      <c r="DM57" s="113">
        <f t="shared" si="360"/>
        <v>2E-3</v>
      </c>
      <c r="DN57" s="113">
        <f t="shared" si="361"/>
        <v>2E-3</v>
      </c>
      <c r="DO57" s="113">
        <f t="shared" si="362"/>
        <v>2E-3</v>
      </c>
      <c r="DP57" s="113">
        <f t="shared" ref="DP57:DP65" si="379">R31</f>
        <v>2E-3</v>
      </c>
      <c r="DQ57" s="113">
        <f t="shared" ref="DQ57:DQ65" si="380">S31</f>
        <v>2E-3</v>
      </c>
      <c r="DR57" s="113">
        <f t="shared" ref="DR57:DR65" si="381">T31</f>
        <v>2E-3</v>
      </c>
      <c r="DS57" s="113">
        <f t="shared" ref="DS57:DS65" si="382">U31</f>
        <v>2E-3</v>
      </c>
      <c r="DT57" s="113">
        <f t="shared" ref="DT57:DT65" si="383">V31</f>
        <v>2E-3</v>
      </c>
      <c r="DU57" s="113">
        <f t="shared" ref="DU57:DU65" si="384">W31</f>
        <v>2E-3</v>
      </c>
      <c r="DV57" s="113">
        <f t="shared" ref="DV57:DV65" si="385">X31</f>
        <v>2E-3</v>
      </c>
      <c r="DW57" s="113">
        <f t="shared" ref="DW57:DW65" si="386">Y31</f>
        <v>2E-3</v>
      </c>
      <c r="DX57" s="113">
        <f t="shared" ref="DX57:DX65" si="387">Z31</f>
        <v>2E-3</v>
      </c>
      <c r="DY57" s="113">
        <f t="shared" ref="DY57:DY65" si="388">AA31</f>
        <v>2E-3</v>
      </c>
      <c r="DZ57" s="113">
        <f t="shared" ref="DZ57:DZ65" si="389">AB31</f>
        <v>2E-3</v>
      </c>
      <c r="EA57" s="113">
        <f t="shared" ref="EA57:EA65" si="390">AC31</f>
        <v>2E-3</v>
      </c>
      <c r="EB57" s="113">
        <f t="shared" ref="EB57:EB65" si="391">AD31</f>
        <v>2E-3</v>
      </c>
      <c r="EC57" s="113">
        <f t="shared" ref="EC57:EC65" si="392">AE31</f>
        <v>2E-3</v>
      </c>
      <c r="ED57" s="113">
        <f t="shared" ref="ED57:ED65" si="393">AF31</f>
        <v>2E-3</v>
      </c>
      <c r="EE57" s="113">
        <f t="shared" ref="EE57:EE65" si="394">AG31</f>
        <v>2E-3</v>
      </c>
      <c r="EF57" s="113">
        <f t="shared" ref="EF57:EF65" si="395">AH31</f>
        <v>2E-3</v>
      </c>
      <c r="EG57" s="113">
        <f t="shared" ref="EG57:EG65" si="396">AI31</f>
        <v>2E-3</v>
      </c>
      <c r="EH57" s="113">
        <f t="shared" ref="EH57:EH65" si="397">AJ31</f>
        <v>2E-3</v>
      </c>
      <c r="EI57" s="113">
        <f t="shared" ref="EI57:EI65" si="398">AK31</f>
        <v>2E-3</v>
      </c>
      <c r="EJ57" s="113">
        <f t="shared" ref="EJ57:EJ65" si="399">AL31</f>
        <v>2E-3</v>
      </c>
      <c r="EK57" s="113">
        <f t="shared" ref="EK57:EK65" si="400">AM31</f>
        <v>2E-3</v>
      </c>
      <c r="EL57" s="113">
        <f t="shared" ref="EL57:EL65" si="401">AN31</f>
        <v>2E-3</v>
      </c>
      <c r="EM57" s="113">
        <f t="shared" ref="EM57:EM65" si="402">AO31</f>
        <v>2E-3</v>
      </c>
      <c r="EN57" s="113">
        <f t="shared" ref="EN57:EN65" si="403">AP31</f>
        <v>2E-3</v>
      </c>
      <c r="EO57" s="113">
        <f t="shared" ref="EO57:EO65" si="404">AQ31</f>
        <v>2E-3</v>
      </c>
      <c r="EP57" s="113">
        <f t="shared" ref="EP57:EP65" si="405">AR31</f>
        <v>2E-3</v>
      </c>
      <c r="EQ57" s="113">
        <f t="shared" ref="EQ57:EQ65" si="406">AS31</f>
        <v>2E-3</v>
      </c>
      <c r="ER57" s="113">
        <f t="shared" ref="ER57:ER65" si="407">AT31</f>
        <v>2E-3</v>
      </c>
      <c r="ES57" s="113">
        <f t="shared" ref="ES57:ES65" si="408">AU31</f>
        <v>2E-3</v>
      </c>
      <c r="ET57" s="113">
        <f t="shared" ref="ET57:ET65" si="409">AV31</f>
        <v>2E-3</v>
      </c>
      <c r="EU57" s="113">
        <f t="shared" ref="EU57:EU65" si="410">AW31</f>
        <v>2E-3</v>
      </c>
      <c r="EV57" s="113">
        <f t="shared" ref="EV57:EV65" si="411">AX31</f>
        <v>2E-3</v>
      </c>
      <c r="EW57" s="113">
        <f t="shared" ref="EW57:EW65" si="412">AY31</f>
        <v>2E-3</v>
      </c>
      <c r="EX57" s="113">
        <f t="shared" ref="EX57:EX65" si="413">AZ31</f>
        <v>2E-3</v>
      </c>
      <c r="EY57" s="113">
        <f t="shared" ref="EY57:EY65" si="414">BA31</f>
        <v>2E-3</v>
      </c>
      <c r="EZ57" s="147">
        <f t="shared" ref="EZ57:EZ65" si="415">BB31</f>
        <v>2E-3</v>
      </c>
      <c r="FA57" s="147">
        <f t="shared" ref="FA57:FA65" si="416">BC31</f>
        <v>2E-3</v>
      </c>
      <c r="FB57" s="147">
        <f t="shared" ref="FB57:FB65" si="417">BD31</f>
        <v>2E-3</v>
      </c>
      <c r="FC57" s="147">
        <f t="shared" ref="FC57:FC65" si="418">BE31</f>
        <v>2E-3</v>
      </c>
      <c r="FD57" s="147">
        <f t="shared" ref="FD57:FD65" si="419">BF31</f>
        <v>2E-3</v>
      </c>
      <c r="FE57" s="147">
        <f t="shared" ref="FE57:FE65" si="420">BG31</f>
        <v>2E-3</v>
      </c>
      <c r="FF57" s="147">
        <f t="shared" ref="FF57:FF65" si="421">BH31</f>
        <v>2E-3</v>
      </c>
      <c r="FG57" s="147">
        <f t="shared" ref="FG57:FG65" si="422">BI31</f>
        <v>2E-3</v>
      </c>
      <c r="FH57" s="147">
        <f t="shared" ref="FH57:FH65" si="423">BJ31</f>
        <v>2E-3</v>
      </c>
      <c r="FI57" s="147">
        <f t="shared" ref="FI57:FI65" si="424">BK31</f>
        <v>2E-3</v>
      </c>
      <c r="FJ57" s="147">
        <f t="shared" ref="FJ57:FJ65" si="425">BL31</f>
        <v>2E-3</v>
      </c>
      <c r="FK57" s="147">
        <f t="shared" ref="FK57:FK65" si="426">BM31</f>
        <v>2E-3</v>
      </c>
      <c r="FL57" s="147">
        <f t="shared" ref="FL57:FL65" si="427">BN31</f>
        <v>2E-3</v>
      </c>
      <c r="FM57" s="147">
        <f t="shared" si="372"/>
        <v>2E-3</v>
      </c>
      <c r="FN57" s="147">
        <f t="shared" ref="FN57:FN65" si="428">BP31</f>
        <v>2E-3</v>
      </c>
      <c r="FO57" s="147">
        <f t="shared" ref="FO57:FO65" si="429">BQ31</f>
        <v>2E-3</v>
      </c>
      <c r="FP57" s="147">
        <f t="shared" ref="FP57:FP65" si="430">BR31</f>
        <v>2E-3</v>
      </c>
      <c r="FQ57" s="147">
        <f t="shared" ref="FQ57:FQ65" si="431">BS31</f>
        <v>2E-3</v>
      </c>
      <c r="FR57" s="147">
        <f t="shared" ref="FR57:FR65" si="432">BT31</f>
        <v>2E-3</v>
      </c>
      <c r="FS57" s="147">
        <f t="shared" ref="FS57:FS65" si="433">BU31</f>
        <v>2E-3</v>
      </c>
      <c r="FT57" s="147">
        <f t="shared" ref="FT57:FT65" si="434">BV31</f>
        <v>2E-3</v>
      </c>
      <c r="FU57" s="147">
        <f t="shared" ref="FU57:FU65" si="435">BW31</f>
        <v>2E-3</v>
      </c>
      <c r="FV57" s="147">
        <f t="shared" ref="FV57:FV65" si="436">BX31</f>
        <v>2E-3</v>
      </c>
      <c r="FW57" s="147">
        <f t="shared" ref="FW57:FW65" si="437">BY31</f>
        <v>2E-3</v>
      </c>
      <c r="FX57" s="147">
        <f t="shared" ref="FX57:FX65" si="438">BZ31</f>
        <v>2E-3</v>
      </c>
      <c r="FY57" s="147">
        <f t="shared" ref="FY57:FY65" si="439">CA31</f>
        <v>2E-3</v>
      </c>
      <c r="FZ57" s="147">
        <f t="shared" ref="FZ57:FZ65" si="440">CB31</f>
        <v>2E-3</v>
      </c>
      <c r="GA57" s="147">
        <f t="shared" ref="GA57:GA65" si="441">CC31</f>
        <v>2E-3</v>
      </c>
      <c r="GB57" s="147">
        <f t="shared" ref="GB57:GB65" si="442">CD31</f>
        <v>2E-3</v>
      </c>
      <c r="GC57" s="147">
        <f t="shared" ref="GC57:GC65" si="443">CE31</f>
        <v>2E-3</v>
      </c>
      <c r="GD57" s="147">
        <f t="shared" ref="GD57:GD65" si="444">CF31</f>
        <v>2E-3</v>
      </c>
      <c r="GE57" s="147">
        <f t="shared" ref="GE57:GE65" si="445">CG31</f>
        <v>2E-3</v>
      </c>
      <c r="GF57" s="147">
        <f t="shared" ref="GF57:GF65" si="446">CH31</f>
        <v>2E-3</v>
      </c>
      <c r="GG57" s="147">
        <f t="shared" ref="GG57:GG65" si="447">CI31</f>
        <v>2E-3</v>
      </c>
      <c r="GH57" s="147">
        <f t="shared" ref="GH57:GH65" si="448">CJ31</f>
        <v>2E-3</v>
      </c>
      <c r="GI57" s="147">
        <f t="shared" ref="GI57:GI65" si="449">CK31</f>
        <v>2E-3</v>
      </c>
      <c r="GJ57" s="147">
        <f t="shared" ref="GJ57:GJ65" si="450">CL31</f>
        <v>2E-3</v>
      </c>
      <c r="GK57" s="147">
        <f t="shared" ref="GK57:GK65" si="451">CM31</f>
        <v>2E-3</v>
      </c>
      <c r="GL57" s="147">
        <f t="shared" ref="GL57:GL65" si="452">CN31</f>
        <v>2E-3</v>
      </c>
      <c r="GM57" s="147">
        <f t="shared" ref="GM57:GM65" si="453">CO31</f>
        <v>2E-3</v>
      </c>
      <c r="GN57" s="147">
        <f t="shared" ref="GN57:GN65" si="454">CP31</f>
        <v>2E-3</v>
      </c>
      <c r="GO57" s="147">
        <f t="shared" ref="GO57:GO65" si="455">CQ31</f>
        <v>2E-3</v>
      </c>
      <c r="GP57" s="147">
        <f t="shared" ref="GP57:GP65" si="456">CR31</f>
        <v>2E-3</v>
      </c>
      <c r="GQ57" s="147">
        <f t="shared" ref="GQ57:GQ65" si="457">CS31</f>
        <v>2E-3</v>
      </c>
      <c r="GR57" s="147">
        <f t="shared" ref="GR57:GR65" si="458">CT31</f>
        <v>2E-3</v>
      </c>
      <c r="GS57" s="147">
        <f t="shared" ref="GS57:GS65" si="459">CU31</f>
        <v>2E-3</v>
      </c>
      <c r="GT57" s="147">
        <f t="shared" ref="GT57:GT65" si="460">CV31</f>
        <v>2E-3</v>
      </c>
      <c r="GU57" s="147">
        <f t="shared" ref="GU57:GU65" si="461">CW31</f>
        <v>2E-3</v>
      </c>
      <c r="GV57" s="147">
        <f t="shared" ref="GV57:GV65" si="462">CX31</f>
        <v>2E-3</v>
      </c>
      <c r="GW57" s="147">
        <f t="shared" ref="GW57:GW65" si="463">CY31</f>
        <v>2E-3</v>
      </c>
      <c r="GX57" s="147">
        <f t="shared" ref="GX57:GX65" si="464">CZ31</f>
        <v>2E-3</v>
      </c>
      <c r="GY57" s="157">
        <f t="shared" ref="GY57:GY65" si="465">DA31</f>
        <v>2E-3</v>
      </c>
      <c r="GZ57" s="157">
        <f t="shared" ref="GZ57:GZ65" si="466">DB31</f>
        <v>2E-3</v>
      </c>
      <c r="HA57" s="157">
        <f t="shared" ref="HA57:HA65" si="467">DC31</f>
        <v>2E-3</v>
      </c>
      <c r="HB57" s="157">
        <f t="shared" ref="HB57:HB65" si="468">DD31</f>
        <v>2E-3</v>
      </c>
      <c r="HC57" s="157">
        <f t="shared" ref="HC57:HC65" si="469">DE31</f>
        <v>2E-3</v>
      </c>
      <c r="HD57" s="157">
        <f t="shared" ref="HD57:HD65" si="470">DF31</f>
        <v>2E-3</v>
      </c>
      <c r="HE57" s="157">
        <f t="shared" ref="HE57:HE65" si="471">DG31</f>
        <v>2E-3</v>
      </c>
      <c r="HF57" s="157">
        <f t="shared" ref="HF57:HF65" si="472">DH31</f>
        <v>2E-3</v>
      </c>
      <c r="HG57" s="157">
        <f t="shared" ref="HG57:HG65" si="473">DI31</f>
        <v>2E-3</v>
      </c>
      <c r="HH57" s="157">
        <f t="shared" ref="HH57:HH65" si="474">DJ31</f>
        <v>2E-3</v>
      </c>
      <c r="HI57" s="157">
        <f t="shared" ref="HI57:HI65" si="475">DK31</f>
        <v>2E-3</v>
      </c>
      <c r="HJ57" s="157">
        <f t="shared" ref="HJ57:HJ65" si="476">DL31</f>
        <v>2E-3</v>
      </c>
      <c r="HK57" s="157">
        <f t="shared" ref="HK57:HK65" si="477">DM31</f>
        <v>2E-3</v>
      </c>
      <c r="HL57" s="157">
        <f t="shared" ref="HL57:HL65" si="478">DN31</f>
        <v>2E-3</v>
      </c>
      <c r="HM57" s="157">
        <f t="shared" ref="HM57:HM65" si="479">DO31</f>
        <v>2E-3</v>
      </c>
      <c r="HN57" s="157">
        <f t="shared" ref="HN57:HN65" si="480">DP31</f>
        <v>2E-3</v>
      </c>
      <c r="HO57" s="157">
        <f t="shared" ref="HO57:HO65" si="481">DQ31</f>
        <v>2E-3</v>
      </c>
      <c r="HP57" s="157">
        <f t="shared" ref="HP57:HP65" si="482">DR31</f>
        <v>2E-3</v>
      </c>
      <c r="HQ57" s="157">
        <f t="shared" ref="HQ57:HQ65" si="483">DS31</f>
        <v>2E-3</v>
      </c>
      <c r="HR57" s="157">
        <f t="shared" ref="HR57:HR65" si="484">DT31</f>
        <v>2E-3</v>
      </c>
      <c r="HS57" s="157">
        <f t="shared" ref="HS57:HS65" si="485">DU31</f>
        <v>2E-3</v>
      </c>
      <c r="HT57" s="157">
        <f t="shared" ref="HT57:HT65" si="486">DV31</f>
        <v>2E-3</v>
      </c>
      <c r="HU57" s="157">
        <f t="shared" ref="HU57:HU65" si="487">DW31</f>
        <v>2E-3</v>
      </c>
      <c r="HV57" s="157">
        <f t="shared" ref="HV57:HV65" si="488">DX31</f>
        <v>2E-3</v>
      </c>
      <c r="HW57" s="157">
        <f t="shared" ref="HW57:HW65" si="489">DY31</f>
        <v>2E-3</v>
      </c>
      <c r="HX57" s="157">
        <f t="shared" ref="HX57:HX65" si="490">DZ31</f>
        <v>2E-3</v>
      </c>
      <c r="HY57" s="157">
        <f t="shared" si="374"/>
        <v>2E-3</v>
      </c>
      <c r="HZ57" s="180">
        <f t="shared" si="375"/>
        <v>2E-3</v>
      </c>
      <c r="IA57" s="157">
        <f t="shared" si="375"/>
        <v>2E-3</v>
      </c>
      <c r="IB57" s="180">
        <f t="shared" si="375"/>
        <v>2E-3</v>
      </c>
      <c r="IC57" s="157">
        <f t="shared" si="375"/>
        <v>2E-3</v>
      </c>
      <c r="ID57" s="157">
        <f t="shared" si="375"/>
        <v>2E-3</v>
      </c>
      <c r="IE57" s="157">
        <f t="shared" si="375"/>
        <v>2E-3</v>
      </c>
      <c r="IF57" s="157">
        <f t="shared" si="375"/>
        <v>2E-3</v>
      </c>
      <c r="IG57" s="180">
        <f t="shared" si="375"/>
        <v>2E-3</v>
      </c>
      <c r="IH57" s="157">
        <f t="shared" si="375"/>
        <v>2E-3</v>
      </c>
      <c r="II57" s="180">
        <f t="shared" si="375"/>
        <v>2E-3</v>
      </c>
      <c r="IJ57" s="157">
        <f t="shared" si="376"/>
        <v>2E-3</v>
      </c>
      <c r="IK57" s="157">
        <f t="shared" si="376"/>
        <v>2E-3</v>
      </c>
      <c r="IL57" s="157">
        <f t="shared" si="376"/>
        <v>2E-3</v>
      </c>
      <c r="IM57" s="157">
        <f t="shared" si="376"/>
        <v>2E-3</v>
      </c>
      <c r="IN57" s="180">
        <f t="shared" si="376"/>
        <v>2E-3</v>
      </c>
      <c r="IO57" s="157">
        <f t="shared" si="376"/>
        <v>2E-3</v>
      </c>
      <c r="IP57" s="180">
        <f t="shared" si="376"/>
        <v>2E-3</v>
      </c>
      <c r="IQ57" s="157">
        <f t="shared" si="376"/>
        <v>2E-3</v>
      </c>
      <c r="IR57" s="157">
        <f t="shared" si="376"/>
        <v>2E-3</v>
      </c>
      <c r="IS57" s="157">
        <f t="shared" si="376"/>
        <v>2E-3</v>
      </c>
      <c r="IT57" s="157">
        <f t="shared" si="377"/>
        <v>2E-3</v>
      </c>
      <c r="IU57" s="180">
        <f t="shared" si="377"/>
        <v>2E-3</v>
      </c>
      <c r="IV57" s="157">
        <f t="shared" si="377"/>
        <v>2E-3</v>
      </c>
      <c r="IW57" s="180">
        <f t="shared" si="377"/>
        <v>2E-3</v>
      </c>
      <c r="IX57" s="184"/>
      <c r="IY57" s="184"/>
      <c r="IZ57" s="184"/>
      <c r="JA57" s="184"/>
      <c r="JB57" s="184"/>
      <c r="JC57" s="184"/>
      <c r="JD57" s="132"/>
      <c r="JE57" s="132"/>
      <c r="JF57" s="132"/>
      <c r="JG57" s="132"/>
      <c r="JH57" s="132"/>
      <c r="JI57" s="132"/>
      <c r="JJ57" s="132"/>
      <c r="JK57" s="132"/>
      <c r="JL57" s="132"/>
      <c r="JM57" s="132"/>
      <c r="JN57" s="132"/>
      <c r="JO57" s="132"/>
      <c r="JP57" s="132"/>
      <c r="JQ57" s="132"/>
      <c r="JR57" s="132"/>
      <c r="JS57" s="132"/>
      <c r="JT57" s="132"/>
      <c r="JU57" s="132"/>
      <c r="JV57" s="132"/>
      <c r="JW57" s="132"/>
      <c r="JX57" s="132"/>
      <c r="JY57" s="132"/>
      <c r="JZ57" s="132"/>
      <c r="KA57" s="132"/>
      <c r="KB57" s="132"/>
      <c r="KC57" s="132"/>
      <c r="KD57" s="132"/>
      <c r="KE57" s="132"/>
      <c r="KF57" s="132"/>
      <c r="KG57" s="132"/>
      <c r="KH57" s="132"/>
      <c r="KI57" s="132"/>
      <c r="KJ57" s="132"/>
      <c r="KK57" s="132"/>
      <c r="KL57" s="132"/>
      <c r="KM57" s="132"/>
      <c r="KN57" s="132"/>
      <c r="KO57" s="132"/>
      <c r="KP57" s="132"/>
      <c r="KQ57" s="132"/>
      <c r="KR57" s="132"/>
      <c r="KS57" s="132"/>
      <c r="KT57" s="132"/>
      <c r="KU57" s="132"/>
      <c r="KV57" s="132"/>
      <c r="KW57" s="132"/>
      <c r="KX57" s="132"/>
      <c r="KY57" s="132"/>
      <c r="KZ57" s="132"/>
      <c r="LA57" s="132"/>
      <c r="LB57" s="132"/>
      <c r="LC57" s="132"/>
      <c r="LD57" s="132"/>
      <c r="LE57" s="132"/>
      <c r="LF57" s="132"/>
      <c r="LG57" s="132"/>
      <c r="LH57" s="132"/>
      <c r="LI57" s="132"/>
      <c r="LJ57" s="132"/>
      <c r="LK57" s="132"/>
      <c r="LL57" s="132"/>
      <c r="LM57" s="132"/>
      <c r="LN57" s="132"/>
      <c r="LO57" s="132"/>
      <c r="LP57" s="132"/>
      <c r="LQ57" s="132"/>
      <c r="LR57" s="132"/>
      <c r="LS57" s="132"/>
      <c r="LT57" s="132"/>
      <c r="LU57" s="132"/>
      <c r="LV57" s="132"/>
      <c r="LW57" s="132"/>
      <c r="LX57" s="132"/>
      <c r="LY57" s="132"/>
      <c r="LZ57" s="132"/>
      <c r="MA57" s="132"/>
      <c r="MB57" s="132"/>
      <c r="MC57" s="132"/>
      <c r="MD57" s="132"/>
      <c r="ME57" s="132"/>
      <c r="MF57" s="132"/>
      <c r="MG57" s="132"/>
      <c r="MH57" s="132"/>
      <c r="MI57" s="132"/>
      <c r="MJ57" s="132"/>
      <c r="MK57" s="132"/>
      <c r="ML57" s="132"/>
      <c r="MM57" s="132"/>
      <c r="MN57" s="132"/>
      <c r="MO57" s="132"/>
      <c r="MP57" s="132"/>
      <c r="MQ57" s="132"/>
      <c r="MR57" s="132"/>
      <c r="MS57" s="132"/>
      <c r="MT57" s="132"/>
      <c r="MU57" s="132"/>
      <c r="MV57" s="132"/>
      <c r="MW57" s="132"/>
      <c r="MX57" s="132"/>
      <c r="MY57" s="132"/>
      <c r="MZ57" s="132"/>
      <c r="NA57" s="132"/>
      <c r="NB57" s="132"/>
      <c r="NC57" s="132"/>
      <c r="ND57" s="132"/>
      <c r="NE57" s="132"/>
      <c r="NF57" s="132"/>
      <c r="NG57" s="132"/>
      <c r="NH57" s="184"/>
      <c r="NI57" s="184"/>
      <c r="NJ57" s="184"/>
      <c r="NK57" s="184"/>
      <c r="NL57" s="184"/>
      <c r="NM57" s="184"/>
      <c r="NN57" s="184"/>
      <c r="NO57" s="184"/>
      <c r="NP57" s="184"/>
      <c r="NQ57" s="184"/>
      <c r="NR57" s="184"/>
      <c r="NS57" s="184"/>
      <c r="NT57" s="184"/>
      <c r="NU57" s="184"/>
      <c r="NV57" s="184"/>
      <c r="NW57" s="184"/>
      <c r="NX57" s="184"/>
      <c r="NY57" s="184"/>
      <c r="NZ57" s="184"/>
      <c r="OA57" s="184"/>
      <c r="OB57" s="184"/>
      <c r="OC57" s="184"/>
      <c r="OD57" s="184"/>
      <c r="OE57" s="184"/>
      <c r="OF57" s="184"/>
      <c r="OG57" s="184"/>
      <c r="OH57" s="184"/>
      <c r="OI57" s="184"/>
      <c r="OJ57" s="184"/>
      <c r="OK57" s="184"/>
      <c r="OL57" s="184"/>
      <c r="OM57" s="184"/>
      <c r="ON57" s="184"/>
      <c r="OO57" s="184"/>
      <c r="OP57" s="184"/>
      <c r="OQ57" s="184"/>
      <c r="OR57" s="184"/>
      <c r="OS57" s="184"/>
      <c r="OT57" s="184"/>
      <c r="OU57" s="184"/>
      <c r="OV57" s="184"/>
      <c r="OW57" s="184"/>
      <c r="OX57" s="184"/>
      <c r="OY57" s="184"/>
      <c r="OZ57" s="184"/>
      <c r="PA57" s="184"/>
      <c r="PB57" s="184"/>
      <c r="PC57" s="184"/>
      <c r="PD57" s="184"/>
      <c r="PE57" s="184"/>
      <c r="PF57" s="184"/>
      <c r="PG57" s="184"/>
      <c r="PH57" s="184"/>
      <c r="PI57" s="184"/>
      <c r="PJ57" s="184"/>
      <c r="PK57" s="184"/>
      <c r="PL57" s="184"/>
      <c r="PM57" s="184"/>
      <c r="PN57" s="184"/>
      <c r="PO57" s="184"/>
      <c r="PP57" s="184"/>
      <c r="PQ57" s="184"/>
      <c r="PR57" s="184"/>
      <c r="PS57" s="184"/>
      <c r="PT57" s="184"/>
      <c r="PU57" s="184"/>
      <c r="PV57" s="184"/>
      <c r="PW57" s="184"/>
      <c r="PX57" s="184"/>
      <c r="PY57" s="184"/>
      <c r="PZ57" s="184"/>
      <c r="QA57" s="184"/>
      <c r="QB57" s="184"/>
      <c r="QC57" s="184"/>
      <c r="QD57" s="184"/>
      <c r="QE57" s="184"/>
      <c r="QF57" s="184"/>
      <c r="QG57" s="184"/>
      <c r="QH57" s="184"/>
      <c r="QI57" s="184"/>
      <c r="QJ57" s="184"/>
      <c r="QK57" s="184"/>
      <c r="QL57" s="184"/>
      <c r="QM57" s="184"/>
      <c r="QN57" s="184"/>
      <c r="QO57" s="184"/>
      <c r="QP57" s="184"/>
      <c r="QQ57" s="184"/>
      <c r="QR57" s="184"/>
      <c r="QS57" s="184"/>
      <c r="QT57" s="184"/>
      <c r="QU57" s="184"/>
      <c r="QV57" s="184"/>
      <c r="QW57" s="184"/>
      <c r="QX57" s="184"/>
      <c r="QY57" s="184"/>
      <c r="QZ57" s="184"/>
      <c r="RA57" s="184"/>
      <c r="RB57" s="184"/>
      <c r="RC57" s="184"/>
      <c r="RD57" s="184"/>
      <c r="RE57" s="184"/>
      <c r="RF57" s="184"/>
      <c r="RG57" s="184"/>
      <c r="RH57" s="184"/>
      <c r="RI57" s="184"/>
      <c r="RJ57" s="184"/>
      <c r="RK57" s="184"/>
      <c r="RL57" s="184"/>
      <c r="RM57" s="184"/>
      <c r="RN57" s="184"/>
      <c r="RO57" s="184"/>
      <c r="RP57" s="184"/>
      <c r="RQ57" s="184"/>
      <c r="RR57" s="184"/>
      <c r="RS57" s="184"/>
      <c r="RT57" s="184"/>
      <c r="RU57" s="184"/>
      <c r="RV57" s="184"/>
      <c r="RW57" s="184"/>
      <c r="RX57" s="184"/>
      <c r="RY57" s="184"/>
      <c r="RZ57" s="184"/>
      <c r="SA57" s="184"/>
      <c r="SB57" s="185"/>
      <c r="SC57" s="185"/>
      <c r="SD57" s="185"/>
      <c r="SE57" s="185"/>
      <c r="SF57" s="185"/>
      <c r="SG57" s="185"/>
      <c r="SH57" s="185"/>
      <c r="SI57" s="185"/>
      <c r="SJ57" s="185"/>
      <c r="SK57" s="185"/>
      <c r="SL57" s="185"/>
      <c r="SM57" s="185"/>
      <c r="SN57" s="185"/>
      <c r="SO57" s="185"/>
      <c r="SP57" s="185"/>
      <c r="SQ57" s="185"/>
      <c r="SR57" s="185"/>
      <c r="SS57" s="185"/>
      <c r="ST57" s="185"/>
      <c r="SU57" s="185"/>
      <c r="SV57" s="185"/>
      <c r="SW57" s="185"/>
      <c r="SX57" s="185"/>
      <c r="SY57" s="185"/>
      <c r="SZ57" s="185"/>
      <c r="TA57" s="185"/>
      <c r="TB57" s="11"/>
      <c r="TC57" s="11"/>
      <c r="TD57" s="11"/>
      <c r="TE57" s="11"/>
    </row>
    <row r="58" spans="1:525" ht="22.15" customHeight="1" x14ac:dyDescent="0.25">
      <c r="A58" s="298"/>
      <c r="B58" s="25" t="s">
        <v>15</v>
      </c>
      <c r="BY58" s="184"/>
      <c r="BZ58" s="184"/>
      <c r="CA58" s="184"/>
      <c r="CB58" s="184"/>
      <c r="CC58" s="184"/>
      <c r="CD58" s="184"/>
      <c r="CE58" s="184"/>
      <c r="CF58" s="184"/>
      <c r="CG58" s="184"/>
      <c r="CH58" s="184"/>
      <c r="CI58" s="184"/>
      <c r="CJ58" s="184"/>
      <c r="CK58" s="184"/>
      <c r="CL58" s="184"/>
      <c r="CM58" s="184"/>
      <c r="CN58" s="184"/>
      <c r="CO58" s="184"/>
      <c r="CP58" s="184"/>
      <c r="CQ58" s="184"/>
      <c r="CR58" s="184"/>
      <c r="CS58" s="184"/>
      <c r="CT58" s="184"/>
      <c r="CU58" s="184"/>
      <c r="CV58" s="184"/>
      <c r="CW58" s="184"/>
      <c r="CX58" s="184"/>
      <c r="CY58" s="184"/>
      <c r="CZ58" s="184"/>
      <c r="DA58" s="139">
        <f t="shared" si="348"/>
        <v>0.5</v>
      </c>
      <c r="DB58" s="110">
        <f t="shared" si="349"/>
        <v>0.499</v>
      </c>
      <c r="DC58" s="110">
        <f t="shared" si="350"/>
        <v>0.498002</v>
      </c>
      <c r="DD58" s="110">
        <f t="shared" si="351"/>
        <v>0.49700599600000001</v>
      </c>
      <c r="DE58" s="110">
        <f t="shared" si="378"/>
        <v>0.49601198400799995</v>
      </c>
      <c r="DF58" s="110">
        <f t="shared" si="353"/>
        <v>0.495019960039984</v>
      </c>
      <c r="DG58" s="110">
        <f t="shared" si="354"/>
        <v>0.49402992011990399</v>
      </c>
      <c r="DH58" s="110">
        <f t="shared" si="355"/>
        <v>0.49304186027966418</v>
      </c>
      <c r="DI58" s="110">
        <f t="shared" si="356"/>
        <v>0.49205577655910482</v>
      </c>
      <c r="DJ58" s="110">
        <f t="shared" si="357"/>
        <v>0.49107166500598659</v>
      </c>
      <c r="DK58" s="110">
        <f t="shared" si="358"/>
        <v>0.49008952167597458</v>
      </c>
      <c r="DL58" s="110">
        <f t="shared" si="359"/>
        <v>0.48910934263262268</v>
      </c>
      <c r="DM58" s="110">
        <f t="shared" si="360"/>
        <v>0.48813112394735741</v>
      </c>
      <c r="DN58" s="110">
        <f t="shared" si="361"/>
        <v>0.4871548616994627</v>
      </c>
      <c r="DO58" s="110">
        <f t="shared" si="362"/>
        <v>0.4861805519760638</v>
      </c>
      <c r="DP58" s="110">
        <f t="shared" si="379"/>
        <v>0.48520819087211164</v>
      </c>
      <c r="DQ58" s="110">
        <f t="shared" si="380"/>
        <v>0.48423777449036742</v>
      </c>
      <c r="DR58" s="110">
        <f t="shared" si="381"/>
        <v>0.4832692989413867</v>
      </c>
      <c r="DS58" s="110">
        <f t="shared" si="382"/>
        <v>0.48230276034350389</v>
      </c>
      <c r="DT58" s="110">
        <f t="shared" si="383"/>
        <v>0.48133815482281689</v>
      </c>
      <c r="DU58" s="110">
        <f t="shared" si="384"/>
        <v>0.48037547851317125</v>
      </c>
      <c r="DV58" s="110">
        <f t="shared" si="385"/>
        <v>0.47941472755614489</v>
      </c>
      <c r="DW58" s="110">
        <f t="shared" si="386"/>
        <v>0.47845589810103262</v>
      </c>
      <c r="DX58" s="110">
        <f t="shared" si="387"/>
        <v>0.47749898630483056</v>
      </c>
      <c r="DY58" s="110">
        <f t="shared" si="388"/>
        <v>0.47654398833222095</v>
      </c>
      <c r="DZ58" s="110">
        <f t="shared" si="389"/>
        <v>0.47559090035555646</v>
      </c>
      <c r="EA58" s="110">
        <f t="shared" si="390"/>
        <v>0.47463971855484532</v>
      </c>
      <c r="EB58" s="110">
        <f t="shared" si="391"/>
        <v>0.47369043911773567</v>
      </c>
      <c r="EC58" s="110">
        <f t="shared" si="392"/>
        <v>0.47274305823950019</v>
      </c>
      <c r="ED58" s="110">
        <f t="shared" si="393"/>
        <v>0.47179757212302115</v>
      </c>
      <c r="EE58" s="110">
        <f t="shared" si="394"/>
        <v>0.47085397697877512</v>
      </c>
      <c r="EF58" s="110">
        <f t="shared" si="395"/>
        <v>0.46991226902481753</v>
      </c>
      <c r="EG58" s="110">
        <f t="shared" si="396"/>
        <v>0.46897244448676789</v>
      </c>
      <c r="EH58" s="110">
        <f t="shared" si="397"/>
        <v>0.46803449959779431</v>
      </c>
      <c r="EI58" s="110">
        <f t="shared" si="398"/>
        <v>0.46709843059859874</v>
      </c>
      <c r="EJ58" s="110">
        <f t="shared" si="399"/>
        <v>0.46616423373740151</v>
      </c>
      <c r="EK58" s="110">
        <f t="shared" si="400"/>
        <v>0.46523190526992669</v>
      </c>
      <c r="EL58" s="110">
        <f t="shared" si="401"/>
        <v>0.4643014414593869</v>
      </c>
      <c r="EM58" s="110">
        <f t="shared" si="402"/>
        <v>0.4633728385764681</v>
      </c>
      <c r="EN58" s="110">
        <f t="shared" si="403"/>
        <v>0.46244609289931515</v>
      </c>
      <c r="EO58" s="110">
        <f t="shared" si="404"/>
        <v>0.46152120071351654</v>
      </c>
      <c r="EP58" s="110">
        <f t="shared" si="405"/>
        <v>0.4605981583120895</v>
      </c>
      <c r="EQ58" s="110">
        <f t="shared" si="406"/>
        <v>0.45967696199546532</v>
      </c>
      <c r="ER58" s="110">
        <f t="shared" si="407"/>
        <v>0.45875760807147442</v>
      </c>
      <c r="ES58" s="110">
        <f t="shared" si="408"/>
        <v>0.4578400928553315</v>
      </c>
      <c r="ET58" s="110">
        <f t="shared" si="409"/>
        <v>0.45692441266962086</v>
      </c>
      <c r="EU58" s="110">
        <f t="shared" si="410"/>
        <v>0.45601056384428162</v>
      </c>
      <c r="EV58" s="110">
        <f t="shared" si="411"/>
        <v>0.45509854271659306</v>
      </c>
      <c r="EW58" s="110">
        <f t="shared" si="412"/>
        <v>0.45418834563115984</v>
      </c>
      <c r="EX58" s="110">
        <f t="shared" si="413"/>
        <v>0.45327996893989753</v>
      </c>
      <c r="EY58" s="110">
        <f t="shared" si="414"/>
        <v>0.45237340900201772</v>
      </c>
      <c r="EZ58" s="148">
        <f t="shared" si="415"/>
        <v>0.45146866218401371</v>
      </c>
      <c r="FA58" s="148">
        <f t="shared" si="416"/>
        <v>0.45056572485964563</v>
      </c>
      <c r="FB58" s="148">
        <f t="shared" si="417"/>
        <v>0.44966459340992637</v>
      </c>
      <c r="FC58" s="148">
        <f t="shared" si="418"/>
        <v>0.44876526422310653</v>
      </c>
      <c r="FD58" s="148">
        <f t="shared" si="419"/>
        <v>0.44786773369466026</v>
      </c>
      <c r="FE58" s="148">
        <f t="shared" si="420"/>
        <v>0.44697199822727096</v>
      </c>
      <c r="FF58" s="148">
        <f t="shared" si="421"/>
        <v>0.44607805423081642</v>
      </c>
      <c r="FG58" s="148">
        <f t="shared" si="422"/>
        <v>0.44518589812235482</v>
      </c>
      <c r="FH58" s="148">
        <f t="shared" si="423"/>
        <v>0.44429552632611008</v>
      </c>
      <c r="FI58" s="148">
        <f t="shared" si="424"/>
        <v>0.44340693527345787</v>
      </c>
      <c r="FJ58" s="148">
        <f t="shared" si="425"/>
        <v>0.44252012140291097</v>
      </c>
      <c r="FK58" s="148">
        <f t="shared" si="426"/>
        <v>0.44163508116010514</v>
      </c>
      <c r="FL58" s="148">
        <f t="shared" si="427"/>
        <v>0.44075181099778493</v>
      </c>
      <c r="FM58" s="148">
        <f t="shared" si="372"/>
        <v>0.4398703073757893</v>
      </c>
      <c r="FN58" s="148">
        <f t="shared" si="428"/>
        <v>0.4389905667610377</v>
      </c>
      <c r="FO58" s="148">
        <f t="shared" si="429"/>
        <v>0.43811258562751565</v>
      </c>
      <c r="FP58" s="148">
        <f t="shared" si="430"/>
        <v>0.43723636045626058</v>
      </c>
      <c r="FQ58" s="148">
        <f t="shared" si="431"/>
        <v>0.43636188773534806</v>
      </c>
      <c r="FR58" s="148">
        <f t="shared" si="432"/>
        <v>0.4354891639598773</v>
      </c>
      <c r="FS58" s="148">
        <f t="shared" si="433"/>
        <v>0.43461818563195753</v>
      </c>
      <c r="FT58" s="148">
        <f t="shared" si="434"/>
        <v>0.43374894926069363</v>
      </c>
      <c r="FU58" s="148">
        <f t="shared" si="435"/>
        <v>0.43288145136217226</v>
      </c>
      <c r="FV58" s="148">
        <f t="shared" si="436"/>
        <v>0.43201568845944793</v>
      </c>
      <c r="FW58" s="148">
        <f t="shared" si="437"/>
        <v>0.43115165708252906</v>
      </c>
      <c r="FX58" s="148">
        <f t="shared" si="438"/>
        <v>0.43028935376836397</v>
      </c>
      <c r="FY58" s="148">
        <f t="shared" si="439"/>
        <v>0.42942877506082727</v>
      </c>
      <c r="FZ58" s="148">
        <f t="shared" si="440"/>
        <v>0.42856991751070567</v>
      </c>
      <c r="GA58" s="148">
        <f t="shared" si="441"/>
        <v>0.42771277767568422</v>
      </c>
      <c r="GB58" s="148">
        <f t="shared" si="442"/>
        <v>0.42685735212033288</v>
      </c>
      <c r="GC58" s="148">
        <f t="shared" si="443"/>
        <v>0.42600363741609221</v>
      </c>
      <c r="GD58" s="148">
        <f t="shared" si="444"/>
        <v>0.42515163014126001</v>
      </c>
      <c r="GE58" s="148">
        <f t="shared" si="445"/>
        <v>0.42430132688097749</v>
      </c>
      <c r="GF58" s="148">
        <f t="shared" si="446"/>
        <v>0.42345272422721553</v>
      </c>
      <c r="GG58" s="148">
        <f t="shared" si="447"/>
        <v>0.42260581877876108</v>
      </c>
      <c r="GH58" s="148">
        <f t="shared" si="448"/>
        <v>0.42176060714120361</v>
      </c>
      <c r="GI58" s="148">
        <f t="shared" si="449"/>
        <v>0.42091708592692118</v>
      </c>
      <c r="GJ58" s="148">
        <f t="shared" si="450"/>
        <v>0.42007525175506732</v>
      </c>
      <c r="GK58" s="148">
        <f t="shared" si="451"/>
        <v>0.41923510125155722</v>
      </c>
      <c r="GL58" s="148">
        <f t="shared" si="452"/>
        <v>0.41839663104905406</v>
      </c>
      <c r="GM58" s="148">
        <f t="shared" si="453"/>
        <v>0.41755983778695593</v>
      </c>
      <c r="GN58" s="148">
        <f t="shared" si="454"/>
        <v>0.41672471811138201</v>
      </c>
      <c r="GO58" s="148">
        <f t="shared" si="455"/>
        <v>0.4158912686751593</v>
      </c>
      <c r="GP58" s="148">
        <f t="shared" si="456"/>
        <v>0.41505948613780896</v>
      </c>
      <c r="GQ58" s="148">
        <f t="shared" si="457"/>
        <v>0.41422936716553338</v>
      </c>
      <c r="GR58" s="148">
        <f t="shared" si="458"/>
        <v>0.41340090843120225</v>
      </c>
      <c r="GS58" s="148">
        <f t="shared" si="459"/>
        <v>0.41257410661433985</v>
      </c>
      <c r="GT58" s="148">
        <f t="shared" si="460"/>
        <v>0.4117489584011112</v>
      </c>
      <c r="GU58" s="148">
        <f t="shared" si="461"/>
        <v>0.41092546048430895</v>
      </c>
      <c r="GV58" s="148">
        <f t="shared" si="462"/>
        <v>0.4101036095633403</v>
      </c>
      <c r="GW58" s="148">
        <f t="shared" si="463"/>
        <v>0.40928340234421362</v>
      </c>
      <c r="GX58" s="148">
        <f t="shared" si="464"/>
        <v>0.40846483553952517</v>
      </c>
      <c r="GY58" s="158">
        <f t="shared" si="465"/>
        <v>0.40764790586844613</v>
      </c>
      <c r="GZ58" s="158">
        <f t="shared" si="466"/>
        <v>0.40683261005670923</v>
      </c>
      <c r="HA58" s="158">
        <f t="shared" si="467"/>
        <v>0.40601894483659579</v>
      </c>
      <c r="HB58" s="158">
        <f t="shared" si="468"/>
        <v>0.40520690694692257</v>
      </c>
      <c r="HC58" s="158">
        <f t="shared" si="469"/>
        <v>0.40439649313302872</v>
      </c>
      <c r="HD58" s="158">
        <f t="shared" si="470"/>
        <v>0.40358770014676271</v>
      </c>
      <c r="HE58" s="158">
        <f t="shared" si="471"/>
        <v>0.40278052474646914</v>
      </c>
      <c r="HF58" s="158">
        <f t="shared" si="472"/>
        <v>0.40197496369697622</v>
      </c>
      <c r="HG58" s="158">
        <f t="shared" si="473"/>
        <v>0.40117101376958225</v>
      </c>
      <c r="HH58" s="158">
        <f t="shared" si="474"/>
        <v>0.4003686717420431</v>
      </c>
      <c r="HI58" s="158">
        <f t="shared" si="475"/>
        <v>0.39956793439855903</v>
      </c>
      <c r="HJ58" s="158">
        <f t="shared" si="476"/>
        <v>0.39876879852976194</v>
      </c>
      <c r="HK58" s="158">
        <f t="shared" si="477"/>
        <v>0.39797126093270235</v>
      </c>
      <c r="HL58" s="158">
        <f t="shared" si="478"/>
        <v>0.39717531841083697</v>
      </c>
      <c r="HM58" s="158">
        <f t="shared" si="479"/>
        <v>0.39638096777401532</v>
      </c>
      <c r="HN58" s="158">
        <f t="shared" si="480"/>
        <v>0.39558820583846727</v>
      </c>
      <c r="HO58" s="158">
        <f t="shared" si="481"/>
        <v>0.39479702942679035</v>
      </c>
      <c r="HP58" s="158">
        <f t="shared" si="482"/>
        <v>0.39400743536793675</v>
      </c>
      <c r="HQ58" s="158">
        <f t="shared" si="483"/>
        <v>0.39321942049720088</v>
      </c>
      <c r="HR58" s="158">
        <f t="shared" si="484"/>
        <v>0.39243298165620649</v>
      </c>
      <c r="HS58" s="158">
        <f t="shared" si="485"/>
        <v>0.39164811569289409</v>
      </c>
      <c r="HT58" s="158">
        <f t="shared" si="486"/>
        <v>0.39086481946150825</v>
      </c>
      <c r="HU58" s="158">
        <f t="shared" si="487"/>
        <v>0.39008308982258527</v>
      </c>
      <c r="HV58" s="158">
        <f t="shared" si="488"/>
        <v>0.38930292364294006</v>
      </c>
      <c r="HW58" s="158">
        <f t="shared" si="489"/>
        <v>0.38852431779565422</v>
      </c>
      <c r="HX58" s="158">
        <f t="shared" si="490"/>
        <v>0.38774726916006291</v>
      </c>
      <c r="HY58" s="158">
        <f t="shared" si="374"/>
        <v>0.38697177462174281</v>
      </c>
      <c r="HZ58" s="158">
        <f t="shared" si="375"/>
        <v>0.33782635924478144</v>
      </c>
      <c r="IA58" s="158">
        <f t="shared" si="375"/>
        <v>0.33715070652629187</v>
      </c>
      <c r="IB58" s="158">
        <f t="shared" si="375"/>
        <v>0.28831201846662613</v>
      </c>
      <c r="IC58" s="158">
        <f t="shared" si="375"/>
        <v>0.28773539442969287</v>
      </c>
      <c r="ID58" s="158">
        <f t="shared" si="375"/>
        <v>0.28715992364083348</v>
      </c>
      <c r="IE58" s="158">
        <f t="shared" si="375"/>
        <v>0.2865856037935518</v>
      </c>
      <c r="IF58" s="158">
        <f t="shared" si="375"/>
        <v>0.2860124325859647</v>
      </c>
      <c r="IG58" s="158">
        <f t="shared" si="375"/>
        <v>0.23777166895646529</v>
      </c>
      <c r="IH58" s="158">
        <f t="shared" si="375"/>
        <v>0.23729612561855234</v>
      </c>
      <c r="II58" s="158">
        <f t="shared" si="375"/>
        <v>0.18936230824360475</v>
      </c>
      <c r="IJ58" s="158">
        <f t="shared" si="376"/>
        <v>0.18898358362711756</v>
      </c>
      <c r="IK58" s="158">
        <f t="shared" si="376"/>
        <v>0.18860561645986332</v>
      </c>
      <c r="IL58" s="158">
        <f t="shared" si="376"/>
        <v>0.18822840522694359</v>
      </c>
      <c r="IM58" s="158">
        <f t="shared" si="376"/>
        <v>0.18785194841648972</v>
      </c>
      <c r="IN58" s="158">
        <f t="shared" si="376"/>
        <v>0.1405132574155343</v>
      </c>
      <c r="IO58" s="158">
        <f t="shared" si="376"/>
        <v>0.14023223090070322</v>
      </c>
      <c r="IP58" s="158">
        <f t="shared" si="376"/>
        <v>9.320768947200074E-2</v>
      </c>
      <c r="IQ58" s="158">
        <f t="shared" si="376"/>
        <v>9.302127409305673E-2</v>
      </c>
      <c r="IR58" s="158">
        <f t="shared" si="376"/>
        <v>9.2835231544870625E-2</v>
      </c>
      <c r="IS58" s="158">
        <f t="shared" si="376"/>
        <v>9.2649561081780893E-2</v>
      </c>
      <c r="IT58" s="158">
        <f t="shared" si="377"/>
        <v>9.2464261959617336E-2</v>
      </c>
      <c r="IU58" s="158">
        <f t="shared" si="377"/>
        <v>4.6047202455889426E-2</v>
      </c>
      <c r="IV58" s="158">
        <f t="shared" si="377"/>
        <v>4.5955108050977654E-2</v>
      </c>
      <c r="IW58" s="158">
        <f t="shared" si="377"/>
        <v>-9.1910216101958044E-5</v>
      </c>
      <c r="IX58" s="184"/>
      <c r="IY58" s="184"/>
      <c r="IZ58" s="184"/>
      <c r="JA58" s="184"/>
      <c r="JB58" s="184"/>
      <c r="JC58" s="184"/>
      <c r="JD58" s="186"/>
      <c r="JE58" s="186"/>
      <c r="JF58" s="186"/>
      <c r="JG58" s="186"/>
      <c r="JH58" s="186"/>
      <c r="JI58" s="186"/>
      <c r="JJ58" s="186"/>
      <c r="JK58" s="186"/>
      <c r="JL58" s="186"/>
      <c r="JM58" s="186"/>
      <c r="JN58" s="186"/>
      <c r="JO58" s="186"/>
      <c r="JP58" s="186"/>
      <c r="JQ58" s="186"/>
      <c r="JR58" s="186"/>
      <c r="JS58" s="186"/>
      <c r="JT58" s="186"/>
      <c r="JU58" s="186"/>
      <c r="JV58" s="186"/>
      <c r="JW58" s="186"/>
      <c r="JX58" s="186"/>
      <c r="JY58" s="186"/>
      <c r="JZ58" s="186"/>
      <c r="KA58" s="186"/>
      <c r="KB58" s="186"/>
      <c r="KC58" s="186"/>
      <c r="KD58" s="186"/>
      <c r="KE58" s="186"/>
      <c r="KF58" s="186"/>
      <c r="KG58" s="186"/>
      <c r="KH58" s="186"/>
      <c r="KI58" s="186"/>
      <c r="KJ58" s="186"/>
      <c r="KK58" s="186"/>
      <c r="KL58" s="186"/>
      <c r="KM58" s="186"/>
      <c r="KN58" s="186"/>
      <c r="KO58" s="186"/>
      <c r="KP58" s="186"/>
      <c r="KQ58" s="186"/>
      <c r="KR58" s="186"/>
      <c r="KS58" s="186"/>
      <c r="KT58" s="186"/>
      <c r="KU58" s="186"/>
      <c r="KV58" s="186"/>
      <c r="KW58" s="186"/>
      <c r="KX58" s="186"/>
      <c r="KY58" s="186"/>
      <c r="KZ58" s="186"/>
      <c r="LA58" s="186"/>
      <c r="LB58" s="186"/>
      <c r="LC58" s="186"/>
      <c r="LD58" s="186"/>
      <c r="LE58" s="186"/>
      <c r="LF58" s="186"/>
      <c r="LG58" s="186"/>
      <c r="LH58" s="186"/>
      <c r="LI58" s="186"/>
      <c r="LJ58" s="186"/>
      <c r="LK58" s="186"/>
      <c r="LL58" s="186"/>
      <c r="LM58" s="186"/>
      <c r="LN58" s="186"/>
      <c r="LO58" s="186"/>
      <c r="LP58" s="186"/>
      <c r="LQ58" s="186"/>
      <c r="LR58" s="186"/>
      <c r="LS58" s="186"/>
      <c r="LT58" s="186"/>
      <c r="LU58" s="186"/>
      <c r="LV58" s="186"/>
      <c r="LW58" s="186"/>
      <c r="LX58" s="186"/>
      <c r="LY58" s="186"/>
      <c r="LZ58" s="186"/>
      <c r="MA58" s="186"/>
      <c r="MB58" s="186"/>
      <c r="MC58" s="186"/>
      <c r="MD58" s="186"/>
      <c r="ME58" s="186"/>
      <c r="MF58" s="186"/>
      <c r="MG58" s="186"/>
      <c r="MH58" s="186"/>
      <c r="MI58" s="186"/>
      <c r="MJ58" s="186"/>
      <c r="MK58" s="186"/>
      <c r="ML58" s="186"/>
      <c r="MM58" s="186"/>
      <c r="MN58" s="186"/>
      <c r="MO58" s="186"/>
      <c r="MP58" s="186"/>
      <c r="MQ58" s="186"/>
      <c r="MR58" s="186"/>
      <c r="MS58" s="186"/>
      <c r="MT58" s="186"/>
      <c r="MU58" s="186"/>
      <c r="MV58" s="186"/>
      <c r="MW58" s="186"/>
      <c r="MX58" s="186"/>
      <c r="MY58" s="186"/>
      <c r="MZ58" s="186"/>
      <c r="NA58" s="186"/>
      <c r="NB58" s="186"/>
      <c r="NC58" s="186"/>
      <c r="ND58" s="186"/>
      <c r="NE58" s="186"/>
      <c r="NF58" s="186"/>
      <c r="NG58" s="186"/>
      <c r="NH58" s="184"/>
      <c r="NI58" s="184"/>
      <c r="NJ58" s="184"/>
      <c r="NK58" s="184"/>
      <c r="NL58" s="184"/>
      <c r="NM58" s="184"/>
      <c r="NN58" s="184"/>
      <c r="NO58" s="184"/>
      <c r="NP58" s="184"/>
      <c r="NQ58" s="184"/>
      <c r="NR58" s="184"/>
      <c r="NS58" s="184"/>
      <c r="NT58" s="184"/>
      <c r="NU58" s="184"/>
      <c r="NV58" s="184"/>
      <c r="NW58" s="184"/>
      <c r="NX58" s="184"/>
      <c r="NY58" s="184"/>
      <c r="NZ58" s="184"/>
      <c r="OA58" s="184"/>
      <c r="OB58" s="184"/>
      <c r="OC58" s="184"/>
      <c r="OD58" s="184"/>
      <c r="OE58" s="184"/>
      <c r="OF58" s="184"/>
      <c r="OG58" s="184"/>
      <c r="OH58" s="184"/>
      <c r="OI58" s="184"/>
      <c r="OJ58" s="184"/>
      <c r="OK58" s="184"/>
      <c r="OL58" s="184"/>
      <c r="OM58" s="184"/>
      <c r="ON58" s="184"/>
      <c r="OO58" s="184"/>
      <c r="OP58" s="184"/>
      <c r="OQ58" s="184"/>
      <c r="OR58" s="184"/>
      <c r="OS58" s="184"/>
      <c r="OT58" s="184"/>
      <c r="OU58" s="184"/>
      <c r="OV58" s="184"/>
      <c r="OW58" s="184"/>
      <c r="OX58" s="184"/>
      <c r="OY58" s="184"/>
      <c r="OZ58" s="184"/>
      <c r="PA58" s="184"/>
      <c r="PB58" s="184"/>
      <c r="PC58" s="184"/>
      <c r="PD58" s="184"/>
      <c r="PE58" s="184"/>
      <c r="PF58" s="184"/>
      <c r="PG58" s="184"/>
      <c r="PH58" s="184"/>
      <c r="PI58" s="184"/>
      <c r="PJ58" s="184"/>
      <c r="PK58" s="184"/>
      <c r="PL58" s="184"/>
      <c r="PM58" s="184"/>
      <c r="PN58" s="184"/>
      <c r="PO58" s="184"/>
      <c r="PP58" s="184"/>
      <c r="PQ58" s="184"/>
      <c r="PR58" s="184"/>
      <c r="PS58" s="184"/>
      <c r="PT58" s="184"/>
      <c r="PU58" s="184"/>
      <c r="PV58" s="184"/>
      <c r="PW58" s="184"/>
      <c r="PX58" s="184"/>
      <c r="PY58" s="184"/>
      <c r="PZ58" s="184"/>
      <c r="QA58" s="184"/>
      <c r="QB58" s="184"/>
      <c r="QC58" s="184"/>
      <c r="QD58" s="184"/>
      <c r="QE58" s="184"/>
      <c r="QF58" s="184"/>
      <c r="QG58" s="184"/>
      <c r="QH58" s="184"/>
      <c r="QI58" s="184"/>
      <c r="QJ58" s="184"/>
      <c r="QK58" s="184"/>
      <c r="QL58" s="184"/>
      <c r="QM58" s="184"/>
      <c r="QN58" s="184"/>
      <c r="QO58" s="184"/>
      <c r="QP58" s="184"/>
      <c r="QQ58" s="184"/>
      <c r="QR58" s="184"/>
      <c r="QS58" s="184"/>
      <c r="QT58" s="184"/>
      <c r="QU58" s="184"/>
      <c r="QV58" s="184"/>
      <c r="QW58" s="184"/>
      <c r="QX58" s="184"/>
      <c r="QY58" s="184"/>
      <c r="QZ58" s="184"/>
      <c r="RA58" s="184"/>
      <c r="RB58" s="184"/>
      <c r="RC58" s="184"/>
      <c r="RD58" s="184"/>
      <c r="RE58" s="184"/>
      <c r="RF58" s="184"/>
      <c r="RG58" s="184"/>
      <c r="RH58" s="184"/>
      <c r="RI58" s="184"/>
      <c r="RJ58" s="184"/>
      <c r="RK58" s="184"/>
      <c r="RL58" s="184"/>
      <c r="RM58" s="184"/>
      <c r="RN58" s="184"/>
      <c r="RO58" s="184"/>
      <c r="RP58" s="184"/>
      <c r="RQ58" s="184"/>
      <c r="RR58" s="184"/>
      <c r="RS58" s="184"/>
      <c r="RT58" s="184"/>
      <c r="RU58" s="184"/>
      <c r="RV58" s="184"/>
      <c r="RW58" s="184"/>
      <c r="RX58" s="184"/>
      <c r="RY58" s="184"/>
      <c r="RZ58" s="184"/>
      <c r="SA58" s="184"/>
      <c r="SB58" s="185"/>
      <c r="SC58" s="185"/>
      <c r="SD58" s="185"/>
      <c r="SE58" s="185"/>
      <c r="SF58" s="185"/>
      <c r="SG58" s="185"/>
      <c r="SH58" s="185"/>
      <c r="SI58" s="185"/>
      <c r="SJ58" s="185"/>
      <c r="SK58" s="185"/>
      <c r="SL58" s="185"/>
      <c r="SM58" s="185"/>
      <c r="SN58" s="185"/>
      <c r="SO58" s="185"/>
      <c r="SP58" s="185"/>
      <c r="SQ58" s="185"/>
      <c r="SR58" s="185"/>
      <c r="SS58" s="185"/>
      <c r="ST58" s="185"/>
      <c r="SU58" s="185"/>
      <c r="SV58" s="185"/>
      <c r="SW58" s="185"/>
      <c r="SX58" s="185"/>
      <c r="SY58" s="185"/>
      <c r="SZ58" s="185"/>
      <c r="TA58" s="185"/>
      <c r="TB58" s="11"/>
      <c r="TC58" s="11"/>
      <c r="TD58" s="11"/>
      <c r="TE58" s="11"/>
    </row>
    <row r="59" spans="1:525" ht="22.15" customHeight="1" x14ac:dyDescent="0.25">
      <c r="A59" s="298"/>
      <c r="B59" s="25" t="s">
        <v>10</v>
      </c>
      <c r="BY59" s="184"/>
      <c r="BZ59" s="184"/>
      <c r="CA59" s="184"/>
      <c r="CB59" s="184"/>
      <c r="CC59" s="184"/>
      <c r="CD59" s="184"/>
      <c r="CE59" s="184"/>
      <c r="CF59" s="184"/>
      <c r="CG59" s="184"/>
      <c r="CH59" s="184"/>
      <c r="CI59" s="184"/>
      <c r="CJ59" s="184"/>
      <c r="CK59" s="184"/>
      <c r="CL59" s="184"/>
      <c r="CM59" s="184"/>
      <c r="CN59" s="184"/>
      <c r="CO59" s="184"/>
      <c r="CP59" s="184"/>
      <c r="CQ59" s="184"/>
      <c r="CR59" s="184"/>
      <c r="CS59" s="184"/>
      <c r="CT59" s="184"/>
      <c r="CU59" s="184"/>
      <c r="CV59" s="184"/>
      <c r="CW59" s="184"/>
      <c r="CX59" s="184"/>
      <c r="CY59" s="184"/>
      <c r="CZ59" s="184"/>
      <c r="DA59" s="122">
        <f t="shared" si="348"/>
        <v>0.01</v>
      </c>
      <c r="DB59" s="115">
        <f t="shared" si="349"/>
        <v>1.1005582593758946E-2</v>
      </c>
      <c r="DC59" s="115">
        <f t="shared" si="350"/>
        <v>1.2106377159660616E-2</v>
      </c>
      <c r="DD59" s="115">
        <f t="shared" si="351"/>
        <v>1.329177463494996E-2</v>
      </c>
      <c r="DE59" s="115">
        <f t="shared" si="378"/>
        <v>1.4588567329531619E-2</v>
      </c>
      <c r="DF59" s="115">
        <f t="shared" si="353"/>
        <v>1.6001621613287186E-2</v>
      </c>
      <c r="DG59" s="115">
        <f t="shared" si="354"/>
        <v>1.7513764350912106E-2</v>
      </c>
      <c r="DH59" s="115">
        <f t="shared" si="355"/>
        <v>1.9159726586917943E-2</v>
      </c>
      <c r="DI59" s="115">
        <f t="shared" si="356"/>
        <v>2.0916842913967924E-2</v>
      </c>
      <c r="DJ59" s="115">
        <f t="shared" si="357"/>
        <v>2.2820893014488763E-2</v>
      </c>
      <c r="DK59" s="115">
        <f t="shared" si="358"/>
        <v>2.4875013679153523E-2</v>
      </c>
      <c r="DL59" s="115">
        <f t="shared" si="359"/>
        <v>2.7051785083274507E-2</v>
      </c>
      <c r="DM59" s="115">
        <f t="shared" si="360"/>
        <v>2.9391936164292577E-2</v>
      </c>
      <c r="DN59" s="115">
        <f t="shared" si="361"/>
        <v>3.1863875340368962E-2</v>
      </c>
      <c r="DO59" s="115">
        <f t="shared" si="362"/>
        <v>3.4512306780663762E-2</v>
      </c>
      <c r="DP59" s="115">
        <f t="shared" si="379"/>
        <v>3.7295557327491485E-2</v>
      </c>
      <c r="DQ59" s="115">
        <f t="shared" si="380"/>
        <v>4.026107129173058E-2</v>
      </c>
      <c r="DR59" s="115">
        <f t="shared" si="381"/>
        <v>4.3360342612975861E-2</v>
      </c>
      <c r="DS59" s="115">
        <f t="shared" si="382"/>
        <v>4.664991913528866E-2</v>
      </c>
      <c r="DT59" s="115">
        <f t="shared" si="383"/>
        <v>5.0082638009534913E-2</v>
      </c>
      <c r="DU59" s="115">
        <f t="shared" si="384"/>
        <v>5.3713064706430995E-2</v>
      </c>
      <c r="DV59" s="115">
        <f t="shared" si="385"/>
        <v>5.7488794243371416E-2</v>
      </c>
      <c r="DW59" s="115">
        <f t="shared" si="386"/>
        <v>6.1459039321378257E-2</v>
      </c>
      <c r="DX59" s="115">
        <f t="shared" si="387"/>
        <v>6.5573850206895934E-2</v>
      </c>
      <c r="DY59" s="115">
        <f t="shared" si="388"/>
        <v>6.9894468866911849E-2</v>
      </c>
      <c r="DZ59" s="115">
        <f t="shared" si="389"/>
        <v>7.4436102539565979E-2</v>
      </c>
      <c r="EA59" s="115">
        <f t="shared" si="390"/>
        <v>7.9133861530936309E-2</v>
      </c>
      <c r="EB59" s="115">
        <f t="shared" si="391"/>
        <v>8.405709402530856E-2</v>
      </c>
      <c r="EC59" s="115">
        <f t="shared" si="392"/>
        <v>8.9135398951392567E-2</v>
      </c>
      <c r="ED59" s="115">
        <f t="shared" si="393"/>
        <v>9.4441702908772407E-2</v>
      </c>
      <c r="EE59" s="115">
        <f t="shared" si="394"/>
        <v>9.9980397615493405E-2</v>
      </c>
      <c r="EF59" s="115">
        <f t="shared" si="395"/>
        <v>0.10567182625033895</v>
      </c>
      <c r="EG59" s="115">
        <f t="shared" si="396"/>
        <v>0.11159516930349321</v>
      </c>
      <c r="EH59" s="115">
        <f t="shared" si="397"/>
        <v>0.11775330649604171</v>
      </c>
      <c r="EI59" s="115">
        <f t="shared" si="398"/>
        <v>0.12405730544100586</v>
      </c>
      <c r="EJ59" s="115">
        <f t="shared" si="399"/>
        <v>0.13059224509206371</v>
      </c>
      <c r="EK59" s="115">
        <f t="shared" si="400"/>
        <v>0.13724552354731717</v>
      </c>
      <c r="EL59" s="115">
        <f t="shared" si="401"/>
        <v>0.14412155178115069</v>
      </c>
      <c r="EM59" s="115">
        <f t="shared" si="402"/>
        <v>0.15119969398384345</v>
      </c>
      <c r="EN59" s="115">
        <f t="shared" si="403"/>
        <v>0.15839607220451735</v>
      </c>
      <c r="EO59" s="115">
        <f t="shared" si="404"/>
        <v>0.16580270216732043</v>
      </c>
      <c r="EP59" s="115">
        <f t="shared" si="405"/>
        <v>0.17339414742075068</v>
      </c>
      <c r="EQ59" s="115">
        <f t="shared" si="406"/>
        <v>0.18108161957284974</v>
      </c>
      <c r="ER59" s="115">
        <f t="shared" si="407"/>
        <v>0.18893592980770582</v>
      </c>
      <c r="ES59" s="115">
        <f t="shared" si="408"/>
        <v>0.19697531518673633</v>
      </c>
      <c r="ET59" s="115">
        <f t="shared" si="409"/>
        <v>0.20508349043138344</v>
      </c>
      <c r="EU59" s="115">
        <f t="shared" si="410"/>
        <v>0.21335880865547383</v>
      </c>
      <c r="EV59" s="115">
        <f t="shared" si="411"/>
        <v>0.22179470370603419</v>
      </c>
      <c r="EW59" s="115">
        <f t="shared" si="412"/>
        <v>0.2302694245156435</v>
      </c>
      <c r="EX59" s="115">
        <f t="shared" si="413"/>
        <v>0.23888337760373704</v>
      </c>
      <c r="EY59" s="115">
        <f t="shared" si="414"/>
        <v>0.24751301127415998</v>
      </c>
      <c r="EZ59" s="149">
        <f t="shared" si="415"/>
        <v>0.24751301127415998</v>
      </c>
      <c r="FA59" s="149">
        <f t="shared" si="416"/>
        <v>0.25606279623273898</v>
      </c>
      <c r="FB59" s="149">
        <f t="shared" si="417"/>
        <v>0.26459311346923547</v>
      </c>
      <c r="FC59" s="149">
        <f t="shared" si="418"/>
        <v>0.27320101477409309</v>
      </c>
      <c r="FD59" s="149">
        <f t="shared" si="419"/>
        <v>0.28194674644970757</v>
      </c>
      <c r="FE59" s="149">
        <f t="shared" si="420"/>
        <v>0.29071185521092607</v>
      </c>
      <c r="FF59" s="149">
        <f t="shared" si="421"/>
        <v>0.29956272485855329</v>
      </c>
      <c r="FG59" s="149">
        <f t="shared" si="422"/>
        <v>0.3085291339449367</v>
      </c>
      <c r="FH59" s="149">
        <f t="shared" si="423"/>
        <v>0.31760538538029337</v>
      </c>
      <c r="FI59" s="149">
        <f t="shared" si="424"/>
        <v>0.32666923608303633</v>
      </c>
      <c r="FJ59" s="149">
        <f t="shared" si="425"/>
        <v>0.33582601815025315</v>
      </c>
      <c r="FK59" s="149">
        <f t="shared" si="426"/>
        <v>0.34502649758005638</v>
      </c>
      <c r="FL59" s="149">
        <f t="shared" si="427"/>
        <v>0.35430399149027836</v>
      </c>
      <c r="FM59" s="149">
        <f t="shared" si="372"/>
        <v>0.36353435599804113</v>
      </c>
      <c r="FN59" s="149">
        <f t="shared" si="428"/>
        <v>0.3728685923431812</v>
      </c>
      <c r="FO59" s="149">
        <f t="shared" si="429"/>
        <v>0.38230239189895809</v>
      </c>
      <c r="FP59" s="149">
        <f t="shared" si="430"/>
        <v>0.39183122155676026</v>
      </c>
      <c r="FQ59" s="149">
        <f t="shared" si="431"/>
        <v>0.4014503246911697</v>
      </c>
      <c r="FR59" s="149">
        <f t="shared" si="432"/>
        <v>0.41103491518888063</v>
      </c>
      <c r="FS59" s="149">
        <f t="shared" si="433"/>
        <v>0.42069579669088308</v>
      </c>
      <c r="FT59" s="149">
        <f t="shared" si="434"/>
        <v>0.43042762008844304</v>
      </c>
      <c r="FU59" s="149">
        <f t="shared" si="435"/>
        <v>0.44022482958104225</v>
      </c>
      <c r="FV59" s="149">
        <f t="shared" si="436"/>
        <v>0.44996146066689308</v>
      </c>
      <c r="FW59" s="149">
        <f t="shared" si="437"/>
        <v>0.45974849082461178</v>
      </c>
      <c r="FX59" s="149">
        <f t="shared" si="438"/>
        <v>0.46963603840576573</v>
      </c>
      <c r="FY59" s="149">
        <f t="shared" si="439"/>
        <v>0.47962145688694802</v>
      </c>
      <c r="FZ59" s="149">
        <f t="shared" si="440"/>
        <v>0.48970197042433439</v>
      </c>
      <c r="GA59" s="149">
        <f t="shared" si="441"/>
        <v>0.49975211106370188</v>
      </c>
      <c r="GB59" s="149">
        <f t="shared" si="442"/>
        <v>0.50988784695218992</v>
      </c>
      <c r="GC59" s="149">
        <f t="shared" si="443"/>
        <v>0.5201060402778851</v>
      </c>
      <c r="GD59" s="149">
        <f t="shared" si="444"/>
        <v>0.53040342910440241</v>
      </c>
      <c r="GE59" s="149">
        <f t="shared" si="445"/>
        <v>0.54077662797381754</v>
      </c>
      <c r="GF59" s="149">
        <f t="shared" si="446"/>
        <v>0.55122212867109288</v>
      </c>
      <c r="GG59" s="149">
        <f t="shared" si="447"/>
        <v>0.56173630115220363</v>
      </c>
      <c r="GH59" s="149">
        <f t="shared" si="448"/>
        <v>0.57225646043277623</v>
      </c>
      <c r="GI59" s="149">
        <f t="shared" si="449"/>
        <v>0.58290537824787225</v>
      </c>
      <c r="GJ59" s="149">
        <f t="shared" si="450"/>
        <v>0.59368292544087975</v>
      </c>
      <c r="GK59" s="149">
        <f t="shared" si="451"/>
        <v>0.6045889244052246</v>
      </c>
      <c r="GL59" s="149">
        <f t="shared" si="452"/>
        <v>0.61562314826174713</v>
      </c>
      <c r="GM59" s="149">
        <f t="shared" si="453"/>
        <v>0.62678532005006016</v>
      </c>
      <c r="GN59" s="149">
        <f t="shared" si="454"/>
        <v>0.63794229085373333</v>
      </c>
      <c r="GO59" s="149">
        <f t="shared" si="455"/>
        <v>0.64922265671817514</v>
      </c>
      <c r="GP59" s="149">
        <f t="shared" si="456"/>
        <v>0.66062595459050899</v>
      </c>
      <c r="GQ59" s="149">
        <f t="shared" si="457"/>
        <v>0.67215166970065821</v>
      </c>
      <c r="GR59" s="149">
        <f t="shared" si="458"/>
        <v>0.68379923488349403</v>
      </c>
      <c r="GS59" s="149">
        <f t="shared" si="459"/>
        <v>0.69556802991980082</v>
      </c>
      <c r="GT59" s="149">
        <f t="shared" si="460"/>
        <v>0.70745738089685739</v>
      </c>
      <c r="GU59" s="149">
        <f t="shared" si="461"/>
        <v>0.71946655958943639</v>
      </c>
      <c r="GV59" s="149">
        <f t="shared" si="462"/>
        <v>0.73145375701000881</v>
      </c>
      <c r="GW59" s="149">
        <f t="shared" si="463"/>
        <v>0.74355545266823475</v>
      </c>
      <c r="GX59" s="149">
        <f t="shared" si="464"/>
        <v>0.75577073425771846</v>
      </c>
      <c r="GY59" s="159">
        <f t="shared" si="465"/>
        <v>0.75577073425771846</v>
      </c>
      <c r="GZ59" s="159">
        <f t="shared" si="466"/>
        <v>0.76801057813871565</v>
      </c>
      <c r="HA59" s="159">
        <f t="shared" si="467"/>
        <v>0.78035916598687038</v>
      </c>
      <c r="HB59" s="159">
        <f t="shared" si="468"/>
        <v>0.7928153814107648</v>
      </c>
      <c r="HC59" s="159">
        <f t="shared" si="469"/>
        <v>0.80537805231907722</v>
      </c>
      <c r="HD59" s="159">
        <f t="shared" si="470"/>
        <v>0.81790034253895094</v>
      </c>
      <c r="HE59" s="159">
        <f t="shared" si="471"/>
        <v>0.83052313362689922</v>
      </c>
      <c r="HF59" s="159">
        <f t="shared" si="472"/>
        <v>0.84334073433475221</v>
      </c>
      <c r="HG59" s="159">
        <f t="shared" si="473"/>
        <v>0.85625902121500952</v>
      </c>
      <c r="HH59" s="159">
        <f t="shared" si="474"/>
        <v>0.86927657250153445</v>
      </c>
      <c r="HI59" s="159">
        <f t="shared" si="475"/>
        <v>0.88239191018813767</v>
      </c>
      <c r="HJ59" s="159">
        <f t="shared" si="476"/>
        <v>0.8956034998415201</v>
      </c>
      <c r="HK59" s="159">
        <f t="shared" si="477"/>
        <v>0.9087585430506151</v>
      </c>
      <c r="HL59" s="159">
        <f t="shared" si="478"/>
        <v>0.92200333872269546</v>
      </c>
      <c r="HM59" s="159">
        <f t="shared" si="479"/>
        <v>0.93533618897066662</v>
      </c>
      <c r="HN59" s="159">
        <f t="shared" si="480"/>
        <v>0.94886184209501467</v>
      </c>
      <c r="HO59" s="159">
        <f t="shared" si="481"/>
        <v>0.96247504487602809</v>
      </c>
      <c r="HP59" s="159">
        <f t="shared" si="482"/>
        <v>0.97617396323655636</v>
      </c>
      <c r="HQ59" s="159">
        <f t="shared" si="483"/>
        <v>0.98995670729755714</v>
      </c>
      <c r="HR59" s="159">
        <f t="shared" si="484"/>
        <v>1.0036655491382722</v>
      </c>
      <c r="HS59" s="159">
        <f t="shared" si="485"/>
        <v>1.0175642299317702</v>
      </c>
      <c r="HT59" s="159">
        <f t="shared" si="486"/>
        <v>1.0315408163688777</v>
      </c>
      <c r="HU59" s="159">
        <f t="shared" si="487"/>
        <v>1.0455932401806174</v>
      </c>
      <c r="HV59" s="159">
        <f t="shared" si="488"/>
        <v>1.0597193788423986</v>
      </c>
      <c r="HW59" s="159">
        <f t="shared" si="489"/>
        <v>1.0739170557785458</v>
      </c>
      <c r="HX59" s="159">
        <f t="shared" si="490"/>
        <v>1.0881840406000842</v>
      </c>
      <c r="HY59" s="159">
        <f t="shared" si="374"/>
        <v>1.102358782611909</v>
      </c>
      <c r="HZ59" s="159">
        <f t="shared" si="375"/>
        <v>1.1187742054915824</v>
      </c>
      <c r="IA59" s="159">
        <f t="shared" si="375"/>
        <v>1.1332228592253859</v>
      </c>
      <c r="IB59" s="159">
        <f t="shared" si="375"/>
        <v>1.1501557842295889</v>
      </c>
      <c r="IC59" s="159">
        <f t="shared" si="375"/>
        <v>1.1647536198343733</v>
      </c>
      <c r="ID59" s="159">
        <f t="shared" si="375"/>
        <v>1.1794070554880456</v>
      </c>
      <c r="IE59" s="159">
        <f t="shared" si="375"/>
        <v>1.1941135340245252</v>
      </c>
      <c r="IF59" s="159">
        <f t="shared" si="375"/>
        <v>1.2087082842146553</v>
      </c>
      <c r="IG59" s="159">
        <f t="shared" si="375"/>
        <v>1.2262833758099052</v>
      </c>
      <c r="IH59" s="159">
        <f t="shared" si="375"/>
        <v>1.2411362872744927</v>
      </c>
      <c r="II59" s="159">
        <f t="shared" si="375"/>
        <v>1.2597658082352627</v>
      </c>
      <c r="IJ59" s="159">
        <f t="shared" si="376"/>
        <v>1.274746837027948</v>
      </c>
      <c r="IK59" s="159">
        <f t="shared" si="376"/>
        <v>1.2897656561565338</v>
      </c>
      <c r="IL59" s="159">
        <f t="shared" si="376"/>
        <v>1.3048194075662316</v>
      </c>
      <c r="IM59" s="159">
        <f t="shared" si="376"/>
        <v>1.3200488617715675</v>
      </c>
      <c r="IN59" s="159">
        <f t="shared" si="376"/>
        <v>1.3404116064513016</v>
      </c>
      <c r="IO59" s="159">
        <f t="shared" si="376"/>
        <v>1.3557612956176492</v>
      </c>
      <c r="IP59" s="159">
        <f t="shared" si="376"/>
        <v>1.3788487029134848</v>
      </c>
      <c r="IQ59" s="159">
        <f t="shared" si="376"/>
        <v>1.3943167494848983</v>
      </c>
      <c r="IR59" s="159">
        <f t="shared" si="376"/>
        <v>1.4098064580811625</v>
      </c>
      <c r="IS59" s="159">
        <f t="shared" si="376"/>
        <v>1.4254682445589308</v>
      </c>
      <c r="IT59" s="159">
        <f t="shared" si="377"/>
        <v>1.4411487678555732</v>
      </c>
      <c r="IU59" s="159">
        <f t="shared" si="377"/>
        <v>1.4726039094623389</v>
      </c>
      <c r="IV59" s="159">
        <f t="shared" si="377"/>
        <v>1.4886425509786578</v>
      </c>
      <c r="IW59" s="159">
        <f t="shared" si="377"/>
        <v>1.5046616392989716</v>
      </c>
      <c r="IX59" s="184"/>
      <c r="IY59" s="184"/>
      <c r="IZ59" s="184"/>
      <c r="JA59" s="184"/>
      <c r="JB59" s="184"/>
      <c r="JC59" s="184"/>
      <c r="JD59" s="131"/>
      <c r="JE59" s="131"/>
      <c r="JF59" s="131"/>
      <c r="JG59" s="131"/>
      <c r="JH59" s="131"/>
      <c r="JI59" s="131"/>
      <c r="JJ59" s="131"/>
      <c r="JK59" s="131"/>
      <c r="JL59" s="131"/>
      <c r="JM59" s="131"/>
      <c r="JN59" s="131"/>
      <c r="JO59" s="131"/>
      <c r="JP59" s="131"/>
      <c r="JQ59" s="131"/>
      <c r="JR59" s="131"/>
      <c r="JS59" s="131"/>
      <c r="JT59" s="131"/>
      <c r="JU59" s="131"/>
      <c r="JV59" s="131"/>
      <c r="JW59" s="131"/>
      <c r="JX59" s="131"/>
      <c r="JY59" s="131"/>
      <c r="JZ59" s="131"/>
      <c r="KA59" s="131"/>
      <c r="KB59" s="131"/>
      <c r="KC59" s="131"/>
      <c r="KD59" s="131"/>
      <c r="KE59" s="131"/>
      <c r="KF59" s="131"/>
      <c r="KG59" s="131"/>
      <c r="KH59" s="131"/>
      <c r="KI59" s="131"/>
      <c r="KJ59" s="131"/>
      <c r="KK59" s="131"/>
      <c r="KL59" s="131"/>
      <c r="KM59" s="131"/>
      <c r="KN59" s="131"/>
      <c r="KO59" s="131"/>
      <c r="KP59" s="131"/>
      <c r="KQ59" s="131"/>
      <c r="KR59" s="131"/>
      <c r="KS59" s="131"/>
      <c r="KT59" s="131"/>
      <c r="KU59" s="131"/>
      <c r="KV59" s="131"/>
      <c r="KW59" s="131"/>
      <c r="KX59" s="131"/>
      <c r="KY59" s="131"/>
      <c r="KZ59" s="131"/>
      <c r="LA59" s="131"/>
      <c r="LB59" s="131"/>
      <c r="LC59" s="131"/>
      <c r="LD59" s="131"/>
      <c r="LE59" s="131"/>
      <c r="LF59" s="131"/>
      <c r="LG59" s="131"/>
      <c r="LH59" s="131"/>
      <c r="LI59" s="131"/>
      <c r="LJ59" s="131"/>
      <c r="LK59" s="131"/>
      <c r="LL59" s="131"/>
      <c r="LM59" s="131"/>
      <c r="LN59" s="131"/>
      <c r="LO59" s="131"/>
      <c r="LP59" s="131"/>
      <c r="LQ59" s="131"/>
      <c r="LR59" s="131"/>
      <c r="LS59" s="131"/>
      <c r="LT59" s="131"/>
      <c r="LU59" s="131"/>
      <c r="LV59" s="131"/>
      <c r="LW59" s="131"/>
      <c r="LX59" s="131"/>
      <c r="LY59" s="131"/>
      <c r="LZ59" s="131"/>
      <c r="MA59" s="131"/>
      <c r="MB59" s="131"/>
      <c r="MC59" s="131"/>
      <c r="MD59" s="131"/>
      <c r="ME59" s="131"/>
      <c r="MF59" s="131"/>
      <c r="MG59" s="131"/>
      <c r="MH59" s="131"/>
      <c r="MI59" s="131"/>
      <c r="MJ59" s="131"/>
      <c r="MK59" s="131"/>
      <c r="ML59" s="131"/>
      <c r="MM59" s="131"/>
      <c r="MN59" s="131"/>
      <c r="MO59" s="131"/>
      <c r="MP59" s="131"/>
      <c r="MQ59" s="131"/>
      <c r="MR59" s="131"/>
      <c r="MS59" s="131"/>
      <c r="MT59" s="131"/>
      <c r="MU59" s="131"/>
      <c r="MV59" s="131"/>
      <c r="MW59" s="131"/>
      <c r="MX59" s="131"/>
      <c r="MY59" s="131"/>
      <c r="MZ59" s="131"/>
      <c r="NA59" s="131"/>
      <c r="NB59" s="131"/>
      <c r="NC59" s="131"/>
      <c r="ND59" s="131"/>
      <c r="NE59" s="131"/>
      <c r="NF59" s="131"/>
      <c r="NG59" s="131"/>
      <c r="NH59" s="184"/>
      <c r="NI59" s="184"/>
      <c r="NJ59" s="184"/>
      <c r="NK59" s="184"/>
      <c r="NL59" s="184"/>
      <c r="NM59" s="184"/>
      <c r="NN59" s="184"/>
      <c r="NO59" s="184"/>
      <c r="NP59" s="184"/>
      <c r="NQ59" s="184"/>
      <c r="NR59" s="184"/>
      <c r="NS59" s="184"/>
      <c r="NT59" s="184"/>
      <c r="NU59" s="184"/>
      <c r="NV59" s="184"/>
      <c r="NW59" s="184"/>
      <c r="NX59" s="184"/>
      <c r="NY59" s="184"/>
      <c r="NZ59" s="184"/>
      <c r="OA59" s="184"/>
      <c r="OB59" s="184"/>
      <c r="OC59" s="184"/>
      <c r="OD59" s="184"/>
      <c r="OE59" s="184"/>
      <c r="OF59" s="184"/>
      <c r="OG59" s="184"/>
      <c r="OH59" s="184"/>
      <c r="OI59" s="184"/>
      <c r="OJ59" s="184"/>
      <c r="OK59" s="184"/>
      <c r="OL59" s="184"/>
      <c r="OM59" s="184"/>
      <c r="ON59" s="184"/>
      <c r="OO59" s="184"/>
      <c r="OP59" s="184"/>
      <c r="OQ59" s="184"/>
      <c r="OR59" s="184"/>
      <c r="OS59" s="184"/>
      <c r="OT59" s="184"/>
      <c r="OU59" s="184"/>
      <c r="OV59" s="184"/>
      <c r="OW59" s="184"/>
      <c r="OX59" s="184"/>
      <c r="OY59" s="184"/>
      <c r="OZ59" s="184"/>
      <c r="PA59" s="184"/>
      <c r="PB59" s="184"/>
      <c r="PC59" s="184"/>
      <c r="PD59" s="184"/>
      <c r="PE59" s="184"/>
      <c r="PF59" s="184"/>
      <c r="PG59" s="184"/>
      <c r="PH59" s="184"/>
      <c r="PI59" s="184"/>
      <c r="PJ59" s="184"/>
      <c r="PK59" s="184"/>
      <c r="PL59" s="184"/>
      <c r="PM59" s="184"/>
      <c r="PN59" s="184"/>
      <c r="PO59" s="184"/>
      <c r="PP59" s="184"/>
      <c r="PQ59" s="184"/>
      <c r="PR59" s="184"/>
      <c r="PS59" s="184"/>
      <c r="PT59" s="184"/>
      <c r="PU59" s="184"/>
      <c r="PV59" s="184"/>
      <c r="PW59" s="184"/>
      <c r="PX59" s="184"/>
      <c r="PY59" s="184"/>
      <c r="PZ59" s="184"/>
      <c r="QA59" s="184"/>
      <c r="QB59" s="184"/>
      <c r="QC59" s="184"/>
      <c r="QD59" s="184"/>
      <c r="QE59" s="184"/>
      <c r="QF59" s="184"/>
      <c r="QG59" s="184"/>
      <c r="QH59" s="184"/>
      <c r="QI59" s="184"/>
      <c r="QJ59" s="184"/>
      <c r="QK59" s="184"/>
      <c r="QL59" s="184"/>
      <c r="QM59" s="184"/>
      <c r="QN59" s="184"/>
      <c r="QO59" s="184"/>
      <c r="QP59" s="184"/>
      <c r="QQ59" s="184"/>
      <c r="QR59" s="184"/>
      <c r="QS59" s="184"/>
      <c r="QT59" s="184"/>
      <c r="QU59" s="184"/>
      <c r="QV59" s="184"/>
      <c r="QW59" s="184"/>
      <c r="QX59" s="184"/>
      <c r="QY59" s="184"/>
      <c r="QZ59" s="184"/>
      <c r="RA59" s="184"/>
      <c r="RB59" s="184"/>
      <c r="RC59" s="184"/>
      <c r="RD59" s="184"/>
      <c r="RE59" s="184"/>
      <c r="RF59" s="184"/>
      <c r="RG59" s="184"/>
      <c r="RH59" s="184"/>
      <c r="RI59" s="184"/>
      <c r="RJ59" s="184"/>
      <c r="RK59" s="184"/>
      <c r="RL59" s="184"/>
      <c r="RM59" s="184"/>
      <c r="RN59" s="184"/>
      <c r="RO59" s="184"/>
      <c r="RP59" s="184"/>
      <c r="RQ59" s="184"/>
      <c r="RR59" s="184"/>
      <c r="RS59" s="184"/>
      <c r="RT59" s="184"/>
      <c r="RU59" s="184"/>
      <c r="RV59" s="184"/>
      <c r="RW59" s="184"/>
      <c r="RX59" s="184"/>
      <c r="RY59" s="184"/>
      <c r="RZ59" s="184"/>
      <c r="SA59" s="184"/>
      <c r="SB59" s="185"/>
      <c r="SC59" s="185"/>
      <c r="SD59" s="185"/>
      <c r="SE59" s="185"/>
      <c r="SF59" s="185"/>
      <c r="SG59" s="185"/>
      <c r="SH59" s="185"/>
      <c r="SI59" s="185"/>
      <c r="SJ59" s="185"/>
      <c r="SK59" s="185"/>
      <c r="SL59" s="185"/>
      <c r="SM59" s="185"/>
      <c r="SN59" s="185"/>
      <c r="SO59" s="185"/>
      <c r="SP59" s="185"/>
      <c r="SQ59" s="185"/>
      <c r="SR59" s="185"/>
      <c r="SS59" s="185"/>
      <c r="ST59" s="185"/>
      <c r="SU59" s="185"/>
      <c r="SV59" s="185"/>
      <c r="SW59" s="185"/>
      <c r="SX59" s="185"/>
      <c r="SY59" s="185"/>
      <c r="SZ59" s="185"/>
      <c r="TA59" s="185"/>
      <c r="TB59" s="11"/>
      <c r="TC59" s="11"/>
      <c r="TD59" s="11"/>
      <c r="TE59" s="11"/>
    </row>
    <row r="60" spans="1:525" ht="22.15" customHeight="1" thickBot="1" x14ac:dyDescent="0.3">
      <c r="A60" s="298"/>
      <c r="B60" s="25" t="s">
        <v>11</v>
      </c>
      <c r="BY60" s="184"/>
      <c r="BZ60" s="184"/>
      <c r="CA60" s="184"/>
      <c r="CB60" s="184"/>
      <c r="CC60" s="184"/>
      <c r="CD60" s="184"/>
      <c r="CE60" s="184"/>
      <c r="CF60" s="184"/>
      <c r="CG60" s="184"/>
      <c r="CH60" s="184"/>
      <c r="CI60" s="184"/>
      <c r="CJ60" s="184"/>
      <c r="CK60" s="184"/>
      <c r="CL60" s="184"/>
      <c r="CM60" s="184"/>
      <c r="CN60" s="184"/>
      <c r="CO60" s="184"/>
      <c r="CP60" s="184"/>
      <c r="CQ60" s="184"/>
      <c r="CR60" s="184"/>
      <c r="CS60" s="184"/>
      <c r="CT60" s="184"/>
      <c r="CU60" s="184"/>
      <c r="CV60" s="184"/>
      <c r="CW60" s="184"/>
      <c r="CX60" s="184"/>
      <c r="CY60" s="184"/>
      <c r="CZ60" s="184"/>
      <c r="DA60" s="123">
        <f t="shared" si="348"/>
        <v>2.5</v>
      </c>
      <c r="DB60" s="110">
        <f t="shared" si="349"/>
        <v>2.7458928571428571</v>
      </c>
      <c r="DC60" s="110">
        <f t="shared" si="350"/>
        <v>3.0145000191326532</v>
      </c>
      <c r="DD60" s="110">
        <f t="shared" si="351"/>
        <v>3.3030458455254204</v>
      </c>
      <c r="DE60" s="110">
        <f t="shared" si="378"/>
        <v>3.6180521124776339</v>
      </c>
      <c r="DF60" s="110">
        <f t="shared" si="353"/>
        <v>3.9605610457921832</v>
      </c>
      <c r="DG60" s="110">
        <f t="shared" si="354"/>
        <v>4.326161801639965</v>
      </c>
      <c r="DH60" s="110">
        <f t="shared" si="355"/>
        <v>4.7232736194318816</v>
      </c>
      <c r="DI60" s="110">
        <f t="shared" si="356"/>
        <v>5.1461266915986474</v>
      </c>
      <c r="DJ60" s="110">
        <f t="shared" si="357"/>
        <v>5.603346964774242</v>
      </c>
      <c r="DK60" s="110">
        <f t="shared" si="358"/>
        <v>6.0954917778498379</v>
      </c>
      <c r="DL60" s="110">
        <f t="shared" si="359"/>
        <v>6.615640409559691</v>
      </c>
      <c r="DM60" s="110">
        <f t="shared" si="360"/>
        <v>7.1735594174325588</v>
      </c>
      <c r="DN60" s="110">
        <f t="shared" si="361"/>
        <v>7.7613208923231802</v>
      </c>
      <c r="DO60" s="110">
        <f t="shared" si="362"/>
        <v>8.3896061802951785</v>
      </c>
      <c r="DP60" s="110">
        <f t="shared" si="379"/>
        <v>9.0480549492196349</v>
      </c>
      <c r="DQ60" s="110">
        <f t="shared" si="380"/>
        <v>9.7479657804528195</v>
      </c>
      <c r="DR60" s="110">
        <f t="shared" si="381"/>
        <v>10.477361188215589</v>
      </c>
      <c r="DS60" s="110">
        <f t="shared" si="382"/>
        <v>11.249692384375482</v>
      </c>
      <c r="DT60" s="110">
        <f t="shared" si="383"/>
        <v>12.053342284084305</v>
      </c>
      <c r="DU60" s="110">
        <f t="shared" si="384"/>
        <v>12.90121958038036</v>
      </c>
      <c r="DV60" s="110">
        <f t="shared" si="385"/>
        <v>13.78048731485859</v>
      </c>
      <c r="DW60" s="110">
        <f t="shared" si="386"/>
        <v>14.702719927468356</v>
      </c>
      <c r="DX60" s="110">
        <f t="shared" si="387"/>
        <v>15.655723500948806</v>
      </c>
      <c r="DY60" s="110">
        <f t="shared" si="388"/>
        <v>16.653894478100209</v>
      </c>
      <c r="DZ60" s="110">
        <f t="shared" si="389"/>
        <v>17.700566512875355</v>
      </c>
      <c r="EA60" s="110">
        <f t="shared" si="390"/>
        <v>18.780036882600857</v>
      </c>
      <c r="EB60" s="110">
        <f t="shared" si="391"/>
        <v>19.908520889904604</v>
      </c>
      <c r="EC60" s="110">
        <f t="shared" si="392"/>
        <v>21.06907054883963</v>
      </c>
      <c r="ED60" s="110">
        <f t="shared" si="393"/>
        <v>22.278683069761243</v>
      </c>
      <c r="EE60" s="110">
        <f t="shared" si="394"/>
        <v>23.538083918587155</v>
      </c>
      <c r="EF60" s="110">
        <f t="shared" si="395"/>
        <v>24.828243822646527</v>
      </c>
      <c r="EG60" s="110">
        <f t="shared" si="396"/>
        <v>26.167529670586966</v>
      </c>
      <c r="EH60" s="110">
        <f t="shared" si="397"/>
        <v>27.556304940930293</v>
      </c>
      <c r="EI60" s="110">
        <f t="shared" si="398"/>
        <v>28.973486337892421</v>
      </c>
      <c r="EJ60" s="110">
        <f t="shared" si="399"/>
        <v>30.438716932694408</v>
      </c>
      <c r="EK60" s="110">
        <f t="shared" si="400"/>
        <v>31.925498204843478</v>
      </c>
      <c r="EL60" s="110">
        <f t="shared" si="401"/>
        <v>33.457922118675967</v>
      </c>
      <c r="EM60" s="110">
        <f t="shared" si="402"/>
        <v>35.030915696593432</v>
      </c>
      <c r="EN60" s="110">
        <f t="shared" si="403"/>
        <v>36.624822360788428</v>
      </c>
      <c r="EO60" s="110">
        <f t="shared" si="404"/>
        <v>38.260731092903647</v>
      </c>
      <c r="EP60" s="110">
        <f t="shared" si="405"/>
        <v>39.932512482046356</v>
      </c>
      <c r="EQ60" s="110">
        <f t="shared" si="406"/>
        <v>41.619524379233077</v>
      </c>
      <c r="ER60" s="110">
        <f t="shared" si="407"/>
        <v>43.337897618671555</v>
      </c>
      <c r="ES60" s="110">
        <f t="shared" si="408"/>
        <v>45.091598297651771</v>
      </c>
      <c r="ET60" s="110">
        <f t="shared" si="409"/>
        <v>46.85382670679784</v>
      </c>
      <c r="EU60" s="110">
        <f t="shared" si="410"/>
        <v>48.646935318063406</v>
      </c>
      <c r="EV60" s="110">
        <f t="shared" si="411"/>
        <v>50.469223219437346</v>
      </c>
      <c r="EW60" s="110">
        <f t="shared" si="412"/>
        <v>52.292844485099678</v>
      </c>
      <c r="EX60" s="110">
        <f t="shared" si="413"/>
        <v>54.140524990239868</v>
      </c>
      <c r="EY60" s="110">
        <f t="shared" si="414"/>
        <v>55.984152341223293</v>
      </c>
      <c r="EZ60" s="148">
        <f t="shared" si="415"/>
        <v>55.872184036540851</v>
      </c>
      <c r="FA60" s="148">
        <f t="shared" si="416"/>
        <v>57.686559697095888</v>
      </c>
      <c r="FB60" s="148">
        <f t="shared" si="417"/>
        <v>59.489077393605136</v>
      </c>
      <c r="FC60" s="148">
        <f t="shared" si="418"/>
        <v>61.30156279055835</v>
      </c>
      <c r="FD60" s="148">
        <f t="shared" si="419"/>
        <v>63.137425177506771</v>
      </c>
      <c r="FE60" s="148">
        <f t="shared" si="420"/>
        <v>64.970029415992343</v>
      </c>
      <c r="FF60" s="148">
        <f t="shared" si="421"/>
        <v>66.814178712492435</v>
      </c>
      <c r="FG60" s="148">
        <f t="shared" si="422"/>
        <v>68.676409796094475</v>
      </c>
      <c r="FH60" s="148">
        <f t="shared" si="423"/>
        <v>70.555325930772227</v>
      </c>
      <c r="FI60" s="148">
        <f t="shared" si="424"/>
        <v>72.423702409850407</v>
      </c>
      <c r="FJ60" s="148">
        <f t="shared" si="425"/>
        <v>74.304885161053093</v>
      </c>
      <c r="FK60" s="148">
        <f t="shared" si="426"/>
        <v>76.187902630577511</v>
      </c>
      <c r="FL60" s="148">
        <f t="shared" si="427"/>
        <v>78.080062946541972</v>
      </c>
      <c r="FM60" s="148">
        <f t="shared" si="372"/>
        <v>79.953984457258983</v>
      </c>
      <c r="FN60" s="148">
        <f t="shared" si="428"/>
        <v>81.842897340061725</v>
      </c>
      <c r="FO60" s="148">
        <f t="shared" si="429"/>
        <v>83.745744703218151</v>
      </c>
      <c r="FP60" s="148">
        <f t="shared" si="430"/>
        <v>85.661428613304267</v>
      </c>
      <c r="FQ60" s="148">
        <f t="shared" si="431"/>
        <v>87.588810757103602</v>
      </c>
      <c r="FR60" s="148">
        <f t="shared" si="432"/>
        <v>89.50062578696236</v>
      </c>
      <c r="FS60" s="148">
        <f t="shared" si="433"/>
        <v>91.421021930391248</v>
      </c>
      <c r="FT60" s="148">
        <f t="shared" si="434"/>
        <v>93.348763973071598</v>
      </c>
      <c r="FU60" s="148">
        <f t="shared" si="435"/>
        <v>95.282581577353255</v>
      </c>
      <c r="FV60" s="148">
        <f t="shared" si="436"/>
        <v>97.195205105113303</v>
      </c>
      <c r="FW60" s="148">
        <f t="shared" si="437"/>
        <v>99.110661830111624</v>
      </c>
      <c r="FX60" s="148">
        <f t="shared" si="438"/>
        <v>101.03969373597575</v>
      </c>
      <c r="FY60" s="148">
        <f t="shared" si="439"/>
        <v>102.98162736192573</v>
      </c>
      <c r="FZ60" s="148">
        <f t="shared" si="440"/>
        <v>104.9357665347935</v>
      </c>
      <c r="GA60" s="148">
        <f t="shared" si="441"/>
        <v>106.87518178617148</v>
      </c>
      <c r="GB60" s="148">
        <f t="shared" si="442"/>
        <v>108.82468811417466</v>
      </c>
      <c r="GC60" s="148">
        <f t="shared" si="443"/>
        <v>110.78353250022981</v>
      </c>
      <c r="GD60" s="148">
        <f t="shared" si="444"/>
        <v>112.75094125812545</v>
      </c>
      <c r="GE60" s="148">
        <f t="shared" si="445"/>
        <v>114.72612039775575</v>
      </c>
      <c r="GF60" s="148">
        <f t="shared" si="446"/>
        <v>116.7082560200495</v>
      </c>
      <c r="GG60" s="148">
        <f t="shared" si="447"/>
        <v>118.69651474308986</v>
      </c>
      <c r="GH60" s="148">
        <f t="shared" si="448"/>
        <v>120.67761609630193</v>
      </c>
      <c r="GI60" s="148">
        <f t="shared" si="449"/>
        <v>122.67741659161207</v>
      </c>
      <c r="GJ60" s="148">
        <f t="shared" si="450"/>
        <v>124.69575218363121</v>
      </c>
      <c r="GK60" s="148">
        <f t="shared" si="451"/>
        <v>126.73244946929719</v>
      </c>
      <c r="GL60" s="148">
        <f t="shared" si="452"/>
        <v>128.78732561426366</v>
      </c>
      <c r="GM60" s="148">
        <f t="shared" si="453"/>
        <v>130.86018828367418</v>
      </c>
      <c r="GN60" s="148">
        <f t="shared" si="454"/>
        <v>132.92316066367565</v>
      </c>
      <c r="GO60" s="148">
        <f t="shared" si="455"/>
        <v>135.00301717758964</v>
      </c>
      <c r="GP60" s="148">
        <f t="shared" si="456"/>
        <v>137.09953462081808</v>
      </c>
      <c r="GQ60" s="148">
        <f t="shared" si="457"/>
        <v>139.21248038968011</v>
      </c>
      <c r="GR60" s="148">
        <f t="shared" si="458"/>
        <v>141.34161244269873</v>
      </c>
      <c r="GS60" s="148">
        <f t="shared" si="459"/>
        <v>143.4866792668291</v>
      </c>
      <c r="GT60" s="148">
        <f t="shared" si="460"/>
        <v>145.64741984872958</v>
      </c>
      <c r="GU60" s="148">
        <f t="shared" si="461"/>
        <v>147.82356365117531</v>
      </c>
      <c r="GV60" s="148">
        <f t="shared" si="462"/>
        <v>149.98591298923552</v>
      </c>
      <c r="GW60" s="148">
        <f t="shared" si="463"/>
        <v>152.1624527498235</v>
      </c>
      <c r="GX60" s="148">
        <f t="shared" si="464"/>
        <v>154.35288433708257</v>
      </c>
      <c r="GY60" s="158">
        <f t="shared" si="465"/>
        <v>154.0441785684084</v>
      </c>
      <c r="GZ60" s="158">
        <f t="shared" si="466"/>
        <v>156.22587402766794</v>
      </c>
      <c r="HA60" s="158">
        <f t="shared" si="467"/>
        <v>158.4203025837775</v>
      </c>
      <c r="HB60" s="158">
        <f t="shared" si="468"/>
        <v>160.62713424070034</v>
      </c>
      <c r="HC60" s="158">
        <f t="shared" si="469"/>
        <v>162.8460300020719</v>
      </c>
      <c r="HD60" s="158">
        <f t="shared" si="470"/>
        <v>165.0472590972723</v>
      </c>
      <c r="HE60" s="158">
        <f t="shared" si="471"/>
        <v>167.25927178816221</v>
      </c>
      <c r="HF60" s="158">
        <f t="shared" si="472"/>
        <v>169.50093053419664</v>
      </c>
      <c r="HG60" s="158">
        <f t="shared" si="473"/>
        <v>171.75314979508781</v>
      </c>
      <c r="HH60" s="158">
        <f t="shared" si="474"/>
        <v>174.01555335445758</v>
      </c>
      <c r="HI60" s="158">
        <f t="shared" si="475"/>
        <v>176.28775644193649</v>
      </c>
      <c r="HJ60" s="158">
        <f t="shared" si="476"/>
        <v>178.56936579542639</v>
      </c>
      <c r="HK60" s="158">
        <f t="shared" si="477"/>
        <v>180.82989163060938</v>
      </c>
      <c r="HL60" s="158">
        <f t="shared" si="478"/>
        <v>183.09848481652065</v>
      </c>
      <c r="HM60" s="158">
        <f t="shared" si="479"/>
        <v>185.37473188912605</v>
      </c>
      <c r="HN60" s="158">
        <f t="shared" si="480"/>
        <v>187.67927685147495</v>
      </c>
      <c r="HO60" s="158">
        <f t="shared" si="481"/>
        <v>189.99114430723631</v>
      </c>
      <c r="HP60" s="158">
        <f t="shared" si="482"/>
        <v>192.30989986389508</v>
      </c>
      <c r="HQ60" s="158">
        <f t="shared" si="483"/>
        <v>194.63510138043125</v>
      </c>
      <c r="HR60" s="158">
        <f t="shared" si="484"/>
        <v>196.93573201697299</v>
      </c>
      <c r="HS60" s="158">
        <f t="shared" si="485"/>
        <v>199.2635566246343</v>
      </c>
      <c r="HT60" s="158">
        <f t="shared" si="486"/>
        <v>201.59650747859911</v>
      </c>
      <c r="HU60" s="158">
        <f t="shared" si="487"/>
        <v>203.93412091363186</v>
      </c>
      <c r="HV60" s="158">
        <f t="shared" si="488"/>
        <v>206.27592621221311</v>
      </c>
      <c r="HW60" s="158">
        <f t="shared" si="489"/>
        <v>208.62144573273852</v>
      </c>
      <c r="HX60" s="158">
        <f t="shared" si="490"/>
        <v>210.97019504312283</v>
      </c>
      <c r="HY60" s="158">
        <f t="shared" si="374"/>
        <v>213.29086718859719</v>
      </c>
      <c r="HZ60" s="158">
        <f t="shared" si="375"/>
        <v>188.9757083290971</v>
      </c>
      <c r="IA60" s="158">
        <f t="shared" si="375"/>
        <v>191.03344381979173</v>
      </c>
      <c r="IB60" s="158">
        <f t="shared" si="375"/>
        <v>165.80186785114904</v>
      </c>
      <c r="IC60" s="158">
        <f t="shared" si="375"/>
        <v>167.57042110822798</v>
      </c>
      <c r="ID60" s="158">
        <f t="shared" si="375"/>
        <v>169.33921999770371</v>
      </c>
      <c r="IE60" s="158">
        <f t="shared" si="375"/>
        <v>171.10787407323525</v>
      </c>
      <c r="IF60" s="158">
        <f t="shared" si="375"/>
        <v>172.85279832752056</v>
      </c>
      <c r="IG60" s="158">
        <f t="shared" si="375"/>
        <v>145.78772243994473</v>
      </c>
      <c r="IH60" s="158">
        <f t="shared" si="375"/>
        <v>147.25841616741585</v>
      </c>
      <c r="II60" s="158">
        <f t="shared" si="375"/>
        <v>119.27608064689986</v>
      </c>
      <c r="IJ60" s="158">
        <f t="shared" si="376"/>
        <v>120.4531127394374</v>
      </c>
      <c r="IK60" s="158">
        <f t="shared" si="376"/>
        <v>121.62852333408158</v>
      </c>
      <c r="IL60" s="158">
        <f t="shared" si="376"/>
        <v>122.80203809767855</v>
      </c>
      <c r="IM60" s="158">
        <f t="shared" si="376"/>
        <v>123.98687534437923</v>
      </c>
      <c r="IN60" s="158">
        <f t="shared" si="376"/>
        <v>94.1728005500308</v>
      </c>
      <c r="IO60" s="158">
        <f t="shared" si="376"/>
        <v>95.060715526645382</v>
      </c>
      <c r="IP60" s="158">
        <f t="shared" si="376"/>
        <v>64.259650865015544</v>
      </c>
      <c r="IQ60" s="158">
        <f t="shared" si="376"/>
        <v>64.850560263187319</v>
      </c>
      <c r="IR60" s="158">
        <f t="shared" si="376"/>
        <v>65.439854484709329</v>
      </c>
      <c r="IS60" s="158">
        <f t="shared" si="376"/>
        <v>66.034503597200825</v>
      </c>
      <c r="IT60" s="158">
        <f t="shared" si="377"/>
        <v>66.627378596888732</v>
      </c>
      <c r="IU60" s="158">
        <f t="shared" si="377"/>
        <v>33.90464517817329</v>
      </c>
      <c r="IV60" s="158">
        <f t="shared" si="377"/>
        <v>34.205364639753611</v>
      </c>
      <c r="IW60" s="160">
        <f t="shared" si="377"/>
        <v>-6.9146888214147453E-2</v>
      </c>
      <c r="IX60" s="184"/>
      <c r="IY60" s="184"/>
      <c r="IZ60" s="184"/>
      <c r="JA60" s="184"/>
      <c r="JB60" s="184"/>
      <c r="JC60" s="184"/>
      <c r="JD60" s="23"/>
      <c r="JE60" s="23"/>
      <c r="JF60" s="23"/>
      <c r="JG60" s="23"/>
      <c r="JH60" s="23"/>
      <c r="JI60" s="23"/>
      <c r="JJ60" s="23"/>
      <c r="JK60" s="23"/>
      <c r="JL60" s="23"/>
      <c r="JM60" s="23"/>
      <c r="JN60" s="23"/>
      <c r="JO60" s="23"/>
      <c r="JP60" s="23"/>
      <c r="JQ60" s="23"/>
      <c r="JR60" s="23"/>
      <c r="JS60" s="23"/>
      <c r="JT60" s="23"/>
      <c r="JU60" s="23"/>
      <c r="JV60" s="23"/>
      <c r="JW60" s="23"/>
      <c r="JX60" s="23"/>
      <c r="JY60" s="23"/>
      <c r="JZ60" s="23"/>
      <c r="KA60" s="23"/>
      <c r="KB60" s="23"/>
      <c r="KC60" s="23"/>
      <c r="KD60" s="23"/>
      <c r="KE60" s="23"/>
      <c r="KF60" s="23"/>
      <c r="KG60" s="23"/>
      <c r="KH60" s="23"/>
      <c r="KI60" s="23"/>
      <c r="KJ60" s="23"/>
      <c r="KK60" s="23"/>
      <c r="KL60" s="23"/>
      <c r="KM60" s="23"/>
      <c r="KN60" s="23"/>
      <c r="KO60" s="23"/>
      <c r="KP60" s="23"/>
      <c r="KQ60" s="23"/>
      <c r="KR60" s="23"/>
      <c r="KS60" s="23"/>
      <c r="KT60" s="23"/>
      <c r="KU60" s="23"/>
      <c r="KV60" s="23"/>
      <c r="KW60" s="23"/>
      <c r="KX60" s="23"/>
      <c r="KY60" s="23"/>
      <c r="KZ60" s="23"/>
      <c r="LA60" s="23"/>
      <c r="LB60" s="23"/>
      <c r="LC60" s="23"/>
      <c r="LD60" s="23"/>
      <c r="LE60" s="23"/>
      <c r="LF60" s="23"/>
      <c r="LG60" s="23"/>
      <c r="LH60" s="23"/>
      <c r="LI60" s="23"/>
      <c r="LJ60" s="23"/>
      <c r="LK60" s="23"/>
      <c r="LL60" s="23"/>
      <c r="LM60" s="23"/>
      <c r="LN60" s="23"/>
      <c r="LO60" s="23"/>
      <c r="LP60" s="23"/>
      <c r="LQ60" s="23"/>
      <c r="LR60" s="23"/>
      <c r="LS60" s="23"/>
      <c r="LT60" s="23"/>
      <c r="LU60" s="23"/>
      <c r="LV60" s="23"/>
      <c r="LW60" s="23"/>
      <c r="LX60" s="23"/>
      <c r="LY60" s="23"/>
      <c r="LZ60" s="23"/>
      <c r="MA60" s="23"/>
      <c r="MB60" s="23"/>
      <c r="MC60" s="23"/>
      <c r="MD60" s="23"/>
      <c r="ME60" s="23"/>
      <c r="MF60" s="23"/>
      <c r="MG60" s="23"/>
      <c r="MH60" s="23"/>
      <c r="MI60" s="23"/>
      <c r="MJ60" s="23"/>
      <c r="MK60" s="23"/>
      <c r="ML60" s="23"/>
      <c r="MM60" s="23"/>
      <c r="MN60" s="23"/>
      <c r="MO60" s="23"/>
      <c r="MP60" s="23"/>
      <c r="MQ60" s="23"/>
      <c r="MR60" s="23"/>
      <c r="MS60" s="23"/>
      <c r="MT60" s="23"/>
      <c r="MU60" s="23"/>
      <c r="MV60" s="23"/>
      <c r="MW60" s="23"/>
      <c r="MX60" s="23"/>
      <c r="MY60" s="23"/>
      <c r="MZ60" s="23"/>
      <c r="NA60" s="23"/>
      <c r="NB60" s="23"/>
      <c r="NC60" s="23"/>
      <c r="ND60" s="23"/>
      <c r="NE60" s="23"/>
      <c r="NF60" s="23"/>
      <c r="NG60" s="23"/>
      <c r="NH60" s="184"/>
      <c r="NI60" s="184"/>
      <c r="NJ60" s="184"/>
      <c r="NK60" s="184"/>
      <c r="NL60" s="184"/>
      <c r="NM60" s="184"/>
      <c r="NN60" s="184"/>
      <c r="NO60" s="184"/>
      <c r="NP60" s="184"/>
      <c r="NQ60" s="184"/>
      <c r="NR60" s="184"/>
      <c r="NS60" s="184"/>
      <c r="NT60" s="184"/>
      <c r="NU60" s="184"/>
      <c r="NV60" s="184"/>
      <c r="NW60" s="184"/>
      <c r="NX60" s="184"/>
      <c r="NY60" s="184"/>
      <c r="NZ60" s="184"/>
      <c r="OA60" s="184"/>
      <c r="OB60" s="184"/>
      <c r="OC60" s="184"/>
      <c r="OD60" s="184"/>
      <c r="OE60" s="184"/>
      <c r="OF60" s="184"/>
      <c r="OG60" s="184"/>
      <c r="OH60" s="184"/>
      <c r="OI60" s="184"/>
      <c r="OJ60" s="184"/>
      <c r="OK60" s="184"/>
      <c r="OL60" s="184"/>
      <c r="OM60" s="184"/>
      <c r="ON60" s="184"/>
      <c r="OO60" s="184"/>
      <c r="OP60" s="184"/>
      <c r="OQ60" s="184"/>
      <c r="OR60" s="184"/>
      <c r="OS60" s="184"/>
      <c r="OT60" s="184"/>
      <c r="OU60" s="184"/>
      <c r="OV60" s="184"/>
      <c r="OW60" s="184"/>
      <c r="OX60" s="184"/>
      <c r="OY60" s="184"/>
      <c r="OZ60" s="184"/>
      <c r="PA60" s="184"/>
      <c r="PB60" s="184"/>
      <c r="PC60" s="184"/>
      <c r="PD60" s="184"/>
      <c r="PE60" s="184"/>
      <c r="PF60" s="184"/>
      <c r="PG60" s="184"/>
      <c r="PH60" s="184"/>
      <c r="PI60" s="184"/>
      <c r="PJ60" s="184"/>
      <c r="PK60" s="184"/>
      <c r="PL60" s="184"/>
      <c r="PM60" s="184"/>
      <c r="PN60" s="184"/>
      <c r="PO60" s="184"/>
      <c r="PP60" s="184"/>
      <c r="PQ60" s="184"/>
      <c r="PR60" s="184"/>
      <c r="PS60" s="184"/>
      <c r="PT60" s="184"/>
      <c r="PU60" s="184"/>
      <c r="PV60" s="184"/>
      <c r="PW60" s="184"/>
      <c r="PX60" s="184"/>
      <c r="PY60" s="184"/>
      <c r="PZ60" s="184"/>
      <c r="QA60" s="184"/>
      <c r="QB60" s="184"/>
      <c r="QC60" s="184"/>
      <c r="QD60" s="184"/>
      <c r="QE60" s="184"/>
      <c r="QF60" s="184"/>
      <c r="QG60" s="184"/>
      <c r="QH60" s="184"/>
      <c r="QI60" s="184"/>
      <c r="QJ60" s="184"/>
      <c r="QK60" s="184"/>
      <c r="QL60" s="184"/>
      <c r="QM60" s="184"/>
      <c r="QN60" s="184"/>
      <c r="QO60" s="184"/>
      <c r="QP60" s="184"/>
      <c r="QQ60" s="184"/>
      <c r="QR60" s="184"/>
      <c r="QS60" s="184"/>
      <c r="QT60" s="184"/>
      <c r="QU60" s="184"/>
      <c r="QV60" s="184"/>
      <c r="QW60" s="184"/>
      <c r="QX60" s="184"/>
      <c r="QY60" s="184"/>
      <c r="QZ60" s="184"/>
      <c r="RA60" s="184"/>
      <c r="RB60" s="184"/>
      <c r="RC60" s="184"/>
      <c r="RD60" s="184"/>
      <c r="RE60" s="184"/>
      <c r="RF60" s="184"/>
      <c r="RG60" s="184"/>
      <c r="RH60" s="184"/>
      <c r="RI60" s="184"/>
      <c r="RJ60" s="184"/>
      <c r="RK60" s="184"/>
      <c r="RL60" s="184"/>
      <c r="RM60" s="184"/>
      <c r="RN60" s="184"/>
      <c r="RO60" s="184"/>
      <c r="RP60" s="184"/>
      <c r="RQ60" s="184"/>
      <c r="RR60" s="184"/>
      <c r="RS60" s="184"/>
      <c r="RT60" s="184"/>
      <c r="RU60" s="184"/>
      <c r="RV60" s="184"/>
      <c r="RW60" s="184"/>
      <c r="RX60" s="184"/>
      <c r="RY60" s="184"/>
      <c r="RZ60" s="184"/>
      <c r="SA60" s="184"/>
      <c r="SB60" s="185"/>
      <c r="SC60" s="185"/>
      <c r="SD60" s="185"/>
      <c r="SE60" s="185"/>
      <c r="SF60" s="185"/>
      <c r="SG60" s="185"/>
      <c r="SH60" s="185"/>
      <c r="SI60" s="185"/>
      <c r="SJ60" s="185"/>
      <c r="SK60" s="185"/>
      <c r="SL60" s="185"/>
      <c r="SM60" s="185"/>
      <c r="SN60" s="185"/>
      <c r="SO60" s="185"/>
      <c r="SP60" s="185"/>
      <c r="SQ60" s="185"/>
      <c r="SR60" s="185"/>
      <c r="SS60" s="185"/>
      <c r="ST60" s="185"/>
      <c r="SU60" s="185"/>
      <c r="SV60" s="185"/>
      <c r="SW60" s="185"/>
      <c r="SX60" s="185"/>
      <c r="SY60" s="185"/>
      <c r="SZ60" s="185"/>
      <c r="TA60" s="185"/>
      <c r="TB60" s="11"/>
      <c r="TC60" s="11"/>
      <c r="TD60" s="11"/>
      <c r="TE60" s="11"/>
    </row>
    <row r="61" spans="1:525" ht="22.15" customHeight="1" thickBot="1" x14ac:dyDescent="0.3">
      <c r="A61" s="298"/>
      <c r="B61" s="25" t="s">
        <v>12</v>
      </c>
      <c r="BY61" s="184"/>
      <c r="BZ61" s="184"/>
      <c r="CA61" s="184"/>
      <c r="CB61" s="184"/>
      <c r="CC61" s="184"/>
      <c r="CD61" s="184"/>
      <c r="CE61" s="184"/>
      <c r="CF61" s="184"/>
      <c r="CG61" s="184"/>
      <c r="CH61" s="184"/>
      <c r="CI61" s="184"/>
      <c r="CJ61" s="184"/>
      <c r="CK61" s="184"/>
      <c r="CL61" s="184"/>
      <c r="CM61" s="184"/>
      <c r="CN61" s="184"/>
      <c r="CO61" s="184"/>
      <c r="CP61" s="184"/>
      <c r="CQ61" s="184"/>
      <c r="CR61" s="184"/>
      <c r="CS61" s="184"/>
      <c r="CT61" s="184"/>
      <c r="CU61" s="184"/>
      <c r="CV61" s="184"/>
      <c r="CW61" s="184"/>
      <c r="CX61" s="184"/>
      <c r="CY61" s="184"/>
      <c r="CZ61" s="184"/>
      <c r="DA61" s="137">
        <f t="shared" si="348"/>
        <v>5.62E-2</v>
      </c>
      <c r="DB61" s="116">
        <f t="shared" si="349"/>
        <v>5.5899999999999998E-2</v>
      </c>
      <c r="DC61" s="116">
        <f t="shared" si="350"/>
        <v>5.57E-2</v>
      </c>
      <c r="DD61" s="116">
        <f t="shared" si="351"/>
        <v>5.5500000000000001E-2</v>
      </c>
      <c r="DE61" s="116">
        <f t="shared" si="378"/>
        <v>5.5099999999999996E-2</v>
      </c>
      <c r="DF61" s="116">
        <f t="shared" si="353"/>
        <v>5.4699999999999999E-2</v>
      </c>
      <c r="DG61" s="116">
        <f t="shared" si="354"/>
        <v>5.4400000000000004E-2</v>
      </c>
      <c r="DH61" s="116">
        <f t="shared" si="355"/>
        <v>5.4000000000000006E-2</v>
      </c>
      <c r="DI61" s="116">
        <f t="shared" si="356"/>
        <v>5.3600000000000002E-2</v>
      </c>
      <c r="DJ61" s="116">
        <f t="shared" si="357"/>
        <v>5.2999999999999999E-2</v>
      </c>
      <c r="DK61" s="116">
        <f t="shared" si="358"/>
        <v>5.2400000000000002E-2</v>
      </c>
      <c r="DL61" s="116">
        <f t="shared" si="359"/>
        <v>5.1799999999999999E-2</v>
      </c>
      <c r="DM61" s="116">
        <f t="shared" si="360"/>
        <v>5.1200000000000002E-2</v>
      </c>
      <c r="DN61" s="116">
        <f t="shared" si="361"/>
        <v>5.0599999999999999E-2</v>
      </c>
      <c r="DO61" s="116">
        <f t="shared" si="362"/>
        <v>4.99E-2</v>
      </c>
      <c r="DP61" s="116">
        <f t="shared" si="379"/>
        <v>4.9200000000000001E-2</v>
      </c>
      <c r="DQ61" s="116">
        <f t="shared" si="380"/>
        <v>4.8399999999999999E-2</v>
      </c>
      <c r="DR61" s="116">
        <f t="shared" si="381"/>
        <v>4.7699999999999992E-2</v>
      </c>
      <c r="DS61" s="116">
        <f t="shared" si="382"/>
        <v>4.7E-2</v>
      </c>
      <c r="DT61" s="116">
        <f t="shared" si="383"/>
        <v>4.6300000000000001E-2</v>
      </c>
      <c r="DU61" s="116">
        <f t="shared" si="384"/>
        <v>4.5599999999999995E-2</v>
      </c>
      <c r="DV61" s="116">
        <f t="shared" si="385"/>
        <v>4.4800000000000006E-2</v>
      </c>
      <c r="DW61" s="116">
        <f t="shared" si="386"/>
        <v>4.41E-2</v>
      </c>
      <c r="DX61" s="116">
        <f t="shared" si="387"/>
        <v>4.3400000000000001E-2</v>
      </c>
      <c r="DY61" s="116">
        <f t="shared" si="388"/>
        <v>4.2800000000000005E-2</v>
      </c>
      <c r="DZ61" s="116">
        <f t="shared" si="389"/>
        <v>4.2199999999999994E-2</v>
      </c>
      <c r="EA61" s="116">
        <f t="shared" si="390"/>
        <v>4.1599999999999998E-2</v>
      </c>
      <c r="EB61" s="116">
        <f t="shared" si="391"/>
        <v>4.0999999999999995E-2</v>
      </c>
      <c r="EC61" s="116">
        <f t="shared" si="392"/>
        <v>4.0399999999999998E-2</v>
      </c>
      <c r="ED61" s="116">
        <f t="shared" si="393"/>
        <v>3.9800000000000002E-2</v>
      </c>
      <c r="EE61" s="116">
        <f t="shared" si="394"/>
        <v>3.9199999999999999E-2</v>
      </c>
      <c r="EF61" s="116">
        <f t="shared" si="395"/>
        <v>3.8599999999999995E-2</v>
      </c>
      <c r="EG61" s="116">
        <f t="shared" si="396"/>
        <v>3.7999999999999999E-2</v>
      </c>
      <c r="EH61" s="116">
        <f t="shared" si="397"/>
        <v>3.7400000000000003E-2</v>
      </c>
      <c r="EI61" s="116">
        <f t="shared" si="398"/>
        <v>3.6799999999999999E-2</v>
      </c>
      <c r="EJ61" s="116">
        <f t="shared" si="399"/>
        <v>3.61E-2</v>
      </c>
      <c r="EK61" s="116">
        <f t="shared" si="400"/>
        <v>3.5499999999999997E-2</v>
      </c>
      <c r="EL61" s="116">
        <f t="shared" si="401"/>
        <v>3.4799999999999998E-2</v>
      </c>
      <c r="EM61" s="116">
        <f t="shared" si="402"/>
        <v>3.4200000000000001E-2</v>
      </c>
      <c r="EN61" s="116">
        <f t="shared" si="403"/>
        <v>3.3599999999999998E-2</v>
      </c>
      <c r="EO61" s="116">
        <f t="shared" si="404"/>
        <v>3.2899999999999999E-2</v>
      </c>
      <c r="EP61" s="116">
        <f t="shared" si="405"/>
        <v>3.2300000000000002E-2</v>
      </c>
      <c r="EQ61" s="116">
        <f t="shared" si="406"/>
        <v>3.1600000000000003E-2</v>
      </c>
      <c r="ER61" s="116">
        <f t="shared" si="407"/>
        <v>3.1E-2</v>
      </c>
      <c r="ES61" s="116">
        <f t="shared" si="408"/>
        <v>3.04E-2</v>
      </c>
      <c r="ET61" s="116">
        <f t="shared" si="409"/>
        <v>2.98E-2</v>
      </c>
      <c r="EU61" s="116">
        <f t="shared" si="410"/>
        <v>2.92E-2</v>
      </c>
      <c r="EV61" s="116">
        <f t="shared" si="411"/>
        <v>2.86E-2</v>
      </c>
      <c r="EW61" s="116">
        <f t="shared" si="412"/>
        <v>2.7999999999999997E-2</v>
      </c>
      <c r="EX61" s="116">
        <f t="shared" si="413"/>
        <v>2.7400000000000001E-2</v>
      </c>
      <c r="EY61" s="171">
        <f t="shared" si="414"/>
        <v>2.6800000000000001E-2</v>
      </c>
      <c r="EZ61" s="150">
        <f t="shared" si="415"/>
        <v>2.6200000000000001E-2</v>
      </c>
      <c r="FA61" s="150">
        <f t="shared" si="416"/>
        <v>2.5600000000000001E-2</v>
      </c>
      <c r="FB61" s="150">
        <f t="shared" si="417"/>
        <v>2.5000000000000001E-2</v>
      </c>
      <c r="FC61" s="150">
        <f t="shared" si="418"/>
        <v>2.46E-2</v>
      </c>
      <c r="FD61" s="150">
        <f t="shared" si="419"/>
        <v>2.4199999999999999E-2</v>
      </c>
      <c r="FE61" s="150">
        <f t="shared" si="420"/>
        <v>2.3700000000000002E-2</v>
      </c>
      <c r="FF61" s="150">
        <f t="shared" si="421"/>
        <v>2.3300000000000001E-2</v>
      </c>
      <c r="FG61" s="150">
        <f t="shared" si="422"/>
        <v>2.29E-2</v>
      </c>
      <c r="FH61" s="150">
        <f t="shared" si="423"/>
        <v>2.2499999999999999E-2</v>
      </c>
      <c r="FI61" s="150">
        <f t="shared" si="424"/>
        <v>2.2099999999999998E-2</v>
      </c>
      <c r="FJ61" s="150">
        <f t="shared" si="425"/>
        <v>2.1600000000000001E-2</v>
      </c>
      <c r="FK61" s="150">
        <f t="shared" si="426"/>
        <v>2.12E-2</v>
      </c>
      <c r="FL61" s="150">
        <f t="shared" si="427"/>
        <v>2.0799999999999999E-2</v>
      </c>
      <c r="FM61" s="150">
        <f t="shared" si="372"/>
        <v>2.0499999999999997E-2</v>
      </c>
      <c r="FN61" s="150">
        <f t="shared" si="428"/>
        <v>2.0199999999999999E-2</v>
      </c>
      <c r="FO61" s="150">
        <f t="shared" si="429"/>
        <v>1.9900000000000001E-2</v>
      </c>
      <c r="FP61" s="150">
        <f t="shared" si="430"/>
        <v>1.9599999999999999E-2</v>
      </c>
      <c r="FQ61" s="150">
        <f t="shared" si="431"/>
        <v>1.9299999999999998E-2</v>
      </c>
      <c r="FR61" s="150">
        <f t="shared" si="432"/>
        <v>1.9E-2</v>
      </c>
      <c r="FS61" s="150">
        <f t="shared" si="433"/>
        <v>1.8700000000000001E-2</v>
      </c>
      <c r="FT61" s="150">
        <f t="shared" si="434"/>
        <v>1.84E-2</v>
      </c>
      <c r="FU61" s="150">
        <f t="shared" si="435"/>
        <v>1.8100000000000002E-2</v>
      </c>
      <c r="FV61" s="150">
        <f t="shared" si="436"/>
        <v>1.78E-2</v>
      </c>
      <c r="FW61" s="150">
        <f t="shared" si="437"/>
        <v>1.7600000000000001E-2</v>
      </c>
      <c r="FX61" s="150">
        <f t="shared" si="438"/>
        <v>1.7399999999999999E-2</v>
      </c>
      <c r="FY61" s="150">
        <f t="shared" si="439"/>
        <v>1.72E-2</v>
      </c>
      <c r="FZ61" s="150">
        <f t="shared" si="440"/>
        <v>1.7000000000000001E-2</v>
      </c>
      <c r="GA61" s="150">
        <f t="shared" si="441"/>
        <v>1.6799999999999999E-2</v>
      </c>
      <c r="GB61" s="150">
        <f t="shared" si="442"/>
        <v>1.66E-2</v>
      </c>
      <c r="GC61" s="150">
        <f t="shared" si="443"/>
        <v>1.6399999999999998E-2</v>
      </c>
      <c r="GD61" s="150">
        <f t="shared" si="444"/>
        <v>1.6200000000000003E-2</v>
      </c>
      <c r="GE61" s="150">
        <f t="shared" si="445"/>
        <v>1.6E-2</v>
      </c>
      <c r="GF61" s="150">
        <f t="shared" si="446"/>
        <v>1.5800000000000002E-2</v>
      </c>
      <c r="GG61" s="150">
        <f t="shared" si="447"/>
        <v>1.5700000000000002E-2</v>
      </c>
      <c r="GH61" s="150">
        <f t="shared" si="448"/>
        <v>1.5600000000000001E-2</v>
      </c>
      <c r="GI61" s="150">
        <f t="shared" si="449"/>
        <v>1.55E-2</v>
      </c>
      <c r="GJ61" s="150">
        <f t="shared" si="450"/>
        <v>1.54E-2</v>
      </c>
      <c r="GK61" s="150">
        <f t="shared" si="451"/>
        <v>1.5300000000000001E-2</v>
      </c>
      <c r="GL61" s="150">
        <f t="shared" si="452"/>
        <v>1.52E-2</v>
      </c>
      <c r="GM61" s="150">
        <f t="shared" si="453"/>
        <v>1.5100000000000001E-2</v>
      </c>
      <c r="GN61" s="150">
        <f t="shared" si="454"/>
        <v>1.4999999999999999E-2</v>
      </c>
      <c r="GO61" s="150">
        <f t="shared" si="455"/>
        <v>1.49E-2</v>
      </c>
      <c r="GP61" s="150">
        <f t="shared" si="456"/>
        <v>1.4800000000000001E-2</v>
      </c>
      <c r="GQ61" s="150">
        <f t="shared" si="457"/>
        <v>1.47E-2</v>
      </c>
      <c r="GR61" s="150">
        <f t="shared" si="458"/>
        <v>1.46E-2</v>
      </c>
      <c r="GS61" s="150">
        <f t="shared" si="459"/>
        <v>1.4499999999999999E-2</v>
      </c>
      <c r="GT61" s="150">
        <f t="shared" si="460"/>
        <v>1.44E-2</v>
      </c>
      <c r="GU61" s="150">
        <f t="shared" si="461"/>
        <v>1.43E-2</v>
      </c>
      <c r="GV61" s="150">
        <f t="shared" si="462"/>
        <v>1.4199999999999999E-2</v>
      </c>
      <c r="GW61" s="150">
        <f t="shared" si="463"/>
        <v>1.41E-2</v>
      </c>
      <c r="GX61" s="175">
        <f t="shared" si="464"/>
        <v>1.3999999999999999E-2</v>
      </c>
      <c r="GY61" s="161">
        <f t="shared" si="465"/>
        <v>1.3899999999999999E-2</v>
      </c>
      <c r="GZ61" s="161">
        <f t="shared" si="466"/>
        <v>1.38E-2</v>
      </c>
      <c r="HA61" s="161">
        <f t="shared" si="467"/>
        <v>1.37E-2</v>
      </c>
      <c r="HB61" s="161">
        <f t="shared" si="468"/>
        <v>1.3600000000000001E-2</v>
      </c>
      <c r="HC61" s="161">
        <f t="shared" si="469"/>
        <v>1.3500000000000002E-2</v>
      </c>
      <c r="HD61" s="161">
        <f t="shared" si="470"/>
        <v>1.34E-2</v>
      </c>
      <c r="HE61" s="161">
        <f t="shared" si="471"/>
        <v>1.34E-2</v>
      </c>
      <c r="HF61" s="161">
        <f t="shared" si="472"/>
        <v>1.3300000000000001E-2</v>
      </c>
      <c r="HG61" s="161">
        <f t="shared" si="473"/>
        <v>1.32E-2</v>
      </c>
      <c r="HH61" s="161">
        <f t="shared" si="474"/>
        <v>1.3100000000000001E-2</v>
      </c>
      <c r="HI61" s="161">
        <f t="shared" si="475"/>
        <v>1.3000000000000001E-2</v>
      </c>
      <c r="HJ61" s="161">
        <f t="shared" si="476"/>
        <v>1.29E-2</v>
      </c>
      <c r="HK61" s="161">
        <f t="shared" si="477"/>
        <v>1.2800000000000001E-2</v>
      </c>
      <c r="HL61" s="161">
        <f t="shared" si="478"/>
        <v>1.2699999999999999E-2</v>
      </c>
      <c r="HM61" s="161">
        <f t="shared" si="479"/>
        <v>1.2699999999999999E-2</v>
      </c>
      <c r="HN61" s="161">
        <f t="shared" si="480"/>
        <v>1.26E-2</v>
      </c>
      <c r="HO61" s="161">
        <f t="shared" si="481"/>
        <v>1.2500000000000001E-2</v>
      </c>
      <c r="HP61" s="161">
        <f t="shared" si="482"/>
        <v>1.24E-2</v>
      </c>
      <c r="HQ61" s="161">
        <f t="shared" si="483"/>
        <v>1.23E-2</v>
      </c>
      <c r="HR61" s="161">
        <f t="shared" si="484"/>
        <v>1.23E-2</v>
      </c>
      <c r="HS61" s="161">
        <f t="shared" si="485"/>
        <v>1.2199999999999999E-2</v>
      </c>
      <c r="HT61" s="161">
        <f t="shared" si="486"/>
        <v>1.21E-2</v>
      </c>
      <c r="HU61" s="161">
        <f t="shared" si="487"/>
        <v>1.2E-2</v>
      </c>
      <c r="HV61" s="161">
        <f t="shared" si="488"/>
        <v>1.1899999999999999E-2</v>
      </c>
      <c r="HW61" s="161">
        <f t="shared" si="489"/>
        <v>1.18E-2</v>
      </c>
      <c r="HX61" s="161">
        <f t="shared" si="490"/>
        <v>1.1699999999999999E-2</v>
      </c>
      <c r="HY61" s="161">
        <f t="shared" si="374"/>
        <v>1.1699999999999999E-2</v>
      </c>
      <c r="HZ61" s="161">
        <f t="shared" ref="HZ61:IN61" si="491">EB35</f>
        <v>1.1599999999999999E-2</v>
      </c>
      <c r="IA61" s="161">
        <f t="shared" si="491"/>
        <v>1.15E-2</v>
      </c>
      <c r="IB61" s="161">
        <f t="shared" si="491"/>
        <v>1.1399999999999999E-2</v>
      </c>
      <c r="IC61" s="161">
        <f t="shared" si="491"/>
        <v>1.1299999999999999E-2</v>
      </c>
      <c r="ID61" s="161">
        <f t="shared" si="491"/>
        <v>1.1200000000000002E-2</v>
      </c>
      <c r="IE61" s="161">
        <f t="shared" si="491"/>
        <v>1.11E-2</v>
      </c>
      <c r="IF61" s="161">
        <f t="shared" si="491"/>
        <v>1.1000000000000001E-2</v>
      </c>
      <c r="IG61" s="161">
        <f t="shared" si="491"/>
        <v>1.1000000000000001E-2</v>
      </c>
      <c r="IH61" s="161">
        <f t="shared" si="491"/>
        <v>1.09E-2</v>
      </c>
      <c r="II61" s="161">
        <f t="shared" si="491"/>
        <v>1.0800000000000001E-2</v>
      </c>
      <c r="IJ61" s="161">
        <f t="shared" si="491"/>
        <v>1.0700000000000001E-2</v>
      </c>
      <c r="IK61" s="161">
        <f t="shared" si="491"/>
        <v>1.06E-2</v>
      </c>
      <c r="IL61" s="161">
        <f t="shared" si="491"/>
        <v>1.06E-2</v>
      </c>
      <c r="IM61" s="161">
        <f t="shared" si="491"/>
        <v>1.0500000000000001E-2</v>
      </c>
      <c r="IN61" s="161">
        <f t="shared" si="491"/>
        <v>1.04E-2</v>
      </c>
      <c r="IO61" s="161">
        <f t="shared" ref="IO61:IO65" si="492">EQ35</f>
        <v>1.03E-2</v>
      </c>
      <c r="IP61" s="161">
        <f t="shared" ref="IP61:IP65" si="493">ER35</f>
        <v>1.03E-2</v>
      </c>
      <c r="IQ61" s="161">
        <f t="shared" ref="IQ61:IQ65" si="494">ES35</f>
        <v>1.0200000000000001E-2</v>
      </c>
      <c r="IR61" s="161">
        <f t="shared" ref="IR61:IR65" si="495">ET35</f>
        <v>1.0200000000000001E-2</v>
      </c>
      <c r="IS61" s="161">
        <f t="shared" ref="IS61:IS65" si="496">EU35</f>
        <v>1.01E-2</v>
      </c>
      <c r="IT61" s="161">
        <f t="shared" ref="IT61:IT65" si="497">EV35</f>
        <v>0.01</v>
      </c>
      <c r="IU61" s="161">
        <f t="shared" ref="IU61:IU65" si="498">EW35</f>
        <v>0.01</v>
      </c>
      <c r="IV61" s="161">
        <f t="shared" ref="IV61:IV65" si="499">EX35</f>
        <v>9.8999999999999991E-3</v>
      </c>
      <c r="IW61" s="118">
        <f t="shared" ref="IW61:IW65" si="500">EY35</f>
        <v>9.8999999999999991E-3</v>
      </c>
      <c r="IX61" s="184"/>
      <c r="IY61" s="184"/>
      <c r="IZ61" s="184"/>
      <c r="JA61" s="184"/>
      <c r="JB61" s="184"/>
      <c r="JC61" s="184"/>
      <c r="JD61" s="132"/>
      <c r="JE61" s="132"/>
      <c r="JF61" s="132"/>
      <c r="JG61" s="132"/>
      <c r="JH61" s="132"/>
      <c r="JI61" s="132"/>
      <c r="JJ61" s="132"/>
      <c r="JK61" s="132"/>
      <c r="JL61" s="132"/>
      <c r="JM61" s="132"/>
      <c r="JN61" s="132"/>
      <c r="JO61" s="132"/>
      <c r="JP61" s="132"/>
      <c r="JQ61" s="132"/>
      <c r="JR61" s="132"/>
      <c r="JS61" s="132"/>
      <c r="JT61" s="132"/>
      <c r="JU61" s="132"/>
      <c r="JV61" s="132"/>
      <c r="JW61" s="132"/>
      <c r="JX61" s="132"/>
      <c r="JY61" s="132"/>
      <c r="JZ61" s="132"/>
      <c r="KA61" s="132"/>
      <c r="KB61" s="132"/>
      <c r="KC61" s="132"/>
      <c r="KD61" s="132"/>
      <c r="KE61" s="132"/>
      <c r="KF61" s="132"/>
      <c r="KG61" s="132"/>
      <c r="KH61" s="132"/>
      <c r="KI61" s="132"/>
      <c r="KJ61" s="132"/>
      <c r="KK61" s="132"/>
      <c r="KL61" s="132"/>
      <c r="KM61" s="132"/>
      <c r="KN61" s="132"/>
      <c r="KO61" s="132"/>
      <c r="KP61" s="132"/>
      <c r="KQ61" s="132"/>
      <c r="KR61" s="132"/>
      <c r="KS61" s="132"/>
      <c r="KT61" s="132"/>
      <c r="KU61" s="132"/>
      <c r="KV61" s="132"/>
      <c r="KW61" s="132"/>
      <c r="KX61" s="132"/>
      <c r="KY61" s="132"/>
      <c r="KZ61" s="132"/>
      <c r="LA61" s="132"/>
      <c r="LB61" s="132"/>
      <c r="LC61" s="132"/>
      <c r="LD61" s="132"/>
      <c r="LE61" s="132"/>
      <c r="LF61" s="132"/>
      <c r="LG61" s="132"/>
      <c r="LH61" s="132"/>
      <c r="LI61" s="132"/>
      <c r="LJ61" s="132"/>
      <c r="LK61" s="132"/>
      <c r="LL61" s="132"/>
      <c r="LM61" s="132"/>
      <c r="LN61" s="132"/>
      <c r="LO61" s="132"/>
      <c r="LP61" s="132"/>
      <c r="LQ61" s="132"/>
      <c r="LR61" s="132"/>
      <c r="LS61" s="132"/>
      <c r="LT61" s="132"/>
      <c r="LU61" s="132"/>
      <c r="LV61" s="132"/>
      <c r="LW61" s="132"/>
      <c r="LX61" s="132"/>
      <c r="LY61" s="132"/>
      <c r="LZ61" s="132"/>
      <c r="MA61" s="132"/>
      <c r="MB61" s="132"/>
      <c r="MC61" s="132"/>
      <c r="MD61" s="132"/>
      <c r="ME61" s="132"/>
      <c r="MF61" s="132"/>
      <c r="MG61" s="132"/>
      <c r="MH61" s="132"/>
      <c r="MI61" s="132"/>
      <c r="MJ61" s="132"/>
      <c r="MK61" s="132"/>
      <c r="ML61" s="132"/>
      <c r="MM61" s="132"/>
      <c r="MN61" s="132"/>
      <c r="MO61" s="132"/>
      <c r="MP61" s="132"/>
      <c r="MQ61" s="132"/>
      <c r="MR61" s="132"/>
      <c r="MS61" s="132"/>
      <c r="MT61" s="132"/>
      <c r="MU61" s="132"/>
      <c r="MV61" s="132"/>
      <c r="MW61" s="132"/>
      <c r="MX61" s="132"/>
      <c r="MY61" s="132"/>
      <c r="MZ61" s="132"/>
      <c r="NA61" s="132"/>
      <c r="NB61" s="132"/>
      <c r="NC61" s="132"/>
      <c r="ND61" s="132"/>
      <c r="NE61" s="132"/>
      <c r="NF61" s="132"/>
      <c r="NG61" s="132"/>
      <c r="NH61" s="184"/>
      <c r="NI61" s="184"/>
      <c r="NJ61" s="184"/>
      <c r="NK61" s="184"/>
      <c r="NL61" s="184"/>
      <c r="NM61" s="184"/>
      <c r="NN61" s="184"/>
      <c r="NO61" s="184"/>
      <c r="NP61" s="184"/>
      <c r="NQ61" s="184"/>
      <c r="NR61" s="184"/>
      <c r="NS61" s="184"/>
      <c r="NT61" s="184"/>
      <c r="NU61" s="184"/>
      <c r="NV61" s="184"/>
      <c r="NW61" s="184"/>
      <c r="NX61" s="184"/>
      <c r="NY61" s="184"/>
      <c r="NZ61" s="184"/>
      <c r="OA61" s="184"/>
      <c r="OB61" s="184"/>
      <c r="OC61" s="184"/>
      <c r="OD61" s="184"/>
      <c r="OE61" s="184"/>
      <c r="OF61" s="184"/>
      <c r="OG61" s="184"/>
      <c r="OH61" s="184"/>
      <c r="OI61" s="184"/>
      <c r="OJ61" s="184"/>
      <c r="OK61" s="184"/>
      <c r="OL61" s="184"/>
      <c r="OM61" s="184"/>
      <c r="ON61" s="184"/>
      <c r="OO61" s="184"/>
      <c r="OP61" s="184"/>
      <c r="OQ61" s="184"/>
      <c r="OR61" s="184"/>
      <c r="OS61" s="184"/>
      <c r="OT61" s="184"/>
      <c r="OU61" s="184"/>
      <c r="OV61" s="184"/>
      <c r="OW61" s="184"/>
      <c r="OX61" s="184"/>
      <c r="OY61" s="184"/>
      <c r="OZ61" s="184"/>
      <c r="PA61" s="184"/>
      <c r="PB61" s="184"/>
      <c r="PC61" s="184"/>
      <c r="PD61" s="184"/>
      <c r="PE61" s="184"/>
      <c r="PF61" s="184"/>
      <c r="PG61" s="184"/>
      <c r="PH61" s="184"/>
      <c r="PI61" s="184"/>
      <c r="PJ61" s="184"/>
      <c r="PK61" s="184"/>
      <c r="PL61" s="184"/>
      <c r="PM61" s="184"/>
      <c r="PN61" s="184"/>
      <c r="PO61" s="184"/>
      <c r="PP61" s="184"/>
      <c r="PQ61" s="184"/>
      <c r="PR61" s="184"/>
      <c r="PS61" s="184"/>
      <c r="PT61" s="184"/>
      <c r="PU61" s="184"/>
      <c r="PV61" s="184"/>
      <c r="PW61" s="184"/>
      <c r="PX61" s="184"/>
      <c r="PY61" s="184"/>
      <c r="PZ61" s="184"/>
      <c r="QA61" s="184"/>
      <c r="QB61" s="184"/>
      <c r="QC61" s="184"/>
      <c r="QD61" s="184"/>
      <c r="QE61" s="184"/>
      <c r="QF61" s="184"/>
      <c r="QG61" s="184"/>
      <c r="QH61" s="184"/>
      <c r="QI61" s="184"/>
      <c r="QJ61" s="184"/>
      <c r="QK61" s="184"/>
      <c r="QL61" s="184"/>
      <c r="QM61" s="184"/>
      <c r="QN61" s="184"/>
      <c r="QO61" s="184"/>
      <c r="QP61" s="184"/>
      <c r="QQ61" s="184"/>
      <c r="QR61" s="184"/>
      <c r="QS61" s="184"/>
      <c r="QT61" s="184"/>
      <c r="QU61" s="184"/>
      <c r="QV61" s="184"/>
      <c r="QW61" s="184"/>
      <c r="QX61" s="184"/>
      <c r="QY61" s="184"/>
      <c r="QZ61" s="184"/>
      <c r="RA61" s="184"/>
      <c r="RB61" s="184"/>
      <c r="RC61" s="184"/>
      <c r="RD61" s="184"/>
      <c r="RE61" s="184"/>
      <c r="RF61" s="184"/>
      <c r="RG61" s="184"/>
      <c r="RH61" s="184"/>
      <c r="RI61" s="184"/>
      <c r="RJ61" s="184"/>
      <c r="RK61" s="184"/>
      <c r="RL61" s="184"/>
      <c r="RM61" s="184"/>
      <c r="RN61" s="184"/>
      <c r="RO61" s="184"/>
      <c r="RP61" s="184"/>
      <c r="RQ61" s="184"/>
      <c r="RR61" s="184"/>
      <c r="RS61" s="184"/>
      <c r="RT61" s="184"/>
      <c r="RU61" s="184"/>
      <c r="RV61" s="184"/>
      <c r="RW61" s="184"/>
      <c r="RX61" s="184"/>
      <c r="RY61" s="184"/>
      <c r="RZ61" s="184"/>
      <c r="SA61" s="184"/>
      <c r="SB61" s="185"/>
      <c r="SC61" s="185"/>
      <c r="SD61" s="185"/>
      <c r="SE61" s="185"/>
      <c r="SF61" s="185"/>
      <c r="SG61" s="185"/>
      <c r="SH61" s="185"/>
      <c r="SI61" s="185"/>
      <c r="SJ61" s="185"/>
      <c r="SK61" s="185"/>
      <c r="SL61" s="185"/>
      <c r="SM61" s="185"/>
      <c r="SN61" s="185"/>
      <c r="SO61" s="185"/>
      <c r="SP61" s="185"/>
      <c r="SQ61" s="185"/>
      <c r="SR61" s="185"/>
      <c r="SS61" s="185"/>
      <c r="ST61" s="185"/>
      <c r="SU61" s="185"/>
      <c r="SV61" s="185"/>
      <c r="SW61" s="185"/>
      <c r="SX61" s="185"/>
      <c r="SY61" s="185"/>
      <c r="SZ61" s="185"/>
      <c r="TA61" s="185"/>
      <c r="TB61" s="11"/>
      <c r="TC61" s="11"/>
      <c r="TD61" s="11"/>
      <c r="TE61" s="11"/>
    </row>
    <row r="62" spans="1:525" ht="22.15" customHeight="1" thickBot="1" x14ac:dyDescent="0.3">
      <c r="A62" s="298"/>
      <c r="B62" s="25" t="s">
        <v>105</v>
      </c>
      <c r="BY62" s="184"/>
      <c r="BZ62" s="184"/>
      <c r="CA62" s="184"/>
      <c r="CB62" s="184"/>
      <c r="CC62" s="184"/>
      <c r="CD62" s="184"/>
      <c r="CE62" s="184"/>
      <c r="CF62" s="184"/>
      <c r="CG62" s="184"/>
      <c r="CH62" s="184"/>
      <c r="CI62" s="184"/>
      <c r="CJ62" s="184"/>
      <c r="CK62" s="184"/>
      <c r="CL62" s="184"/>
      <c r="CM62" s="184"/>
      <c r="CN62" s="184"/>
      <c r="CO62" s="184"/>
      <c r="CP62" s="184"/>
      <c r="CQ62" s="184"/>
      <c r="CR62" s="184"/>
      <c r="CS62" s="184"/>
      <c r="CT62" s="184"/>
      <c r="CU62" s="184"/>
      <c r="CV62" s="184"/>
      <c r="CW62" s="184"/>
      <c r="CX62" s="184"/>
      <c r="CY62" s="184"/>
      <c r="CZ62" s="184"/>
      <c r="DA62" s="124">
        <f t="shared" si="348"/>
        <v>0.14050000000000001</v>
      </c>
      <c r="DB62" s="115">
        <f t="shared" si="349"/>
        <v>0.15349541071428571</v>
      </c>
      <c r="DC62" s="115">
        <f t="shared" si="350"/>
        <v>0.16790765106568878</v>
      </c>
      <c r="DD62" s="115">
        <f t="shared" si="351"/>
        <v>0.18331904442666083</v>
      </c>
      <c r="DE62" s="115">
        <f t="shared" si="378"/>
        <v>0.19935467139751761</v>
      </c>
      <c r="DF62" s="115">
        <f t="shared" si="353"/>
        <v>0.2166426892048324</v>
      </c>
      <c r="DG62" s="115">
        <f t="shared" si="354"/>
        <v>0.2353432020092141</v>
      </c>
      <c r="DH62" s="115">
        <f t="shared" si="355"/>
        <v>0.25505677544932165</v>
      </c>
      <c r="DI62" s="115">
        <f t="shared" si="356"/>
        <v>0.27583239066968751</v>
      </c>
      <c r="DJ62" s="115">
        <f t="shared" si="357"/>
        <v>0.29697738913303484</v>
      </c>
      <c r="DK62" s="115">
        <f t="shared" si="358"/>
        <v>0.3194037691593315</v>
      </c>
      <c r="DL62" s="115">
        <f t="shared" si="359"/>
        <v>0.34269017321519196</v>
      </c>
      <c r="DM62" s="115">
        <f t="shared" si="360"/>
        <v>0.36728624217254702</v>
      </c>
      <c r="DN62" s="115">
        <f t="shared" si="361"/>
        <v>0.39272283715155293</v>
      </c>
      <c r="DO62" s="115">
        <f t="shared" si="362"/>
        <v>0.4186413483967294</v>
      </c>
      <c r="DP62" s="115">
        <f t="shared" si="379"/>
        <v>0.44516430350160602</v>
      </c>
      <c r="DQ62" s="115">
        <f t="shared" si="380"/>
        <v>0.47180154377391648</v>
      </c>
      <c r="DR62" s="115">
        <f t="shared" si="381"/>
        <v>0.49977012867788351</v>
      </c>
      <c r="DS62" s="115">
        <f t="shared" si="382"/>
        <v>0.52873554206564766</v>
      </c>
      <c r="DT62" s="115">
        <f t="shared" si="383"/>
        <v>0.55806974775310336</v>
      </c>
      <c r="DU62" s="115">
        <f t="shared" si="384"/>
        <v>0.58829561286534438</v>
      </c>
      <c r="DV62" s="115">
        <f t="shared" si="385"/>
        <v>0.61736583170566495</v>
      </c>
      <c r="DW62" s="115">
        <f t="shared" si="386"/>
        <v>0.64838994880135448</v>
      </c>
      <c r="DX62" s="115">
        <f t="shared" si="387"/>
        <v>0.67945839994117818</v>
      </c>
      <c r="DY62" s="115">
        <f t="shared" si="388"/>
        <v>0.71278668366268905</v>
      </c>
      <c r="DZ62" s="115">
        <f t="shared" si="389"/>
        <v>0.74696390684333991</v>
      </c>
      <c r="EA62" s="115">
        <f t="shared" si="390"/>
        <v>0.78124953431619559</v>
      </c>
      <c r="EB62" s="115">
        <f t="shared" si="391"/>
        <v>0.81624935648608865</v>
      </c>
      <c r="EC62" s="115">
        <f t="shared" si="392"/>
        <v>0.851190450173121</v>
      </c>
      <c r="ED62" s="115">
        <f t="shared" si="393"/>
        <v>0.88669158617649757</v>
      </c>
      <c r="EE62" s="115">
        <f t="shared" si="394"/>
        <v>0.9226928896086164</v>
      </c>
      <c r="EF62" s="115">
        <f t="shared" si="395"/>
        <v>0.9583702115541558</v>
      </c>
      <c r="EG62" s="115">
        <f t="shared" si="396"/>
        <v>0.99436612748230468</v>
      </c>
      <c r="EH62" s="115">
        <f t="shared" si="397"/>
        <v>1.0306058047907931</v>
      </c>
      <c r="EI62" s="115">
        <f t="shared" si="398"/>
        <v>1.0662242972344411</v>
      </c>
      <c r="EJ62" s="115">
        <f t="shared" si="399"/>
        <v>1.098837681270268</v>
      </c>
      <c r="EK62" s="115">
        <f t="shared" si="400"/>
        <v>1.1333551862719433</v>
      </c>
      <c r="EL62" s="115">
        <f t="shared" si="401"/>
        <v>1.1643356897299235</v>
      </c>
      <c r="EM62" s="115">
        <f t="shared" si="402"/>
        <v>1.1980573168234954</v>
      </c>
      <c r="EN62" s="115">
        <f t="shared" si="403"/>
        <v>1.230594031322491</v>
      </c>
      <c r="EO62" s="115">
        <f t="shared" si="404"/>
        <v>1.25877805295653</v>
      </c>
      <c r="EP62" s="115">
        <f t="shared" si="405"/>
        <v>1.2898201531700975</v>
      </c>
      <c r="EQ62" s="115">
        <f t="shared" si="406"/>
        <v>1.3151769703837655</v>
      </c>
      <c r="ER62" s="115">
        <f t="shared" si="407"/>
        <v>1.3434748261788181</v>
      </c>
      <c r="ES62" s="115">
        <f t="shared" si="408"/>
        <v>1.3707845882486138</v>
      </c>
      <c r="ET62" s="115">
        <f t="shared" si="409"/>
        <v>1.3962440358625756</v>
      </c>
      <c r="EU62" s="115">
        <f t="shared" si="410"/>
        <v>1.4204905112874515</v>
      </c>
      <c r="EV62" s="115">
        <f t="shared" si="411"/>
        <v>1.4434197840759082</v>
      </c>
      <c r="EW62" s="115">
        <f t="shared" si="412"/>
        <v>1.4641996455827908</v>
      </c>
      <c r="EX62" s="169">
        <f t="shared" si="413"/>
        <v>1.4834503847325724</v>
      </c>
      <c r="EY62" s="136">
        <f t="shared" si="414"/>
        <v>0</v>
      </c>
      <c r="EZ62" s="170">
        <f t="shared" si="415"/>
        <v>1.4638512217573703</v>
      </c>
      <c r="FA62" s="149">
        <f t="shared" si="416"/>
        <v>1.4767759282456547</v>
      </c>
      <c r="FB62" s="149">
        <f t="shared" si="417"/>
        <v>1.4872269348401286</v>
      </c>
      <c r="FC62" s="149">
        <f t="shared" si="418"/>
        <v>1.5080184446477354</v>
      </c>
      <c r="FD62" s="149">
        <f t="shared" si="419"/>
        <v>1.5279256892956639</v>
      </c>
      <c r="FE62" s="149">
        <f t="shared" si="420"/>
        <v>1.5397896971590186</v>
      </c>
      <c r="FF62" s="149">
        <f t="shared" si="421"/>
        <v>1.5567703640010737</v>
      </c>
      <c r="FG62" s="149">
        <f t="shared" si="422"/>
        <v>1.5726897843305634</v>
      </c>
      <c r="FH62" s="149">
        <f t="shared" si="423"/>
        <v>1.5874948334423751</v>
      </c>
      <c r="FI62" s="149">
        <f t="shared" si="424"/>
        <v>1.6005638232576938</v>
      </c>
      <c r="FJ62" s="149">
        <f t="shared" si="425"/>
        <v>1.6049855194787468</v>
      </c>
      <c r="FK62" s="149">
        <f t="shared" si="426"/>
        <v>1.6151835357682431</v>
      </c>
      <c r="FL62" s="149">
        <f t="shared" si="427"/>
        <v>1.624065309288073</v>
      </c>
      <c r="FM62" s="149">
        <f t="shared" si="372"/>
        <v>1.639056681373809</v>
      </c>
      <c r="FN62" s="149">
        <f t="shared" si="428"/>
        <v>1.6532265262692467</v>
      </c>
      <c r="FO62" s="149">
        <f t="shared" si="429"/>
        <v>1.6665403195940414</v>
      </c>
      <c r="FP62" s="149">
        <f t="shared" si="430"/>
        <v>1.6789640008207636</v>
      </c>
      <c r="FQ62" s="149">
        <f t="shared" si="431"/>
        <v>1.6904640476120993</v>
      </c>
      <c r="FR62" s="149">
        <f t="shared" si="432"/>
        <v>1.7005118899522849</v>
      </c>
      <c r="FS62" s="149">
        <f t="shared" si="433"/>
        <v>1.7095731100983165</v>
      </c>
      <c r="FT62" s="149">
        <f t="shared" si="434"/>
        <v>1.7176172571045174</v>
      </c>
      <c r="FU62" s="149">
        <f t="shared" si="435"/>
        <v>1.724614726550094</v>
      </c>
      <c r="FV62" s="149">
        <f t="shared" si="436"/>
        <v>1.7300746508710168</v>
      </c>
      <c r="FW62" s="149">
        <f t="shared" si="437"/>
        <v>1.7443476482099647</v>
      </c>
      <c r="FX62" s="149">
        <f t="shared" si="438"/>
        <v>1.7580906710059778</v>
      </c>
      <c r="FY62" s="149">
        <f t="shared" si="439"/>
        <v>1.7712839906251225</v>
      </c>
      <c r="FZ62" s="149">
        <f t="shared" si="440"/>
        <v>1.7839080310914897</v>
      </c>
      <c r="GA62" s="149">
        <f t="shared" si="441"/>
        <v>1.7955030540076808</v>
      </c>
      <c r="GB62" s="149">
        <f t="shared" si="442"/>
        <v>1.8064898226952995</v>
      </c>
      <c r="GC62" s="149">
        <f t="shared" si="443"/>
        <v>1.8168499330037686</v>
      </c>
      <c r="GD62" s="149">
        <f t="shared" si="444"/>
        <v>1.8265652483816326</v>
      </c>
      <c r="GE62" s="149">
        <f t="shared" si="445"/>
        <v>1.8356179263640919</v>
      </c>
      <c r="GF62" s="149">
        <f t="shared" si="446"/>
        <v>1.8439904451167823</v>
      </c>
      <c r="GG62" s="149">
        <f t="shared" si="447"/>
        <v>1.8635352814665112</v>
      </c>
      <c r="GH62" s="149">
        <f t="shared" si="448"/>
        <v>1.8825708111023103</v>
      </c>
      <c r="GI62" s="149">
        <f t="shared" si="449"/>
        <v>1.9014999571699871</v>
      </c>
      <c r="GJ62" s="149">
        <f t="shared" si="450"/>
        <v>1.9203145836279207</v>
      </c>
      <c r="GK62" s="149">
        <f t="shared" si="451"/>
        <v>1.9390064768802473</v>
      </c>
      <c r="GL62" s="149">
        <f t="shared" si="452"/>
        <v>1.9575673493368078</v>
      </c>
      <c r="GM62" s="149">
        <f t="shared" si="453"/>
        <v>1.9759888430834802</v>
      </c>
      <c r="GN62" s="149">
        <f t="shared" si="454"/>
        <v>1.9938474099551347</v>
      </c>
      <c r="GO62" s="149">
        <f t="shared" si="455"/>
        <v>2.0115449559460856</v>
      </c>
      <c r="GP62" s="149">
        <f t="shared" si="456"/>
        <v>2.0290731123881076</v>
      </c>
      <c r="GQ62" s="149">
        <f t="shared" si="457"/>
        <v>2.0464234617282977</v>
      </c>
      <c r="GR62" s="149">
        <f t="shared" si="458"/>
        <v>2.0635875416634013</v>
      </c>
      <c r="GS62" s="149">
        <f t="shared" si="459"/>
        <v>2.0805568493690219</v>
      </c>
      <c r="GT62" s="149">
        <f t="shared" si="460"/>
        <v>2.0973228458217061</v>
      </c>
      <c r="GU62" s="149">
        <f t="shared" si="461"/>
        <v>2.1138769602118068</v>
      </c>
      <c r="GV62" s="149">
        <f t="shared" si="462"/>
        <v>2.1297999644471441</v>
      </c>
      <c r="GW62" s="173">
        <f t="shared" si="463"/>
        <v>2.1454905837725113</v>
      </c>
      <c r="GX62" s="136">
        <f t="shared" si="464"/>
        <v>0</v>
      </c>
      <c r="GY62" s="174">
        <f t="shared" si="465"/>
        <v>2.1412140821008765</v>
      </c>
      <c r="GZ62" s="159">
        <f t="shared" si="466"/>
        <v>2.1559170615818175</v>
      </c>
      <c r="HA62" s="159">
        <f t="shared" si="467"/>
        <v>2.1703581453977518</v>
      </c>
      <c r="HB62" s="159">
        <f t="shared" si="468"/>
        <v>2.184529025673525</v>
      </c>
      <c r="HC62" s="159">
        <f t="shared" si="469"/>
        <v>2.1984214050279709</v>
      </c>
      <c r="HD62" s="159">
        <f t="shared" si="470"/>
        <v>2.211633271903449</v>
      </c>
      <c r="HE62" s="159">
        <f t="shared" si="471"/>
        <v>2.2412742419613738</v>
      </c>
      <c r="HF62" s="159">
        <f t="shared" si="472"/>
        <v>2.2543623761048157</v>
      </c>
      <c r="HG62" s="159">
        <f t="shared" si="473"/>
        <v>2.2671415772951589</v>
      </c>
      <c r="HH62" s="159">
        <f t="shared" si="474"/>
        <v>2.2796037489433942</v>
      </c>
      <c r="HI62" s="159">
        <f t="shared" si="475"/>
        <v>2.2917408337451746</v>
      </c>
      <c r="HJ62" s="159">
        <f t="shared" si="476"/>
        <v>2.3035448187610004</v>
      </c>
      <c r="HK62" s="159">
        <f t="shared" si="477"/>
        <v>2.3146226128718004</v>
      </c>
      <c r="HL62" s="159">
        <f t="shared" si="478"/>
        <v>2.325350757169812</v>
      </c>
      <c r="HM62" s="159">
        <f t="shared" si="479"/>
        <v>2.3542590949919009</v>
      </c>
      <c r="HN62" s="159">
        <f t="shared" si="480"/>
        <v>2.3647588883285846</v>
      </c>
      <c r="HO62" s="159">
        <f t="shared" si="481"/>
        <v>2.3748893038404542</v>
      </c>
      <c r="HP62" s="159">
        <f t="shared" si="482"/>
        <v>2.3846427583122991</v>
      </c>
      <c r="HQ62" s="159">
        <f t="shared" si="483"/>
        <v>2.3940117469793045</v>
      </c>
      <c r="HR62" s="159">
        <f t="shared" si="484"/>
        <v>2.4223095038087679</v>
      </c>
      <c r="HS62" s="159">
        <f t="shared" si="485"/>
        <v>2.4310153908205385</v>
      </c>
      <c r="HT62" s="159">
        <f t="shared" si="486"/>
        <v>2.4393177404910493</v>
      </c>
      <c r="HU62" s="159">
        <f t="shared" si="487"/>
        <v>2.4472094509635824</v>
      </c>
      <c r="HV62" s="159">
        <f t="shared" si="488"/>
        <v>2.454683521925336</v>
      </c>
      <c r="HW62" s="159">
        <f t="shared" si="489"/>
        <v>2.4617330596463143</v>
      </c>
      <c r="HX62" s="159">
        <f t="shared" si="490"/>
        <v>2.4683512820045368</v>
      </c>
      <c r="HY62" s="159">
        <f t="shared" si="374"/>
        <v>2.4955031461065866</v>
      </c>
      <c r="HZ62" s="159">
        <f t="shared" ref="HZ62:HZ65" si="501">EB36</f>
        <v>2.1921182166175264</v>
      </c>
      <c r="IA62" s="159">
        <f t="shared" ref="IA62:IA65" si="502">EC36</f>
        <v>2.1968846039276047</v>
      </c>
      <c r="IB62" s="159">
        <f t="shared" ref="IB62:IB65" si="503">ED36</f>
        <v>1.8901412935030988</v>
      </c>
      <c r="IC62" s="159">
        <f t="shared" ref="IC62:IC65" si="504">EE36</f>
        <v>1.893545758522976</v>
      </c>
      <c r="ID62" s="159">
        <f t="shared" ref="ID62:ID65" si="505">EF36</f>
        <v>1.8965992639742819</v>
      </c>
      <c r="IE62" s="159">
        <f t="shared" ref="IE62:IE65" si="506">EG36</f>
        <v>1.8992974022129114</v>
      </c>
      <c r="IF62" s="159">
        <f t="shared" ref="IF62:IF65" si="507">EH36</f>
        <v>1.9013807816027264</v>
      </c>
      <c r="IG62" s="159">
        <f t="shared" ref="IG62:IG65" si="508">EI36</f>
        <v>1.6036649468393922</v>
      </c>
      <c r="IH62" s="159">
        <f t="shared" ref="IH62:IH65" si="509">EJ36</f>
        <v>1.6051167362248326</v>
      </c>
      <c r="II62" s="159">
        <f t="shared" ref="II62:II65" si="510">EK36</f>
        <v>1.2881816709865186</v>
      </c>
      <c r="IJ62" s="159">
        <f t="shared" ref="IJ62:IJ65" si="511">EL36</f>
        <v>1.2888483063119804</v>
      </c>
      <c r="IK62" s="159">
        <f t="shared" ref="IK62:IK65" si="512">EM36</f>
        <v>1.2892623473412648</v>
      </c>
      <c r="IL62" s="159">
        <f t="shared" ref="IL62:IL65" si="513">EN36</f>
        <v>1.3017016038353926</v>
      </c>
      <c r="IM62" s="159">
        <f t="shared" ref="IM62:IM65" si="514">EO36</f>
        <v>1.301862191115982</v>
      </c>
      <c r="IN62" s="159">
        <f t="shared" ref="IN62:IN65" si="515">EP36</f>
        <v>0.97939712572032023</v>
      </c>
      <c r="IO62" s="159">
        <f t="shared" si="492"/>
        <v>0.97912536992444743</v>
      </c>
      <c r="IP62" s="159">
        <f t="shared" si="493"/>
        <v>0.66187440390966013</v>
      </c>
      <c r="IQ62" s="159">
        <f t="shared" si="494"/>
        <v>0.66147571468451072</v>
      </c>
      <c r="IR62" s="159">
        <f t="shared" si="495"/>
        <v>0.66748651574403517</v>
      </c>
      <c r="IS62" s="159">
        <f t="shared" si="496"/>
        <v>0.66694848633172832</v>
      </c>
      <c r="IT62" s="159">
        <f t="shared" si="497"/>
        <v>0.66627378596888731</v>
      </c>
      <c r="IU62" s="159">
        <f t="shared" si="498"/>
        <v>0.33904645178173293</v>
      </c>
      <c r="IV62" s="159">
        <f t="shared" si="499"/>
        <v>0.33863310993356072</v>
      </c>
      <c r="IW62" s="162">
        <f t="shared" si="500"/>
        <v>-6.845541933200597E-4</v>
      </c>
      <c r="IX62" s="184"/>
      <c r="IY62" s="184"/>
      <c r="IZ62" s="184"/>
      <c r="JA62" s="184"/>
      <c r="JB62" s="184"/>
      <c r="JC62" s="184"/>
      <c r="JD62" s="131"/>
      <c r="JE62" s="131"/>
      <c r="JF62" s="131"/>
      <c r="JG62" s="131"/>
      <c r="JH62" s="131"/>
      <c r="JI62" s="131"/>
      <c r="JJ62" s="131"/>
      <c r="JK62" s="131"/>
      <c r="JL62" s="131"/>
      <c r="JM62" s="131"/>
      <c r="JN62" s="131"/>
      <c r="JO62" s="131"/>
      <c r="JP62" s="131"/>
      <c r="JQ62" s="131"/>
      <c r="JR62" s="131"/>
      <c r="JS62" s="131"/>
      <c r="JT62" s="131"/>
      <c r="JU62" s="131"/>
      <c r="JV62" s="131"/>
      <c r="JW62" s="131"/>
      <c r="JX62" s="131"/>
      <c r="JY62" s="131"/>
      <c r="JZ62" s="131"/>
      <c r="KA62" s="131"/>
      <c r="KB62" s="131"/>
      <c r="KC62" s="131"/>
      <c r="KD62" s="131"/>
      <c r="KE62" s="131"/>
      <c r="KF62" s="131"/>
      <c r="KG62" s="131"/>
      <c r="KH62" s="131"/>
      <c r="KI62" s="131"/>
      <c r="KJ62" s="131"/>
      <c r="KK62" s="131"/>
      <c r="KL62" s="131"/>
      <c r="KM62" s="131"/>
      <c r="KN62" s="131"/>
      <c r="KO62" s="131"/>
      <c r="KP62" s="131"/>
      <c r="KQ62" s="131"/>
      <c r="KR62" s="131"/>
      <c r="KS62" s="131"/>
      <c r="KT62" s="131"/>
      <c r="KU62" s="131"/>
      <c r="KV62" s="131"/>
      <c r="KW62" s="131"/>
      <c r="KX62" s="131"/>
      <c r="KY62" s="131"/>
      <c r="KZ62" s="131"/>
      <c r="LA62" s="131"/>
      <c r="LB62" s="131"/>
      <c r="LC62" s="131"/>
      <c r="LD62" s="131"/>
      <c r="LE62" s="131"/>
      <c r="LF62" s="131"/>
      <c r="LG62" s="131"/>
      <c r="LH62" s="131"/>
      <c r="LI62" s="131"/>
      <c r="LJ62" s="131"/>
      <c r="LK62" s="131"/>
      <c r="LL62" s="131"/>
      <c r="LM62" s="131"/>
      <c r="LN62" s="131"/>
      <c r="LO62" s="131"/>
      <c r="LP62" s="131"/>
      <c r="LQ62" s="131"/>
      <c r="LR62" s="131"/>
      <c r="LS62" s="131"/>
      <c r="LT62" s="131"/>
      <c r="LU62" s="131"/>
      <c r="LV62" s="131"/>
      <c r="LW62" s="131"/>
      <c r="LX62" s="131"/>
      <c r="LY62" s="131"/>
      <c r="LZ62" s="131"/>
      <c r="MA62" s="131"/>
      <c r="MB62" s="131"/>
      <c r="MC62" s="131"/>
      <c r="MD62" s="131"/>
      <c r="ME62" s="131"/>
      <c r="MF62" s="131"/>
      <c r="MG62" s="131"/>
      <c r="MH62" s="131"/>
      <c r="MI62" s="131"/>
      <c r="MJ62" s="131"/>
      <c r="MK62" s="131"/>
      <c r="ML62" s="131"/>
      <c r="MM62" s="131"/>
      <c r="MN62" s="131"/>
      <c r="MO62" s="131"/>
      <c r="MP62" s="131"/>
      <c r="MQ62" s="131"/>
      <c r="MR62" s="131"/>
      <c r="MS62" s="131"/>
      <c r="MT62" s="131"/>
      <c r="MU62" s="131"/>
      <c r="MV62" s="131"/>
      <c r="MW62" s="131"/>
      <c r="MX62" s="131"/>
      <c r="MY62" s="131"/>
      <c r="MZ62" s="131"/>
      <c r="NA62" s="131"/>
      <c r="NB62" s="131"/>
      <c r="NC62" s="131"/>
      <c r="ND62" s="131"/>
      <c r="NE62" s="131"/>
      <c r="NF62" s="131"/>
      <c r="NG62" s="131"/>
      <c r="NH62" s="184"/>
      <c r="NI62" s="184"/>
      <c r="NJ62" s="184"/>
      <c r="NK62" s="184"/>
      <c r="NL62" s="184"/>
      <c r="NM62" s="184"/>
      <c r="NN62" s="184"/>
      <c r="NO62" s="184"/>
      <c r="NP62" s="184"/>
      <c r="NQ62" s="184"/>
      <c r="NR62" s="184"/>
      <c r="NS62" s="184"/>
      <c r="NT62" s="184"/>
      <c r="NU62" s="184"/>
      <c r="NV62" s="184"/>
      <c r="NW62" s="184"/>
      <c r="NX62" s="184"/>
      <c r="NY62" s="184"/>
      <c r="NZ62" s="184"/>
      <c r="OA62" s="184"/>
      <c r="OB62" s="184"/>
      <c r="OC62" s="184"/>
      <c r="OD62" s="184"/>
      <c r="OE62" s="184"/>
      <c r="OF62" s="184"/>
      <c r="OG62" s="184"/>
      <c r="OH62" s="184"/>
      <c r="OI62" s="184"/>
      <c r="OJ62" s="184"/>
      <c r="OK62" s="184"/>
      <c r="OL62" s="184"/>
      <c r="OM62" s="184"/>
      <c r="ON62" s="184"/>
      <c r="OO62" s="184"/>
      <c r="OP62" s="184"/>
      <c r="OQ62" s="184"/>
      <c r="OR62" s="184"/>
      <c r="OS62" s="184"/>
      <c r="OT62" s="184"/>
      <c r="OU62" s="184"/>
      <c r="OV62" s="184"/>
      <c r="OW62" s="184"/>
      <c r="OX62" s="184"/>
      <c r="OY62" s="184"/>
      <c r="OZ62" s="184"/>
      <c r="PA62" s="184"/>
      <c r="PB62" s="184"/>
      <c r="PC62" s="184"/>
      <c r="PD62" s="184"/>
      <c r="PE62" s="184"/>
      <c r="PF62" s="184"/>
      <c r="PG62" s="184"/>
      <c r="PH62" s="184"/>
      <c r="PI62" s="184"/>
      <c r="PJ62" s="184"/>
      <c r="PK62" s="184"/>
      <c r="PL62" s="184"/>
      <c r="PM62" s="184"/>
      <c r="PN62" s="184"/>
      <c r="PO62" s="184"/>
      <c r="PP62" s="184"/>
      <c r="PQ62" s="184"/>
      <c r="PR62" s="184"/>
      <c r="PS62" s="184"/>
      <c r="PT62" s="184"/>
      <c r="PU62" s="184"/>
      <c r="PV62" s="184"/>
      <c r="PW62" s="184"/>
      <c r="PX62" s="184"/>
      <c r="PY62" s="184"/>
      <c r="PZ62" s="184"/>
      <c r="QA62" s="184"/>
      <c r="QB62" s="184"/>
      <c r="QC62" s="184"/>
      <c r="QD62" s="184"/>
      <c r="QE62" s="184"/>
      <c r="QF62" s="184"/>
      <c r="QG62" s="184"/>
      <c r="QH62" s="184"/>
      <c r="QI62" s="184"/>
      <c r="QJ62" s="184"/>
      <c r="QK62" s="184"/>
      <c r="QL62" s="184"/>
      <c r="QM62" s="184"/>
      <c r="QN62" s="184"/>
      <c r="QO62" s="184"/>
      <c r="QP62" s="184"/>
      <c r="QQ62" s="184"/>
      <c r="QR62" s="184"/>
      <c r="QS62" s="184"/>
      <c r="QT62" s="184"/>
      <c r="QU62" s="184"/>
      <c r="QV62" s="184"/>
      <c r="QW62" s="184"/>
      <c r="QX62" s="184"/>
      <c r="QY62" s="184"/>
      <c r="QZ62" s="184"/>
      <c r="RA62" s="184"/>
      <c r="RB62" s="184"/>
      <c r="RC62" s="184"/>
      <c r="RD62" s="184"/>
      <c r="RE62" s="184"/>
      <c r="RF62" s="184"/>
      <c r="RG62" s="184"/>
      <c r="RH62" s="184"/>
      <c r="RI62" s="184"/>
      <c r="RJ62" s="184"/>
      <c r="RK62" s="184"/>
      <c r="RL62" s="184"/>
      <c r="RM62" s="184"/>
      <c r="RN62" s="184"/>
      <c r="RO62" s="184"/>
      <c r="RP62" s="184"/>
      <c r="RQ62" s="184"/>
      <c r="RR62" s="184"/>
      <c r="RS62" s="184"/>
      <c r="RT62" s="184"/>
      <c r="RU62" s="184"/>
      <c r="RV62" s="184"/>
      <c r="RW62" s="184"/>
      <c r="RX62" s="184"/>
      <c r="RY62" s="184"/>
      <c r="RZ62" s="184"/>
      <c r="SA62" s="184"/>
      <c r="SB62" s="185"/>
      <c r="SC62" s="185"/>
      <c r="SD62" s="185"/>
      <c r="SE62" s="185"/>
      <c r="SF62" s="185"/>
      <c r="SG62" s="185"/>
      <c r="SH62" s="185"/>
      <c r="SI62" s="185"/>
      <c r="SJ62" s="185"/>
      <c r="SK62" s="185"/>
      <c r="SL62" s="185"/>
      <c r="SM62" s="185"/>
      <c r="SN62" s="185"/>
      <c r="SO62" s="185"/>
      <c r="SP62" s="185"/>
      <c r="SQ62" s="185"/>
      <c r="SR62" s="185"/>
      <c r="SS62" s="185"/>
      <c r="ST62" s="185"/>
      <c r="SU62" s="185"/>
      <c r="SV62" s="185"/>
      <c r="SW62" s="185"/>
      <c r="SX62" s="185"/>
      <c r="SY62" s="185"/>
      <c r="SZ62" s="185"/>
      <c r="TA62" s="185"/>
      <c r="TB62" s="11"/>
      <c r="TC62" s="11"/>
      <c r="TD62" s="11"/>
      <c r="TE62" s="11"/>
    </row>
    <row r="63" spans="1:525" ht="22.15" customHeight="1" thickBot="1" x14ac:dyDescent="0.3">
      <c r="A63" s="298"/>
      <c r="B63" s="25" t="s">
        <v>13</v>
      </c>
      <c r="BY63" s="184"/>
      <c r="BZ63" s="184"/>
      <c r="CA63" s="184"/>
      <c r="CB63" s="184"/>
      <c r="CC63" s="184"/>
      <c r="CD63" s="184"/>
      <c r="CE63" s="184"/>
      <c r="CF63" s="184"/>
      <c r="CG63" s="184"/>
      <c r="CH63" s="184"/>
      <c r="CI63" s="184"/>
      <c r="CJ63" s="184"/>
      <c r="CK63" s="184"/>
      <c r="CL63" s="184"/>
      <c r="CM63" s="184"/>
      <c r="CN63" s="184"/>
      <c r="CO63" s="184"/>
      <c r="CP63" s="184"/>
      <c r="CQ63" s="184"/>
      <c r="CR63" s="184"/>
      <c r="CS63" s="184"/>
      <c r="CT63" s="184"/>
      <c r="CU63" s="184"/>
      <c r="CV63" s="184"/>
      <c r="CW63" s="184"/>
      <c r="CX63" s="184"/>
      <c r="CY63" s="184"/>
      <c r="CZ63" s="184"/>
      <c r="DA63" s="141">
        <f t="shared" si="348"/>
        <v>0.56000000000000005</v>
      </c>
      <c r="DB63" s="114">
        <f t="shared" si="349"/>
        <v>0.56000000000000005</v>
      </c>
      <c r="DC63" s="114">
        <f t="shared" si="350"/>
        <v>0.56999999999999995</v>
      </c>
      <c r="DD63" s="114">
        <f t="shared" si="351"/>
        <v>0.56999999999999995</v>
      </c>
      <c r="DE63" s="114">
        <f t="shared" si="378"/>
        <v>0.56999999999999995</v>
      </c>
      <c r="DF63" s="114">
        <f t="shared" si="353"/>
        <v>0.57999999999999996</v>
      </c>
      <c r="DG63" s="114">
        <f t="shared" si="354"/>
        <v>0.57999999999999996</v>
      </c>
      <c r="DH63" s="114">
        <f t="shared" si="355"/>
        <v>0.59</v>
      </c>
      <c r="DI63" s="114">
        <f t="shared" si="356"/>
        <v>0.59</v>
      </c>
      <c r="DJ63" s="114">
        <f t="shared" si="357"/>
        <v>0.59</v>
      </c>
      <c r="DK63" s="114">
        <f t="shared" si="358"/>
        <v>0.6</v>
      </c>
      <c r="DL63" s="114">
        <f t="shared" si="359"/>
        <v>0.6</v>
      </c>
      <c r="DM63" s="114">
        <f t="shared" si="360"/>
        <v>0.61</v>
      </c>
      <c r="DN63" s="114">
        <f t="shared" si="361"/>
        <v>0.61</v>
      </c>
      <c r="DO63" s="114">
        <f t="shared" si="362"/>
        <v>0.62</v>
      </c>
      <c r="DP63" s="114">
        <f t="shared" si="379"/>
        <v>0.62</v>
      </c>
      <c r="DQ63" s="114">
        <f t="shared" si="380"/>
        <v>0.63</v>
      </c>
      <c r="DR63" s="114">
        <f t="shared" si="381"/>
        <v>0.63</v>
      </c>
      <c r="DS63" s="114">
        <f t="shared" si="382"/>
        <v>0.64</v>
      </c>
      <c r="DT63" s="114">
        <f t="shared" si="383"/>
        <v>0.64</v>
      </c>
      <c r="DU63" s="114">
        <f t="shared" si="384"/>
        <v>0.65</v>
      </c>
      <c r="DV63" s="114">
        <f t="shared" si="385"/>
        <v>0.65</v>
      </c>
      <c r="DW63" s="114">
        <f t="shared" si="386"/>
        <v>0.66</v>
      </c>
      <c r="DX63" s="114">
        <f t="shared" si="387"/>
        <v>0.66</v>
      </c>
      <c r="DY63" s="114">
        <f t="shared" si="388"/>
        <v>0.66</v>
      </c>
      <c r="DZ63" s="114">
        <f t="shared" si="389"/>
        <v>0.67</v>
      </c>
      <c r="EA63" s="114">
        <f t="shared" si="390"/>
        <v>0.67</v>
      </c>
      <c r="EB63" s="114">
        <f t="shared" si="391"/>
        <v>0.68</v>
      </c>
      <c r="EC63" s="114">
        <f t="shared" si="392"/>
        <v>0.68</v>
      </c>
      <c r="ED63" s="114">
        <f t="shared" si="393"/>
        <v>0.68</v>
      </c>
      <c r="EE63" s="114">
        <f t="shared" si="394"/>
        <v>0.69</v>
      </c>
      <c r="EF63" s="114">
        <f t="shared" si="395"/>
        <v>0.69</v>
      </c>
      <c r="EG63" s="114">
        <f t="shared" si="396"/>
        <v>0.69</v>
      </c>
      <c r="EH63" s="114">
        <f t="shared" si="397"/>
        <v>0.7</v>
      </c>
      <c r="EI63" s="114">
        <f t="shared" si="398"/>
        <v>0.7</v>
      </c>
      <c r="EJ63" s="114">
        <f t="shared" si="399"/>
        <v>0.71</v>
      </c>
      <c r="EK63" s="114">
        <f t="shared" si="400"/>
        <v>0.71</v>
      </c>
      <c r="EL63" s="114">
        <f t="shared" si="401"/>
        <v>0.71</v>
      </c>
      <c r="EM63" s="114">
        <f t="shared" si="402"/>
        <v>0.72</v>
      </c>
      <c r="EN63" s="114">
        <f t="shared" si="403"/>
        <v>0.72</v>
      </c>
      <c r="EO63" s="114">
        <f t="shared" si="404"/>
        <v>0.72</v>
      </c>
      <c r="EP63" s="114">
        <f t="shared" si="405"/>
        <v>0.73</v>
      </c>
      <c r="EQ63" s="114">
        <f t="shared" si="406"/>
        <v>0.73</v>
      </c>
      <c r="ER63" s="114">
        <f t="shared" si="407"/>
        <v>0.73</v>
      </c>
      <c r="ES63" s="114">
        <f t="shared" si="408"/>
        <v>0.74</v>
      </c>
      <c r="ET63" s="114">
        <f t="shared" si="409"/>
        <v>0.74</v>
      </c>
      <c r="EU63" s="114">
        <f t="shared" si="410"/>
        <v>0.74</v>
      </c>
      <c r="EV63" s="114">
        <f t="shared" si="411"/>
        <v>0.75</v>
      </c>
      <c r="EW63" s="114">
        <f t="shared" si="412"/>
        <v>0.75</v>
      </c>
      <c r="EX63" s="114">
        <f t="shared" si="413"/>
        <v>0.76</v>
      </c>
      <c r="EY63" s="172">
        <f t="shared" si="414"/>
        <v>0.76</v>
      </c>
      <c r="EZ63" s="151">
        <f t="shared" si="415"/>
        <v>0.76</v>
      </c>
      <c r="FA63" s="151">
        <f t="shared" si="416"/>
        <v>0.77</v>
      </c>
      <c r="FB63" s="151">
        <f t="shared" si="417"/>
        <v>0.77</v>
      </c>
      <c r="FC63" s="151">
        <f t="shared" si="418"/>
        <v>0.77</v>
      </c>
      <c r="FD63" s="151">
        <f t="shared" si="419"/>
        <v>0.78</v>
      </c>
      <c r="FE63" s="151">
        <f t="shared" si="420"/>
        <v>0.78</v>
      </c>
      <c r="FF63" s="151">
        <f t="shared" si="421"/>
        <v>0.78</v>
      </c>
      <c r="FG63" s="151">
        <f t="shared" si="422"/>
        <v>0.78</v>
      </c>
      <c r="FH63" s="151">
        <f t="shared" si="423"/>
        <v>0.79</v>
      </c>
      <c r="FI63" s="151">
        <f t="shared" si="424"/>
        <v>0.79</v>
      </c>
      <c r="FJ63" s="151">
        <f t="shared" si="425"/>
        <v>0.79</v>
      </c>
      <c r="FK63" s="151">
        <f t="shared" si="426"/>
        <v>0.79</v>
      </c>
      <c r="FL63" s="151">
        <f t="shared" si="427"/>
        <v>0.8</v>
      </c>
      <c r="FM63" s="151">
        <f t="shared" si="372"/>
        <v>0.8</v>
      </c>
      <c r="FN63" s="151">
        <f t="shared" si="428"/>
        <v>0.8</v>
      </c>
      <c r="FO63" s="151">
        <f t="shared" si="429"/>
        <v>0.8</v>
      </c>
      <c r="FP63" s="151">
        <f t="shared" si="430"/>
        <v>0.8</v>
      </c>
      <c r="FQ63" s="151">
        <f t="shared" si="431"/>
        <v>0.81</v>
      </c>
      <c r="FR63" s="151">
        <f t="shared" si="432"/>
        <v>0.81</v>
      </c>
      <c r="FS63" s="151">
        <f t="shared" si="433"/>
        <v>0.81</v>
      </c>
      <c r="FT63" s="151">
        <f t="shared" si="434"/>
        <v>0.81</v>
      </c>
      <c r="FU63" s="151">
        <f t="shared" si="435"/>
        <v>0.82</v>
      </c>
      <c r="FV63" s="151">
        <f t="shared" si="436"/>
        <v>0.82</v>
      </c>
      <c r="FW63" s="151">
        <f t="shared" si="437"/>
        <v>0.82</v>
      </c>
      <c r="FX63" s="151">
        <f t="shared" si="438"/>
        <v>0.82</v>
      </c>
      <c r="FY63" s="151">
        <f t="shared" si="439"/>
        <v>0.82</v>
      </c>
      <c r="FZ63" s="151">
        <f t="shared" si="440"/>
        <v>0.83</v>
      </c>
      <c r="GA63" s="151">
        <f t="shared" si="441"/>
        <v>0.83</v>
      </c>
      <c r="GB63" s="151">
        <f t="shared" si="442"/>
        <v>0.83</v>
      </c>
      <c r="GC63" s="151">
        <f t="shared" si="443"/>
        <v>0.83</v>
      </c>
      <c r="GD63" s="151">
        <f t="shared" si="444"/>
        <v>0.83</v>
      </c>
      <c r="GE63" s="151">
        <f t="shared" si="445"/>
        <v>0.83</v>
      </c>
      <c r="GF63" s="151">
        <f t="shared" si="446"/>
        <v>0.83</v>
      </c>
      <c r="GG63" s="151">
        <f t="shared" si="447"/>
        <v>0.84</v>
      </c>
      <c r="GH63" s="151">
        <f t="shared" si="448"/>
        <v>0.84</v>
      </c>
      <c r="GI63" s="151">
        <f t="shared" si="449"/>
        <v>0.84</v>
      </c>
      <c r="GJ63" s="151">
        <f t="shared" si="450"/>
        <v>0.84</v>
      </c>
      <c r="GK63" s="151">
        <f t="shared" si="451"/>
        <v>0.84</v>
      </c>
      <c r="GL63" s="151">
        <f t="shared" si="452"/>
        <v>0.84</v>
      </c>
      <c r="GM63" s="151">
        <f t="shared" si="453"/>
        <v>0.85</v>
      </c>
      <c r="GN63" s="151">
        <f t="shared" si="454"/>
        <v>0.85</v>
      </c>
      <c r="GO63" s="151">
        <f t="shared" si="455"/>
        <v>0.85</v>
      </c>
      <c r="GP63" s="151">
        <f t="shared" si="456"/>
        <v>0.85</v>
      </c>
      <c r="GQ63" s="151">
        <f t="shared" si="457"/>
        <v>0.85</v>
      </c>
      <c r="GR63" s="151">
        <f t="shared" si="458"/>
        <v>0.85</v>
      </c>
      <c r="GS63" s="151">
        <f t="shared" si="459"/>
        <v>0.85</v>
      </c>
      <c r="GT63" s="151">
        <f t="shared" si="460"/>
        <v>0.85</v>
      </c>
      <c r="GU63" s="151">
        <f t="shared" si="461"/>
        <v>0.86</v>
      </c>
      <c r="GV63" s="151">
        <f t="shared" si="462"/>
        <v>0.86</v>
      </c>
      <c r="GW63" s="151">
        <f t="shared" si="463"/>
        <v>0.86</v>
      </c>
      <c r="GX63" s="176">
        <f t="shared" si="464"/>
        <v>0.86</v>
      </c>
      <c r="GY63" s="163">
        <f t="shared" si="465"/>
        <v>0.86</v>
      </c>
      <c r="GZ63" s="163">
        <f t="shared" si="466"/>
        <v>0.86</v>
      </c>
      <c r="HA63" s="163">
        <f t="shared" si="467"/>
        <v>0.86</v>
      </c>
      <c r="HB63" s="163">
        <f t="shared" si="468"/>
        <v>0.86</v>
      </c>
      <c r="HC63" s="163">
        <f t="shared" si="469"/>
        <v>0.87</v>
      </c>
      <c r="HD63" s="163">
        <f t="shared" si="470"/>
        <v>0.87</v>
      </c>
      <c r="HE63" s="163">
        <f t="shared" si="471"/>
        <v>0.87</v>
      </c>
      <c r="HF63" s="163">
        <f t="shared" si="472"/>
        <v>0.87</v>
      </c>
      <c r="HG63" s="163">
        <f t="shared" si="473"/>
        <v>0.87</v>
      </c>
      <c r="HH63" s="163">
        <f t="shared" si="474"/>
        <v>0.87</v>
      </c>
      <c r="HI63" s="163">
        <f t="shared" si="475"/>
        <v>0.87</v>
      </c>
      <c r="HJ63" s="163">
        <f t="shared" si="476"/>
        <v>0.88</v>
      </c>
      <c r="HK63" s="163">
        <f t="shared" si="477"/>
        <v>0.88</v>
      </c>
      <c r="HL63" s="163">
        <f t="shared" si="478"/>
        <v>0.88</v>
      </c>
      <c r="HM63" s="163">
        <f t="shared" si="479"/>
        <v>0.88</v>
      </c>
      <c r="HN63" s="163">
        <f t="shared" si="480"/>
        <v>0.88</v>
      </c>
      <c r="HO63" s="163">
        <f t="shared" si="481"/>
        <v>0.88</v>
      </c>
      <c r="HP63" s="163">
        <f t="shared" si="482"/>
        <v>0.88</v>
      </c>
      <c r="HQ63" s="163">
        <f t="shared" si="483"/>
        <v>0.89</v>
      </c>
      <c r="HR63" s="163">
        <f t="shared" si="484"/>
        <v>0.89</v>
      </c>
      <c r="HS63" s="163">
        <f t="shared" si="485"/>
        <v>0.89</v>
      </c>
      <c r="HT63" s="163">
        <f t="shared" si="486"/>
        <v>0.89</v>
      </c>
      <c r="HU63" s="163">
        <f t="shared" si="487"/>
        <v>0.89</v>
      </c>
      <c r="HV63" s="163">
        <f t="shared" si="488"/>
        <v>0.89</v>
      </c>
      <c r="HW63" s="163">
        <f t="shared" si="489"/>
        <v>0.89</v>
      </c>
      <c r="HX63" s="163">
        <f t="shared" si="490"/>
        <v>0.9</v>
      </c>
      <c r="HY63" s="163">
        <f t="shared" si="374"/>
        <v>0.9</v>
      </c>
      <c r="HZ63" s="163">
        <f t="shared" si="501"/>
        <v>0.9</v>
      </c>
      <c r="IA63" s="163">
        <f t="shared" si="502"/>
        <v>0.9</v>
      </c>
      <c r="IB63" s="163">
        <f t="shared" si="503"/>
        <v>0.9</v>
      </c>
      <c r="IC63" s="163">
        <f t="shared" si="504"/>
        <v>0.9</v>
      </c>
      <c r="ID63" s="163">
        <f t="shared" si="505"/>
        <v>0.9</v>
      </c>
      <c r="IE63" s="163">
        <f t="shared" si="506"/>
        <v>0.91</v>
      </c>
      <c r="IF63" s="163">
        <f t="shared" si="507"/>
        <v>0.91</v>
      </c>
      <c r="IG63" s="163">
        <f t="shared" si="508"/>
        <v>0.91</v>
      </c>
      <c r="IH63" s="163">
        <f t="shared" si="509"/>
        <v>0.91</v>
      </c>
      <c r="II63" s="163">
        <f t="shared" si="510"/>
        <v>0.91</v>
      </c>
      <c r="IJ63" s="163">
        <f t="shared" si="511"/>
        <v>0.91</v>
      </c>
      <c r="IK63" s="163">
        <f t="shared" si="512"/>
        <v>0.91</v>
      </c>
      <c r="IL63" s="163">
        <f t="shared" si="513"/>
        <v>0.91</v>
      </c>
      <c r="IM63" s="163">
        <f t="shared" si="514"/>
        <v>0.91</v>
      </c>
      <c r="IN63" s="163">
        <f t="shared" si="515"/>
        <v>0.91</v>
      </c>
      <c r="IO63" s="163">
        <f t="shared" si="492"/>
        <v>0.91</v>
      </c>
      <c r="IP63" s="163">
        <f t="shared" si="493"/>
        <v>0.92</v>
      </c>
      <c r="IQ63" s="163">
        <f t="shared" si="494"/>
        <v>0.92</v>
      </c>
      <c r="IR63" s="163">
        <f t="shared" si="495"/>
        <v>0.92</v>
      </c>
      <c r="IS63" s="163">
        <f t="shared" si="496"/>
        <v>0.92</v>
      </c>
      <c r="IT63" s="163">
        <f t="shared" si="497"/>
        <v>0.92</v>
      </c>
      <c r="IU63" s="163">
        <f t="shared" si="498"/>
        <v>0.92</v>
      </c>
      <c r="IV63" s="163">
        <f t="shared" si="499"/>
        <v>0.92</v>
      </c>
      <c r="IW63" s="117">
        <f t="shared" si="500"/>
        <v>0.92</v>
      </c>
      <c r="IX63" s="184"/>
      <c r="IY63" s="184"/>
      <c r="IZ63" s="184"/>
      <c r="JA63" s="184"/>
      <c r="JB63" s="184"/>
      <c r="JC63" s="184"/>
      <c r="JD63" s="23"/>
      <c r="JE63" s="23"/>
      <c r="JF63" s="23"/>
      <c r="JG63" s="23"/>
      <c r="JH63" s="23"/>
      <c r="JI63" s="23"/>
      <c r="JJ63" s="23"/>
      <c r="JK63" s="23"/>
      <c r="JL63" s="23"/>
      <c r="JM63" s="23"/>
      <c r="JN63" s="23"/>
      <c r="JO63" s="23"/>
      <c r="JP63" s="23"/>
      <c r="JQ63" s="23"/>
      <c r="JR63" s="23"/>
      <c r="JS63" s="23"/>
      <c r="JT63" s="23"/>
      <c r="JU63" s="23"/>
      <c r="JV63" s="23"/>
      <c r="JW63" s="23"/>
      <c r="JX63" s="23"/>
      <c r="JY63" s="23"/>
      <c r="JZ63" s="23"/>
      <c r="KA63" s="23"/>
      <c r="KB63" s="23"/>
      <c r="KC63" s="23"/>
      <c r="KD63" s="23"/>
      <c r="KE63" s="23"/>
      <c r="KF63" s="23"/>
      <c r="KG63" s="23"/>
      <c r="KH63" s="23"/>
      <c r="KI63" s="23"/>
      <c r="KJ63" s="23"/>
      <c r="KK63" s="23"/>
      <c r="KL63" s="23"/>
      <c r="KM63" s="23"/>
      <c r="KN63" s="23"/>
      <c r="KO63" s="23"/>
      <c r="KP63" s="23"/>
      <c r="KQ63" s="23"/>
      <c r="KR63" s="23"/>
      <c r="KS63" s="23"/>
      <c r="KT63" s="23"/>
      <c r="KU63" s="23"/>
      <c r="KV63" s="23"/>
      <c r="KW63" s="23"/>
      <c r="KX63" s="23"/>
      <c r="KY63" s="23"/>
      <c r="KZ63" s="23"/>
      <c r="LA63" s="23"/>
      <c r="LB63" s="23"/>
      <c r="LC63" s="23"/>
      <c r="LD63" s="23"/>
      <c r="LE63" s="23"/>
      <c r="LF63" s="23"/>
      <c r="LG63" s="23"/>
      <c r="LH63" s="23"/>
      <c r="LI63" s="23"/>
      <c r="LJ63" s="23"/>
      <c r="LK63" s="23"/>
      <c r="LL63" s="23"/>
      <c r="LM63" s="23"/>
      <c r="LN63" s="23"/>
      <c r="LO63" s="23"/>
      <c r="LP63" s="23"/>
      <c r="LQ63" s="23"/>
      <c r="LR63" s="23"/>
      <c r="LS63" s="23"/>
      <c r="LT63" s="23"/>
      <c r="LU63" s="23"/>
      <c r="LV63" s="23"/>
      <c r="LW63" s="23"/>
      <c r="LX63" s="23"/>
      <c r="LY63" s="23"/>
      <c r="LZ63" s="23"/>
      <c r="MA63" s="23"/>
      <c r="MB63" s="23"/>
      <c r="MC63" s="23"/>
      <c r="MD63" s="23"/>
      <c r="ME63" s="23"/>
      <c r="MF63" s="23"/>
      <c r="MG63" s="23"/>
      <c r="MH63" s="23"/>
      <c r="MI63" s="23"/>
      <c r="MJ63" s="23"/>
      <c r="MK63" s="23"/>
      <c r="ML63" s="23"/>
      <c r="MM63" s="23"/>
      <c r="MN63" s="23"/>
      <c r="MO63" s="23"/>
      <c r="MP63" s="23"/>
      <c r="MQ63" s="23"/>
      <c r="MR63" s="23"/>
      <c r="MS63" s="23"/>
      <c r="MT63" s="23"/>
      <c r="MU63" s="23"/>
      <c r="MV63" s="23"/>
      <c r="MW63" s="23"/>
      <c r="MX63" s="23"/>
      <c r="MY63" s="23"/>
      <c r="MZ63" s="23"/>
      <c r="NA63" s="23"/>
      <c r="NB63" s="23"/>
      <c r="NC63" s="23"/>
      <c r="ND63" s="23"/>
      <c r="NE63" s="23"/>
      <c r="NF63" s="23"/>
      <c r="NG63" s="23"/>
      <c r="NH63" s="184"/>
      <c r="NI63" s="184"/>
      <c r="NJ63" s="184"/>
      <c r="NK63" s="184"/>
      <c r="NL63" s="184"/>
      <c r="NM63" s="184"/>
      <c r="NN63" s="184"/>
      <c r="NO63" s="184"/>
      <c r="NP63" s="184"/>
      <c r="NQ63" s="184"/>
      <c r="NR63" s="184"/>
      <c r="NS63" s="184"/>
      <c r="NT63" s="184"/>
      <c r="NU63" s="184"/>
      <c r="NV63" s="184"/>
      <c r="NW63" s="184"/>
      <c r="NX63" s="184"/>
      <c r="NY63" s="184"/>
      <c r="NZ63" s="184"/>
      <c r="OA63" s="184"/>
      <c r="OB63" s="184"/>
      <c r="OC63" s="184"/>
      <c r="OD63" s="184"/>
      <c r="OE63" s="184"/>
      <c r="OF63" s="184"/>
      <c r="OG63" s="184"/>
      <c r="OH63" s="184"/>
      <c r="OI63" s="184"/>
      <c r="OJ63" s="184"/>
      <c r="OK63" s="184"/>
      <c r="OL63" s="184"/>
      <c r="OM63" s="184"/>
      <c r="ON63" s="184"/>
      <c r="OO63" s="184"/>
      <c r="OP63" s="184"/>
      <c r="OQ63" s="184"/>
      <c r="OR63" s="184"/>
      <c r="OS63" s="184"/>
      <c r="OT63" s="184"/>
      <c r="OU63" s="184"/>
      <c r="OV63" s="184"/>
      <c r="OW63" s="184"/>
      <c r="OX63" s="184"/>
      <c r="OY63" s="184"/>
      <c r="OZ63" s="184"/>
      <c r="PA63" s="184"/>
      <c r="PB63" s="184"/>
      <c r="PC63" s="184"/>
      <c r="PD63" s="184"/>
      <c r="PE63" s="184"/>
      <c r="PF63" s="184"/>
      <c r="PG63" s="184"/>
      <c r="PH63" s="184"/>
      <c r="PI63" s="184"/>
      <c r="PJ63" s="184"/>
      <c r="PK63" s="184"/>
      <c r="PL63" s="184"/>
      <c r="PM63" s="184"/>
      <c r="PN63" s="184"/>
      <c r="PO63" s="184"/>
      <c r="PP63" s="184"/>
      <c r="PQ63" s="184"/>
      <c r="PR63" s="184"/>
      <c r="PS63" s="184"/>
      <c r="PT63" s="184"/>
      <c r="PU63" s="184"/>
      <c r="PV63" s="184"/>
      <c r="PW63" s="184"/>
      <c r="PX63" s="184"/>
      <c r="PY63" s="184"/>
      <c r="PZ63" s="184"/>
      <c r="QA63" s="184"/>
      <c r="QB63" s="184"/>
      <c r="QC63" s="184"/>
      <c r="QD63" s="184"/>
      <c r="QE63" s="184"/>
      <c r="QF63" s="184"/>
      <c r="QG63" s="184"/>
      <c r="QH63" s="184"/>
      <c r="QI63" s="184"/>
      <c r="QJ63" s="184"/>
      <c r="QK63" s="184"/>
      <c r="QL63" s="184"/>
      <c r="QM63" s="184"/>
      <c r="QN63" s="184"/>
      <c r="QO63" s="184"/>
      <c r="QP63" s="184"/>
      <c r="QQ63" s="184"/>
      <c r="QR63" s="184"/>
      <c r="QS63" s="184"/>
      <c r="QT63" s="184"/>
      <c r="QU63" s="184"/>
      <c r="QV63" s="184"/>
      <c r="QW63" s="184"/>
      <c r="QX63" s="184"/>
      <c r="QY63" s="184"/>
      <c r="QZ63" s="184"/>
      <c r="RA63" s="184"/>
      <c r="RB63" s="184"/>
      <c r="RC63" s="184"/>
      <c r="RD63" s="184"/>
      <c r="RE63" s="184"/>
      <c r="RF63" s="184"/>
      <c r="RG63" s="184"/>
      <c r="RH63" s="184"/>
      <c r="RI63" s="184"/>
      <c r="RJ63" s="184"/>
      <c r="RK63" s="184"/>
      <c r="RL63" s="184"/>
      <c r="RM63" s="184"/>
      <c r="RN63" s="184"/>
      <c r="RO63" s="184"/>
      <c r="RP63" s="184"/>
      <c r="RQ63" s="184"/>
      <c r="RR63" s="184"/>
      <c r="RS63" s="184"/>
      <c r="RT63" s="184"/>
      <c r="RU63" s="184"/>
      <c r="RV63" s="184"/>
      <c r="RW63" s="184"/>
      <c r="RX63" s="184"/>
      <c r="RY63" s="184"/>
      <c r="RZ63" s="184"/>
      <c r="SA63" s="184"/>
      <c r="SB63" s="185"/>
      <c r="SC63" s="185"/>
      <c r="SD63" s="185"/>
      <c r="SE63" s="185"/>
      <c r="SF63" s="185"/>
      <c r="SG63" s="185"/>
      <c r="SH63" s="185"/>
      <c r="SI63" s="185"/>
      <c r="SJ63" s="185"/>
      <c r="SK63" s="185"/>
      <c r="SL63" s="185"/>
      <c r="SM63" s="185"/>
      <c r="SN63" s="185"/>
      <c r="SO63" s="185"/>
      <c r="SP63" s="185"/>
      <c r="SQ63" s="185"/>
      <c r="SR63" s="185"/>
      <c r="SS63" s="185"/>
      <c r="ST63" s="185"/>
      <c r="SU63" s="185"/>
      <c r="SV63" s="185"/>
      <c r="SW63" s="185"/>
      <c r="SX63" s="185"/>
      <c r="SY63" s="185"/>
      <c r="SZ63" s="185"/>
      <c r="TA63" s="185"/>
      <c r="TB63" s="11"/>
      <c r="TC63" s="11"/>
      <c r="TD63" s="11"/>
      <c r="TE63" s="11"/>
    </row>
    <row r="64" spans="1:525" ht="22.15" customHeight="1" x14ac:dyDescent="0.25">
      <c r="A64" s="298"/>
      <c r="B64" s="25" t="s">
        <v>3</v>
      </c>
      <c r="BY64" s="184"/>
      <c r="BZ64" s="184"/>
      <c r="CA64" s="184"/>
      <c r="CB64" s="184"/>
      <c r="CC64" s="184"/>
      <c r="CD64" s="184"/>
      <c r="CE64" s="184"/>
      <c r="CF64" s="184"/>
      <c r="CG64" s="184"/>
      <c r="CH64" s="184"/>
      <c r="CI64" s="184"/>
      <c r="CJ64" s="184"/>
      <c r="CK64" s="184"/>
      <c r="CL64" s="184"/>
      <c r="CM64" s="184"/>
      <c r="CN64" s="184"/>
      <c r="CO64" s="184"/>
      <c r="CP64" s="184"/>
      <c r="CQ64" s="184"/>
      <c r="CR64" s="184"/>
      <c r="CS64" s="184"/>
      <c r="CT64" s="184"/>
      <c r="CU64" s="184"/>
      <c r="CV64" s="184"/>
      <c r="CW64" s="184"/>
      <c r="CX64" s="184"/>
      <c r="CY64" s="184"/>
      <c r="CZ64" s="184"/>
      <c r="DA64" s="125" t="str">
        <f t="shared" si="348"/>
        <v>Tank 1</v>
      </c>
      <c r="DB64" s="111" t="str">
        <f t="shared" si="349"/>
        <v>Tank 1</v>
      </c>
      <c r="DC64" s="111" t="str">
        <f t="shared" si="350"/>
        <v>Tank 1</v>
      </c>
      <c r="DD64" s="111" t="str">
        <f t="shared" si="351"/>
        <v>Tank 1</v>
      </c>
      <c r="DE64" s="111" t="str">
        <f t="shared" si="378"/>
        <v>Tank 1</v>
      </c>
      <c r="DF64" s="111" t="str">
        <f t="shared" si="353"/>
        <v>Tank 1</v>
      </c>
      <c r="DG64" s="111" t="str">
        <f t="shared" si="354"/>
        <v>Tank 1</v>
      </c>
      <c r="DH64" s="111" t="str">
        <f t="shared" si="355"/>
        <v>Tank 1</v>
      </c>
      <c r="DI64" s="111" t="str">
        <f t="shared" si="356"/>
        <v>Tank 1</v>
      </c>
      <c r="DJ64" s="111" t="str">
        <f t="shared" si="357"/>
        <v>Tank 1</v>
      </c>
      <c r="DK64" s="111" t="str">
        <f t="shared" si="358"/>
        <v>Tank 1</v>
      </c>
      <c r="DL64" s="111" t="str">
        <f t="shared" si="359"/>
        <v>Tank 1</v>
      </c>
      <c r="DM64" s="111" t="str">
        <f t="shared" si="360"/>
        <v>Tank 1</v>
      </c>
      <c r="DN64" s="111" t="str">
        <f t="shared" si="361"/>
        <v>Tank 1</v>
      </c>
      <c r="DO64" s="111" t="str">
        <f t="shared" si="362"/>
        <v>Tank 1</v>
      </c>
      <c r="DP64" s="111" t="str">
        <f t="shared" si="379"/>
        <v>Tank 1</v>
      </c>
      <c r="DQ64" s="111" t="str">
        <f t="shared" si="380"/>
        <v>Tank 1</v>
      </c>
      <c r="DR64" s="111" t="str">
        <f t="shared" si="381"/>
        <v>Tank 1</v>
      </c>
      <c r="DS64" s="111" t="str">
        <f t="shared" si="382"/>
        <v>Tank 1</v>
      </c>
      <c r="DT64" s="111" t="str">
        <f t="shared" si="383"/>
        <v>Tank 1</v>
      </c>
      <c r="DU64" s="111" t="str">
        <f t="shared" si="384"/>
        <v>Tank 1</v>
      </c>
      <c r="DV64" s="111" t="str">
        <f t="shared" si="385"/>
        <v>Tank 1</v>
      </c>
      <c r="DW64" s="111" t="str">
        <f t="shared" si="386"/>
        <v>Tank 1</v>
      </c>
      <c r="DX64" s="111" t="str">
        <f t="shared" si="387"/>
        <v>Tank 1</v>
      </c>
      <c r="DY64" s="111" t="str">
        <f t="shared" si="388"/>
        <v>Tank 1</v>
      </c>
      <c r="DZ64" s="111" t="str">
        <f t="shared" si="389"/>
        <v>Tank 1</v>
      </c>
      <c r="EA64" s="111" t="str">
        <f t="shared" si="390"/>
        <v>Tank 1</v>
      </c>
      <c r="EB64" s="111" t="str">
        <f t="shared" si="391"/>
        <v>Tank 1</v>
      </c>
      <c r="EC64" s="111" t="str">
        <f t="shared" si="392"/>
        <v>Tank 1</v>
      </c>
      <c r="ED64" s="111" t="str">
        <f t="shared" si="393"/>
        <v>Tank 1</v>
      </c>
      <c r="EE64" s="111" t="str">
        <f t="shared" si="394"/>
        <v>Tank 1</v>
      </c>
      <c r="EF64" s="111" t="str">
        <f t="shared" si="395"/>
        <v>Tank 1</v>
      </c>
      <c r="EG64" s="111" t="str">
        <f t="shared" si="396"/>
        <v>Tank 1</v>
      </c>
      <c r="EH64" s="111" t="str">
        <f t="shared" si="397"/>
        <v>Tank 1</v>
      </c>
      <c r="EI64" s="111" t="str">
        <f t="shared" si="398"/>
        <v>Tank 1</v>
      </c>
      <c r="EJ64" s="111" t="str">
        <f t="shared" si="399"/>
        <v>Tank 1</v>
      </c>
      <c r="EK64" s="111" t="str">
        <f t="shared" si="400"/>
        <v>Tank 1</v>
      </c>
      <c r="EL64" s="111" t="str">
        <f t="shared" si="401"/>
        <v>Tank 1</v>
      </c>
      <c r="EM64" s="111" t="str">
        <f t="shared" si="402"/>
        <v>Tank 1</v>
      </c>
      <c r="EN64" s="111" t="str">
        <f t="shared" si="403"/>
        <v>Tank 1</v>
      </c>
      <c r="EO64" s="111" t="str">
        <f t="shared" si="404"/>
        <v>Tank 1</v>
      </c>
      <c r="EP64" s="111" t="str">
        <f t="shared" si="405"/>
        <v>Tank 1</v>
      </c>
      <c r="EQ64" s="111" t="str">
        <f t="shared" si="406"/>
        <v>Tank 1</v>
      </c>
      <c r="ER64" s="111" t="str">
        <f t="shared" si="407"/>
        <v>Tank 1</v>
      </c>
      <c r="ES64" s="111" t="str">
        <f t="shared" si="408"/>
        <v>Tank 1</v>
      </c>
      <c r="ET64" s="111" t="str">
        <f t="shared" si="409"/>
        <v>Tank 1</v>
      </c>
      <c r="EU64" s="111" t="str">
        <f t="shared" si="410"/>
        <v>Tank 1</v>
      </c>
      <c r="EV64" s="111" t="str">
        <f t="shared" si="411"/>
        <v>Tank 1</v>
      </c>
      <c r="EW64" s="111" t="str">
        <f t="shared" si="412"/>
        <v>Tank 1</v>
      </c>
      <c r="EX64" s="111" t="str">
        <f t="shared" si="413"/>
        <v>Tank 1</v>
      </c>
      <c r="EY64" s="111" t="str">
        <f t="shared" si="414"/>
        <v>Tank 1</v>
      </c>
      <c r="EZ64" s="152" t="str">
        <f t="shared" si="415"/>
        <v>Tank 2 + 3</v>
      </c>
      <c r="FA64" s="152" t="str">
        <f t="shared" si="416"/>
        <v>Tank 2 + 3</v>
      </c>
      <c r="FB64" s="152" t="str">
        <f t="shared" si="417"/>
        <v>Tank 2 + 3</v>
      </c>
      <c r="FC64" s="152" t="str">
        <f t="shared" si="418"/>
        <v>Tank 2 + 3</v>
      </c>
      <c r="FD64" s="152" t="str">
        <f t="shared" si="419"/>
        <v>Tank 2 + 3</v>
      </c>
      <c r="FE64" s="152" t="str">
        <f t="shared" si="420"/>
        <v>Tank 2 + 3</v>
      </c>
      <c r="FF64" s="152" t="str">
        <f t="shared" si="421"/>
        <v>Tank 2 + 3</v>
      </c>
      <c r="FG64" s="152" t="str">
        <f t="shared" si="422"/>
        <v>Tank 2 + 3</v>
      </c>
      <c r="FH64" s="152" t="str">
        <f t="shared" si="423"/>
        <v>Tank 2 + 3</v>
      </c>
      <c r="FI64" s="152" t="str">
        <f t="shared" si="424"/>
        <v>Tank 2 + 3</v>
      </c>
      <c r="FJ64" s="152" t="str">
        <f t="shared" si="425"/>
        <v>Tank 2 + 3</v>
      </c>
      <c r="FK64" s="152" t="str">
        <f t="shared" si="426"/>
        <v>Tank 2 + 3</v>
      </c>
      <c r="FL64" s="152" t="str">
        <f t="shared" si="427"/>
        <v>Tank 2 + 3</v>
      </c>
      <c r="FM64" s="152" t="str">
        <f t="shared" si="372"/>
        <v>Tank 2 + 3</v>
      </c>
      <c r="FN64" s="152" t="str">
        <f t="shared" si="428"/>
        <v>Tank 2 + 3</v>
      </c>
      <c r="FO64" s="152" t="str">
        <f t="shared" si="429"/>
        <v>Tank 2 + 3</v>
      </c>
      <c r="FP64" s="152" t="str">
        <f t="shared" si="430"/>
        <v>Tank 2 + 3</v>
      </c>
      <c r="FQ64" s="152" t="str">
        <f t="shared" si="431"/>
        <v>Tank 2 + 3</v>
      </c>
      <c r="FR64" s="152" t="str">
        <f t="shared" si="432"/>
        <v>Tank 2 + 3</v>
      </c>
      <c r="FS64" s="152" t="str">
        <f t="shared" si="433"/>
        <v>Tank 2 + 3</v>
      </c>
      <c r="FT64" s="152" t="str">
        <f t="shared" si="434"/>
        <v>Tank 2 + 3</v>
      </c>
      <c r="FU64" s="152" t="str">
        <f t="shared" si="435"/>
        <v>Tank 2 + 3</v>
      </c>
      <c r="FV64" s="152" t="str">
        <f t="shared" si="436"/>
        <v>Tank 2 + 3</v>
      </c>
      <c r="FW64" s="152" t="str">
        <f t="shared" si="437"/>
        <v>Tank 2 + 3</v>
      </c>
      <c r="FX64" s="152" t="str">
        <f t="shared" si="438"/>
        <v>Tank 2 + 3</v>
      </c>
      <c r="FY64" s="152" t="str">
        <f t="shared" si="439"/>
        <v>Tank 2 + 3</v>
      </c>
      <c r="FZ64" s="152" t="str">
        <f t="shared" si="440"/>
        <v>Tank 2 + 3</v>
      </c>
      <c r="GA64" s="152" t="str">
        <f t="shared" si="441"/>
        <v>Tank 2 + 3</v>
      </c>
      <c r="GB64" s="152" t="str">
        <f t="shared" si="442"/>
        <v>Tank 2 + 3</v>
      </c>
      <c r="GC64" s="152" t="str">
        <f t="shared" si="443"/>
        <v>Tank 2 + 3</v>
      </c>
      <c r="GD64" s="152" t="str">
        <f t="shared" si="444"/>
        <v>Tank 2 + 3</v>
      </c>
      <c r="GE64" s="152" t="str">
        <f t="shared" si="445"/>
        <v>Tank 2 + 3</v>
      </c>
      <c r="GF64" s="152" t="str">
        <f t="shared" si="446"/>
        <v>Tank 2 + 3</v>
      </c>
      <c r="GG64" s="152" t="str">
        <f t="shared" si="447"/>
        <v>Tank 2 + 3</v>
      </c>
      <c r="GH64" s="152" t="str">
        <f t="shared" si="448"/>
        <v>Tank 2 + 3</v>
      </c>
      <c r="GI64" s="152" t="str">
        <f t="shared" si="449"/>
        <v>Tank 2 + 3</v>
      </c>
      <c r="GJ64" s="152" t="str">
        <f t="shared" si="450"/>
        <v>Tank 2 + 3</v>
      </c>
      <c r="GK64" s="152" t="str">
        <f t="shared" si="451"/>
        <v>Tank 2 + 3</v>
      </c>
      <c r="GL64" s="152" t="str">
        <f t="shared" si="452"/>
        <v>Tank 2 + 3</v>
      </c>
      <c r="GM64" s="152" t="str">
        <f t="shared" si="453"/>
        <v>Tank 2 + 3</v>
      </c>
      <c r="GN64" s="152" t="str">
        <f t="shared" si="454"/>
        <v>Tank 2 + 3</v>
      </c>
      <c r="GO64" s="152" t="str">
        <f t="shared" si="455"/>
        <v>Tank 2 + 3</v>
      </c>
      <c r="GP64" s="152" t="str">
        <f t="shared" si="456"/>
        <v>Tank 2 + 3</v>
      </c>
      <c r="GQ64" s="152" t="str">
        <f t="shared" si="457"/>
        <v>Tank 2 + 3</v>
      </c>
      <c r="GR64" s="152" t="str">
        <f t="shared" si="458"/>
        <v>Tank 2 + 3</v>
      </c>
      <c r="GS64" s="152" t="str">
        <f t="shared" si="459"/>
        <v>Tank 2 + 3</v>
      </c>
      <c r="GT64" s="152" t="str">
        <f t="shared" si="460"/>
        <v>Tank 2 + 3</v>
      </c>
      <c r="GU64" s="152" t="str">
        <f t="shared" si="461"/>
        <v>Tank 2 + 3</v>
      </c>
      <c r="GV64" s="152" t="str">
        <f t="shared" si="462"/>
        <v>Tank 2 + 3</v>
      </c>
      <c r="GW64" s="152" t="str">
        <f t="shared" si="463"/>
        <v>Tank 2 + 3</v>
      </c>
      <c r="GX64" s="152" t="str">
        <f t="shared" si="464"/>
        <v>Tank 2 + 3</v>
      </c>
      <c r="GY64" s="158" t="str">
        <f t="shared" si="465"/>
        <v xml:space="preserve">Tank 4 + 5 + 6 </v>
      </c>
      <c r="GZ64" s="158" t="str">
        <f t="shared" si="466"/>
        <v xml:space="preserve">Tank 4 + 5 + 6 </v>
      </c>
      <c r="HA64" s="158" t="str">
        <f t="shared" si="467"/>
        <v xml:space="preserve">Tank 4 + 5 + 6 </v>
      </c>
      <c r="HB64" s="158" t="str">
        <f t="shared" si="468"/>
        <v xml:space="preserve">Tank 4 + 5 + 6 </v>
      </c>
      <c r="HC64" s="158" t="str">
        <f t="shared" si="469"/>
        <v xml:space="preserve">Tank 4 + 5 + 6 </v>
      </c>
      <c r="HD64" s="158" t="str">
        <f t="shared" si="470"/>
        <v xml:space="preserve">Tank 4 + 5 + 6 </v>
      </c>
      <c r="HE64" s="158" t="str">
        <f t="shared" si="471"/>
        <v xml:space="preserve">Tank 4 + 5 + 6 </v>
      </c>
      <c r="HF64" s="158" t="str">
        <f t="shared" si="472"/>
        <v xml:space="preserve">Tank 4 + 5 + 6 </v>
      </c>
      <c r="HG64" s="158" t="str">
        <f t="shared" si="473"/>
        <v xml:space="preserve">Tank 4 + 5 + 6 </v>
      </c>
      <c r="HH64" s="158" t="str">
        <f t="shared" si="474"/>
        <v xml:space="preserve">Tank 4 + 5 + 6 </v>
      </c>
      <c r="HI64" s="158" t="str">
        <f t="shared" si="475"/>
        <v xml:space="preserve">Tank 4 + 5 + 6 </v>
      </c>
      <c r="HJ64" s="158" t="str">
        <f t="shared" si="476"/>
        <v xml:space="preserve">Tank 4 + 5 + 6 </v>
      </c>
      <c r="HK64" s="158" t="str">
        <f t="shared" si="477"/>
        <v xml:space="preserve">Tank 4 + 5 + 6 </v>
      </c>
      <c r="HL64" s="158" t="str">
        <f t="shared" si="478"/>
        <v xml:space="preserve">Tank 4 + 5 + 6 </v>
      </c>
      <c r="HM64" s="158" t="str">
        <f t="shared" si="479"/>
        <v xml:space="preserve">Tank 4 + 5 + 6 </v>
      </c>
      <c r="HN64" s="158" t="str">
        <f t="shared" si="480"/>
        <v xml:space="preserve">Tank 4 + 5 + 6 </v>
      </c>
      <c r="HO64" s="158" t="str">
        <f t="shared" si="481"/>
        <v xml:space="preserve">Tank 4 + 5 + 6 </v>
      </c>
      <c r="HP64" s="158" t="str">
        <f t="shared" si="482"/>
        <v xml:space="preserve">Tank 4 + 5 + 6 </v>
      </c>
      <c r="HQ64" s="158" t="str">
        <f t="shared" si="483"/>
        <v xml:space="preserve">Tank 4 + 5 + 6 </v>
      </c>
      <c r="HR64" s="158" t="str">
        <f t="shared" si="484"/>
        <v xml:space="preserve">Tank 4 + 5 + 6 </v>
      </c>
      <c r="HS64" s="158" t="str">
        <f t="shared" si="485"/>
        <v xml:space="preserve">Tank 4 + 5 + 6 </v>
      </c>
      <c r="HT64" s="158" t="str">
        <f t="shared" si="486"/>
        <v xml:space="preserve">Tank 4 + 5 + 6 </v>
      </c>
      <c r="HU64" s="158" t="str">
        <f t="shared" si="487"/>
        <v xml:space="preserve">Tank 4 + 5 + 6 </v>
      </c>
      <c r="HV64" s="158" t="str">
        <f t="shared" si="488"/>
        <v xml:space="preserve">Tank 4 + 5 + 6 </v>
      </c>
      <c r="HW64" s="158" t="str">
        <f t="shared" si="489"/>
        <v xml:space="preserve">Tank 4 + 5 + 6 </v>
      </c>
      <c r="HX64" s="158" t="str">
        <f t="shared" si="490"/>
        <v xml:space="preserve">Tank 4 + 5 + 6 </v>
      </c>
      <c r="HY64" s="158" t="str">
        <f t="shared" si="374"/>
        <v xml:space="preserve">Tank 4 + 5 + 6 </v>
      </c>
      <c r="HZ64" s="158" t="str">
        <f t="shared" si="501"/>
        <v xml:space="preserve">Tank 4 + 5 + 6 </v>
      </c>
      <c r="IA64" s="158" t="str">
        <f t="shared" si="502"/>
        <v xml:space="preserve">Tank 4 + 5 + 6 </v>
      </c>
      <c r="IB64" s="158" t="str">
        <f t="shared" si="503"/>
        <v xml:space="preserve">Tank 4 + 5 + 6 </v>
      </c>
      <c r="IC64" s="158" t="str">
        <f t="shared" si="504"/>
        <v xml:space="preserve">Tank 4 + 5 + 6 </v>
      </c>
      <c r="ID64" s="158" t="str">
        <f t="shared" si="505"/>
        <v xml:space="preserve">Tank 4 + 5 + 6 </v>
      </c>
      <c r="IE64" s="158" t="str">
        <f t="shared" si="506"/>
        <v xml:space="preserve">Tank 4 + 5 + 6 </v>
      </c>
      <c r="IF64" s="158" t="str">
        <f t="shared" si="507"/>
        <v xml:space="preserve">Tank 4 + 5 + 6 </v>
      </c>
      <c r="IG64" s="158" t="str">
        <f t="shared" si="508"/>
        <v xml:space="preserve">Tank 4 + 5 + 6 </v>
      </c>
      <c r="IH64" s="158" t="str">
        <f t="shared" si="509"/>
        <v xml:space="preserve">Tank 4 + 5 + 6 </v>
      </c>
      <c r="II64" s="158" t="str">
        <f t="shared" si="510"/>
        <v xml:space="preserve">Tank 4 + 5 + 6 </v>
      </c>
      <c r="IJ64" s="158" t="str">
        <f t="shared" si="511"/>
        <v xml:space="preserve">Tank 4 + 5 + 6 </v>
      </c>
      <c r="IK64" s="158" t="str">
        <f t="shared" si="512"/>
        <v xml:space="preserve">Tank 4 + 5 + 6 </v>
      </c>
      <c r="IL64" s="158" t="str">
        <f t="shared" si="513"/>
        <v xml:space="preserve">Tank 4 + 5 + 6 </v>
      </c>
      <c r="IM64" s="158" t="str">
        <f t="shared" si="514"/>
        <v xml:space="preserve">Tank 4 + 5 + 6 </v>
      </c>
      <c r="IN64" s="158" t="str">
        <f t="shared" si="515"/>
        <v xml:space="preserve">Tank 4 + 5 + 6 </v>
      </c>
      <c r="IO64" s="158" t="str">
        <f t="shared" si="492"/>
        <v xml:space="preserve">Tank 4 + 5 + 6 </v>
      </c>
      <c r="IP64" s="158" t="str">
        <f t="shared" si="493"/>
        <v xml:space="preserve">Tank 4 + 5 + 6 </v>
      </c>
      <c r="IQ64" s="158" t="str">
        <f t="shared" si="494"/>
        <v xml:space="preserve">Tank 4 + 5 + 6 </v>
      </c>
      <c r="IR64" s="158" t="str">
        <f t="shared" si="495"/>
        <v xml:space="preserve">Tank 4 + 5 + 6 </v>
      </c>
      <c r="IS64" s="158" t="str">
        <f t="shared" si="496"/>
        <v xml:space="preserve">Tank 4 + 5 + 6 </v>
      </c>
      <c r="IT64" s="158" t="str">
        <f t="shared" si="497"/>
        <v xml:space="preserve">Tank 4 + 5 + 6 </v>
      </c>
      <c r="IU64" s="158" t="str">
        <f t="shared" si="498"/>
        <v xml:space="preserve">Tank 4 + 5 + 6 </v>
      </c>
      <c r="IV64" s="158" t="str">
        <f t="shared" si="499"/>
        <v xml:space="preserve">Tank 4 + 5 + 6 </v>
      </c>
      <c r="IW64" s="158" t="str">
        <f t="shared" si="500"/>
        <v xml:space="preserve">Tank 4 + 5 + 6 </v>
      </c>
      <c r="IX64" s="184"/>
      <c r="IY64" s="184"/>
      <c r="IZ64" s="184"/>
      <c r="JA64" s="184"/>
      <c r="JB64" s="184"/>
      <c r="JC64" s="184"/>
      <c r="JD64" s="23"/>
      <c r="JE64" s="23"/>
      <c r="JF64" s="23"/>
      <c r="JG64" s="23"/>
      <c r="JH64" s="23"/>
      <c r="JI64" s="23"/>
      <c r="JJ64" s="23"/>
      <c r="JK64" s="23"/>
      <c r="JL64" s="23"/>
      <c r="JM64" s="23"/>
      <c r="JN64" s="23"/>
      <c r="JO64" s="23"/>
      <c r="JP64" s="23"/>
      <c r="JQ64" s="23"/>
      <c r="JR64" s="23"/>
      <c r="JS64" s="23"/>
      <c r="JT64" s="23"/>
      <c r="JU64" s="23"/>
      <c r="JV64" s="23"/>
      <c r="JW64" s="23"/>
      <c r="JX64" s="23"/>
      <c r="JY64" s="23"/>
      <c r="JZ64" s="23"/>
      <c r="KA64" s="23"/>
      <c r="KB64" s="23"/>
      <c r="KC64" s="23"/>
      <c r="KD64" s="23"/>
      <c r="KE64" s="23"/>
      <c r="KF64" s="23"/>
      <c r="KG64" s="23"/>
      <c r="KH64" s="23"/>
      <c r="KI64" s="23"/>
      <c r="KJ64" s="23"/>
      <c r="KK64" s="23"/>
      <c r="KL64" s="23"/>
      <c r="KM64" s="23"/>
      <c r="KN64" s="23"/>
      <c r="KO64" s="23"/>
      <c r="KP64" s="23"/>
      <c r="KQ64" s="23"/>
      <c r="KR64" s="23"/>
      <c r="KS64" s="23"/>
      <c r="KT64" s="23"/>
      <c r="KU64" s="23"/>
      <c r="KV64" s="23"/>
      <c r="KW64" s="23"/>
      <c r="KX64" s="23"/>
      <c r="KY64" s="23"/>
      <c r="KZ64" s="23"/>
      <c r="LA64" s="23"/>
      <c r="LB64" s="23"/>
      <c r="LC64" s="23"/>
      <c r="LD64" s="23"/>
      <c r="LE64" s="23"/>
      <c r="LF64" s="23"/>
      <c r="LG64" s="23"/>
      <c r="LH64" s="23"/>
      <c r="LI64" s="23"/>
      <c r="LJ64" s="23"/>
      <c r="LK64" s="23"/>
      <c r="LL64" s="23"/>
      <c r="LM64" s="23"/>
      <c r="LN64" s="23"/>
      <c r="LO64" s="23"/>
      <c r="LP64" s="23"/>
      <c r="LQ64" s="23"/>
      <c r="LR64" s="23"/>
      <c r="LS64" s="23"/>
      <c r="LT64" s="23"/>
      <c r="LU64" s="23"/>
      <c r="LV64" s="23"/>
      <c r="LW64" s="23"/>
      <c r="LX64" s="23"/>
      <c r="LY64" s="23"/>
      <c r="LZ64" s="23"/>
      <c r="MA64" s="23"/>
      <c r="MB64" s="23"/>
      <c r="MC64" s="23"/>
      <c r="MD64" s="23"/>
      <c r="ME64" s="23"/>
      <c r="MF64" s="23"/>
      <c r="MG64" s="23"/>
      <c r="MH64" s="23"/>
      <c r="MI64" s="23"/>
      <c r="MJ64" s="23"/>
      <c r="MK64" s="23"/>
      <c r="ML64" s="23"/>
      <c r="MM64" s="23"/>
      <c r="MN64" s="23"/>
      <c r="MO64" s="23"/>
      <c r="MP64" s="23"/>
      <c r="MQ64" s="23"/>
      <c r="MR64" s="23"/>
      <c r="MS64" s="23"/>
      <c r="MT64" s="23"/>
      <c r="MU64" s="23"/>
      <c r="MV64" s="23"/>
      <c r="MW64" s="23"/>
      <c r="MX64" s="23"/>
      <c r="MY64" s="23"/>
      <c r="MZ64" s="23"/>
      <c r="NA64" s="23"/>
      <c r="NB64" s="23"/>
      <c r="NC64" s="23"/>
      <c r="ND64" s="23"/>
      <c r="NE64" s="23"/>
      <c r="NF64" s="23"/>
      <c r="NG64" s="23"/>
      <c r="NH64" s="184"/>
      <c r="NI64" s="184"/>
      <c r="NJ64" s="184"/>
      <c r="NK64" s="184"/>
      <c r="NL64" s="184"/>
      <c r="NM64" s="184"/>
      <c r="NN64" s="184"/>
      <c r="NO64" s="184"/>
      <c r="NP64" s="184"/>
      <c r="NQ64" s="184"/>
      <c r="NR64" s="184"/>
      <c r="NS64" s="184"/>
      <c r="NT64" s="184"/>
      <c r="NU64" s="184"/>
      <c r="NV64" s="184"/>
      <c r="NW64" s="184"/>
      <c r="NX64" s="184"/>
      <c r="NY64" s="184"/>
      <c r="NZ64" s="184"/>
      <c r="OA64" s="184"/>
      <c r="OB64" s="184"/>
      <c r="OC64" s="184"/>
      <c r="OD64" s="184"/>
      <c r="OE64" s="184"/>
      <c r="OF64" s="184"/>
      <c r="OG64" s="184"/>
      <c r="OH64" s="184"/>
      <c r="OI64" s="184"/>
      <c r="OJ64" s="184"/>
      <c r="OK64" s="184"/>
      <c r="OL64" s="184"/>
      <c r="OM64" s="184"/>
      <c r="ON64" s="184"/>
      <c r="OO64" s="184"/>
      <c r="OP64" s="184"/>
      <c r="OQ64" s="184"/>
      <c r="OR64" s="184"/>
      <c r="OS64" s="184"/>
      <c r="OT64" s="184"/>
      <c r="OU64" s="184"/>
      <c r="OV64" s="184"/>
      <c r="OW64" s="184"/>
      <c r="OX64" s="184"/>
      <c r="OY64" s="184"/>
      <c r="OZ64" s="184"/>
      <c r="PA64" s="184"/>
      <c r="PB64" s="184"/>
      <c r="PC64" s="184"/>
      <c r="PD64" s="184"/>
      <c r="PE64" s="184"/>
      <c r="PF64" s="184"/>
      <c r="PG64" s="184"/>
      <c r="PH64" s="184"/>
      <c r="PI64" s="184"/>
      <c r="PJ64" s="184"/>
      <c r="PK64" s="184"/>
      <c r="PL64" s="184"/>
      <c r="PM64" s="184"/>
      <c r="PN64" s="184"/>
      <c r="PO64" s="184"/>
      <c r="PP64" s="184"/>
      <c r="PQ64" s="184"/>
      <c r="PR64" s="184"/>
      <c r="PS64" s="184"/>
      <c r="PT64" s="184"/>
      <c r="PU64" s="184"/>
      <c r="PV64" s="184"/>
      <c r="PW64" s="184"/>
      <c r="PX64" s="184"/>
      <c r="PY64" s="184"/>
      <c r="PZ64" s="184"/>
      <c r="QA64" s="184"/>
      <c r="QB64" s="184"/>
      <c r="QC64" s="184"/>
      <c r="QD64" s="184"/>
      <c r="QE64" s="184"/>
      <c r="QF64" s="184"/>
      <c r="QG64" s="184"/>
      <c r="QH64" s="184"/>
      <c r="QI64" s="184"/>
      <c r="QJ64" s="184"/>
      <c r="QK64" s="184"/>
      <c r="QL64" s="184"/>
      <c r="QM64" s="184"/>
      <c r="QN64" s="184"/>
      <c r="QO64" s="184"/>
      <c r="QP64" s="184"/>
      <c r="QQ64" s="184"/>
      <c r="QR64" s="184"/>
      <c r="QS64" s="184"/>
      <c r="QT64" s="184"/>
      <c r="QU64" s="184"/>
      <c r="QV64" s="184"/>
      <c r="QW64" s="184"/>
      <c r="QX64" s="184"/>
      <c r="QY64" s="184"/>
      <c r="QZ64" s="184"/>
      <c r="RA64" s="184"/>
      <c r="RB64" s="184"/>
      <c r="RC64" s="184"/>
      <c r="RD64" s="184"/>
      <c r="RE64" s="184"/>
      <c r="RF64" s="184"/>
      <c r="RG64" s="184"/>
      <c r="RH64" s="184"/>
      <c r="RI64" s="184"/>
      <c r="RJ64" s="184"/>
      <c r="RK64" s="184"/>
      <c r="RL64" s="184"/>
      <c r="RM64" s="184"/>
      <c r="RN64" s="184"/>
      <c r="RO64" s="184"/>
      <c r="RP64" s="184"/>
      <c r="RQ64" s="184"/>
      <c r="RR64" s="184"/>
      <c r="RS64" s="184"/>
      <c r="RT64" s="184"/>
      <c r="RU64" s="184"/>
      <c r="RV64" s="184"/>
      <c r="RW64" s="184"/>
      <c r="RX64" s="184"/>
      <c r="RY64" s="184"/>
      <c r="RZ64" s="184"/>
      <c r="SA64" s="184"/>
      <c r="SB64" s="185"/>
      <c r="SC64" s="185"/>
      <c r="SD64" s="185"/>
      <c r="SE64" s="185"/>
      <c r="SF64" s="185"/>
      <c r="SG64" s="185"/>
      <c r="SH64" s="185"/>
      <c r="SI64" s="185"/>
      <c r="SJ64" s="185"/>
      <c r="SK64" s="185"/>
      <c r="SL64" s="185"/>
      <c r="SM64" s="185"/>
      <c r="SN64" s="185"/>
      <c r="SO64" s="185"/>
      <c r="SP64" s="185"/>
      <c r="SQ64" s="185"/>
      <c r="SR64" s="185"/>
      <c r="SS64" s="185"/>
      <c r="ST64" s="185"/>
      <c r="SU64" s="185"/>
      <c r="SV64" s="185"/>
      <c r="SW64" s="185"/>
      <c r="SX64" s="185"/>
      <c r="SY64" s="185"/>
      <c r="SZ64" s="185"/>
      <c r="TA64" s="185"/>
      <c r="TB64" s="11"/>
      <c r="TC64" s="11"/>
      <c r="TD64" s="11"/>
      <c r="TE64" s="11"/>
    </row>
    <row r="65" spans="1:605" ht="22.15" customHeight="1" thickBot="1" x14ac:dyDescent="0.3">
      <c r="A65" s="299"/>
      <c r="B65" s="26" t="s">
        <v>20</v>
      </c>
      <c r="BY65" s="184"/>
      <c r="BZ65" s="184"/>
      <c r="CA65" s="184"/>
      <c r="CB65" s="184"/>
      <c r="CC65" s="184"/>
      <c r="CD65" s="184"/>
      <c r="CE65" s="184"/>
      <c r="CF65" s="184"/>
      <c r="CG65" s="184"/>
      <c r="CH65" s="184"/>
      <c r="CI65" s="184"/>
      <c r="CJ65" s="184"/>
      <c r="CK65" s="184"/>
      <c r="CL65" s="184"/>
      <c r="CM65" s="184"/>
      <c r="CN65" s="184"/>
      <c r="CO65" s="184"/>
      <c r="CP65" s="184"/>
      <c r="CQ65" s="184"/>
      <c r="CR65" s="184"/>
      <c r="CS65" s="184"/>
      <c r="CT65" s="184"/>
      <c r="CU65" s="184"/>
      <c r="CV65" s="184"/>
      <c r="CW65" s="184"/>
      <c r="CX65" s="184"/>
      <c r="CY65" s="184"/>
      <c r="CZ65" s="184"/>
      <c r="DA65" s="126">
        <f t="shared" si="348"/>
        <v>4.166666666666667</v>
      </c>
      <c r="DB65" s="127">
        <f t="shared" si="349"/>
        <v>4.5764880952380951</v>
      </c>
      <c r="DC65" s="127">
        <f t="shared" si="350"/>
        <v>5.0241666985544224</v>
      </c>
      <c r="DD65" s="127">
        <f t="shared" si="351"/>
        <v>5.5050764092090345</v>
      </c>
      <c r="DE65" s="127">
        <f t="shared" si="378"/>
        <v>6.0300868541293902</v>
      </c>
      <c r="DF65" s="127">
        <f t="shared" si="353"/>
        <v>6.6009350763203054</v>
      </c>
      <c r="DG65" s="127">
        <f t="shared" si="354"/>
        <v>7.210269669399942</v>
      </c>
      <c r="DH65" s="127">
        <f t="shared" si="355"/>
        <v>7.8721226990531363</v>
      </c>
      <c r="DI65" s="127">
        <f t="shared" si="356"/>
        <v>8.5768778193310791</v>
      </c>
      <c r="DJ65" s="127">
        <f t="shared" si="357"/>
        <v>9.3389116079570709</v>
      </c>
      <c r="DK65" s="127">
        <f t="shared" si="358"/>
        <v>10.159152963083063</v>
      </c>
      <c r="DL65" s="127">
        <f t="shared" si="359"/>
        <v>11.026067349266151</v>
      </c>
      <c r="DM65" s="127">
        <f t="shared" si="360"/>
        <v>11.955932362387598</v>
      </c>
      <c r="DN65" s="127">
        <f t="shared" si="361"/>
        <v>12.935534820538635</v>
      </c>
      <c r="DO65" s="127">
        <f t="shared" si="362"/>
        <v>13.982676967158632</v>
      </c>
      <c r="DP65" s="127">
        <f t="shared" si="379"/>
        <v>15.080091582032725</v>
      </c>
      <c r="DQ65" s="127">
        <f t="shared" si="380"/>
        <v>16.246609634088035</v>
      </c>
      <c r="DR65" s="127">
        <f t="shared" si="381"/>
        <v>17.462268647025983</v>
      </c>
      <c r="DS65" s="127">
        <f t="shared" si="382"/>
        <v>18.749487307292473</v>
      </c>
      <c r="DT65" s="127">
        <f t="shared" si="383"/>
        <v>20.088903806807178</v>
      </c>
      <c r="DU65" s="127">
        <f t="shared" si="384"/>
        <v>21.502032633967268</v>
      </c>
      <c r="DV65" s="127">
        <f t="shared" si="385"/>
        <v>22.96747885809765</v>
      </c>
      <c r="DW65" s="127">
        <f t="shared" si="386"/>
        <v>24.50453321244726</v>
      </c>
      <c r="DX65" s="127">
        <f t="shared" si="387"/>
        <v>26.092872501581343</v>
      </c>
      <c r="DY65" s="127">
        <f t="shared" si="388"/>
        <v>27.756490796833685</v>
      </c>
      <c r="DZ65" s="127">
        <f t="shared" si="389"/>
        <v>29.500944188125594</v>
      </c>
      <c r="EA65" s="127">
        <f t="shared" si="390"/>
        <v>31.300061471001431</v>
      </c>
      <c r="EB65" s="127">
        <f t="shared" si="391"/>
        <v>33.180868149841011</v>
      </c>
      <c r="EC65" s="127">
        <f t="shared" si="392"/>
        <v>35.115117581399382</v>
      </c>
      <c r="ED65" s="127">
        <f t="shared" si="393"/>
        <v>37.131138449602076</v>
      </c>
      <c r="EE65" s="127">
        <f t="shared" si="394"/>
        <v>39.23013986431193</v>
      </c>
      <c r="EF65" s="127">
        <f t="shared" si="395"/>
        <v>41.380406371077548</v>
      </c>
      <c r="EG65" s="127">
        <f t="shared" si="396"/>
        <v>43.612549450978278</v>
      </c>
      <c r="EH65" s="127">
        <f t="shared" si="397"/>
        <v>45.927174901550487</v>
      </c>
      <c r="EI65" s="127">
        <f t="shared" si="398"/>
        <v>48.289143896487367</v>
      </c>
      <c r="EJ65" s="127">
        <f t="shared" si="399"/>
        <v>50.731194887824017</v>
      </c>
      <c r="EK65" s="127">
        <f t="shared" si="400"/>
        <v>53.209163674739131</v>
      </c>
      <c r="EL65" s="127">
        <f t="shared" si="401"/>
        <v>55.763203531126614</v>
      </c>
      <c r="EM65" s="127">
        <f t="shared" si="402"/>
        <v>58.384859494322392</v>
      </c>
      <c r="EN65" s="127">
        <f t="shared" si="403"/>
        <v>61.04137060131405</v>
      </c>
      <c r="EO65" s="127">
        <f t="shared" si="404"/>
        <v>63.767885154839412</v>
      </c>
      <c r="EP65" s="127">
        <f t="shared" si="405"/>
        <v>66.554187470077267</v>
      </c>
      <c r="EQ65" s="127">
        <f t="shared" si="406"/>
        <v>69.36587396538846</v>
      </c>
      <c r="ER65" s="127">
        <f t="shared" si="407"/>
        <v>72.229829364452598</v>
      </c>
      <c r="ES65" s="127">
        <f t="shared" si="408"/>
        <v>75.152663829419623</v>
      </c>
      <c r="ET65" s="127">
        <f t="shared" si="409"/>
        <v>78.089711177996406</v>
      </c>
      <c r="EU65" s="127">
        <f t="shared" si="410"/>
        <v>81.078225530105684</v>
      </c>
      <c r="EV65" s="127">
        <f t="shared" si="411"/>
        <v>84.115372032395584</v>
      </c>
      <c r="EW65" s="127">
        <f t="shared" si="412"/>
        <v>87.154740808499469</v>
      </c>
      <c r="EX65" s="127">
        <f t="shared" si="413"/>
        <v>90.234208317066447</v>
      </c>
      <c r="EY65" s="127">
        <f t="shared" si="414"/>
        <v>93.306920568705493</v>
      </c>
      <c r="EZ65" s="182">
        <f t="shared" si="415"/>
        <v>46.560153363784046</v>
      </c>
      <c r="FA65" s="182">
        <f t="shared" si="416"/>
        <v>48.07213308091324</v>
      </c>
      <c r="FB65" s="182">
        <f t="shared" si="417"/>
        <v>49.574231161337615</v>
      </c>
      <c r="FC65" s="182">
        <f t="shared" si="418"/>
        <v>51.084635658798625</v>
      </c>
      <c r="FD65" s="182">
        <f t="shared" si="419"/>
        <v>52.614520981255644</v>
      </c>
      <c r="FE65" s="182">
        <f t="shared" si="420"/>
        <v>54.141691179993622</v>
      </c>
      <c r="FF65" s="182">
        <f t="shared" si="421"/>
        <v>55.678482260410362</v>
      </c>
      <c r="FG65" s="182">
        <f t="shared" si="422"/>
        <v>57.230341496745396</v>
      </c>
      <c r="FH65" s="182">
        <f t="shared" si="423"/>
        <v>58.796104942310194</v>
      </c>
      <c r="FI65" s="182">
        <f t="shared" si="424"/>
        <v>60.353085341542005</v>
      </c>
      <c r="FJ65" s="182">
        <f t="shared" si="425"/>
        <v>61.920737634210916</v>
      </c>
      <c r="FK65" s="182">
        <f t="shared" si="426"/>
        <v>63.489918858814598</v>
      </c>
      <c r="FL65" s="182">
        <f t="shared" si="427"/>
        <v>65.066719122118315</v>
      </c>
      <c r="FM65" s="182">
        <f t="shared" si="372"/>
        <v>66.62832038104915</v>
      </c>
      <c r="FN65" s="182">
        <f t="shared" si="428"/>
        <v>68.202414450051435</v>
      </c>
      <c r="FO65" s="182">
        <f t="shared" si="429"/>
        <v>69.788120586015125</v>
      </c>
      <c r="FP65" s="182">
        <f t="shared" si="430"/>
        <v>71.384523844420229</v>
      </c>
      <c r="FQ65" s="182">
        <f t="shared" si="431"/>
        <v>72.990675630919668</v>
      </c>
      <c r="FR65" s="182">
        <f t="shared" si="432"/>
        <v>74.583854822468638</v>
      </c>
      <c r="FS65" s="182">
        <f t="shared" si="433"/>
        <v>76.184184941992712</v>
      </c>
      <c r="FT65" s="182">
        <f t="shared" si="434"/>
        <v>77.790636644226339</v>
      </c>
      <c r="FU65" s="182">
        <f t="shared" si="435"/>
        <v>79.402151314461051</v>
      </c>
      <c r="FV65" s="182">
        <f t="shared" si="436"/>
        <v>80.996004254261095</v>
      </c>
      <c r="FW65" s="182">
        <f t="shared" si="437"/>
        <v>82.592218191759684</v>
      </c>
      <c r="FX65" s="182">
        <f t="shared" si="438"/>
        <v>84.199744779979795</v>
      </c>
      <c r="FY65" s="182">
        <f t="shared" si="439"/>
        <v>85.818022801604783</v>
      </c>
      <c r="FZ65" s="182">
        <f t="shared" si="440"/>
        <v>87.446472112327925</v>
      </c>
      <c r="GA65" s="182">
        <f t="shared" si="441"/>
        <v>89.062651488476234</v>
      </c>
      <c r="GB65" s="182">
        <f t="shared" si="442"/>
        <v>90.687240095145555</v>
      </c>
      <c r="GC65" s="182">
        <f t="shared" si="443"/>
        <v>92.319610416858183</v>
      </c>
      <c r="GD65" s="182">
        <f t="shared" si="444"/>
        <v>93.95911771510454</v>
      </c>
      <c r="GE65" s="182">
        <f t="shared" si="445"/>
        <v>95.605100331463134</v>
      </c>
      <c r="GF65" s="182">
        <f t="shared" si="446"/>
        <v>97.256880016707925</v>
      </c>
      <c r="GG65" s="182">
        <f t="shared" si="447"/>
        <v>98.91376228590822</v>
      </c>
      <c r="GH65" s="182">
        <f t="shared" si="448"/>
        <v>100.56468008025162</v>
      </c>
      <c r="GI65" s="182">
        <f t="shared" si="449"/>
        <v>102.23118049301006</v>
      </c>
      <c r="GJ65" s="182">
        <f t="shared" si="450"/>
        <v>103.91312681969268</v>
      </c>
      <c r="GK65" s="182">
        <f t="shared" si="451"/>
        <v>105.61037455774766</v>
      </c>
      <c r="GL65" s="182">
        <f t="shared" si="452"/>
        <v>107.32277134521972</v>
      </c>
      <c r="GM65" s="182">
        <f t="shared" si="453"/>
        <v>109.05015690306182</v>
      </c>
      <c r="GN65" s="182">
        <f t="shared" si="454"/>
        <v>110.76930055306305</v>
      </c>
      <c r="GO65" s="182">
        <f t="shared" si="455"/>
        <v>112.50251431465804</v>
      </c>
      <c r="GP65" s="182">
        <f t="shared" si="456"/>
        <v>114.24961218401506</v>
      </c>
      <c r="GQ65" s="182">
        <f t="shared" si="457"/>
        <v>116.01040032473342</v>
      </c>
      <c r="GR65" s="182">
        <f t="shared" si="458"/>
        <v>117.78467703558228</v>
      </c>
      <c r="GS65" s="182">
        <f t="shared" si="459"/>
        <v>119.57223272235758</v>
      </c>
      <c r="GT65" s="182">
        <f t="shared" si="460"/>
        <v>121.37284987394132</v>
      </c>
      <c r="GU65" s="182">
        <f t="shared" si="461"/>
        <v>123.18630304264609</v>
      </c>
      <c r="GV65" s="182">
        <f t="shared" si="462"/>
        <v>124.98826082436294</v>
      </c>
      <c r="GW65" s="182">
        <f t="shared" si="463"/>
        <v>126.80204395818626</v>
      </c>
      <c r="GX65" s="182">
        <f t="shared" si="464"/>
        <v>128.62740361423548</v>
      </c>
      <c r="GY65" s="183">
        <f t="shared" si="465"/>
        <v>85.580099204671342</v>
      </c>
      <c r="GZ65" s="183">
        <f t="shared" si="466"/>
        <v>86.792152237593314</v>
      </c>
      <c r="HA65" s="183">
        <f t="shared" si="467"/>
        <v>88.011279213209733</v>
      </c>
      <c r="HB65" s="183">
        <f t="shared" si="468"/>
        <v>89.237296800389089</v>
      </c>
      <c r="HC65" s="183">
        <f t="shared" si="469"/>
        <v>90.470016667817731</v>
      </c>
      <c r="HD65" s="183">
        <f t="shared" si="470"/>
        <v>91.692921720706849</v>
      </c>
      <c r="HE65" s="183">
        <f t="shared" si="471"/>
        <v>92.921817660090127</v>
      </c>
      <c r="HF65" s="183">
        <f t="shared" si="472"/>
        <v>94.16718363010925</v>
      </c>
      <c r="HG65" s="183">
        <f t="shared" si="473"/>
        <v>95.418416552826571</v>
      </c>
      <c r="HH65" s="183">
        <f t="shared" si="474"/>
        <v>96.67530741914311</v>
      </c>
      <c r="HI65" s="183">
        <f t="shared" si="475"/>
        <v>97.937642467742506</v>
      </c>
      <c r="HJ65" s="183">
        <f t="shared" si="476"/>
        <v>99.205203219681337</v>
      </c>
      <c r="HK65" s="183">
        <f t="shared" si="477"/>
        <v>100.46105090589411</v>
      </c>
      <c r="HL65" s="183">
        <f t="shared" si="478"/>
        <v>101.7213804536226</v>
      </c>
      <c r="HM65" s="183">
        <f t="shared" si="479"/>
        <v>102.98596216062559</v>
      </c>
      <c r="HN65" s="183">
        <f t="shared" si="480"/>
        <v>104.2662649174861</v>
      </c>
      <c r="HO65" s="183">
        <f t="shared" si="481"/>
        <v>105.5506357262424</v>
      </c>
      <c r="HP65" s="183">
        <f t="shared" si="482"/>
        <v>106.8388332577195</v>
      </c>
      <c r="HQ65" s="183">
        <f t="shared" si="483"/>
        <v>108.13061187801738</v>
      </c>
      <c r="HR65" s="183">
        <f t="shared" si="484"/>
        <v>109.40874000942945</v>
      </c>
      <c r="HS65" s="183">
        <f t="shared" si="485"/>
        <v>110.70197590257463</v>
      </c>
      <c r="HT65" s="183">
        <f t="shared" si="486"/>
        <v>111.99805971033285</v>
      </c>
      <c r="HU65" s="183">
        <f t="shared" si="487"/>
        <v>113.2967338409066</v>
      </c>
      <c r="HV65" s="183">
        <f t="shared" si="488"/>
        <v>114.59773678456285</v>
      </c>
      <c r="HW65" s="183">
        <f t="shared" si="489"/>
        <v>115.90080318485475</v>
      </c>
      <c r="HX65" s="183">
        <f t="shared" si="490"/>
        <v>117.20566391284602</v>
      </c>
      <c r="HY65" s="183">
        <f t="shared" si="374"/>
        <v>118.49492621588733</v>
      </c>
      <c r="HZ65" s="183">
        <f t="shared" si="501"/>
        <v>104.98650462727618</v>
      </c>
      <c r="IA65" s="183">
        <f t="shared" si="502"/>
        <v>106.12969101099542</v>
      </c>
      <c r="IB65" s="183">
        <f t="shared" si="503"/>
        <v>92.112148806193915</v>
      </c>
      <c r="IC65" s="183">
        <f t="shared" si="504"/>
        <v>93.094678393460001</v>
      </c>
      <c r="ID65" s="183">
        <f t="shared" si="505"/>
        <v>94.077344443168741</v>
      </c>
      <c r="IE65" s="183">
        <f t="shared" si="506"/>
        <v>95.059930040686254</v>
      </c>
      <c r="IF65" s="183">
        <f t="shared" si="507"/>
        <v>96.029332404178092</v>
      </c>
      <c r="IG65" s="183">
        <f t="shared" si="508"/>
        <v>80.993179133302633</v>
      </c>
      <c r="IH65" s="183">
        <f t="shared" si="509"/>
        <v>81.810231204119916</v>
      </c>
      <c r="II65" s="183">
        <f t="shared" si="510"/>
        <v>66.264489248277698</v>
      </c>
      <c r="IJ65" s="183">
        <f t="shared" si="511"/>
        <v>66.918395966354112</v>
      </c>
      <c r="IK65" s="183">
        <f t="shared" si="512"/>
        <v>67.571401852267556</v>
      </c>
      <c r="IL65" s="183">
        <f t="shared" si="513"/>
        <v>68.223354498710307</v>
      </c>
      <c r="IM65" s="183">
        <f t="shared" si="514"/>
        <v>68.881597413544029</v>
      </c>
      <c r="IN65" s="183">
        <f t="shared" si="515"/>
        <v>52.318222527794894</v>
      </c>
      <c r="IO65" s="183">
        <f t="shared" si="492"/>
        <v>52.811508625914108</v>
      </c>
      <c r="IP65" s="183">
        <f t="shared" si="493"/>
        <v>35.699806036119753</v>
      </c>
      <c r="IQ65" s="183">
        <f t="shared" si="494"/>
        <v>36.028089035104067</v>
      </c>
      <c r="IR65" s="183">
        <f t="shared" si="495"/>
        <v>36.355474713727411</v>
      </c>
      <c r="IS65" s="183">
        <f t="shared" si="496"/>
        <v>36.685835331778243</v>
      </c>
      <c r="IT65" s="183">
        <f t="shared" si="497"/>
        <v>37.015210331604855</v>
      </c>
      <c r="IU65" s="183">
        <f t="shared" si="498"/>
        <v>18.835913987874051</v>
      </c>
      <c r="IV65" s="183">
        <f t="shared" si="499"/>
        <v>19.002980355418675</v>
      </c>
      <c r="IW65" s="183">
        <f t="shared" si="500"/>
        <v>-3.8414937896748588E-2</v>
      </c>
      <c r="IX65" s="184"/>
      <c r="IY65" s="184"/>
      <c r="IZ65" s="184"/>
      <c r="JA65" s="184"/>
      <c r="JB65" s="184"/>
      <c r="JC65" s="184"/>
      <c r="JD65" s="133"/>
      <c r="JE65" s="133"/>
      <c r="JF65" s="133"/>
      <c r="JG65" s="133"/>
      <c r="JH65" s="133"/>
      <c r="JI65" s="133"/>
      <c r="JJ65" s="133"/>
      <c r="JK65" s="133"/>
      <c r="JL65" s="133"/>
      <c r="JM65" s="133"/>
      <c r="JN65" s="133"/>
      <c r="JO65" s="133"/>
      <c r="JP65" s="133"/>
      <c r="JQ65" s="133"/>
      <c r="JR65" s="133"/>
      <c r="JS65" s="133"/>
      <c r="JT65" s="133"/>
      <c r="JU65" s="133"/>
      <c r="JV65" s="133"/>
      <c r="JW65" s="133"/>
      <c r="JX65" s="133"/>
      <c r="JY65" s="133"/>
      <c r="JZ65" s="133"/>
      <c r="KA65" s="133"/>
      <c r="KB65" s="133"/>
      <c r="KC65" s="133"/>
      <c r="KD65" s="133"/>
      <c r="KE65" s="133"/>
      <c r="KF65" s="133"/>
      <c r="KG65" s="133"/>
      <c r="KH65" s="133"/>
      <c r="KI65" s="133"/>
      <c r="KJ65" s="133"/>
      <c r="KK65" s="133"/>
      <c r="KL65" s="133"/>
      <c r="KM65" s="133"/>
      <c r="KN65" s="133"/>
      <c r="KO65" s="133"/>
      <c r="KP65" s="133"/>
      <c r="KQ65" s="133"/>
      <c r="KR65" s="133"/>
      <c r="KS65" s="133"/>
      <c r="KT65" s="133"/>
      <c r="KU65" s="133"/>
      <c r="KV65" s="133"/>
      <c r="KW65" s="133"/>
      <c r="KX65" s="133"/>
      <c r="KY65" s="133"/>
      <c r="KZ65" s="133"/>
      <c r="LA65" s="133"/>
      <c r="LB65" s="133"/>
      <c r="LC65" s="133"/>
      <c r="LD65" s="133"/>
      <c r="LE65" s="133"/>
      <c r="LF65" s="133"/>
      <c r="LG65" s="133"/>
      <c r="LH65" s="133"/>
      <c r="LI65" s="133"/>
      <c r="LJ65" s="133"/>
      <c r="LK65" s="133"/>
      <c r="LL65" s="133"/>
      <c r="LM65" s="133"/>
      <c r="LN65" s="133"/>
      <c r="LO65" s="133"/>
      <c r="LP65" s="133"/>
      <c r="LQ65" s="133"/>
      <c r="LR65" s="133"/>
      <c r="LS65" s="133"/>
      <c r="LT65" s="133"/>
      <c r="LU65" s="133"/>
      <c r="LV65" s="133"/>
      <c r="LW65" s="133"/>
      <c r="LX65" s="133"/>
      <c r="LY65" s="133"/>
      <c r="LZ65" s="133"/>
      <c r="MA65" s="133"/>
      <c r="MB65" s="133"/>
      <c r="MC65" s="133"/>
      <c r="MD65" s="133"/>
      <c r="ME65" s="133"/>
      <c r="MF65" s="133"/>
      <c r="MG65" s="133"/>
      <c r="MH65" s="133"/>
      <c r="MI65" s="133"/>
      <c r="MJ65" s="133"/>
      <c r="MK65" s="133"/>
      <c r="ML65" s="133"/>
      <c r="MM65" s="133"/>
      <c r="MN65" s="133"/>
      <c r="MO65" s="133"/>
      <c r="MP65" s="133"/>
      <c r="MQ65" s="133"/>
      <c r="MR65" s="133"/>
      <c r="MS65" s="133"/>
      <c r="MT65" s="133"/>
      <c r="MU65" s="133"/>
      <c r="MV65" s="133"/>
      <c r="MW65" s="133"/>
      <c r="MX65" s="133"/>
      <c r="MY65" s="133"/>
      <c r="MZ65" s="133"/>
      <c r="NA65" s="133"/>
      <c r="NB65" s="133"/>
      <c r="NC65" s="133"/>
      <c r="ND65" s="133"/>
      <c r="NE65" s="133"/>
      <c r="NF65" s="133"/>
      <c r="NG65" s="133"/>
      <c r="NH65" s="184"/>
      <c r="NI65" s="184"/>
      <c r="NJ65" s="184"/>
      <c r="NK65" s="184"/>
      <c r="NL65" s="184"/>
      <c r="NM65" s="184"/>
      <c r="NN65" s="184"/>
      <c r="NO65" s="184"/>
      <c r="NP65" s="184"/>
      <c r="NQ65" s="184"/>
      <c r="NR65" s="184"/>
      <c r="NS65" s="184"/>
      <c r="NT65" s="184"/>
      <c r="NU65" s="184"/>
      <c r="NV65" s="184"/>
      <c r="NW65" s="184"/>
      <c r="NX65" s="184"/>
      <c r="NY65" s="184"/>
      <c r="NZ65" s="184"/>
      <c r="OA65" s="184"/>
      <c r="OB65" s="184"/>
      <c r="OC65" s="184"/>
      <c r="OD65" s="184"/>
      <c r="OE65" s="184"/>
      <c r="OF65" s="184"/>
      <c r="OG65" s="184"/>
      <c r="OH65" s="184"/>
      <c r="OI65" s="184"/>
      <c r="OJ65" s="184"/>
      <c r="OK65" s="184"/>
      <c r="OL65" s="184"/>
      <c r="OM65" s="184"/>
      <c r="ON65" s="184"/>
      <c r="OO65" s="184"/>
      <c r="OP65" s="184"/>
      <c r="OQ65" s="184"/>
      <c r="OR65" s="184"/>
      <c r="OS65" s="184"/>
      <c r="OT65" s="184"/>
      <c r="OU65" s="184"/>
      <c r="OV65" s="184"/>
      <c r="OW65" s="184"/>
      <c r="OX65" s="184"/>
      <c r="OY65" s="184"/>
      <c r="OZ65" s="184"/>
      <c r="PA65" s="184"/>
      <c r="PB65" s="184"/>
      <c r="PC65" s="184"/>
      <c r="PD65" s="184"/>
      <c r="PE65" s="184"/>
      <c r="PF65" s="184"/>
      <c r="PG65" s="184"/>
      <c r="PH65" s="184"/>
      <c r="PI65" s="184"/>
      <c r="PJ65" s="184"/>
      <c r="PK65" s="184"/>
      <c r="PL65" s="184"/>
      <c r="PM65" s="184"/>
      <c r="PN65" s="184"/>
      <c r="PO65" s="184"/>
      <c r="PP65" s="184"/>
      <c r="PQ65" s="184"/>
      <c r="PR65" s="184"/>
      <c r="PS65" s="184"/>
      <c r="PT65" s="184"/>
      <c r="PU65" s="184"/>
      <c r="PV65" s="184"/>
      <c r="PW65" s="184"/>
      <c r="PX65" s="184"/>
      <c r="PY65" s="184"/>
      <c r="PZ65" s="184"/>
      <c r="QA65" s="184"/>
      <c r="QB65" s="184"/>
      <c r="QC65" s="184"/>
      <c r="QD65" s="184"/>
      <c r="QE65" s="184"/>
      <c r="QF65" s="184"/>
      <c r="QG65" s="184"/>
      <c r="QH65" s="184"/>
      <c r="QI65" s="184"/>
      <c r="QJ65" s="184"/>
      <c r="QK65" s="184"/>
      <c r="QL65" s="184"/>
      <c r="QM65" s="184"/>
      <c r="QN65" s="184"/>
      <c r="QO65" s="184"/>
      <c r="QP65" s="184"/>
      <c r="QQ65" s="184"/>
      <c r="QR65" s="184"/>
      <c r="QS65" s="184"/>
      <c r="QT65" s="184"/>
      <c r="QU65" s="184"/>
      <c r="QV65" s="184"/>
      <c r="QW65" s="184"/>
      <c r="QX65" s="184"/>
      <c r="QY65" s="184"/>
      <c r="QZ65" s="184"/>
      <c r="RA65" s="184"/>
      <c r="RB65" s="184"/>
      <c r="RC65" s="184"/>
      <c r="RD65" s="184"/>
      <c r="RE65" s="184"/>
      <c r="RF65" s="184"/>
      <c r="RG65" s="184"/>
      <c r="RH65" s="184"/>
      <c r="RI65" s="184"/>
      <c r="RJ65" s="184"/>
      <c r="RK65" s="184"/>
      <c r="RL65" s="184"/>
      <c r="RM65" s="184"/>
      <c r="RN65" s="184"/>
      <c r="RO65" s="184"/>
      <c r="RP65" s="184"/>
      <c r="RQ65" s="184"/>
      <c r="RR65" s="184"/>
      <c r="RS65" s="184"/>
      <c r="RT65" s="184"/>
      <c r="RU65" s="184"/>
      <c r="RV65" s="184"/>
      <c r="RW65" s="184"/>
      <c r="RX65" s="184"/>
      <c r="RY65" s="184"/>
      <c r="RZ65" s="184"/>
      <c r="SA65" s="184"/>
      <c r="SB65" s="185"/>
      <c r="SC65" s="185"/>
      <c r="SD65" s="185"/>
      <c r="SE65" s="185"/>
      <c r="SF65" s="185"/>
      <c r="SG65" s="185"/>
      <c r="SH65" s="185"/>
      <c r="SI65" s="185"/>
      <c r="SJ65" s="185"/>
      <c r="SK65" s="185"/>
      <c r="SL65" s="185"/>
      <c r="SM65" s="185"/>
      <c r="SN65" s="185"/>
      <c r="SO65" s="185"/>
      <c r="SP65" s="185"/>
      <c r="SQ65" s="185"/>
      <c r="SR65" s="185"/>
      <c r="SS65" s="185"/>
      <c r="ST65" s="185"/>
      <c r="SU65" s="185"/>
      <c r="SV65" s="185"/>
      <c r="SW65" s="185"/>
      <c r="SX65" s="185"/>
      <c r="SY65" s="185"/>
      <c r="SZ65" s="185"/>
      <c r="TA65" s="185"/>
      <c r="TB65" s="11"/>
      <c r="TC65" s="11"/>
      <c r="TD65" s="11"/>
      <c r="TE65" s="11"/>
    </row>
    <row r="66" spans="1:605" ht="22.15" customHeight="1" thickBot="1" x14ac:dyDescent="0.3">
      <c r="A66" s="297" t="s">
        <v>6</v>
      </c>
      <c r="B66" s="24" t="s">
        <v>14</v>
      </c>
      <c r="BY66" s="184"/>
      <c r="BZ66" s="184"/>
      <c r="CA66" s="184"/>
      <c r="CB66" s="184"/>
      <c r="CC66" s="184"/>
      <c r="CD66" s="184"/>
      <c r="CE66" s="184"/>
      <c r="CF66" s="184"/>
      <c r="CG66" s="184"/>
      <c r="CH66" s="184"/>
      <c r="CI66" s="184"/>
      <c r="CJ66" s="184"/>
      <c r="CK66" s="184"/>
      <c r="CL66" s="184"/>
      <c r="CM66" s="184"/>
      <c r="CN66" s="184"/>
      <c r="CO66" s="184"/>
      <c r="CP66" s="184"/>
      <c r="CQ66" s="184"/>
      <c r="CR66" s="184"/>
      <c r="CS66" s="184"/>
      <c r="CT66" s="184"/>
      <c r="CU66" s="184"/>
      <c r="CV66" s="184"/>
      <c r="CW66" s="184"/>
      <c r="CX66" s="184"/>
      <c r="CY66" s="184"/>
      <c r="CZ66" s="184"/>
      <c r="DA66" s="184"/>
      <c r="DB66" s="184"/>
      <c r="DC66" s="184"/>
      <c r="DD66" s="184"/>
      <c r="DE66" s="184"/>
      <c r="DF66" s="184"/>
      <c r="DG66" s="184"/>
      <c r="DH66" s="184"/>
      <c r="DI66" s="184"/>
      <c r="DJ66" s="184"/>
      <c r="DK66" s="184"/>
      <c r="DL66" s="184"/>
      <c r="DM66" s="184"/>
      <c r="DN66" s="184"/>
      <c r="DO66" s="184"/>
      <c r="DP66" s="184"/>
      <c r="DQ66" s="184"/>
      <c r="DR66" s="184"/>
      <c r="DS66" s="184"/>
      <c r="DT66" s="184"/>
      <c r="DU66" s="184"/>
      <c r="DV66" s="184"/>
      <c r="DW66" s="184"/>
      <c r="DX66" s="184"/>
      <c r="DY66" s="184"/>
      <c r="DZ66" s="184"/>
      <c r="EA66" s="184"/>
      <c r="EB66" s="184"/>
      <c r="EC66" s="184"/>
      <c r="ED66" s="184"/>
      <c r="EE66" s="184"/>
      <c r="EF66" s="184"/>
      <c r="EG66" s="184"/>
      <c r="EH66" s="184"/>
      <c r="EI66" s="184"/>
      <c r="EJ66" s="184"/>
      <c r="EK66" s="184"/>
      <c r="EL66" s="184"/>
      <c r="EM66" s="184"/>
      <c r="EN66" s="184"/>
      <c r="EO66" s="184"/>
      <c r="EP66" s="184"/>
      <c r="EQ66" s="184"/>
      <c r="ER66" s="184"/>
      <c r="ES66" s="184"/>
      <c r="ET66" s="184"/>
      <c r="EU66" s="184"/>
      <c r="EV66" s="184"/>
      <c r="EW66" s="184"/>
      <c r="EX66" s="184"/>
      <c r="EY66" s="184"/>
      <c r="EZ66" s="143">
        <f t="shared" ref="EZ66:EZ78" si="516">C27</f>
        <v>250</v>
      </c>
      <c r="FA66" s="142">
        <f t="shared" ref="FA66:FA78" si="517">D27</f>
        <v>249.5</v>
      </c>
      <c r="FB66" s="109">
        <f t="shared" ref="FB66:FB78" si="518">E27</f>
        <v>249.001</v>
      </c>
      <c r="FC66" s="109">
        <f t="shared" ref="FC66:FC78" si="519">F27</f>
        <v>248.50299799999999</v>
      </c>
      <c r="FD66" s="109">
        <f t="shared" ref="FD66:HL69" si="520">G27</f>
        <v>248.00599200399998</v>
      </c>
      <c r="FE66" s="109">
        <f t="shared" ref="FE66:FE78" si="521">H27</f>
        <v>247.50998001999199</v>
      </c>
      <c r="FF66" s="109">
        <f t="shared" ref="FF66:FF78" si="522">I27</f>
        <v>247.01496005995199</v>
      </c>
      <c r="FG66" s="109">
        <f t="shared" ref="FG66:FG78" si="523">J27</f>
        <v>246.52093013983207</v>
      </c>
      <c r="FH66" s="109">
        <f t="shared" ref="FH66:FH78" si="524">K27</f>
        <v>246.0278882795524</v>
      </c>
      <c r="FI66" s="109">
        <f t="shared" ref="FI66:FI78" si="525">L27</f>
        <v>245.53583250299329</v>
      </c>
      <c r="FJ66" s="109">
        <f t="shared" ref="FJ66:FJ78" si="526">M27</f>
        <v>245.0447608379873</v>
      </c>
      <c r="FK66" s="109">
        <f t="shared" ref="FK66:FK78" si="527">N27</f>
        <v>244.55467131631133</v>
      </c>
      <c r="FL66" s="109">
        <f t="shared" ref="FL66:FL78" si="528">O27</f>
        <v>244.06556197367871</v>
      </c>
      <c r="FM66" s="109">
        <f t="shared" ref="FM66:FM78" si="529">P27</f>
        <v>243.57743084973134</v>
      </c>
      <c r="FN66" s="109">
        <f t="shared" ref="FN66:FN78" si="530">Q27</f>
        <v>243.09027598803189</v>
      </c>
      <c r="FO66" s="109">
        <f t="shared" si="520"/>
        <v>242.60409543605581</v>
      </c>
      <c r="FP66" s="109">
        <f t="shared" si="520"/>
        <v>242.11888724518371</v>
      </c>
      <c r="FQ66" s="109">
        <f t="shared" si="520"/>
        <v>241.63464947069335</v>
      </c>
      <c r="FR66" s="109">
        <f t="shared" si="520"/>
        <v>241.15138017175195</v>
      </c>
      <c r="FS66" s="109">
        <f t="shared" si="520"/>
        <v>240.66907741140844</v>
      </c>
      <c r="FT66" s="109">
        <f t="shared" si="520"/>
        <v>240.18773925658562</v>
      </c>
      <c r="FU66" s="109">
        <f t="shared" si="520"/>
        <v>239.70736377807245</v>
      </c>
      <c r="FV66" s="109">
        <f t="shared" si="520"/>
        <v>239.22794905051632</v>
      </c>
      <c r="FW66" s="109">
        <f t="shared" si="520"/>
        <v>238.74949315241528</v>
      </c>
      <c r="FX66" s="109">
        <f t="shared" si="520"/>
        <v>238.27199416611046</v>
      </c>
      <c r="FY66" s="109">
        <f t="shared" si="520"/>
        <v>237.79545017777824</v>
      </c>
      <c r="FZ66" s="109">
        <f t="shared" si="520"/>
        <v>237.31985927742267</v>
      </c>
      <c r="GA66" s="109">
        <f t="shared" si="520"/>
        <v>236.84521955886783</v>
      </c>
      <c r="GB66" s="109">
        <f t="shared" si="520"/>
        <v>236.37152911975008</v>
      </c>
      <c r="GC66" s="109">
        <f t="shared" si="520"/>
        <v>235.89878606151058</v>
      </c>
      <c r="GD66" s="109">
        <f t="shared" si="520"/>
        <v>235.42698848938755</v>
      </c>
      <c r="GE66" s="109">
        <f t="shared" si="520"/>
        <v>234.95613451240877</v>
      </c>
      <c r="GF66" s="109">
        <f t="shared" si="520"/>
        <v>234.48622224338393</v>
      </c>
      <c r="GG66" s="109">
        <f t="shared" si="520"/>
        <v>234.01724979889715</v>
      </c>
      <c r="GH66" s="109">
        <f t="shared" si="520"/>
        <v>233.54921529929936</v>
      </c>
      <c r="GI66" s="109">
        <f t="shared" si="520"/>
        <v>233.08211686870075</v>
      </c>
      <c r="GJ66" s="109">
        <f t="shared" si="520"/>
        <v>232.61595263496335</v>
      </c>
      <c r="GK66" s="109">
        <f t="shared" si="520"/>
        <v>232.15072072969343</v>
      </c>
      <c r="GL66" s="109">
        <f t="shared" si="520"/>
        <v>231.68641928823405</v>
      </c>
      <c r="GM66" s="109">
        <f t="shared" si="520"/>
        <v>231.22304644965757</v>
      </c>
      <c r="GN66" s="109">
        <f t="shared" si="520"/>
        <v>230.76060035675826</v>
      </c>
      <c r="GO66" s="109">
        <f t="shared" si="520"/>
        <v>230.29907915604474</v>
      </c>
      <c r="GP66" s="109">
        <f t="shared" si="520"/>
        <v>229.83848099773266</v>
      </c>
      <c r="GQ66" s="109">
        <f t="shared" si="520"/>
        <v>229.3788040357372</v>
      </c>
      <c r="GR66" s="109">
        <f t="shared" si="520"/>
        <v>228.92004642766574</v>
      </c>
      <c r="GS66" s="109">
        <f t="shared" si="520"/>
        <v>228.46220633481042</v>
      </c>
      <c r="GT66" s="109">
        <f t="shared" si="520"/>
        <v>228.0052819221408</v>
      </c>
      <c r="GU66" s="109">
        <f t="shared" si="520"/>
        <v>227.54927135829652</v>
      </c>
      <c r="GV66" s="109">
        <f t="shared" si="520"/>
        <v>227.09417281557992</v>
      </c>
      <c r="GW66" s="109">
        <f t="shared" si="520"/>
        <v>226.63998446994876</v>
      </c>
      <c r="GX66" s="109">
        <f t="shared" si="520"/>
        <v>226.18670450100885</v>
      </c>
      <c r="GY66" s="144">
        <f t="shared" si="520"/>
        <v>225.73433109200684</v>
      </c>
      <c r="GZ66" s="144">
        <f t="shared" si="520"/>
        <v>225.28286242982281</v>
      </c>
      <c r="HA66" s="144">
        <f t="shared" si="520"/>
        <v>224.83229670496317</v>
      </c>
      <c r="HB66" s="144">
        <f t="shared" si="520"/>
        <v>224.38263211155325</v>
      </c>
      <c r="HC66" s="144">
        <f t="shared" si="520"/>
        <v>223.93386684733014</v>
      </c>
      <c r="HD66" s="144">
        <f t="shared" si="520"/>
        <v>223.48599911363547</v>
      </c>
      <c r="HE66" s="144">
        <f t="shared" si="520"/>
        <v>223.0390271154082</v>
      </c>
      <c r="HF66" s="144">
        <f t="shared" si="520"/>
        <v>222.59294906117739</v>
      </c>
      <c r="HG66" s="144">
        <f t="shared" si="520"/>
        <v>222.14776316305503</v>
      </c>
      <c r="HH66" s="144">
        <f t="shared" si="520"/>
        <v>221.70346763672893</v>
      </c>
      <c r="HI66" s="144">
        <f t="shared" si="520"/>
        <v>221.26006070145547</v>
      </c>
      <c r="HJ66" s="144">
        <f t="shared" si="520"/>
        <v>220.81754058005257</v>
      </c>
      <c r="HK66" s="144">
        <f t="shared" si="520"/>
        <v>220.37590549889245</v>
      </c>
      <c r="HL66" s="144">
        <f t="shared" si="520"/>
        <v>219.93515368789465</v>
      </c>
      <c r="HM66" s="144">
        <f t="shared" ref="HM66:JX69" si="531">BP27</f>
        <v>219.49528338051886</v>
      </c>
      <c r="HN66" s="144">
        <f t="shared" si="531"/>
        <v>219.05629281375781</v>
      </c>
      <c r="HO66" s="144">
        <f t="shared" si="531"/>
        <v>218.61818022813029</v>
      </c>
      <c r="HP66" s="144">
        <f t="shared" si="531"/>
        <v>218.18094386767402</v>
      </c>
      <c r="HQ66" s="144">
        <f t="shared" si="531"/>
        <v>217.74458197993866</v>
      </c>
      <c r="HR66" s="144">
        <f t="shared" si="531"/>
        <v>217.30909281597877</v>
      </c>
      <c r="HS66" s="144">
        <f t="shared" si="531"/>
        <v>216.87447463034681</v>
      </c>
      <c r="HT66" s="144">
        <f t="shared" si="531"/>
        <v>216.44072568108612</v>
      </c>
      <c r="HU66" s="144">
        <f t="shared" si="531"/>
        <v>216.00784422972396</v>
      </c>
      <c r="HV66" s="144">
        <f t="shared" si="531"/>
        <v>215.57582854126451</v>
      </c>
      <c r="HW66" s="144">
        <f t="shared" si="531"/>
        <v>215.14467688418199</v>
      </c>
      <c r="HX66" s="144">
        <f t="shared" si="531"/>
        <v>214.71438753041363</v>
      </c>
      <c r="HY66" s="144">
        <f t="shared" si="531"/>
        <v>214.28495875535282</v>
      </c>
      <c r="HZ66" s="144">
        <f t="shared" si="531"/>
        <v>213.8563888378421</v>
      </c>
      <c r="IA66" s="144">
        <f t="shared" si="531"/>
        <v>213.42867606016642</v>
      </c>
      <c r="IB66" s="144">
        <f t="shared" si="531"/>
        <v>213.0018187080461</v>
      </c>
      <c r="IC66" s="144">
        <f t="shared" si="531"/>
        <v>212.57581507063</v>
      </c>
      <c r="ID66" s="144">
        <f t="shared" si="531"/>
        <v>212.15066344048873</v>
      </c>
      <c r="IE66" s="144">
        <f t="shared" si="531"/>
        <v>211.72636211360776</v>
      </c>
      <c r="IF66" s="144">
        <f t="shared" si="531"/>
        <v>211.30290938938055</v>
      </c>
      <c r="IG66" s="144">
        <f t="shared" si="531"/>
        <v>210.8803035706018</v>
      </c>
      <c r="IH66" s="144">
        <f t="shared" si="531"/>
        <v>210.45854296346059</v>
      </c>
      <c r="II66" s="144">
        <f t="shared" si="531"/>
        <v>210.03762587753366</v>
      </c>
      <c r="IJ66" s="144">
        <f t="shared" si="531"/>
        <v>209.61755062577859</v>
      </c>
      <c r="IK66" s="144">
        <f t="shared" si="531"/>
        <v>209.19831552452703</v>
      </c>
      <c r="IL66" s="144">
        <f t="shared" si="531"/>
        <v>208.77991889347797</v>
      </c>
      <c r="IM66" s="144">
        <f t="shared" si="531"/>
        <v>208.362359055691</v>
      </c>
      <c r="IN66" s="144">
        <f t="shared" si="531"/>
        <v>207.94563433757963</v>
      </c>
      <c r="IO66" s="144">
        <f t="shared" si="531"/>
        <v>207.52974306890448</v>
      </c>
      <c r="IP66" s="144">
        <f t="shared" si="531"/>
        <v>207.11468358276667</v>
      </c>
      <c r="IQ66" s="144">
        <f t="shared" si="531"/>
        <v>206.70045421560113</v>
      </c>
      <c r="IR66" s="144">
        <f t="shared" si="531"/>
        <v>206.28705330716991</v>
      </c>
      <c r="IS66" s="144">
        <f t="shared" si="531"/>
        <v>205.87447920055558</v>
      </c>
      <c r="IT66" s="144">
        <f t="shared" si="531"/>
        <v>205.46273024215446</v>
      </c>
      <c r="IU66" s="144">
        <f t="shared" si="531"/>
        <v>205.05180478167014</v>
      </c>
      <c r="IV66" s="144">
        <f t="shared" si="531"/>
        <v>204.64170117210679</v>
      </c>
      <c r="IW66" s="144">
        <f t="shared" si="531"/>
        <v>204.23241776976258</v>
      </c>
      <c r="IX66" s="154">
        <f t="shared" si="531"/>
        <v>203.82395293422306</v>
      </c>
      <c r="IY66" s="154">
        <f t="shared" si="531"/>
        <v>203.4163050283546</v>
      </c>
      <c r="IZ66" s="154">
        <f t="shared" si="531"/>
        <v>203.00947241829789</v>
      </c>
      <c r="JA66" s="154">
        <f t="shared" si="531"/>
        <v>202.60345347346129</v>
      </c>
      <c r="JB66" s="154">
        <f t="shared" si="531"/>
        <v>202.19824656651437</v>
      </c>
      <c r="JC66" s="154">
        <f t="shared" si="531"/>
        <v>201.79385007338135</v>
      </c>
      <c r="JD66" s="154">
        <f t="shared" si="531"/>
        <v>201.39026237323458</v>
      </c>
      <c r="JE66" s="154">
        <f t="shared" si="531"/>
        <v>200.9874818484881</v>
      </c>
      <c r="JF66" s="154">
        <f t="shared" si="531"/>
        <v>200.58550688479113</v>
      </c>
      <c r="JG66" s="154">
        <f t="shared" si="531"/>
        <v>200.18433587102155</v>
      </c>
      <c r="JH66" s="154">
        <f t="shared" si="531"/>
        <v>199.78396719927952</v>
      </c>
      <c r="JI66" s="154">
        <f t="shared" si="531"/>
        <v>199.38439926488095</v>
      </c>
      <c r="JJ66" s="154">
        <f t="shared" si="531"/>
        <v>198.98563046635118</v>
      </c>
      <c r="JK66" s="154">
        <f t="shared" si="531"/>
        <v>198.58765920541848</v>
      </c>
      <c r="JL66" s="154">
        <f t="shared" si="531"/>
        <v>198.19048388700764</v>
      </c>
      <c r="JM66" s="154">
        <f t="shared" si="531"/>
        <v>197.79410291923364</v>
      </c>
      <c r="JN66" s="154">
        <f t="shared" si="531"/>
        <v>197.39851471339517</v>
      </c>
      <c r="JO66" s="154">
        <f t="shared" si="531"/>
        <v>197.00371768396838</v>
      </c>
      <c r="JP66" s="154">
        <f t="shared" si="531"/>
        <v>196.60971024860044</v>
      </c>
      <c r="JQ66" s="154">
        <f t="shared" si="531"/>
        <v>196.21649082810325</v>
      </c>
      <c r="JR66" s="154">
        <f t="shared" si="531"/>
        <v>195.82405784644703</v>
      </c>
      <c r="JS66" s="154">
        <f t="shared" si="531"/>
        <v>195.43240973075413</v>
      </c>
      <c r="JT66" s="154">
        <f t="shared" si="531"/>
        <v>195.04154491129262</v>
      </c>
      <c r="JU66" s="154">
        <f t="shared" si="531"/>
        <v>194.65146182147004</v>
      </c>
      <c r="JV66" s="154">
        <f t="shared" si="531"/>
        <v>194.26215889782711</v>
      </c>
      <c r="JW66" s="154">
        <f t="shared" si="531"/>
        <v>193.87363458003145</v>
      </c>
      <c r="JX66" s="154">
        <f t="shared" si="531"/>
        <v>193.48588731087139</v>
      </c>
      <c r="JY66" s="179">
        <f t="shared" ref="JY66:KS78" si="532">EB27</f>
        <v>168.91317962239071</v>
      </c>
      <c r="JZ66" s="154">
        <f t="shared" si="532"/>
        <v>168.57535326314593</v>
      </c>
      <c r="KA66" s="179">
        <f t="shared" si="532"/>
        <v>144.15600923331306</v>
      </c>
      <c r="KB66" s="154">
        <f t="shared" si="532"/>
        <v>143.86769721484643</v>
      </c>
      <c r="KC66" s="154">
        <f t="shared" si="532"/>
        <v>143.57996182041674</v>
      </c>
      <c r="KD66" s="154">
        <f t="shared" si="532"/>
        <v>143.2928018967759</v>
      </c>
      <c r="KE66" s="154">
        <f t="shared" si="532"/>
        <v>143.00621629298234</v>
      </c>
      <c r="KF66" s="179">
        <f t="shared" si="532"/>
        <v>118.88583447823264</v>
      </c>
      <c r="KG66" s="154">
        <f t="shared" si="532"/>
        <v>118.64806280927617</v>
      </c>
      <c r="KH66" s="179">
        <f t="shared" si="532"/>
        <v>94.681154121802379</v>
      </c>
      <c r="KI66" s="154">
        <f t="shared" si="532"/>
        <v>94.491791813558777</v>
      </c>
      <c r="KJ66" s="154">
        <f t="shared" si="532"/>
        <v>94.302808229931657</v>
      </c>
      <c r="KK66" s="154">
        <f t="shared" si="532"/>
        <v>94.11420261347179</v>
      </c>
      <c r="KL66" s="154">
        <f t="shared" si="532"/>
        <v>93.925974208244853</v>
      </c>
      <c r="KM66" s="179">
        <f t="shared" si="532"/>
        <v>70.256628707767149</v>
      </c>
      <c r="KN66" s="154">
        <f t="shared" si="532"/>
        <v>70.116115450351614</v>
      </c>
      <c r="KO66" s="179">
        <f t="shared" si="532"/>
        <v>46.603844736000369</v>
      </c>
      <c r="KP66" s="154">
        <f t="shared" si="532"/>
        <v>46.510637046528366</v>
      </c>
      <c r="KQ66" s="154">
        <f t="shared" si="532"/>
        <v>46.417615772435312</v>
      </c>
      <c r="KR66" s="154">
        <f t="shared" si="532"/>
        <v>46.324780540890444</v>
      </c>
      <c r="KS66" s="154">
        <f t="shared" si="532"/>
        <v>46.232130979808666</v>
      </c>
      <c r="KT66" s="179">
        <f>EW27</f>
        <v>23.023601227944713</v>
      </c>
      <c r="KU66" s="154">
        <f t="shared" ref="KU66:KV78" si="533">EX27</f>
        <v>22.977554025488825</v>
      </c>
      <c r="KV66" s="179">
        <f t="shared" si="533"/>
        <v>-4.5955108050979021E-2</v>
      </c>
      <c r="KW66" s="184"/>
      <c r="KX66" s="184"/>
      <c r="KY66" s="184"/>
      <c r="KZ66" s="184"/>
      <c r="LA66" s="184"/>
      <c r="LB66" s="184"/>
      <c r="LC66" s="184"/>
      <c r="LD66" s="184"/>
      <c r="LE66" s="184"/>
      <c r="LF66" s="184"/>
      <c r="LG66" s="20"/>
      <c r="LH66" s="20"/>
      <c r="LI66" s="20"/>
      <c r="LJ66" s="20"/>
      <c r="LK66" s="20"/>
      <c r="LL66" s="20"/>
      <c r="LM66" s="20"/>
      <c r="LN66" s="20"/>
      <c r="LO66" s="20"/>
      <c r="LP66" s="20"/>
      <c r="LQ66" s="20"/>
      <c r="LR66" s="20"/>
      <c r="LS66" s="20"/>
      <c r="LT66" s="20"/>
      <c r="LU66" s="20"/>
      <c r="LV66" s="20"/>
      <c r="LW66" s="20"/>
      <c r="LX66" s="20"/>
      <c r="LY66" s="20"/>
      <c r="LZ66" s="20"/>
      <c r="MA66" s="20"/>
      <c r="MB66" s="20"/>
      <c r="MC66" s="20"/>
      <c r="MD66" s="20"/>
      <c r="ME66" s="20"/>
      <c r="MF66" s="20"/>
      <c r="MG66" s="20"/>
      <c r="MH66" s="20"/>
      <c r="MI66" s="20"/>
      <c r="MJ66" s="20"/>
      <c r="MK66" s="20"/>
      <c r="ML66" s="20"/>
      <c r="MM66" s="20"/>
      <c r="MN66" s="20"/>
      <c r="MO66" s="20"/>
      <c r="MP66" s="20"/>
      <c r="MQ66" s="20"/>
      <c r="MR66" s="20"/>
      <c r="MS66" s="20"/>
      <c r="MT66" s="20"/>
      <c r="MU66" s="20"/>
      <c r="MV66" s="20"/>
      <c r="MW66" s="20"/>
      <c r="MX66" s="20"/>
      <c r="MY66" s="20"/>
      <c r="MZ66" s="20"/>
      <c r="NA66" s="20"/>
      <c r="NB66" s="20"/>
      <c r="NC66" s="20"/>
      <c r="ND66" s="20"/>
      <c r="NE66" s="20"/>
      <c r="NF66" s="20"/>
      <c r="NG66" s="20"/>
      <c r="NH66" s="20"/>
      <c r="NI66" s="20"/>
      <c r="NJ66" s="20"/>
      <c r="NK66" s="20"/>
      <c r="NL66" s="20"/>
      <c r="NM66" s="20"/>
      <c r="NN66" s="20"/>
      <c r="NO66" s="20"/>
      <c r="NP66" s="20"/>
      <c r="NQ66" s="20"/>
      <c r="NR66" s="20"/>
      <c r="NS66" s="20"/>
      <c r="NT66" s="20"/>
      <c r="NU66" s="20"/>
      <c r="NV66" s="20"/>
      <c r="NW66" s="20"/>
      <c r="NX66" s="20"/>
      <c r="NY66" s="20"/>
      <c r="NZ66" s="20"/>
      <c r="OA66" s="20"/>
      <c r="OB66" s="20"/>
      <c r="OC66" s="20"/>
      <c r="OD66" s="20"/>
      <c r="OE66" s="20"/>
      <c r="OF66" s="20"/>
      <c r="OG66" s="20"/>
      <c r="OH66" s="20"/>
      <c r="OI66" s="20"/>
      <c r="OJ66" s="20"/>
      <c r="OK66" s="20"/>
      <c r="OL66" s="20"/>
      <c r="OM66" s="20"/>
      <c r="ON66" s="20"/>
      <c r="OO66" s="20"/>
      <c r="OP66" s="20"/>
      <c r="OQ66" s="20"/>
      <c r="OR66" s="20"/>
      <c r="OS66" s="20"/>
      <c r="OT66" s="20"/>
      <c r="OU66" s="20"/>
      <c r="OV66" s="20"/>
      <c r="OW66" s="20"/>
      <c r="OX66" s="20"/>
      <c r="OY66" s="20"/>
      <c r="OZ66" s="20"/>
      <c r="PA66" s="20"/>
      <c r="PB66" s="20"/>
      <c r="PC66" s="20"/>
      <c r="PD66" s="20"/>
      <c r="PE66" s="20"/>
      <c r="PF66" s="20"/>
      <c r="PG66" s="20"/>
      <c r="PH66" s="20"/>
      <c r="PI66" s="20"/>
      <c r="PJ66" s="20"/>
      <c r="PK66" s="20"/>
      <c r="PL66" s="20"/>
      <c r="PM66" s="20"/>
      <c r="PN66" s="20"/>
      <c r="PO66" s="20"/>
      <c r="PP66" s="20"/>
      <c r="PQ66" s="20"/>
      <c r="PR66" s="20"/>
      <c r="PS66" s="20"/>
      <c r="PT66" s="20"/>
      <c r="PU66" s="20"/>
      <c r="PV66" s="20"/>
      <c r="PW66" s="20"/>
      <c r="PX66" s="20"/>
      <c r="PY66" s="20"/>
      <c r="PZ66" s="20"/>
      <c r="QA66" s="20"/>
      <c r="QB66" s="20"/>
      <c r="QC66" s="20"/>
      <c r="QD66" s="20"/>
      <c r="QE66" s="23"/>
      <c r="QF66" s="23"/>
      <c r="QG66" s="23"/>
      <c r="QH66" s="23"/>
      <c r="QI66" s="23"/>
      <c r="QJ66" s="23"/>
      <c r="QK66" s="23"/>
      <c r="QL66" s="23"/>
      <c r="QM66" s="23"/>
      <c r="QN66" s="23"/>
      <c r="QO66" s="23"/>
      <c r="QP66" s="23"/>
      <c r="QQ66" s="23"/>
      <c r="QR66" s="23"/>
      <c r="QS66" s="23"/>
      <c r="QT66" s="23"/>
      <c r="QU66" s="23"/>
      <c r="QV66" s="23"/>
      <c r="QW66" s="23"/>
      <c r="QX66" s="23"/>
      <c r="QY66" s="23"/>
      <c r="QZ66" s="23"/>
      <c r="RA66" s="23"/>
      <c r="RB66" s="23"/>
      <c r="RC66" s="23"/>
      <c r="RD66" s="23"/>
      <c r="RE66" s="23"/>
      <c r="RF66" s="23"/>
      <c r="RG66" s="23"/>
      <c r="RH66" s="23"/>
      <c r="RI66" s="23"/>
      <c r="RJ66" s="23"/>
      <c r="RK66" s="23"/>
      <c r="RL66" s="23"/>
      <c r="RM66" s="23"/>
      <c r="RN66" s="23"/>
      <c r="RO66" s="23"/>
      <c r="RP66" s="23"/>
      <c r="RQ66" s="23"/>
      <c r="RR66" s="23"/>
      <c r="RS66" s="23"/>
      <c r="RT66" s="23"/>
      <c r="RU66" s="23"/>
      <c r="RV66" s="23"/>
      <c r="RW66" s="23"/>
      <c r="RX66" s="23"/>
      <c r="RY66" s="23"/>
      <c r="RZ66" s="23"/>
      <c r="SA66" s="23"/>
      <c r="SB66" s="23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11"/>
    </row>
    <row r="67" spans="1:605" ht="22.15" customHeight="1" thickBot="1" x14ac:dyDescent="0.3">
      <c r="A67" s="298"/>
      <c r="B67" s="25" t="s">
        <v>1</v>
      </c>
      <c r="BY67" s="184"/>
      <c r="BZ67" s="184"/>
      <c r="CA67" s="184"/>
      <c r="CB67" s="184"/>
      <c r="CC67" s="184"/>
      <c r="CD67" s="184"/>
      <c r="CE67" s="184"/>
      <c r="CF67" s="184"/>
      <c r="CG67" s="184"/>
      <c r="CH67" s="184"/>
      <c r="CI67" s="184"/>
      <c r="CJ67" s="184"/>
      <c r="CK67" s="184"/>
      <c r="CL67" s="184"/>
      <c r="CM67" s="184"/>
      <c r="CN67" s="184"/>
      <c r="CO67" s="184"/>
      <c r="CP67" s="184"/>
      <c r="CQ67" s="184"/>
      <c r="CR67" s="184"/>
      <c r="CS67" s="184"/>
      <c r="CT67" s="184"/>
      <c r="CU67" s="184"/>
      <c r="CV67" s="184"/>
      <c r="CW67" s="184"/>
      <c r="CX67" s="184"/>
      <c r="CY67" s="184"/>
      <c r="CZ67" s="184"/>
      <c r="DA67" s="184"/>
      <c r="DB67" s="184"/>
      <c r="DC67" s="184"/>
      <c r="DD67" s="184"/>
      <c r="DE67" s="184"/>
      <c r="DF67" s="184"/>
      <c r="DG67" s="184"/>
      <c r="DH67" s="184"/>
      <c r="DI67" s="184"/>
      <c r="DJ67" s="184"/>
      <c r="DK67" s="184"/>
      <c r="DL67" s="184"/>
      <c r="DM67" s="184"/>
      <c r="DN67" s="184"/>
      <c r="DO67" s="184"/>
      <c r="DP67" s="184"/>
      <c r="DQ67" s="184"/>
      <c r="DR67" s="184"/>
      <c r="DS67" s="184"/>
      <c r="DT67" s="184"/>
      <c r="DU67" s="184"/>
      <c r="DV67" s="184"/>
      <c r="DW67" s="184"/>
      <c r="DX67" s="184"/>
      <c r="DY67" s="184"/>
      <c r="DZ67" s="184"/>
      <c r="EA67" s="184"/>
      <c r="EB67" s="184"/>
      <c r="EC67" s="184"/>
      <c r="ED67" s="184"/>
      <c r="EE67" s="184"/>
      <c r="EF67" s="184"/>
      <c r="EG67" s="184"/>
      <c r="EH67" s="184"/>
      <c r="EI67" s="184"/>
      <c r="EJ67" s="184"/>
      <c r="EK67" s="184"/>
      <c r="EL67" s="184"/>
      <c r="EM67" s="184"/>
      <c r="EN67" s="184"/>
      <c r="EO67" s="184"/>
      <c r="EP67" s="184"/>
      <c r="EQ67" s="184"/>
      <c r="ER67" s="184"/>
      <c r="ES67" s="184"/>
      <c r="ET67" s="184"/>
      <c r="EU67" s="184"/>
      <c r="EV67" s="184"/>
      <c r="EW67" s="184"/>
      <c r="EX67" s="184"/>
      <c r="EY67" s="184"/>
      <c r="EZ67" s="128" t="str">
        <f t="shared" si="516"/>
        <v>-</v>
      </c>
      <c r="FA67" s="108" t="str">
        <f t="shared" si="517"/>
        <v>-</v>
      </c>
      <c r="FB67" s="108" t="str">
        <f t="shared" si="518"/>
        <v>-</v>
      </c>
      <c r="FC67" s="108" t="str">
        <f t="shared" si="519"/>
        <v>-</v>
      </c>
      <c r="FD67" s="108" t="str">
        <f t="shared" si="520"/>
        <v>-</v>
      </c>
      <c r="FE67" s="108" t="str">
        <f t="shared" si="521"/>
        <v>-</v>
      </c>
      <c r="FF67" s="108" t="str">
        <f t="shared" si="522"/>
        <v>-</v>
      </c>
      <c r="FG67" s="108" t="str">
        <f t="shared" si="523"/>
        <v>-</v>
      </c>
      <c r="FH67" s="108" t="str">
        <f t="shared" si="524"/>
        <v>-</v>
      </c>
      <c r="FI67" s="108" t="str">
        <f t="shared" si="525"/>
        <v>-</v>
      </c>
      <c r="FJ67" s="108" t="str">
        <f t="shared" si="526"/>
        <v>-</v>
      </c>
      <c r="FK67" s="108" t="str">
        <f t="shared" si="527"/>
        <v>-</v>
      </c>
      <c r="FL67" s="108" t="str">
        <f t="shared" si="528"/>
        <v>-</v>
      </c>
      <c r="FM67" s="108" t="str">
        <f t="shared" si="529"/>
        <v>-</v>
      </c>
      <c r="FN67" s="108" t="str">
        <f t="shared" si="530"/>
        <v>-</v>
      </c>
      <c r="FO67" s="108" t="str">
        <f t="shared" si="520"/>
        <v>-</v>
      </c>
      <c r="FP67" s="108" t="str">
        <f t="shared" si="520"/>
        <v>-</v>
      </c>
      <c r="FQ67" s="108" t="str">
        <f t="shared" si="520"/>
        <v>-</v>
      </c>
      <c r="FR67" s="108" t="str">
        <f t="shared" si="520"/>
        <v>-</v>
      </c>
      <c r="FS67" s="108" t="str">
        <f t="shared" si="520"/>
        <v>-</v>
      </c>
      <c r="FT67" s="108" t="str">
        <f t="shared" si="520"/>
        <v>-</v>
      </c>
      <c r="FU67" s="108" t="str">
        <f t="shared" si="520"/>
        <v>-</v>
      </c>
      <c r="FV67" s="108" t="str">
        <f t="shared" si="520"/>
        <v>-</v>
      </c>
      <c r="FW67" s="108" t="str">
        <f t="shared" si="520"/>
        <v>-</v>
      </c>
      <c r="FX67" s="108" t="str">
        <f t="shared" si="520"/>
        <v>-</v>
      </c>
      <c r="FY67" s="108" t="str">
        <f t="shared" si="520"/>
        <v>-</v>
      </c>
      <c r="FZ67" s="108" t="str">
        <f t="shared" si="520"/>
        <v>-</v>
      </c>
      <c r="GA67" s="108" t="str">
        <f t="shared" si="520"/>
        <v>-</v>
      </c>
      <c r="GB67" s="108" t="str">
        <f t="shared" si="520"/>
        <v>-</v>
      </c>
      <c r="GC67" s="108" t="str">
        <f t="shared" si="520"/>
        <v>-</v>
      </c>
      <c r="GD67" s="108" t="str">
        <f t="shared" si="520"/>
        <v>-</v>
      </c>
      <c r="GE67" s="108" t="str">
        <f t="shared" si="520"/>
        <v>-</v>
      </c>
      <c r="GF67" s="108" t="str">
        <f t="shared" si="520"/>
        <v>-</v>
      </c>
      <c r="GG67" s="108" t="str">
        <f t="shared" si="520"/>
        <v>-</v>
      </c>
      <c r="GH67" s="108" t="str">
        <f t="shared" si="520"/>
        <v>-</v>
      </c>
      <c r="GI67" s="108" t="str">
        <f t="shared" si="520"/>
        <v>-</v>
      </c>
      <c r="GJ67" s="108" t="str">
        <f t="shared" si="520"/>
        <v>-</v>
      </c>
      <c r="GK67" s="108" t="str">
        <f t="shared" si="520"/>
        <v>-</v>
      </c>
      <c r="GL67" s="108" t="str">
        <f t="shared" si="520"/>
        <v>-</v>
      </c>
      <c r="GM67" s="108" t="str">
        <f t="shared" si="520"/>
        <v>-</v>
      </c>
      <c r="GN67" s="108" t="str">
        <f t="shared" si="520"/>
        <v>-</v>
      </c>
      <c r="GO67" s="108" t="str">
        <f t="shared" si="520"/>
        <v>-</v>
      </c>
      <c r="GP67" s="108" t="str">
        <f t="shared" si="520"/>
        <v>-</v>
      </c>
      <c r="GQ67" s="108" t="str">
        <f t="shared" si="520"/>
        <v>-</v>
      </c>
      <c r="GR67" s="108" t="str">
        <f t="shared" si="520"/>
        <v>-</v>
      </c>
      <c r="GS67" s="108" t="str">
        <f t="shared" si="520"/>
        <v>-</v>
      </c>
      <c r="GT67" s="108" t="str">
        <f t="shared" si="520"/>
        <v>-</v>
      </c>
      <c r="GU67" s="108" t="str">
        <f t="shared" si="520"/>
        <v>-</v>
      </c>
      <c r="GV67" s="108" t="str">
        <f t="shared" si="520"/>
        <v>-</v>
      </c>
      <c r="GW67" s="108" t="str">
        <f t="shared" si="520"/>
        <v>-</v>
      </c>
      <c r="GX67" s="108" t="str">
        <f t="shared" si="520"/>
        <v>-</v>
      </c>
      <c r="GY67" s="145" t="str">
        <f t="shared" si="520"/>
        <v>-</v>
      </c>
      <c r="GZ67" s="145" t="str">
        <f t="shared" si="520"/>
        <v>-</v>
      </c>
      <c r="HA67" s="145" t="str">
        <f t="shared" si="520"/>
        <v>-</v>
      </c>
      <c r="HB67" s="145" t="str">
        <f t="shared" si="520"/>
        <v>-</v>
      </c>
      <c r="HC67" s="145" t="str">
        <f t="shared" si="520"/>
        <v>-</v>
      </c>
      <c r="HD67" s="145" t="str">
        <f t="shared" si="520"/>
        <v>-</v>
      </c>
      <c r="HE67" s="145" t="str">
        <f t="shared" si="520"/>
        <v>-</v>
      </c>
      <c r="HF67" s="145" t="str">
        <f t="shared" si="520"/>
        <v>-</v>
      </c>
      <c r="HG67" s="145" t="str">
        <f t="shared" si="520"/>
        <v>-</v>
      </c>
      <c r="HH67" s="145" t="str">
        <f t="shared" si="520"/>
        <v>-</v>
      </c>
      <c r="HI67" s="145" t="str">
        <f t="shared" si="520"/>
        <v>-</v>
      </c>
      <c r="HJ67" s="145" t="str">
        <f t="shared" si="520"/>
        <v>-</v>
      </c>
      <c r="HK67" s="145" t="str">
        <f t="shared" si="520"/>
        <v>-</v>
      </c>
      <c r="HL67" s="145" t="str">
        <f t="shared" si="520"/>
        <v>-</v>
      </c>
      <c r="HM67" s="145" t="str">
        <f t="shared" si="531"/>
        <v>-</v>
      </c>
      <c r="HN67" s="145" t="str">
        <f t="shared" si="531"/>
        <v>-</v>
      </c>
      <c r="HO67" s="145" t="str">
        <f t="shared" si="531"/>
        <v>-</v>
      </c>
      <c r="HP67" s="145" t="str">
        <f t="shared" si="531"/>
        <v>-</v>
      </c>
      <c r="HQ67" s="145" t="str">
        <f t="shared" si="531"/>
        <v>-</v>
      </c>
      <c r="HR67" s="145" t="str">
        <f t="shared" si="531"/>
        <v>-</v>
      </c>
      <c r="HS67" s="145" t="str">
        <f t="shared" si="531"/>
        <v>-</v>
      </c>
      <c r="HT67" s="145" t="str">
        <f t="shared" si="531"/>
        <v>-</v>
      </c>
      <c r="HU67" s="145" t="str">
        <f t="shared" si="531"/>
        <v>-</v>
      </c>
      <c r="HV67" s="145" t="str">
        <f t="shared" si="531"/>
        <v>-</v>
      </c>
      <c r="HW67" s="145" t="str">
        <f t="shared" si="531"/>
        <v>-</v>
      </c>
      <c r="HX67" s="145" t="str">
        <f t="shared" si="531"/>
        <v>-</v>
      </c>
      <c r="HY67" s="145" t="str">
        <f t="shared" si="531"/>
        <v>-</v>
      </c>
      <c r="HZ67" s="145" t="str">
        <f t="shared" si="531"/>
        <v>-</v>
      </c>
      <c r="IA67" s="145" t="str">
        <f t="shared" si="531"/>
        <v>-</v>
      </c>
      <c r="IB67" s="145" t="str">
        <f t="shared" si="531"/>
        <v>-</v>
      </c>
      <c r="IC67" s="145" t="str">
        <f t="shared" si="531"/>
        <v>-</v>
      </c>
      <c r="ID67" s="145" t="str">
        <f t="shared" si="531"/>
        <v>-</v>
      </c>
      <c r="IE67" s="145" t="str">
        <f t="shared" si="531"/>
        <v>-</v>
      </c>
      <c r="IF67" s="145" t="str">
        <f t="shared" si="531"/>
        <v>-</v>
      </c>
      <c r="IG67" s="145" t="str">
        <f t="shared" si="531"/>
        <v>-</v>
      </c>
      <c r="IH67" s="145" t="str">
        <f t="shared" si="531"/>
        <v>-</v>
      </c>
      <c r="II67" s="145" t="str">
        <f t="shared" si="531"/>
        <v>-</v>
      </c>
      <c r="IJ67" s="145" t="str">
        <f t="shared" si="531"/>
        <v>-</v>
      </c>
      <c r="IK67" s="145" t="str">
        <f t="shared" si="531"/>
        <v>-</v>
      </c>
      <c r="IL67" s="145" t="str">
        <f t="shared" si="531"/>
        <v>-</v>
      </c>
      <c r="IM67" s="145" t="str">
        <f t="shared" si="531"/>
        <v>-</v>
      </c>
      <c r="IN67" s="145" t="str">
        <f t="shared" si="531"/>
        <v>-</v>
      </c>
      <c r="IO67" s="145" t="str">
        <f t="shared" si="531"/>
        <v>-</v>
      </c>
      <c r="IP67" s="145" t="str">
        <f t="shared" si="531"/>
        <v>-</v>
      </c>
      <c r="IQ67" s="145" t="str">
        <f t="shared" si="531"/>
        <v>-</v>
      </c>
      <c r="IR67" s="145" t="str">
        <f t="shared" si="531"/>
        <v>-</v>
      </c>
      <c r="IS67" s="145" t="str">
        <f t="shared" si="531"/>
        <v>-</v>
      </c>
      <c r="IT67" s="145" t="str">
        <f t="shared" si="531"/>
        <v>-</v>
      </c>
      <c r="IU67" s="145" t="str">
        <f t="shared" si="531"/>
        <v>-</v>
      </c>
      <c r="IV67" s="145" t="str">
        <f t="shared" si="531"/>
        <v>-</v>
      </c>
      <c r="IW67" s="145" t="str">
        <f t="shared" si="531"/>
        <v>-</v>
      </c>
      <c r="IX67" s="155" t="str">
        <f t="shared" si="531"/>
        <v>-</v>
      </c>
      <c r="IY67" s="155" t="str">
        <f t="shared" si="531"/>
        <v>-</v>
      </c>
      <c r="IZ67" s="155" t="str">
        <f t="shared" si="531"/>
        <v>-</v>
      </c>
      <c r="JA67" s="155" t="str">
        <f t="shared" si="531"/>
        <v>-</v>
      </c>
      <c r="JB67" s="155" t="str">
        <f t="shared" si="531"/>
        <v>-</v>
      </c>
      <c r="JC67" s="155" t="str">
        <f t="shared" si="531"/>
        <v>-</v>
      </c>
      <c r="JD67" s="155" t="str">
        <f t="shared" si="531"/>
        <v>-</v>
      </c>
      <c r="JE67" s="155" t="str">
        <f t="shared" si="531"/>
        <v>-</v>
      </c>
      <c r="JF67" s="155" t="str">
        <f t="shared" si="531"/>
        <v>-</v>
      </c>
      <c r="JG67" s="155" t="str">
        <f t="shared" si="531"/>
        <v>-</v>
      </c>
      <c r="JH67" s="155" t="str">
        <f t="shared" si="531"/>
        <v>-</v>
      </c>
      <c r="JI67" s="155" t="str">
        <f t="shared" si="531"/>
        <v>-</v>
      </c>
      <c r="JJ67" s="155" t="str">
        <f t="shared" si="531"/>
        <v>-</v>
      </c>
      <c r="JK67" s="155" t="str">
        <f t="shared" si="531"/>
        <v>-</v>
      </c>
      <c r="JL67" s="155" t="str">
        <f t="shared" si="531"/>
        <v>-</v>
      </c>
      <c r="JM67" s="155" t="str">
        <f t="shared" si="531"/>
        <v>-</v>
      </c>
      <c r="JN67" s="155" t="str">
        <f t="shared" si="531"/>
        <v>-</v>
      </c>
      <c r="JO67" s="155" t="str">
        <f t="shared" si="531"/>
        <v>-</v>
      </c>
      <c r="JP67" s="155" t="str">
        <f t="shared" si="531"/>
        <v>-</v>
      </c>
      <c r="JQ67" s="155" t="str">
        <f t="shared" si="531"/>
        <v>-</v>
      </c>
      <c r="JR67" s="155" t="str">
        <f t="shared" si="531"/>
        <v>-</v>
      </c>
      <c r="JS67" s="155" t="str">
        <f t="shared" si="531"/>
        <v>-</v>
      </c>
      <c r="JT67" s="155" t="str">
        <f t="shared" si="531"/>
        <v>-</v>
      </c>
      <c r="JU67" s="155" t="str">
        <f t="shared" si="531"/>
        <v>-</v>
      </c>
      <c r="JV67" s="155" t="str">
        <f t="shared" si="531"/>
        <v>-</v>
      </c>
      <c r="JW67" s="155" t="str">
        <f t="shared" si="531"/>
        <v>-</v>
      </c>
      <c r="JX67" s="177" t="str">
        <f t="shared" si="531"/>
        <v>-</v>
      </c>
      <c r="JY67" s="181" t="str">
        <f t="shared" si="532"/>
        <v>Harvest</v>
      </c>
      <c r="JZ67" s="177" t="str">
        <f t="shared" si="532"/>
        <v>-</v>
      </c>
      <c r="KA67" s="181" t="str">
        <f t="shared" si="532"/>
        <v>Harvest</v>
      </c>
      <c r="KB67" s="155" t="str">
        <f t="shared" si="532"/>
        <v>-</v>
      </c>
      <c r="KC67" s="155" t="str">
        <f t="shared" si="532"/>
        <v>-</v>
      </c>
      <c r="KD67" s="155" t="str">
        <f t="shared" si="532"/>
        <v>-</v>
      </c>
      <c r="KE67" s="177" t="str">
        <f t="shared" si="532"/>
        <v>-</v>
      </c>
      <c r="KF67" s="181" t="str">
        <f t="shared" si="532"/>
        <v>Harvest</v>
      </c>
      <c r="KG67" s="177" t="str">
        <f t="shared" si="532"/>
        <v>-</v>
      </c>
      <c r="KH67" s="181" t="str">
        <f t="shared" si="532"/>
        <v>Harvest</v>
      </c>
      <c r="KI67" s="155" t="str">
        <f t="shared" si="532"/>
        <v>-</v>
      </c>
      <c r="KJ67" s="155" t="str">
        <f t="shared" si="532"/>
        <v>-</v>
      </c>
      <c r="KK67" s="155" t="str">
        <f t="shared" si="532"/>
        <v>-</v>
      </c>
      <c r="KL67" s="177" t="str">
        <f t="shared" si="532"/>
        <v>-</v>
      </c>
      <c r="KM67" s="181" t="str">
        <f t="shared" si="532"/>
        <v>Harvest</v>
      </c>
      <c r="KN67" s="177" t="str">
        <f t="shared" si="532"/>
        <v>-</v>
      </c>
      <c r="KO67" s="181" t="str">
        <f t="shared" si="532"/>
        <v>Harvest</v>
      </c>
      <c r="KP67" s="155" t="str">
        <f t="shared" si="532"/>
        <v>-</v>
      </c>
      <c r="KQ67" s="155" t="str">
        <f t="shared" si="532"/>
        <v>-</v>
      </c>
      <c r="KR67" s="155" t="str">
        <f t="shared" si="532"/>
        <v>-</v>
      </c>
      <c r="KS67" s="177" t="str">
        <f t="shared" si="532"/>
        <v>-</v>
      </c>
      <c r="KT67" s="181" t="str">
        <f t="shared" ref="KT67:KT78" si="534">EW28</f>
        <v>Harvest</v>
      </c>
      <c r="KU67" s="177" t="str">
        <f t="shared" si="533"/>
        <v>-</v>
      </c>
      <c r="KV67" s="181" t="str">
        <f t="shared" si="533"/>
        <v>Harvest</v>
      </c>
      <c r="KW67" s="184"/>
      <c r="KX67" s="184"/>
      <c r="KY67" s="184"/>
      <c r="KZ67" s="184"/>
      <c r="LA67" s="184"/>
      <c r="LB67" s="184"/>
      <c r="LC67" s="184"/>
      <c r="LD67" s="184"/>
      <c r="LE67" s="184"/>
      <c r="LF67" s="184"/>
      <c r="LG67" s="23"/>
      <c r="LH67" s="23"/>
      <c r="LI67" s="23"/>
      <c r="LJ67" s="23"/>
      <c r="LK67" s="23"/>
      <c r="LL67" s="23"/>
      <c r="LM67" s="23"/>
      <c r="LN67" s="23"/>
      <c r="LO67" s="23"/>
      <c r="LP67" s="23"/>
      <c r="LQ67" s="23"/>
      <c r="LR67" s="23"/>
      <c r="LS67" s="23"/>
      <c r="LT67" s="23"/>
      <c r="LU67" s="23"/>
      <c r="LV67" s="23"/>
      <c r="LW67" s="23"/>
      <c r="LX67" s="23"/>
      <c r="LY67" s="23"/>
      <c r="LZ67" s="23"/>
      <c r="MA67" s="23"/>
      <c r="MB67" s="23"/>
      <c r="MC67" s="23"/>
      <c r="MD67" s="23"/>
      <c r="ME67" s="23"/>
      <c r="MF67" s="23"/>
      <c r="MG67" s="23"/>
      <c r="MH67" s="23"/>
      <c r="MI67" s="23"/>
      <c r="MJ67" s="23"/>
      <c r="MK67" s="23"/>
      <c r="ML67" s="23"/>
      <c r="MM67" s="23"/>
      <c r="MN67" s="23"/>
      <c r="MO67" s="23"/>
      <c r="MP67" s="23"/>
      <c r="MQ67" s="23"/>
      <c r="MR67" s="23"/>
      <c r="MS67" s="23"/>
      <c r="MT67" s="23"/>
      <c r="MU67" s="23"/>
      <c r="MV67" s="23"/>
      <c r="MW67" s="23"/>
      <c r="MX67" s="23"/>
      <c r="MY67" s="23"/>
      <c r="MZ67" s="23"/>
      <c r="NA67" s="23"/>
      <c r="NB67" s="23"/>
      <c r="NC67" s="23"/>
      <c r="ND67" s="23"/>
      <c r="NE67" s="23"/>
      <c r="NF67" s="23"/>
      <c r="NG67" s="23"/>
      <c r="NH67" s="23"/>
      <c r="NI67" s="23"/>
      <c r="NJ67" s="23"/>
      <c r="NK67" s="23"/>
      <c r="NL67" s="23"/>
      <c r="NM67" s="23"/>
      <c r="NN67" s="23"/>
      <c r="NO67" s="23"/>
      <c r="NP67" s="23"/>
      <c r="NQ67" s="23"/>
      <c r="NR67" s="23"/>
      <c r="NS67" s="23"/>
      <c r="NT67" s="23"/>
      <c r="NU67" s="23"/>
      <c r="NV67" s="23"/>
      <c r="NW67" s="23"/>
      <c r="NX67" s="23"/>
      <c r="NY67" s="23"/>
      <c r="NZ67" s="23"/>
      <c r="OA67" s="23"/>
      <c r="OB67" s="23"/>
      <c r="OC67" s="23"/>
      <c r="OD67" s="23"/>
      <c r="OE67" s="23"/>
      <c r="OF67" s="23"/>
      <c r="OG67" s="23"/>
      <c r="OH67" s="23"/>
      <c r="OI67" s="23"/>
      <c r="OJ67" s="23"/>
      <c r="OK67" s="23"/>
      <c r="OL67" s="23"/>
      <c r="OM67" s="23"/>
      <c r="ON67" s="23"/>
      <c r="OO67" s="23"/>
      <c r="OP67" s="23"/>
      <c r="OQ67" s="23"/>
      <c r="OR67" s="23"/>
      <c r="OS67" s="23"/>
      <c r="OT67" s="23"/>
      <c r="OU67" s="23"/>
      <c r="OV67" s="23"/>
      <c r="OW67" s="23"/>
      <c r="OX67" s="23"/>
      <c r="OY67" s="23"/>
      <c r="OZ67" s="23"/>
      <c r="PA67" s="23"/>
      <c r="PB67" s="23"/>
      <c r="PC67" s="23"/>
      <c r="PD67" s="23"/>
      <c r="PE67" s="23"/>
      <c r="PF67" s="23"/>
      <c r="PG67" s="23"/>
      <c r="PH67" s="23"/>
      <c r="PI67" s="23"/>
      <c r="PJ67" s="23"/>
      <c r="PK67" s="23"/>
      <c r="PL67" s="23"/>
      <c r="PM67" s="23"/>
      <c r="PN67" s="23"/>
      <c r="PO67" s="23"/>
      <c r="PP67" s="23"/>
      <c r="PQ67" s="23"/>
      <c r="PR67" s="23"/>
      <c r="PS67" s="23"/>
      <c r="PT67" s="23"/>
      <c r="PU67" s="23"/>
      <c r="PV67" s="23"/>
      <c r="PW67" s="23"/>
      <c r="PX67" s="23"/>
      <c r="PY67" s="23"/>
      <c r="PZ67" s="23"/>
      <c r="QA67" s="23"/>
      <c r="QB67" s="23"/>
      <c r="QC67" s="23"/>
      <c r="QD67" s="23"/>
      <c r="QE67" s="23"/>
      <c r="QF67" s="23"/>
      <c r="QG67" s="23"/>
      <c r="QH67" s="23"/>
      <c r="QI67" s="23"/>
      <c r="QJ67" s="23"/>
      <c r="QK67" s="23"/>
      <c r="QL67" s="23"/>
      <c r="QM67" s="23"/>
      <c r="QN67" s="23"/>
      <c r="QO67" s="23"/>
      <c r="QP67" s="23"/>
      <c r="QQ67" s="23"/>
      <c r="QR67" s="23"/>
      <c r="QS67" s="23"/>
      <c r="QT67" s="23"/>
      <c r="QU67" s="23"/>
      <c r="QV67" s="23"/>
      <c r="QW67" s="23"/>
      <c r="QX67" s="23"/>
      <c r="QY67" s="23"/>
      <c r="QZ67" s="23"/>
      <c r="RA67" s="23"/>
      <c r="RB67" s="23"/>
      <c r="RC67" s="23"/>
      <c r="RD67" s="23"/>
      <c r="RE67" s="23"/>
      <c r="RF67" s="23"/>
      <c r="RG67" s="23"/>
      <c r="RH67" s="23"/>
      <c r="RI67" s="23"/>
      <c r="RJ67" s="23"/>
      <c r="RK67" s="23"/>
      <c r="RL67" s="23"/>
      <c r="RM67" s="23"/>
      <c r="RN67" s="23"/>
      <c r="RO67" s="23"/>
      <c r="RP67" s="23"/>
      <c r="RQ67" s="23"/>
      <c r="RR67" s="23"/>
      <c r="RS67" s="23"/>
      <c r="RT67" s="23"/>
      <c r="RU67" s="23"/>
      <c r="RV67" s="23"/>
      <c r="RW67" s="23"/>
      <c r="RX67" s="23"/>
      <c r="RY67" s="23"/>
      <c r="RZ67" s="23"/>
      <c r="SA67" s="23"/>
      <c r="SB67" s="23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12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12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11"/>
    </row>
    <row r="68" spans="1:605" ht="22.15" customHeight="1" thickBot="1" x14ac:dyDescent="0.3">
      <c r="A68" s="298"/>
      <c r="B68" s="25" t="s">
        <v>27</v>
      </c>
      <c r="BY68" s="184"/>
      <c r="BZ68" s="184"/>
      <c r="CA68" s="184"/>
      <c r="CB68" s="184"/>
      <c r="CC68" s="184"/>
      <c r="CD68" s="184"/>
      <c r="CE68" s="184"/>
      <c r="CF68" s="184"/>
      <c r="CG68" s="184"/>
      <c r="CH68" s="184"/>
      <c r="CI68" s="184"/>
      <c r="CJ68" s="184"/>
      <c r="CK68" s="184"/>
      <c r="CL68" s="184"/>
      <c r="CM68" s="184"/>
      <c r="CN68" s="184"/>
      <c r="CO68" s="184"/>
      <c r="CP68" s="184"/>
      <c r="CQ68" s="184"/>
      <c r="CR68" s="184"/>
      <c r="CS68" s="184"/>
      <c r="CT68" s="184"/>
      <c r="CU68" s="184"/>
      <c r="CV68" s="184"/>
      <c r="CW68" s="184"/>
      <c r="CX68" s="184"/>
      <c r="CY68" s="184"/>
      <c r="CZ68" s="184"/>
      <c r="DA68" s="184"/>
      <c r="DB68" s="184"/>
      <c r="DC68" s="184"/>
      <c r="DD68" s="184"/>
      <c r="DE68" s="184"/>
      <c r="DF68" s="184"/>
      <c r="DG68" s="184"/>
      <c r="DH68" s="184"/>
      <c r="DI68" s="184"/>
      <c r="DJ68" s="184"/>
      <c r="DK68" s="184"/>
      <c r="DL68" s="184"/>
      <c r="DM68" s="184"/>
      <c r="DN68" s="184"/>
      <c r="DO68" s="184"/>
      <c r="DP68" s="184"/>
      <c r="DQ68" s="184"/>
      <c r="DR68" s="184"/>
      <c r="DS68" s="184"/>
      <c r="DT68" s="184"/>
      <c r="DU68" s="184"/>
      <c r="DV68" s="184"/>
      <c r="DW68" s="184"/>
      <c r="DX68" s="184"/>
      <c r="DY68" s="184"/>
      <c r="DZ68" s="184"/>
      <c r="EA68" s="184"/>
      <c r="EB68" s="184"/>
      <c r="EC68" s="184"/>
      <c r="ED68" s="184"/>
      <c r="EE68" s="184"/>
      <c r="EF68" s="184"/>
      <c r="EG68" s="184"/>
      <c r="EH68" s="184"/>
      <c r="EI68" s="184"/>
      <c r="EJ68" s="184"/>
      <c r="EK68" s="184"/>
      <c r="EL68" s="184"/>
      <c r="EM68" s="184"/>
      <c r="EN68" s="184"/>
      <c r="EO68" s="184"/>
      <c r="EP68" s="184"/>
      <c r="EQ68" s="184"/>
      <c r="ER68" s="184"/>
      <c r="ES68" s="184"/>
      <c r="ET68" s="184"/>
      <c r="EU68" s="184"/>
      <c r="EV68" s="184"/>
      <c r="EW68" s="184"/>
      <c r="EX68" s="184"/>
      <c r="EY68" s="184"/>
      <c r="EZ68" s="121">
        <f t="shared" si="516"/>
        <v>0</v>
      </c>
      <c r="FA68" s="108">
        <f t="shared" si="517"/>
        <v>0</v>
      </c>
      <c r="FB68" s="108">
        <f t="shared" si="518"/>
        <v>0</v>
      </c>
      <c r="FC68" s="108">
        <f t="shared" si="519"/>
        <v>0</v>
      </c>
      <c r="FD68" s="108">
        <f t="shared" si="520"/>
        <v>0</v>
      </c>
      <c r="FE68" s="108">
        <f t="shared" si="521"/>
        <v>0</v>
      </c>
      <c r="FF68" s="108">
        <f t="shared" si="522"/>
        <v>0</v>
      </c>
      <c r="FG68" s="108">
        <f t="shared" si="523"/>
        <v>0</v>
      </c>
      <c r="FH68" s="108">
        <f t="shared" si="524"/>
        <v>0</v>
      </c>
      <c r="FI68" s="108">
        <f t="shared" si="525"/>
        <v>0</v>
      </c>
      <c r="FJ68" s="108">
        <f t="shared" si="526"/>
        <v>0</v>
      </c>
      <c r="FK68" s="108">
        <f t="shared" si="527"/>
        <v>0</v>
      </c>
      <c r="FL68" s="108">
        <f t="shared" si="528"/>
        <v>0</v>
      </c>
      <c r="FM68" s="108">
        <f t="shared" si="529"/>
        <v>0</v>
      </c>
      <c r="FN68" s="108">
        <f t="shared" si="530"/>
        <v>0</v>
      </c>
      <c r="FO68" s="108">
        <f t="shared" si="520"/>
        <v>0</v>
      </c>
      <c r="FP68" s="108">
        <f t="shared" si="520"/>
        <v>0</v>
      </c>
      <c r="FQ68" s="108">
        <f t="shared" si="520"/>
        <v>0</v>
      </c>
      <c r="FR68" s="108">
        <f t="shared" si="520"/>
        <v>0</v>
      </c>
      <c r="FS68" s="108">
        <f t="shared" si="520"/>
        <v>0</v>
      </c>
      <c r="FT68" s="108">
        <f t="shared" si="520"/>
        <v>0</v>
      </c>
      <c r="FU68" s="108">
        <f t="shared" si="520"/>
        <v>0</v>
      </c>
      <c r="FV68" s="108">
        <f t="shared" si="520"/>
        <v>0</v>
      </c>
      <c r="FW68" s="108">
        <f t="shared" si="520"/>
        <v>0</v>
      </c>
      <c r="FX68" s="108">
        <f t="shared" si="520"/>
        <v>0</v>
      </c>
      <c r="FY68" s="108">
        <f t="shared" si="520"/>
        <v>0</v>
      </c>
      <c r="FZ68" s="108">
        <f t="shared" si="520"/>
        <v>0</v>
      </c>
      <c r="GA68" s="108">
        <f t="shared" si="520"/>
        <v>0</v>
      </c>
      <c r="GB68" s="108">
        <f t="shared" si="520"/>
        <v>0</v>
      </c>
      <c r="GC68" s="108">
        <f t="shared" si="520"/>
        <v>0</v>
      </c>
      <c r="GD68" s="108">
        <f t="shared" si="520"/>
        <v>0</v>
      </c>
      <c r="GE68" s="108">
        <f t="shared" si="520"/>
        <v>0</v>
      </c>
      <c r="GF68" s="108">
        <f t="shared" si="520"/>
        <v>0</v>
      </c>
      <c r="GG68" s="108">
        <f t="shared" si="520"/>
        <v>0</v>
      </c>
      <c r="GH68" s="108">
        <f t="shared" si="520"/>
        <v>0</v>
      </c>
      <c r="GI68" s="108">
        <f t="shared" si="520"/>
        <v>0</v>
      </c>
      <c r="GJ68" s="108">
        <f t="shared" si="520"/>
        <v>0</v>
      </c>
      <c r="GK68" s="108">
        <f t="shared" si="520"/>
        <v>0</v>
      </c>
      <c r="GL68" s="108">
        <f t="shared" si="520"/>
        <v>0</v>
      </c>
      <c r="GM68" s="108">
        <f t="shared" si="520"/>
        <v>0</v>
      </c>
      <c r="GN68" s="108">
        <f t="shared" si="520"/>
        <v>0</v>
      </c>
      <c r="GO68" s="108">
        <f t="shared" si="520"/>
        <v>0</v>
      </c>
      <c r="GP68" s="108">
        <f t="shared" si="520"/>
        <v>0</v>
      </c>
      <c r="GQ68" s="108">
        <f t="shared" si="520"/>
        <v>0</v>
      </c>
      <c r="GR68" s="108">
        <f t="shared" si="520"/>
        <v>0</v>
      </c>
      <c r="GS68" s="108">
        <f t="shared" si="520"/>
        <v>0</v>
      </c>
      <c r="GT68" s="108">
        <f t="shared" si="520"/>
        <v>0</v>
      </c>
      <c r="GU68" s="108">
        <f t="shared" si="520"/>
        <v>0</v>
      </c>
      <c r="GV68" s="108">
        <f t="shared" si="520"/>
        <v>0</v>
      </c>
      <c r="GW68" s="108">
        <f t="shared" si="520"/>
        <v>0</v>
      </c>
      <c r="GX68" s="108">
        <f t="shared" si="520"/>
        <v>0</v>
      </c>
      <c r="GY68" s="145">
        <f t="shared" si="520"/>
        <v>0</v>
      </c>
      <c r="GZ68" s="145">
        <f t="shared" si="520"/>
        <v>0</v>
      </c>
      <c r="HA68" s="145">
        <f t="shared" si="520"/>
        <v>0</v>
      </c>
      <c r="HB68" s="145">
        <f t="shared" si="520"/>
        <v>0</v>
      </c>
      <c r="HC68" s="145">
        <f t="shared" si="520"/>
        <v>0</v>
      </c>
      <c r="HD68" s="145">
        <f t="shared" si="520"/>
        <v>0</v>
      </c>
      <c r="HE68" s="145">
        <f t="shared" si="520"/>
        <v>0</v>
      </c>
      <c r="HF68" s="145">
        <f t="shared" si="520"/>
        <v>0</v>
      </c>
      <c r="HG68" s="145">
        <f t="shared" si="520"/>
        <v>0</v>
      </c>
      <c r="HH68" s="145">
        <f t="shared" si="520"/>
        <v>0</v>
      </c>
      <c r="HI68" s="145">
        <f t="shared" si="520"/>
        <v>0</v>
      </c>
      <c r="HJ68" s="145">
        <f t="shared" si="520"/>
        <v>0</v>
      </c>
      <c r="HK68" s="145">
        <f t="shared" si="520"/>
        <v>0</v>
      </c>
      <c r="HL68" s="145">
        <f t="shared" si="520"/>
        <v>0</v>
      </c>
      <c r="HM68" s="145">
        <f t="shared" si="531"/>
        <v>0</v>
      </c>
      <c r="HN68" s="145">
        <f t="shared" si="531"/>
        <v>0</v>
      </c>
      <c r="HO68" s="145">
        <f t="shared" si="531"/>
        <v>0</v>
      </c>
      <c r="HP68" s="145">
        <f t="shared" si="531"/>
        <v>0</v>
      </c>
      <c r="HQ68" s="145">
        <f t="shared" si="531"/>
        <v>0</v>
      </c>
      <c r="HR68" s="145">
        <f t="shared" si="531"/>
        <v>0</v>
      </c>
      <c r="HS68" s="145">
        <f t="shared" si="531"/>
        <v>0</v>
      </c>
      <c r="HT68" s="145">
        <f t="shared" si="531"/>
        <v>0</v>
      </c>
      <c r="HU68" s="145">
        <f t="shared" si="531"/>
        <v>0</v>
      </c>
      <c r="HV68" s="146">
        <f t="shared" si="531"/>
        <v>0</v>
      </c>
      <c r="HW68" s="146">
        <f t="shared" si="531"/>
        <v>0</v>
      </c>
      <c r="HX68" s="146">
        <f t="shared" si="531"/>
        <v>0</v>
      </c>
      <c r="HY68" s="146">
        <f t="shared" si="531"/>
        <v>0</v>
      </c>
      <c r="HZ68" s="146">
        <f t="shared" si="531"/>
        <v>0</v>
      </c>
      <c r="IA68" s="146">
        <f t="shared" si="531"/>
        <v>0</v>
      </c>
      <c r="IB68" s="146">
        <f t="shared" si="531"/>
        <v>0</v>
      </c>
      <c r="IC68" s="146">
        <f t="shared" si="531"/>
        <v>0</v>
      </c>
      <c r="ID68" s="146">
        <f t="shared" si="531"/>
        <v>0</v>
      </c>
      <c r="IE68" s="146">
        <f t="shared" si="531"/>
        <v>0</v>
      </c>
      <c r="IF68" s="146">
        <f t="shared" si="531"/>
        <v>0</v>
      </c>
      <c r="IG68" s="146">
        <f t="shared" si="531"/>
        <v>0</v>
      </c>
      <c r="IH68" s="146">
        <f t="shared" si="531"/>
        <v>0</v>
      </c>
      <c r="II68" s="146">
        <f t="shared" si="531"/>
        <v>0</v>
      </c>
      <c r="IJ68" s="146">
        <f t="shared" si="531"/>
        <v>0</v>
      </c>
      <c r="IK68" s="146">
        <f t="shared" si="531"/>
        <v>0</v>
      </c>
      <c r="IL68" s="146">
        <f t="shared" si="531"/>
        <v>0</v>
      </c>
      <c r="IM68" s="146">
        <f t="shared" si="531"/>
        <v>0</v>
      </c>
      <c r="IN68" s="146">
        <f t="shared" si="531"/>
        <v>0</v>
      </c>
      <c r="IO68" s="146">
        <f t="shared" si="531"/>
        <v>0</v>
      </c>
      <c r="IP68" s="146">
        <f t="shared" si="531"/>
        <v>0</v>
      </c>
      <c r="IQ68" s="146">
        <f t="shared" si="531"/>
        <v>0</v>
      </c>
      <c r="IR68" s="146">
        <f t="shared" si="531"/>
        <v>0</v>
      </c>
      <c r="IS68" s="146">
        <f t="shared" si="531"/>
        <v>0</v>
      </c>
      <c r="IT68" s="146">
        <f t="shared" si="531"/>
        <v>0</v>
      </c>
      <c r="IU68" s="146">
        <f t="shared" si="531"/>
        <v>0</v>
      </c>
      <c r="IV68" s="146">
        <f t="shared" si="531"/>
        <v>0</v>
      </c>
      <c r="IW68" s="146">
        <f t="shared" si="531"/>
        <v>0</v>
      </c>
      <c r="IX68" s="156">
        <f t="shared" si="531"/>
        <v>0</v>
      </c>
      <c r="IY68" s="156">
        <f t="shared" si="531"/>
        <v>0</v>
      </c>
      <c r="IZ68" s="156">
        <f t="shared" si="531"/>
        <v>0</v>
      </c>
      <c r="JA68" s="156">
        <f t="shared" si="531"/>
        <v>0</v>
      </c>
      <c r="JB68" s="156">
        <f t="shared" si="531"/>
        <v>0</v>
      </c>
      <c r="JC68" s="156">
        <f t="shared" si="531"/>
        <v>0</v>
      </c>
      <c r="JD68" s="156">
        <f t="shared" si="531"/>
        <v>0</v>
      </c>
      <c r="JE68" s="156">
        <f t="shared" si="531"/>
        <v>0</v>
      </c>
      <c r="JF68" s="156">
        <f t="shared" si="531"/>
        <v>0</v>
      </c>
      <c r="JG68" s="156">
        <f t="shared" si="531"/>
        <v>0</v>
      </c>
      <c r="JH68" s="156">
        <f t="shared" si="531"/>
        <v>0</v>
      </c>
      <c r="JI68" s="156">
        <f t="shared" si="531"/>
        <v>0</v>
      </c>
      <c r="JJ68" s="156">
        <f t="shared" si="531"/>
        <v>0</v>
      </c>
      <c r="JK68" s="156">
        <f t="shared" si="531"/>
        <v>0</v>
      </c>
      <c r="JL68" s="156">
        <f t="shared" si="531"/>
        <v>0</v>
      </c>
      <c r="JM68" s="156">
        <f t="shared" si="531"/>
        <v>0</v>
      </c>
      <c r="JN68" s="156">
        <f t="shared" si="531"/>
        <v>0</v>
      </c>
      <c r="JO68" s="156">
        <f t="shared" si="531"/>
        <v>0</v>
      </c>
      <c r="JP68" s="156">
        <f t="shared" si="531"/>
        <v>0</v>
      </c>
      <c r="JQ68" s="156">
        <f t="shared" si="531"/>
        <v>0</v>
      </c>
      <c r="JR68" s="156">
        <f t="shared" si="531"/>
        <v>0</v>
      </c>
      <c r="JS68" s="156">
        <f t="shared" si="531"/>
        <v>0</v>
      </c>
      <c r="JT68" s="156">
        <f t="shared" si="531"/>
        <v>0</v>
      </c>
      <c r="JU68" s="156">
        <f t="shared" si="531"/>
        <v>0</v>
      </c>
      <c r="JV68" s="156">
        <f t="shared" si="531"/>
        <v>0</v>
      </c>
      <c r="JW68" s="156">
        <f t="shared" si="531"/>
        <v>0</v>
      </c>
      <c r="JX68" s="156">
        <f t="shared" si="531"/>
        <v>0</v>
      </c>
      <c r="JY68" s="179">
        <f t="shared" si="532"/>
        <v>0</v>
      </c>
      <c r="JZ68" s="156">
        <f t="shared" si="532"/>
        <v>0</v>
      </c>
      <c r="KA68" s="179">
        <f t="shared" si="532"/>
        <v>0</v>
      </c>
      <c r="KB68" s="156">
        <f t="shared" si="532"/>
        <v>0</v>
      </c>
      <c r="KC68" s="156">
        <f t="shared" si="532"/>
        <v>0</v>
      </c>
      <c r="KD68" s="156">
        <f t="shared" si="532"/>
        <v>0</v>
      </c>
      <c r="KE68" s="156">
        <f t="shared" si="532"/>
        <v>0</v>
      </c>
      <c r="KF68" s="179">
        <f t="shared" si="532"/>
        <v>0</v>
      </c>
      <c r="KG68" s="156">
        <f t="shared" si="532"/>
        <v>0</v>
      </c>
      <c r="KH68" s="179">
        <f t="shared" si="532"/>
        <v>0</v>
      </c>
      <c r="KI68" s="156">
        <f t="shared" si="532"/>
        <v>0</v>
      </c>
      <c r="KJ68" s="156">
        <f t="shared" si="532"/>
        <v>0</v>
      </c>
      <c r="KK68" s="156">
        <f t="shared" si="532"/>
        <v>0</v>
      </c>
      <c r="KL68" s="156">
        <f t="shared" si="532"/>
        <v>0</v>
      </c>
      <c r="KM68" s="179">
        <f t="shared" si="532"/>
        <v>0</v>
      </c>
      <c r="KN68" s="156">
        <f t="shared" si="532"/>
        <v>0</v>
      </c>
      <c r="KO68" s="179">
        <f t="shared" si="532"/>
        <v>0</v>
      </c>
      <c r="KP68" s="156">
        <f t="shared" si="532"/>
        <v>0</v>
      </c>
      <c r="KQ68" s="156">
        <f t="shared" si="532"/>
        <v>0</v>
      </c>
      <c r="KR68" s="156">
        <f t="shared" si="532"/>
        <v>0</v>
      </c>
      <c r="KS68" s="156">
        <f t="shared" si="532"/>
        <v>0</v>
      </c>
      <c r="KT68" s="179">
        <f t="shared" si="534"/>
        <v>0</v>
      </c>
      <c r="KU68" s="156">
        <f t="shared" si="533"/>
        <v>0</v>
      </c>
      <c r="KV68" s="179">
        <f t="shared" si="533"/>
        <v>0</v>
      </c>
      <c r="KW68" s="184"/>
      <c r="KX68" s="184"/>
      <c r="KY68" s="184"/>
      <c r="KZ68" s="184"/>
      <c r="LA68" s="184"/>
      <c r="LB68" s="184"/>
      <c r="LC68" s="184"/>
      <c r="LD68" s="184"/>
      <c r="LE68" s="184"/>
      <c r="LF68" s="184"/>
      <c r="LG68" s="20"/>
      <c r="LH68" s="20"/>
      <c r="LI68" s="20"/>
      <c r="LJ68" s="20"/>
      <c r="LK68" s="20"/>
      <c r="LL68" s="20"/>
      <c r="LM68" s="20"/>
      <c r="LN68" s="20"/>
      <c r="LO68" s="20"/>
      <c r="LP68" s="20"/>
      <c r="LQ68" s="20"/>
      <c r="LR68" s="20"/>
      <c r="LS68" s="20"/>
      <c r="LT68" s="20"/>
      <c r="LU68" s="20"/>
      <c r="LV68" s="20"/>
      <c r="LW68" s="20"/>
      <c r="LX68" s="20"/>
      <c r="LY68" s="20"/>
      <c r="LZ68" s="20"/>
      <c r="MA68" s="20"/>
      <c r="MB68" s="20"/>
      <c r="MC68" s="20"/>
      <c r="MD68" s="20"/>
      <c r="ME68" s="20"/>
      <c r="MF68" s="20"/>
      <c r="MG68" s="20"/>
      <c r="MH68" s="20"/>
      <c r="MI68" s="20"/>
      <c r="MJ68" s="20"/>
      <c r="MK68" s="20"/>
      <c r="ML68" s="20"/>
      <c r="MM68" s="20"/>
      <c r="MN68" s="20"/>
      <c r="MO68" s="20"/>
      <c r="MP68" s="20"/>
      <c r="MQ68" s="20"/>
      <c r="MR68" s="20"/>
      <c r="MS68" s="20"/>
      <c r="MT68" s="20"/>
      <c r="MU68" s="20"/>
      <c r="MV68" s="20"/>
      <c r="MW68" s="20"/>
      <c r="MX68" s="20"/>
      <c r="MY68" s="20"/>
      <c r="MZ68" s="20"/>
      <c r="NA68" s="20"/>
      <c r="NB68" s="20"/>
      <c r="NC68" s="20"/>
      <c r="ND68" s="20"/>
      <c r="NE68" s="20"/>
      <c r="NF68" s="20"/>
      <c r="NG68" s="20"/>
      <c r="NH68" s="20"/>
      <c r="NI68" s="20"/>
      <c r="NJ68" s="20"/>
      <c r="NK68" s="20"/>
      <c r="NL68" s="20"/>
      <c r="NM68" s="20"/>
      <c r="NN68" s="20"/>
      <c r="NO68" s="20"/>
      <c r="NP68" s="20"/>
      <c r="NQ68" s="20"/>
      <c r="NR68" s="20"/>
      <c r="NS68" s="20"/>
      <c r="NT68" s="20"/>
      <c r="NU68" s="20"/>
      <c r="NV68" s="20"/>
      <c r="NW68" s="20"/>
      <c r="NX68" s="20"/>
      <c r="NY68" s="20"/>
      <c r="NZ68" s="20"/>
      <c r="OA68" s="20"/>
      <c r="OB68" s="20"/>
      <c r="OC68" s="20"/>
      <c r="OD68" s="20"/>
      <c r="OE68" s="20"/>
      <c r="OF68" s="20"/>
      <c r="OG68" s="20"/>
      <c r="OH68" s="20"/>
      <c r="OI68" s="20"/>
      <c r="OJ68" s="20"/>
      <c r="OK68" s="20"/>
      <c r="OL68" s="20"/>
      <c r="OM68" s="20"/>
      <c r="ON68" s="20"/>
      <c r="OO68" s="20"/>
      <c r="OP68" s="20"/>
      <c r="OQ68" s="20"/>
      <c r="OR68" s="20"/>
      <c r="OS68" s="20"/>
      <c r="OT68" s="20"/>
      <c r="OU68" s="20"/>
      <c r="OV68" s="20"/>
      <c r="OW68" s="20"/>
      <c r="OX68" s="20"/>
      <c r="OY68" s="20"/>
      <c r="OZ68" s="20"/>
      <c r="PA68" s="20"/>
      <c r="PB68" s="20"/>
      <c r="PC68" s="20"/>
      <c r="PD68" s="20"/>
      <c r="PE68" s="20"/>
      <c r="PF68" s="20"/>
      <c r="PG68" s="20"/>
      <c r="PH68" s="20"/>
      <c r="PI68" s="20"/>
      <c r="PJ68" s="20"/>
      <c r="PK68" s="20"/>
      <c r="PL68" s="20"/>
      <c r="PM68" s="20"/>
      <c r="PN68" s="20"/>
      <c r="PO68" s="20"/>
      <c r="PP68" s="20"/>
      <c r="PQ68" s="20"/>
      <c r="PR68" s="20"/>
      <c r="PS68" s="20"/>
      <c r="PT68" s="20"/>
      <c r="PU68" s="20"/>
      <c r="PV68" s="20"/>
      <c r="PW68" s="20"/>
      <c r="PX68" s="20"/>
      <c r="PY68" s="20"/>
      <c r="PZ68" s="20"/>
      <c r="QA68" s="20"/>
      <c r="QB68" s="20"/>
      <c r="QC68" s="20"/>
      <c r="QD68" s="20"/>
      <c r="QE68" s="23"/>
      <c r="QF68" s="23"/>
      <c r="QG68" s="23"/>
      <c r="QH68" s="23"/>
      <c r="QI68" s="23"/>
      <c r="QJ68" s="23"/>
      <c r="QK68" s="23"/>
      <c r="QL68" s="23"/>
      <c r="QM68" s="23"/>
      <c r="QN68" s="23"/>
      <c r="QO68" s="23"/>
      <c r="QP68" s="23"/>
      <c r="QQ68" s="23"/>
      <c r="QR68" s="23"/>
      <c r="QS68" s="23"/>
      <c r="QT68" s="23"/>
      <c r="QU68" s="23"/>
      <c r="QV68" s="23"/>
      <c r="QW68" s="23"/>
      <c r="QX68" s="23"/>
      <c r="QY68" s="23"/>
      <c r="QZ68" s="23"/>
      <c r="RA68" s="23"/>
      <c r="RB68" s="23"/>
      <c r="RC68" s="23"/>
      <c r="RD68" s="23"/>
      <c r="RE68" s="23"/>
      <c r="RF68" s="23"/>
      <c r="RG68" s="23"/>
      <c r="RH68" s="23"/>
      <c r="RI68" s="23"/>
      <c r="RJ68" s="23"/>
      <c r="RK68" s="23"/>
      <c r="RL68" s="23"/>
      <c r="RM68" s="23"/>
      <c r="RN68" s="23"/>
      <c r="RO68" s="23"/>
      <c r="RP68" s="23"/>
      <c r="RQ68" s="23"/>
      <c r="RR68" s="23"/>
      <c r="RS68" s="23"/>
      <c r="RT68" s="23"/>
      <c r="RU68" s="23"/>
      <c r="RV68" s="23"/>
      <c r="RW68" s="23"/>
      <c r="RX68" s="23"/>
      <c r="RY68" s="23"/>
      <c r="RZ68" s="23"/>
      <c r="SA68" s="23"/>
      <c r="SB68" s="23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11"/>
    </row>
    <row r="69" spans="1:605" ht="22.15" customHeight="1" thickBot="1" x14ac:dyDescent="0.3">
      <c r="A69" s="298"/>
      <c r="B69" s="25" t="s">
        <v>25</v>
      </c>
      <c r="BY69" s="184"/>
      <c r="BZ69" s="184"/>
      <c r="CA69" s="184"/>
      <c r="CB69" s="184"/>
      <c r="CC69" s="184"/>
      <c r="CD69" s="184"/>
      <c r="CE69" s="184"/>
      <c r="CF69" s="184"/>
      <c r="CG69" s="184"/>
      <c r="CH69" s="184"/>
      <c r="CI69" s="184"/>
      <c r="CJ69" s="184"/>
      <c r="CK69" s="184"/>
      <c r="CL69" s="184"/>
      <c r="CM69" s="184"/>
      <c r="CN69" s="184"/>
      <c r="CO69" s="184"/>
      <c r="CP69" s="184"/>
      <c r="CQ69" s="184"/>
      <c r="CR69" s="184"/>
      <c r="CS69" s="184"/>
      <c r="CT69" s="184"/>
      <c r="CU69" s="184"/>
      <c r="CV69" s="184"/>
      <c r="CW69" s="184"/>
      <c r="CX69" s="184"/>
      <c r="CY69" s="184"/>
      <c r="CZ69" s="184"/>
      <c r="DA69" s="184"/>
      <c r="DB69" s="184"/>
      <c r="DC69" s="184"/>
      <c r="DD69" s="184"/>
      <c r="DE69" s="184"/>
      <c r="DF69" s="184"/>
      <c r="DG69" s="184"/>
      <c r="DH69" s="184"/>
      <c r="DI69" s="184"/>
      <c r="DJ69" s="184"/>
      <c r="DK69" s="184"/>
      <c r="DL69" s="184"/>
      <c r="DM69" s="184"/>
      <c r="DN69" s="184"/>
      <c r="DO69" s="184"/>
      <c r="DP69" s="184"/>
      <c r="DQ69" s="184"/>
      <c r="DR69" s="184"/>
      <c r="DS69" s="184"/>
      <c r="DT69" s="184"/>
      <c r="DU69" s="184"/>
      <c r="DV69" s="184"/>
      <c r="DW69" s="184"/>
      <c r="DX69" s="184"/>
      <c r="DY69" s="184"/>
      <c r="DZ69" s="184"/>
      <c r="EA69" s="184"/>
      <c r="EB69" s="184"/>
      <c r="EC69" s="184"/>
      <c r="ED69" s="184"/>
      <c r="EE69" s="184"/>
      <c r="EF69" s="184"/>
      <c r="EG69" s="184"/>
      <c r="EH69" s="184"/>
      <c r="EI69" s="184"/>
      <c r="EJ69" s="184"/>
      <c r="EK69" s="184"/>
      <c r="EL69" s="184"/>
      <c r="EM69" s="184"/>
      <c r="EN69" s="184"/>
      <c r="EO69" s="184"/>
      <c r="EP69" s="184"/>
      <c r="EQ69" s="184"/>
      <c r="ER69" s="184"/>
      <c r="ES69" s="184"/>
      <c r="ET69" s="184"/>
      <c r="EU69" s="184"/>
      <c r="EV69" s="184"/>
      <c r="EW69" s="184"/>
      <c r="EX69" s="184"/>
      <c r="EY69" s="184"/>
      <c r="EZ69" s="138">
        <f t="shared" si="516"/>
        <v>0</v>
      </c>
      <c r="FA69" s="108">
        <f t="shared" si="517"/>
        <v>0</v>
      </c>
      <c r="FB69" s="108">
        <f t="shared" si="518"/>
        <v>0</v>
      </c>
      <c r="FC69" s="108">
        <f t="shared" si="519"/>
        <v>0</v>
      </c>
      <c r="FD69" s="108">
        <f t="shared" si="520"/>
        <v>0</v>
      </c>
      <c r="FE69" s="108">
        <f t="shared" si="521"/>
        <v>0</v>
      </c>
      <c r="FF69" s="108">
        <f t="shared" si="522"/>
        <v>0</v>
      </c>
      <c r="FG69" s="108">
        <f t="shared" si="523"/>
        <v>0</v>
      </c>
      <c r="FH69" s="108">
        <f t="shared" si="524"/>
        <v>0</v>
      </c>
      <c r="FI69" s="108">
        <f t="shared" si="525"/>
        <v>0</v>
      </c>
      <c r="FJ69" s="108">
        <f t="shared" si="526"/>
        <v>0</v>
      </c>
      <c r="FK69" s="108">
        <f t="shared" si="527"/>
        <v>0</v>
      </c>
      <c r="FL69" s="108">
        <f t="shared" si="528"/>
        <v>0</v>
      </c>
      <c r="FM69" s="108">
        <f t="shared" si="529"/>
        <v>0</v>
      </c>
      <c r="FN69" s="108">
        <f t="shared" si="530"/>
        <v>0</v>
      </c>
      <c r="FO69" s="108">
        <f t="shared" si="520"/>
        <v>0</v>
      </c>
      <c r="FP69" s="108">
        <f t="shared" si="520"/>
        <v>0</v>
      </c>
      <c r="FQ69" s="108">
        <f t="shared" si="520"/>
        <v>0</v>
      </c>
      <c r="FR69" s="108">
        <f t="shared" si="520"/>
        <v>0</v>
      </c>
      <c r="FS69" s="108">
        <f t="shared" si="520"/>
        <v>0</v>
      </c>
      <c r="FT69" s="108">
        <f t="shared" si="520"/>
        <v>0</v>
      </c>
      <c r="FU69" s="108">
        <f t="shared" si="520"/>
        <v>0</v>
      </c>
      <c r="FV69" s="108">
        <f t="shared" si="520"/>
        <v>0</v>
      </c>
      <c r="FW69" s="108">
        <f t="shared" si="520"/>
        <v>0</v>
      </c>
      <c r="FX69" s="108">
        <f t="shared" si="520"/>
        <v>0</v>
      </c>
      <c r="FY69" s="108">
        <f t="shared" si="520"/>
        <v>0</v>
      </c>
      <c r="FZ69" s="108">
        <f t="shared" si="520"/>
        <v>0</v>
      </c>
      <c r="GA69" s="108">
        <f t="shared" si="520"/>
        <v>0</v>
      </c>
      <c r="GB69" s="108">
        <f t="shared" si="520"/>
        <v>0</v>
      </c>
      <c r="GC69" s="108">
        <f t="shared" si="520"/>
        <v>0</v>
      </c>
      <c r="GD69" s="108">
        <f t="shared" si="520"/>
        <v>0</v>
      </c>
      <c r="GE69" s="108">
        <f t="shared" si="520"/>
        <v>0</v>
      </c>
      <c r="GF69" s="108">
        <f t="shared" si="520"/>
        <v>0</v>
      </c>
      <c r="GG69" s="108">
        <f t="shared" si="520"/>
        <v>0</v>
      </c>
      <c r="GH69" s="108">
        <f t="shared" si="520"/>
        <v>0</v>
      </c>
      <c r="GI69" s="108">
        <f t="shared" si="520"/>
        <v>0</v>
      </c>
      <c r="GJ69" s="108">
        <f t="shared" si="520"/>
        <v>0</v>
      </c>
      <c r="GK69" s="108">
        <f t="shared" si="520"/>
        <v>0</v>
      </c>
      <c r="GL69" s="108">
        <f t="shared" si="520"/>
        <v>0</v>
      </c>
      <c r="GM69" s="108">
        <f t="shared" si="520"/>
        <v>0</v>
      </c>
      <c r="GN69" s="108">
        <f t="shared" si="520"/>
        <v>0</v>
      </c>
      <c r="GO69" s="108">
        <f t="shared" si="520"/>
        <v>0</v>
      </c>
      <c r="GP69" s="108">
        <f t="shared" si="520"/>
        <v>0</v>
      </c>
      <c r="GQ69" s="108">
        <f t="shared" si="520"/>
        <v>0</v>
      </c>
      <c r="GR69" s="108">
        <f t="shared" si="520"/>
        <v>0</v>
      </c>
      <c r="GS69" s="108">
        <f t="shared" si="520"/>
        <v>0</v>
      </c>
      <c r="GT69" s="108">
        <f t="shared" si="520"/>
        <v>0</v>
      </c>
      <c r="GU69" s="108">
        <f t="shared" si="520"/>
        <v>0</v>
      </c>
      <c r="GV69" s="108">
        <f t="shared" si="520"/>
        <v>0</v>
      </c>
      <c r="GW69" s="108">
        <f t="shared" si="520"/>
        <v>0</v>
      </c>
      <c r="GX69" s="108">
        <f t="shared" si="520"/>
        <v>0</v>
      </c>
      <c r="GY69" s="145">
        <f t="shared" si="520"/>
        <v>0</v>
      </c>
      <c r="GZ69" s="145">
        <f t="shared" si="520"/>
        <v>0</v>
      </c>
      <c r="HA69" s="145">
        <f t="shared" si="520"/>
        <v>0</v>
      </c>
      <c r="HB69" s="145">
        <f t="shared" si="520"/>
        <v>0</v>
      </c>
      <c r="HC69" s="145">
        <f t="shared" si="520"/>
        <v>0</v>
      </c>
      <c r="HD69" s="145">
        <f t="shared" si="520"/>
        <v>0</v>
      </c>
      <c r="HE69" s="145">
        <f t="shared" si="520"/>
        <v>0</v>
      </c>
      <c r="HF69" s="145">
        <f t="shared" si="520"/>
        <v>0</v>
      </c>
      <c r="HG69" s="145">
        <f t="shared" si="520"/>
        <v>0</v>
      </c>
      <c r="HH69" s="145">
        <f t="shared" si="520"/>
        <v>0</v>
      </c>
      <c r="HI69" s="145">
        <f t="shared" si="520"/>
        <v>0</v>
      </c>
      <c r="HJ69" s="145">
        <f t="shared" si="520"/>
        <v>0</v>
      </c>
      <c r="HK69" s="145">
        <f t="shared" si="520"/>
        <v>0</v>
      </c>
      <c r="HL69" s="145">
        <f t="shared" ref="HL69:HL78" si="535">BO30</f>
        <v>0</v>
      </c>
      <c r="HM69" s="145">
        <f t="shared" si="531"/>
        <v>0</v>
      </c>
      <c r="HN69" s="145">
        <f t="shared" si="531"/>
        <v>0</v>
      </c>
      <c r="HO69" s="145">
        <f t="shared" si="531"/>
        <v>0</v>
      </c>
      <c r="HP69" s="145">
        <f t="shared" si="531"/>
        <v>0</v>
      </c>
      <c r="HQ69" s="145">
        <f t="shared" si="531"/>
        <v>0</v>
      </c>
      <c r="HR69" s="145">
        <f t="shared" si="531"/>
        <v>0</v>
      </c>
      <c r="HS69" s="145">
        <f t="shared" si="531"/>
        <v>0</v>
      </c>
      <c r="HT69" s="145">
        <f t="shared" si="531"/>
        <v>0</v>
      </c>
      <c r="HU69" s="145">
        <f t="shared" si="531"/>
        <v>0</v>
      </c>
      <c r="HV69" s="146">
        <f t="shared" si="531"/>
        <v>0</v>
      </c>
      <c r="HW69" s="146">
        <f t="shared" si="531"/>
        <v>0</v>
      </c>
      <c r="HX69" s="146">
        <f t="shared" si="531"/>
        <v>0</v>
      </c>
      <c r="HY69" s="146">
        <f t="shared" si="531"/>
        <v>0</v>
      </c>
      <c r="HZ69" s="146">
        <f t="shared" si="531"/>
        <v>0</v>
      </c>
      <c r="IA69" s="146">
        <f t="shared" si="531"/>
        <v>0</v>
      </c>
      <c r="IB69" s="146">
        <f t="shared" si="531"/>
        <v>0</v>
      </c>
      <c r="IC69" s="146">
        <f t="shared" si="531"/>
        <v>0</v>
      </c>
      <c r="ID69" s="146">
        <f t="shared" si="531"/>
        <v>0</v>
      </c>
      <c r="IE69" s="146">
        <f t="shared" si="531"/>
        <v>0</v>
      </c>
      <c r="IF69" s="146">
        <f t="shared" si="531"/>
        <v>0</v>
      </c>
      <c r="IG69" s="146">
        <f t="shared" si="531"/>
        <v>0</v>
      </c>
      <c r="IH69" s="146">
        <f t="shared" si="531"/>
        <v>0</v>
      </c>
      <c r="II69" s="146">
        <f t="shared" si="531"/>
        <v>0</v>
      </c>
      <c r="IJ69" s="146">
        <f t="shared" si="531"/>
        <v>0</v>
      </c>
      <c r="IK69" s="146">
        <f t="shared" si="531"/>
        <v>0</v>
      </c>
      <c r="IL69" s="146">
        <f t="shared" si="531"/>
        <v>0</v>
      </c>
      <c r="IM69" s="146">
        <f t="shared" si="531"/>
        <v>0</v>
      </c>
      <c r="IN69" s="146">
        <f t="shared" si="531"/>
        <v>0</v>
      </c>
      <c r="IO69" s="146">
        <f t="shared" si="531"/>
        <v>0</v>
      </c>
      <c r="IP69" s="146">
        <f t="shared" si="531"/>
        <v>0</v>
      </c>
      <c r="IQ69" s="146">
        <f t="shared" si="531"/>
        <v>0</v>
      </c>
      <c r="IR69" s="146">
        <f t="shared" si="531"/>
        <v>0</v>
      </c>
      <c r="IS69" s="146">
        <f t="shared" si="531"/>
        <v>0</v>
      </c>
      <c r="IT69" s="146">
        <f t="shared" si="531"/>
        <v>0</v>
      </c>
      <c r="IU69" s="146">
        <f t="shared" si="531"/>
        <v>0</v>
      </c>
      <c r="IV69" s="146">
        <f t="shared" si="531"/>
        <v>0</v>
      </c>
      <c r="IW69" s="146">
        <f t="shared" si="531"/>
        <v>0</v>
      </c>
      <c r="IX69" s="156">
        <f t="shared" si="531"/>
        <v>0</v>
      </c>
      <c r="IY69" s="156">
        <f t="shared" si="531"/>
        <v>0</v>
      </c>
      <c r="IZ69" s="156">
        <f t="shared" si="531"/>
        <v>0</v>
      </c>
      <c r="JA69" s="156">
        <f t="shared" si="531"/>
        <v>0</v>
      </c>
      <c r="JB69" s="156">
        <f t="shared" si="531"/>
        <v>0</v>
      </c>
      <c r="JC69" s="156">
        <f t="shared" si="531"/>
        <v>0</v>
      </c>
      <c r="JD69" s="156">
        <f t="shared" si="531"/>
        <v>0</v>
      </c>
      <c r="JE69" s="156">
        <f t="shared" si="531"/>
        <v>0</v>
      </c>
      <c r="JF69" s="156">
        <f t="shared" si="531"/>
        <v>0</v>
      </c>
      <c r="JG69" s="156">
        <f t="shared" si="531"/>
        <v>0</v>
      </c>
      <c r="JH69" s="156">
        <f t="shared" si="531"/>
        <v>0</v>
      </c>
      <c r="JI69" s="156">
        <f t="shared" si="531"/>
        <v>0</v>
      </c>
      <c r="JJ69" s="156">
        <f t="shared" si="531"/>
        <v>0</v>
      </c>
      <c r="JK69" s="156">
        <f t="shared" si="531"/>
        <v>0</v>
      </c>
      <c r="JL69" s="156">
        <f t="shared" si="531"/>
        <v>0</v>
      </c>
      <c r="JM69" s="156">
        <f t="shared" si="531"/>
        <v>0</v>
      </c>
      <c r="JN69" s="156">
        <f t="shared" si="531"/>
        <v>0</v>
      </c>
      <c r="JO69" s="156">
        <f t="shared" si="531"/>
        <v>0</v>
      </c>
      <c r="JP69" s="156">
        <f t="shared" si="531"/>
        <v>0</v>
      </c>
      <c r="JQ69" s="156">
        <f t="shared" si="531"/>
        <v>0</v>
      </c>
      <c r="JR69" s="156">
        <f t="shared" si="531"/>
        <v>0</v>
      </c>
      <c r="JS69" s="156">
        <f t="shared" si="531"/>
        <v>0</v>
      </c>
      <c r="JT69" s="156">
        <f t="shared" si="531"/>
        <v>0</v>
      </c>
      <c r="JU69" s="156">
        <f t="shared" si="531"/>
        <v>0</v>
      </c>
      <c r="JV69" s="156">
        <f t="shared" si="531"/>
        <v>0</v>
      </c>
      <c r="JW69" s="156">
        <f t="shared" si="531"/>
        <v>0</v>
      </c>
      <c r="JX69" s="178">
        <f t="shared" ref="JX69:JX78" si="536">EA30</f>
        <v>0</v>
      </c>
      <c r="JY69" s="181">
        <f t="shared" si="532"/>
        <v>24.185735913858924</v>
      </c>
      <c r="JZ69" s="177">
        <f t="shared" si="532"/>
        <v>0</v>
      </c>
      <c r="KA69" s="181">
        <f t="shared" si="532"/>
        <v>24.082193323306559</v>
      </c>
      <c r="KB69" s="155">
        <f t="shared" si="532"/>
        <v>0</v>
      </c>
      <c r="KC69" s="156">
        <f t="shared" si="532"/>
        <v>0</v>
      </c>
      <c r="KD69" s="156">
        <f t="shared" si="532"/>
        <v>0</v>
      </c>
      <c r="KE69" s="178">
        <f t="shared" si="532"/>
        <v>0</v>
      </c>
      <c r="KF69" s="181">
        <f t="shared" si="532"/>
        <v>23.834369382163725</v>
      </c>
      <c r="KG69" s="177">
        <f t="shared" si="532"/>
        <v>0</v>
      </c>
      <c r="KH69" s="181">
        <f t="shared" si="532"/>
        <v>23.729612561855234</v>
      </c>
      <c r="KI69" s="155">
        <f t="shared" si="532"/>
        <v>0</v>
      </c>
      <c r="KJ69" s="156">
        <f t="shared" si="532"/>
        <v>0</v>
      </c>
      <c r="KK69" s="156">
        <f t="shared" si="532"/>
        <v>0</v>
      </c>
      <c r="KL69" s="178">
        <f t="shared" si="532"/>
        <v>0</v>
      </c>
      <c r="KM69" s="181">
        <f t="shared" si="532"/>
        <v>23.481493552061213</v>
      </c>
      <c r="KN69" s="177">
        <f t="shared" si="532"/>
        <v>0</v>
      </c>
      <c r="KO69" s="181">
        <f t="shared" si="532"/>
        <v>23.372038483450538</v>
      </c>
      <c r="KP69" s="155">
        <f t="shared" si="532"/>
        <v>0</v>
      </c>
      <c r="KQ69" s="156">
        <f t="shared" si="532"/>
        <v>0</v>
      </c>
      <c r="KR69" s="156">
        <f t="shared" si="532"/>
        <v>0</v>
      </c>
      <c r="KS69" s="178">
        <f t="shared" si="532"/>
        <v>0</v>
      </c>
      <c r="KT69" s="181">
        <f t="shared" si="534"/>
        <v>23.116065489904333</v>
      </c>
      <c r="KU69" s="177">
        <f t="shared" si="533"/>
        <v>0</v>
      </c>
      <c r="KV69" s="181">
        <f t="shared" si="533"/>
        <v>22.977554025488825</v>
      </c>
      <c r="KW69" s="184"/>
      <c r="KX69" s="184"/>
      <c r="KY69" s="184"/>
      <c r="KZ69" s="184"/>
      <c r="LA69" s="184"/>
      <c r="LB69" s="184"/>
      <c r="LC69" s="184"/>
      <c r="LD69" s="184"/>
      <c r="LE69" s="184"/>
      <c r="LF69" s="184"/>
      <c r="LG69" s="20"/>
      <c r="LH69" s="20"/>
      <c r="LI69" s="20"/>
      <c r="LJ69" s="20"/>
      <c r="LK69" s="20"/>
      <c r="LL69" s="20"/>
      <c r="LM69" s="20"/>
      <c r="LN69" s="20"/>
      <c r="LO69" s="20"/>
      <c r="LP69" s="20"/>
      <c r="LQ69" s="20"/>
      <c r="LR69" s="20"/>
      <c r="LS69" s="20"/>
      <c r="LT69" s="20"/>
      <c r="LU69" s="20"/>
      <c r="LV69" s="20"/>
      <c r="LW69" s="20"/>
      <c r="LX69" s="20"/>
      <c r="LY69" s="20"/>
      <c r="LZ69" s="20"/>
      <c r="MA69" s="20"/>
      <c r="MB69" s="20"/>
      <c r="MC69" s="20"/>
      <c r="MD69" s="20"/>
      <c r="ME69" s="20"/>
      <c r="MF69" s="20"/>
      <c r="MG69" s="20"/>
      <c r="MH69" s="20"/>
      <c r="MI69" s="20"/>
      <c r="MJ69" s="20"/>
      <c r="MK69" s="20"/>
      <c r="ML69" s="20"/>
      <c r="MM69" s="20"/>
      <c r="MN69" s="20"/>
      <c r="MO69" s="20"/>
      <c r="MP69" s="20"/>
      <c r="MQ69" s="20"/>
      <c r="MR69" s="20"/>
      <c r="MS69" s="20"/>
      <c r="MT69" s="20"/>
      <c r="MU69" s="20"/>
      <c r="MV69" s="20"/>
      <c r="MW69" s="20"/>
      <c r="MX69" s="20"/>
      <c r="MY69" s="20"/>
      <c r="MZ69" s="20"/>
      <c r="NA69" s="20"/>
      <c r="NB69" s="20"/>
      <c r="NC69" s="20"/>
      <c r="ND69" s="20"/>
      <c r="NE69" s="20"/>
      <c r="NF69" s="20"/>
      <c r="NG69" s="20"/>
      <c r="NH69" s="20"/>
      <c r="NI69" s="20"/>
      <c r="NJ69" s="20"/>
      <c r="NK69" s="20"/>
      <c r="NL69" s="20"/>
      <c r="NM69" s="20"/>
      <c r="NN69" s="20"/>
      <c r="NO69" s="20"/>
      <c r="NP69" s="20"/>
      <c r="NQ69" s="20"/>
      <c r="NR69" s="20"/>
      <c r="NS69" s="20"/>
      <c r="NT69" s="20"/>
      <c r="NU69" s="20"/>
      <c r="NV69" s="20"/>
      <c r="NW69" s="20"/>
      <c r="NX69" s="20"/>
      <c r="NY69" s="20"/>
      <c r="NZ69" s="20"/>
      <c r="OA69" s="20"/>
      <c r="OB69" s="20"/>
      <c r="OC69" s="20"/>
      <c r="OD69" s="20"/>
      <c r="OE69" s="20"/>
      <c r="OF69" s="20"/>
      <c r="OG69" s="20"/>
      <c r="OH69" s="20"/>
      <c r="OI69" s="20"/>
      <c r="OJ69" s="20"/>
      <c r="OK69" s="20"/>
      <c r="OL69" s="20"/>
      <c r="OM69" s="20"/>
      <c r="ON69" s="20"/>
      <c r="OO69" s="20"/>
      <c r="OP69" s="20"/>
      <c r="OQ69" s="20"/>
      <c r="OR69" s="20"/>
      <c r="OS69" s="20"/>
      <c r="OT69" s="20"/>
      <c r="OU69" s="20"/>
      <c r="OV69" s="20"/>
      <c r="OW69" s="20"/>
      <c r="OX69" s="20"/>
      <c r="OY69" s="20"/>
      <c r="OZ69" s="20"/>
      <c r="PA69" s="20"/>
      <c r="PB69" s="20"/>
      <c r="PC69" s="20"/>
      <c r="PD69" s="20"/>
      <c r="PE69" s="20"/>
      <c r="PF69" s="20"/>
      <c r="PG69" s="20"/>
      <c r="PH69" s="20"/>
      <c r="PI69" s="20"/>
      <c r="PJ69" s="20"/>
      <c r="PK69" s="20"/>
      <c r="PL69" s="20"/>
      <c r="PM69" s="20"/>
      <c r="PN69" s="20"/>
      <c r="PO69" s="20"/>
      <c r="PP69" s="20"/>
      <c r="PQ69" s="20"/>
      <c r="PR69" s="20"/>
      <c r="PS69" s="20"/>
      <c r="PT69" s="20"/>
      <c r="PU69" s="20"/>
      <c r="PV69" s="20"/>
      <c r="PW69" s="20"/>
      <c r="PX69" s="20"/>
      <c r="PY69" s="20"/>
      <c r="PZ69" s="20"/>
      <c r="QA69" s="20"/>
      <c r="QB69" s="20"/>
      <c r="QC69" s="20"/>
      <c r="QD69" s="20"/>
      <c r="QE69" s="23"/>
      <c r="QF69" s="23"/>
      <c r="QG69" s="23"/>
      <c r="QH69" s="23"/>
      <c r="QI69" s="23"/>
      <c r="QJ69" s="23"/>
      <c r="QK69" s="23"/>
      <c r="QL69" s="23"/>
      <c r="QM69" s="23"/>
      <c r="QN69" s="23"/>
      <c r="QO69" s="23"/>
      <c r="QP69" s="23"/>
      <c r="QQ69" s="23"/>
      <c r="QR69" s="23"/>
      <c r="QS69" s="23"/>
      <c r="QT69" s="23"/>
      <c r="QU69" s="23"/>
      <c r="QV69" s="23"/>
      <c r="QW69" s="23"/>
      <c r="QX69" s="23"/>
      <c r="QY69" s="23"/>
      <c r="QZ69" s="23"/>
      <c r="RA69" s="23"/>
      <c r="RB69" s="23"/>
      <c r="RC69" s="23"/>
      <c r="RD69" s="23"/>
      <c r="RE69" s="23"/>
      <c r="RF69" s="23"/>
      <c r="RG69" s="23"/>
      <c r="RH69" s="23"/>
      <c r="RI69" s="23"/>
      <c r="RJ69" s="23"/>
      <c r="RK69" s="23"/>
      <c r="RL69" s="23"/>
      <c r="RM69" s="23"/>
      <c r="RN69" s="23"/>
      <c r="RO69" s="23"/>
      <c r="RP69" s="23"/>
      <c r="RQ69" s="23"/>
      <c r="RR69" s="23"/>
      <c r="RS69" s="23"/>
      <c r="RT69" s="23"/>
      <c r="RU69" s="23"/>
      <c r="RV69" s="23"/>
      <c r="RW69" s="23"/>
      <c r="RX69" s="23"/>
      <c r="RY69" s="23"/>
      <c r="RZ69" s="23"/>
      <c r="SA69" s="23"/>
      <c r="SB69" s="23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11"/>
    </row>
    <row r="70" spans="1:605" ht="22.15" customHeight="1" thickBot="1" x14ac:dyDescent="0.3">
      <c r="A70" s="298"/>
      <c r="B70" s="25" t="s">
        <v>2</v>
      </c>
      <c r="BY70" s="184"/>
      <c r="BZ70" s="184"/>
      <c r="CA70" s="184"/>
      <c r="CB70" s="184"/>
      <c r="CC70" s="184"/>
      <c r="CD70" s="184"/>
      <c r="CE70" s="184"/>
      <c r="CF70" s="184"/>
      <c r="CG70" s="184"/>
      <c r="CH70" s="184"/>
      <c r="CI70" s="184"/>
      <c r="CJ70" s="184"/>
      <c r="CK70" s="184"/>
      <c r="CL70" s="184"/>
      <c r="CM70" s="184"/>
      <c r="CN70" s="184"/>
      <c r="CO70" s="184"/>
      <c r="CP70" s="184"/>
      <c r="CQ70" s="184"/>
      <c r="CR70" s="184"/>
      <c r="CS70" s="184"/>
      <c r="CT70" s="184"/>
      <c r="CU70" s="184"/>
      <c r="CV70" s="184"/>
      <c r="CW70" s="184"/>
      <c r="CX70" s="184"/>
      <c r="CY70" s="184"/>
      <c r="CZ70" s="184"/>
      <c r="DA70" s="184"/>
      <c r="DB70" s="184"/>
      <c r="DC70" s="184"/>
      <c r="DD70" s="184"/>
      <c r="DE70" s="184"/>
      <c r="DF70" s="184"/>
      <c r="DG70" s="184"/>
      <c r="DH70" s="184"/>
      <c r="DI70" s="184"/>
      <c r="DJ70" s="184"/>
      <c r="DK70" s="184"/>
      <c r="DL70" s="184"/>
      <c r="DM70" s="184"/>
      <c r="DN70" s="184"/>
      <c r="DO70" s="184"/>
      <c r="DP70" s="184"/>
      <c r="DQ70" s="184"/>
      <c r="DR70" s="184"/>
      <c r="DS70" s="184"/>
      <c r="DT70" s="184"/>
      <c r="DU70" s="184"/>
      <c r="DV70" s="184"/>
      <c r="DW70" s="184"/>
      <c r="DX70" s="184"/>
      <c r="DY70" s="184"/>
      <c r="DZ70" s="184"/>
      <c r="EA70" s="184"/>
      <c r="EB70" s="184"/>
      <c r="EC70" s="184"/>
      <c r="ED70" s="184"/>
      <c r="EE70" s="184"/>
      <c r="EF70" s="184"/>
      <c r="EG70" s="184"/>
      <c r="EH70" s="184"/>
      <c r="EI70" s="184"/>
      <c r="EJ70" s="184"/>
      <c r="EK70" s="184"/>
      <c r="EL70" s="184"/>
      <c r="EM70" s="184"/>
      <c r="EN70" s="184"/>
      <c r="EO70" s="184"/>
      <c r="EP70" s="184"/>
      <c r="EQ70" s="184"/>
      <c r="ER70" s="184"/>
      <c r="ES70" s="184"/>
      <c r="ET70" s="184"/>
      <c r="EU70" s="184"/>
      <c r="EV70" s="184"/>
      <c r="EW70" s="184"/>
      <c r="EX70" s="184"/>
      <c r="EY70" s="184"/>
      <c r="EZ70" s="140">
        <f t="shared" si="516"/>
        <v>2E-3</v>
      </c>
      <c r="FA70" s="112">
        <f t="shared" si="517"/>
        <v>2E-3</v>
      </c>
      <c r="FB70" s="113">
        <f t="shared" si="518"/>
        <v>2E-3</v>
      </c>
      <c r="FC70" s="113">
        <f t="shared" si="519"/>
        <v>2E-3</v>
      </c>
      <c r="FD70" s="113">
        <f t="shared" ref="FD70:FD78" si="537">G31</f>
        <v>2E-3</v>
      </c>
      <c r="FE70" s="113">
        <f t="shared" si="521"/>
        <v>2E-3</v>
      </c>
      <c r="FF70" s="113">
        <f t="shared" si="522"/>
        <v>2E-3</v>
      </c>
      <c r="FG70" s="113">
        <f t="shared" si="523"/>
        <v>2E-3</v>
      </c>
      <c r="FH70" s="113">
        <f t="shared" si="524"/>
        <v>2E-3</v>
      </c>
      <c r="FI70" s="113">
        <f t="shared" si="525"/>
        <v>2E-3</v>
      </c>
      <c r="FJ70" s="113">
        <f t="shared" si="526"/>
        <v>2E-3</v>
      </c>
      <c r="FK70" s="113">
        <f t="shared" si="527"/>
        <v>2E-3</v>
      </c>
      <c r="FL70" s="113">
        <f t="shared" si="528"/>
        <v>2E-3</v>
      </c>
      <c r="FM70" s="113">
        <f t="shared" si="529"/>
        <v>2E-3</v>
      </c>
      <c r="FN70" s="113">
        <f t="shared" si="530"/>
        <v>2E-3</v>
      </c>
      <c r="FO70" s="113">
        <f t="shared" ref="FO70:FO78" si="538">R31</f>
        <v>2E-3</v>
      </c>
      <c r="FP70" s="113">
        <f t="shared" ref="FP70:FP78" si="539">S31</f>
        <v>2E-3</v>
      </c>
      <c r="FQ70" s="113">
        <f t="shared" ref="FQ70:FQ78" si="540">T31</f>
        <v>2E-3</v>
      </c>
      <c r="FR70" s="113">
        <f t="shared" ref="FR70:FR78" si="541">U31</f>
        <v>2E-3</v>
      </c>
      <c r="FS70" s="113">
        <f t="shared" ref="FS70:FS78" si="542">V31</f>
        <v>2E-3</v>
      </c>
      <c r="FT70" s="113">
        <f t="shared" ref="FT70:FT78" si="543">W31</f>
        <v>2E-3</v>
      </c>
      <c r="FU70" s="113">
        <f t="shared" ref="FU70:FU78" si="544">X31</f>
        <v>2E-3</v>
      </c>
      <c r="FV70" s="113">
        <f t="shared" ref="FV70:FV78" si="545">Y31</f>
        <v>2E-3</v>
      </c>
      <c r="FW70" s="113">
        <f t="shared" ref="FW70:FW78" si="546">Z31</f>
        <v>2E-3</v>
      </c>
      <c r="FX70" s="113">
        <f t="shared" ref="FX70:FX78" si="547">AA31</f>
        <v>2E-3</v>
      </c>
      <c r="FY70" s="113">
        <f t="shared" ref="FY70:FY78" si="548">AB31</f>
        <v>2E-3</v>
      </c>
      <c r="FZ70" s="113">
        <f t="shared" ref="FZ70:FZ78" si="549">AC31</f>
        <v>2E-3</v>
      </c>
      <c r="GA70" s="113">
        <f t="shared" ref="GA70:GA78" si="550">AD31</f>
        <v>2E-3</v>
      </c>
      <c r="GB70" s="113">
        <f t="shared" ref="GB70:GB78" si="551">AE31</f>
        <v>2E-3</v>
      </c>
      <c r="GC70" s="113">
        <f t="shared" ref="GC70:GC78" si="552">AF31</f>
        <v>2E-3</v>
      </c>
      <c r="GD70" s="113">
        <f t="shared" ref="GD70:GD78" si="553">AG31</f>
        <v>2E-3</v>
      </c>
      <c r="GE70" s="113">
        <f t="shared" ref="GE70:GE78" si="554">AH31</f>
        <v>2E-3</v>
      </c>
      <c r="GF70" s="113">
        <f t="shared" ref="GF70:GF78" si="555">AI31</f>
        <v>2E-3</v>
      </c>
      <c r="GG70" s="113">
        <f t="shared" ref="GG70:GG78" si="556">AJ31</f>
        <v>2E-3</v>
      </c>
      <c r="GH70" s="113">
        <f t="shared" ref="GH70:GH78" si="557">AK31</f>
        <v>2E-3</v>
      </c>
      <c r="GI70" s="113">
        <f t="shared" ref="GI70:GI78" si="558">AL31</f>
        <v>2E-3</v>
      </c>
      <c r="GJ70" s="113">
        <f t="shared" ref="GJ70:GJ78" si="559">AM31</f>
        <v>2E-3</v>
      </c>
      <c r="GK70" s="113">
        <f t="shared" ref="GK70:GK78" si="560">AN31</f>
        <v>2E-3</v>
      </c>
      <c r="GL70" s="113">
        <f t="shared" ref="GL70:GL78" si="561">AO31</f>
        <v>2E-3</v>
      </c>
      <c r="GM70" s="113">
        <f t="shared" ref="GM70:GM78" si="562">AP31</f>
        <v>2E-3</v>
      </c>
      <c r="GN70" s="113">
        <f t="shared" ref="GN70:GN78" si="563">AQ31</f>
        <v>2E-3</v>
      </c>
      <c r="GO70" s="113">
        <f t="shared" ref="GO70:GO78" si="564">AR31</f>
        <v>2E-3</v>
      </c>
      <c r="GP70" s="113">
        <f t="shared" ref="GP70:GP78" si="565">AS31</f>
        <v>2E-3</v>
      </c>
      <c r="GQ70" s="113">
        <f t="shared" ref="GQ70:GQ78" si="566">AT31</f>
        <v>2E-3</v>
      </c>
      <c r="GR70" s="113">
        <f t="shared" ref="GR70:GR78" si="567">AU31</f>
        <v>2E-3</v>
      </c>
      <c r="GS70" s="113">
        <f t="shared" ref="GS70:GS78" si="568">AV31</f>
        <v>2E-3</v>
      </c>
      <c r="GT70" s="113">
        <f t="shared" ref="GT70:GT78" si="569">AW31</f>
        <v>2E-3</v>
      </c>
      <c r="GU70" s="113">
        <f t="shared" ref="GU70:GU78" si="570">AX31</f>
        <v>2E-3</v>
      </c>
      <c r="GV70" s="113">
        <f t="shared" ref="GV70:GV78" si="571">AY31</f>
        <v>2E-3</v>
      </c>
      <c r="GW70" s="113">
        <f t="shared" ref="GW70:GW78" si="572">AZ31</f>
        <v>2E-3</v>
      </c>
      <c r="GX70" s="113">
        <f t="shared" ref="GX70:GX78" si="573">BA31</f>
        <v>2E-3</v>
      </c>
      <c r="GY70" s="147">
        <f t="shared" ref="GY70:GY78" si="574">BB31</f>
        <v>2E-3</v>
      </c>
      <c r="GZ70" s="147">
        <f t="shared" ref="GZ70:GZ78" si="575">BC31</f>
        <v>2E-3</v>
      </c>
      <c r="HA70" s="147">
        <f t="shared" ref="HA70:HA78" si="576">BD31</f>
        <v>2E-3</v>
      </c>
      <c r="HB70" s="147">
        <f t="shared" ref="HB70:HB78" si="577">BE31</f>
        <v>2E-3</v>
      </c>
      <c r="HC70" s="147">
        <f t="shared" ref="HC70:HC78" si="578">BF31</f>
        <v>2E-3</v>
      </c>
      <c r="HD70" s="147">
        <f t="shared" ref="HD70:HD78" si="579">BG31</f>
        <v>2E-3</v>
      </c>
      <c r="HE70" s="147">
        <f t="shared" ref="HE70:HE78" si="580">BH31</f>
        <v>2E-3</v>
      </c>
      <c r="HF70" s="147">
        <f t="shared" ref="HF70:HF78" si="581">BI31</f>
        <v>2E-3</v>
      </c>
      <c r="HG70" s="147">
        <f t="shared" ref="HG70:HG78" si="582">BJ31</f>
        <v>2E-3</v>
      </c>
      <c r="HH70" s="147">
        <f t="shared" ref="HH70:HH78" si="583">BK31</f>
        <v>2E-3</v>
      </c>
      <c r="HI70" s="147">
        <f t="shared" ref="HI70:HI78" si="584">BL31</f>
        <v>2E-3</v>
      </c>
      <c r="HJ70" s="147">
        <f t="shared" ref="HJ70:HJ78" si="585">BM31</f>
        <v>2E-3</v>
      </c>
      <c r="HK70" s="147">
        <f t="shared" ref="HK70:HK78" si="586">BN31</f>
        <v>2E-3</v>
      </c>
      <c r="HL70" s="147">
        <f t="shared" si="535"/>
        <v>2E-3</v>
      </c>
      <c r="HM70" s="147">
        <f t="shared" ref="HM70:HM78" si="587">BP31</f>
        <v>2E-3</v>
      </c>
      <c r="HN70" s="147">
        <f t="shared" ref="HN70:HN78" si="588">BQ31</f>
        <v>2E-3</v>
      </c>
      <c r="HO70" s="147">
        <f t="shared" ref="HO70:HO78" si="589">BR31</f>
        <v>2E-3</v>
      </c>
      <c r="HP70" s="147">
        <f t="shared" ref="HP70:HP78" si="590">BS31</f>
        <v>2E-3</v>
      </c>
      <c r="HQ70" s="147">
        <f t="shared" ref="HQ70:HQ78" si="591">BT31</f>
        <v>2E-3</v>
      </c>
      <c r="HR70" s="147">
        <f t="shared" ref="HR70:HR78" si="592">BU31</f>
        <v>2E-3</v>
      </c>
      <c r="HS70" s="147">
        <f t="shared" ref="HS70:HS78" si="593">BV31</f>
        <v>2E-3</v>
      </c>
      <c r="HT70" s="147">
        <f t="shared" ref="HT70:HT78" si="594">BW31</f>
        <v>2E-3</v>
      </c>
      <c r="HU70" s="147">
        <f t="shared" ref="HU70:HU78" si="595">BX31</f>
        <v>2E-3</v>
      </c>
      <c r="HV70" s="147">
        <f t="shared" ref="HV70:HV78" si="596">BY31</f>
        <v>2E-3</v>
      </c>
      <c r="HW70" s="147">
        <f t="shared" ref="HW70:HW78" si="597">BZ31</f>
        <v>2E-3</v>
      </c>
      <c r="HX70" s="147">
        <f t="shared" ref="HX70:HX78" si="598">CA31</f>
        <v>2E-3</v>
      </c>
      <c r="HY70" s="147">
        <f t="shared" ref="HY70:HY78" si="599">CB31</f>
        <v>2E-3</v>
      </c>
      <c r="HZ70" s="147">
        <f t="shared" ref="HZ70:HZ78" si="600">CC31</f>
        <v>2E-3</v>
      </c>
      <c r="IA70" s="147">
        <f t="shared" ref="IA70:IA78" si="601">CD31</f>
        <v>2E-3</v>
      </c>
      <c r="IB70" s="147">
        <f t="shared" ref="IB70:IB78" si="602">CE31</f>
        <v>2E-3</v>
      </c>
      <c r="IC70" s="147">
        <f t="shared" ref="IC70:IC78" si="603">CF31</f>
        <v>2E-3</v>
      </c>
      <c r="ID70" s="147">
        <f t="shared" ref="ID70:ID78" si="604">CG31</f>
        <v>2E-3</v>
      </c>
      <c r="IE70" s="147">
        <f t="shared" ref="IE70:IE78" si="605">CH31</f>
        <v>2E-3</v>
      </c>
      <c r="IF70" s="147">
        <f t="shared" ref="IF70:IF78" si="606">CI31</f>
        <v>2E-3</v>
      </c>
      <c r="IG70" s="147">
        <f t="shared" ref="IG70:IG78" si="607">CJ31</f>
        <v>2E-3</v>
      </c>
      <c r="IH70" s="147">
        <f t="shared" ref="IH70:IH78" si="608">CK31</f>
        <v>2E-3</v>
      </c>
      <c r="II70" s="147">
        <f t="shared" ref="II70:II78" si="609">CL31</f>
        <v>2E-3</v>
      </c>
      <c r="IJ70" s="147">
        <f t="shared" ref="IJ70:IJ78" si="610">CM31</f>
        <v>2E-3</v>
      </c>
      <c r="IK70" s="147">
        <f t="shared" ref="IK70:IK78" si="611">CN31</f>
        <v>2E-3</v>
      </c>
      <c r="IL70" s="147">
        <f t="shared" ref="IL70:IL78" si="612">CO31</f>
        <v>2E-3</v>
      </c>
      <c r="IM70" s="147">
        <f t="shared" ref="IM70:IM78" si="613">CP31</f>
        <v>2E-3</v>
      </c>
      <c r="IN70" s="147">
        <f t="shared" ref="IN70:IN78" si="614">CQ31</f>
        <v>2E-3</v>
      </c>
      <c r="IO70" s="147">
        <f t="shared" ref="IO70:IO78" si="615">CR31</f>
        <v>2E-3</v>
      </c>
      <c r="IP70" s="147">
        <f t="shared" ref="IP70:IP78" si="616">CS31</f>
        <v>2E-3</v>
      </c>
      <c r="IQ70" s="147">
        <f t="shared" ref="IQ70:IQ78" si="617">CT31</f>
        <v>2E-3</v>
      </c>
      <c r="IR70" s="147">
        <f t="shared" ref="IR70:IR78" si="618">CU31</f>
        <v>2E-3</v>
      </c>
      <c r="IS70" s="147">
        <f t="shared" ref="IS70:IS78" si="619">CV31</f>
        <v>2E-3</v>
      </c>
      <c r="IT70" s="147">
        <f t="shared" ref="IT70:IT78" si="620">CW31</f>
        <v>2E-3</v>
      </c>
      <c r="IU70" s="147">
        <f t="shared" ref="IU70:IU78" si="621">CX31</f>
        <v>2E-3</v>
      </c>
      <c r="IV70" s="147">
        <f t="shared" ref="IV70:IV78" si="622">CY31</f>
        <v>2E-3</v>
      </c>
      <c r="IW70" s="147">
        <f t="shared" ref="IW70:IW78" si="623">CZ31</f>
        <v>2E-3</v>
      </c>
      <c r="IX70" s="157">
        <f t="shared" ref="IX70:IX78" si="624">DA31</f>
        <v>2E-3</v>
      </c>
      <c r="IY70" s="157">
        <f t="shared" ref="IY70:IY78" si="625">DB31</f>
        <v>2E-3</v>
      </c>
      <c r="IZ70" s="157">
        <f t="shared" ref="IZ70:IZ78" si="626">DC31</f>
        <v>2E-3</v>
      </c>
      <c r="JA70" s="157">
        <f t="shared" ref="JA70:JA78" si="627">DD31</f>
        <v>2E-3</v>
      </c>
      <c r="JB70" s="157">
        <f t="shared" ref="JB70:JB78" si="628">DE31</f>
        <v>2E-3</v>
      </c>
      <c r="JC70" s="157">
        <f t="shared" ref="JC70:JC78" si="629">DF31</f>
        <v>2E-3</v>
      </c>
      <c r="JD70" s="157">
        <f t="shared" ref="JD70:JD78" si="630">DG31</f>
        <v>2E-3</v>
      </c>
      <c r="JE70" s="157">
        <f t="shared" ref="JE70:JE78" si="631">DH31</f>
        <v>2E-3</v>
      </c>
      <c r="JF70" s="157">
        <f t="shared" ref="JF70:JF78" si="632">DI31</f>
        <v>2E-3</v>
      </c>
      <c r="JG70" s="157">
        <f t="shared" ref="JG70:JG78" si="633">DJ31</f>
        <v>2E-3</v>
      </c>
      <c r="JH70" s="157">
        <f t="shared" ref="JH70:JH78" si="634">DK31</f>
        <v>2E-3</v>
      </c>
      <c r="JI70" s="157">
        <f t="shared" ref="JI70:JI78" si="635">DL31</f>
        <v>2E-3</v>
      </c>
      <c r="JJ70" s="157">
        <f t="shared" ref="JJ70:JJ78" si="636">DM31</f>
        <v>2E-3</v>
      </c>
      <c r="JK70" s="157">
        <f t="shared" ref="JK70:JK78" si="637">DN31</f>
        <v>2E-3</v>
      </c>
      <c r="JL70" s="157">
        <f t="shared" ref="JL70:JL78" si="638">DO31</f>
        <v>2E-3</v>
      </c>
      <c r="JM70" s="157">
        <f t="shared" ref="JM70:JM78" si="639">DP31</f>
        <v>2E-3</v>
      </c>
      <c r="JN70" s="157">
        <f t="shared" ref="JN70:JN78" si="640">DQ31</f>
        <v>2E-3</v>
      </c>
      <c r="JO70" s="157">
        <f t="shared" ref="JO70:JO78" si="641">DR31</f>
        <v>2E-3</v>
      </c>
      <c r="JP70" s="157">
        <f t="shared" ref="JP70:JP78" si="642">DS31</f>
        <v>2E-3</v>
      </c>
      <c r="JQ70" s="157">
        <f t="shared" ref="JQ70:JQ78" si="643">DT31</f>
        <v>2E-3</v>
      </c>
      <c r="JR70" s="157">
        <f t="shared" ref="JR70:JR78" si="644">DU31</f>
        <v>2E-3</v>
      </c>
      <c r="JS70" s="157">
        <f t="shared" ref="JS70:JS78" si="645">DV31</f>
        <v>2E-3</v>
      </c>
      <c r="JT70" s="157">
        <f t="shared" ref="JT70:JT78" si="646">DW31</f>
        <v>2E-3</v>
      </c>
      <c r="JU70" s="157">
        <f t="shared" ref="JU70:JU78" si="647">DX31</f>
        <v>2E-3</v>
      </c>
      <c r="JV70" s="157">
        <f t="shared" ref="JV70:JV78" si="648">DY31</f>
        <v>2E-3</v>
      </c>
      <c r="JW70" s="157">
        <f t="shared" ref="JW70:JW78" si="649">DZ31</f>
        <v>2E-3</v>
      </c>
      <c r="JX70" s="157">
        <f t="shared" si="536"/>
        <v>2E-3</v>
      </c>
      <c r="JY70" s="180">
        <f t="shared" si="532"/>
        <v>2E-3</v>
      </c>
      <c r="JZ70" s="157">
        <f t="shared" si="532"/>
        <v>2E-3</v>
      </c>
      <c r="KA70" s="180">
        <f t="shared" si="532"/>
        <v>2E-3</v>
      </c>
      <c r="KB70" s="157">
        <f t="shared" si="532"/>
        <v>2E-3</v>
      </c>
      <c r="KC70" s="157">
        <f t="shared" si="532"/>
        <v>2E-3</v>
      </c>
      <c r="KD70" s="157">
        <f t="shared" si="532"/>
        <v>2E-3</v>
      </c>
      <c r="KE70" s="157">
        <f t="shared" si="532"/>
        <v>2E-3</v>
      </c>
      <c r="KF70" s="180">
        <f t="shared" si="532"/>
        <v>2E-3</v>
      </c>
      <c r="KG70" s="157">
        <f t="shared" si="532"/>
        <v>2E-3</v>
      </c>
      <c r="KH70" s="180">
        <f t="shared" si="532"/>
        <v>2E-3</v>
      </c>
      <c r="KI70" s="157">
        <f t="shared" si="532"/>
        <v>2E-3</v>
      </c>
      <c r="KJ70" s="157">
        <f t="shared" si="532"/>
        <v>2E-3</v>
      </c>
      <c r="KK70" s="157">
        <f t="shared" si="532"/>
        <v>2E-3</v>
      </c>
      <c r="KL70" s="157">
        <f t="shared" si="532"/>
        <v>2E-3</v>
      </c>
      <c r="KM70" s="180">
        <f t="shared" si="532"/>
        <v>2E-3</v>
      </c>
      <c r="KN70" s="157">
        <f t="shared" si="532"/>
        <v>2E-3</v>
      </c>
      <c r="KO70" s="180">
        <f t="shared" si="532"/>
        <v>2E-3</v>
      </c>
      <c r="KP70" s="157">
        <f t="shared" si="532"/>
        <v>2E-3</v>
      </c>
      <c r="KQ70" s="157">
        <f t="shared" si="532"/>
        <v>2E-3</v>
      </c>
      <c r="KR70" s="157">
        <f t="shared" si="532"/>
        <v>2E-3</v>
      </c>
      <c r="KS70" s="157">
        <f t="shared" si="532"/>
        <v>2E-3</v>
      </c>
      <c r="KT70" s="180">
        <f t="shared" si="534"/>
        <v>2E-3</v>
      </c>
      <c r="KU70" s="157">
        <f t="shared" si="533"/>
        <v>2E-3</v>
      </c>
      <c r="KV70" s="180">
        <f t="shared" si="533"/>
        <v>2E-3</v>
      </c>
      <c r="KW70" s="184"/>
      <c r="KX70" s="184"/>
      <c r="KY70" s="184"/>
      <c r="KZ70" s="184"/>
      <c r="LA70" s="184"/>
      <c r="LB70" s="184"/>
      <c r="LC70" s="184"/>
      <c r="LD70" s="184"/>
      <c r="LE70" s="184"/>
      <c r="LF70" s="184"/>
      <c r="LG70" s="132"/>
      <c r="LH70" s="132"/>
      <c r="LI70" s="132"/>
      <c r="LJ70" s="132"/>
      <c r="LK70" s="132"/>
      <c r="LL70" s="132"/>
      <c r="LM70" s="132"/>
      <c r="LN70" s="132"/>
      <c r="LO70" s="132"/>
      <c r="LP70" s="132"/>
      <c r="LQ70" s="132"/>
      <c r="LR70" s="132"/>
      <c r="LS70" s="132"/>
      <c r="LT70" s="132"/>
      <c r="LU70" s="132"/>
      <c r="LV70" s="132"/>
      <c r="LW70" s="132"/>
      <c r="LX70" s="132"/>
      <c r="LY70" s="132"/>
      <c r="LZ70" s="132"/>
      <c r="MA70" s="132"/>
      <c r="MB70" s="132"/>
      <c r="MC70" s="132"/>
      <c r="MD70" s="132"/>
      <c r="ME70" s="132"/>
      <c r="MF70" s="132"/>
      <c r="MG70" s="132"/>
      <c r="MH70" s="132"/>
      <c r="MI70" s="132"/>
      <c r="MJ70" s="132"/>
      <c r="MK70" s="132"/>
      <c r="ML70" s="132"/>
      <c r="MM70" s="132"/>
      <c r="MN70" s="132"/>
      <c r="MO70" s="132"/>
      <c r="MP70" s="132"/>
      <c r="MQ70" s="132"/>
      <c r="MR70" s="132"/>
      <c r="MS70" s="132"/>
      <c r="MT70" s="132"/>
      <c r="MU70" s="132"/>
      <c r="MV70" s="132"/>
      <c r="MW70" s="132"/>
      <c r="MX70" s="132"/>
      <c r="MY70" s="132"/>
      <c r="MZ70" s="132"/>
      <c r="NA70" s="132"/>
      <c r="NB70" s="132"/>
      <c r="NC70" s="132"/>
      <c r="ND70" s="132"/>
      <c r="NE70" s="132"/>
      <c r="NF70" s="132"/>
      <c r="NG70" s="132"/>
      <c r="NH70" s="132"/>
      <c r="NI70" s="132"/>
      <c r="NJ70" s="132"/>
      <c r="NK70" s="132"/>
      <c r="NL70" s="132"/>
      <c r="NM70" s="132"/>
      <c r="NN70" s="132"/>
      <c r="NO70" s="132"/>
      <c r="NP70" s="132"/>
      <c r="NQ70" s="132"/>
      <c r="NR70" s="132"/>
      <c r="NS70" s="132"/>
      <c r="NT70" s="132"/>
      <c r="NU70" s="132"/>
      <c r="NV70" s="132"/>
      <c r="NW70" s="132"/>
      <c r="NX70" s="132"/>
      <c r="NY70" s="132"/>
      <c r="NZ70" s="132"/>
      <c r="OA70" s="132"/>
      <c r="OB70" s="132"/>
      <c r="OC70" s="132"/>
      <c r="OD70" s="132"/>
      <c r="OE70" s="132"/>
      <c r="OF70" s="132"/>
      <c r="OG70" s="132"/>
      <c r="OH70" s="132"/>
      <c r="OI70" s="132"/>
      <c r="OJ70" s="132"/>
      <c r="OK70" s="132"/>
      <c r="OL70" s="132"/>
      <c r="OM70" s="132"/>
      <c r="ON70" s="132"/>
      <c r="OO70" s="132"/>
      <c r="OP70" s="132"/>
      <c r="OQ70" s="132"/>
      <c r="OR70" s="132"/>
      <c r="OS70" s="132"/>
      <c r="OT70" s="132"/>
      <c r="OU70" s="132"/>
      <c r="OV70" s="132"/>
      <c r="OW70" s="132"/>
      <c r="OX70" s="132"/>
      <c r="OY70" s="132"/>
      <c r="OZ70" s="132"/>
      <c r="PA70" s="132"/>
      <c r="PB70" s="132"/>
      <c r="PC70" s="132"/>
      <c r="PD70" s="132"/>
      <c r="PE70" s="132"/>
      <c r="PF70" s="132"/>
      <c r="PG70" s="132"/>
      <c r="PH70" s="132"/>
      <c r="PI70" s="132"/>
      <c r="PJ70" s="132"/>
      <c r="PK70" s="132"/>
      <c r="PL70" s="132"/>
      <c r="PM70" s="132"/>
      <c r="PN70" s="132"/>
      <c r="PO70" s="132"/>
      <c r="PP70" s="132"/>
      <c r="PQ70" s="132"/>
      <c r="PR70" s="132"/>
      <c r="PS70" s="132"/>
      <c r="PT70" s="132"/>
      <c r="PU70" s="132"/>
      <c r="PV70" s="132"/>
      <c r="PW70" s="132"/>
      <c r="PX70" s="132"/>
      <c r="PY70" s="132"/>
      <c r="PZ70" s="132"/>
      <c r="QA70" s="132"/>
      <c r="QB70" s="132"/>
      <c r="QC70" s="132"/>
      <c r="QD70" s="132"/>
      <c r="QE70" s="32"/>
      <c r="QF70" s="32"/>
      <c r="QG70" s="32"/>
      <c r="QH70" s="32"/>
      <c r="QI70" s="32"/>
      <c r="QJ70" s="32"/>
      <c r="QK70" s="32"/>
      <c r="QL70" s="32"/>
      <c r="QM70" s="32"/>
      <c r="QN70" s="32"/>
      <c r="QO70" s="32"/>
      <c r="QP70" s="32"/>
      <c r="QQ70" s="32"/>
      <c r="QR70" s="32"/>
      <c r="QS70" s="32"/>
      <c r="QT70" s="32"/>
      <c r="QU70" s="32"/>
      <c r="QV70" s="32"/>
      <c r="QW70" s="32"/>
      <c r="QX70" s="32"/>
      <c r="QY70" s="32"/>
      <c r="QZ70" s="32"/>
      <c r="RA70" s="32"/>
      <c r="RB70" s="32"/>
      <c r="RC70" s="32"/>
      <c r="RD70" s="32"/>
      <c r="RE70" s="32"/>
      <c r="RF70" s="32"/>
      <c r="RG70" s="32"/>
      <c r="RH70" s="32"/>
      <c r="RI70" s="32"/>
      <c r="RJ70" s="32"/>
      <c r="RK70" s="32"/>
      <c r="RL70" s="32"/>
      <c r="RM70" s="32"/>
      <c r="RN70" s="32"/>
      <c r="RO70" s="32"/>
      <c r="RP70" s="32"/>
      <c r="RQ70" s="32"/>
      <c r="RR70" s="32"/>
      <c r="RS70" s="32"/>
      <c r="RT70" s="32"/>
      <c r="RU70" s="32"/>
      <c r="RV70" s="32"/>
      <c r="RW70" s="32"/>
      <c r="RX70" s="32"/>
      <c r="RY70" s="32"/>
      <c r="RZ70" s="32"/>
      <c r="SA70" s="32"/>
      <c r="SB70" s="32"/>
      <c r="SC70" s="39"/>
      <c r="SD70" s="39"/>
      <c r="SE70" s="39"/>
      <c r="SF70" s="39"/>
      <c r="SG70" s="39"/>
      <c r="SH70" s="39"/>
      <c r="SI70" s="39"/>
      <c r="SJ70" s="39"/>
      <c r="SK70" s="39"/>
      <c r="SL70" s="39"/>
      <c r="SM70" s="39"/>
      <c r="SN70" s="39"/>
      <c r="SO70" s="39"/>
      <c r="SP70" s="39"/>
      <c r="SQ70" s="39"/>
      <c r="SR70" s="39"/>
      <c r="SS70" s="39"/>
      <c r="ST70" s="39"/>
      <c r="SU70" s="39"/>
      <c r="SV70" s="39"/>
      <c r="SW70" s="39"/>
      <c r="SX70" s="39"/>
      <c r="SY70" s="39"/>
      <c r="SZ70" s="39"/>
      <c r="TA70" s="39"/>
      <c r="TB70" s="39"/>
      <c r="TC70" s="2"/>
      <c r="TD70" s="2"/>
      <c r="TE70" s="2"/>
      <c r="TF70" s="2"/>
      <c r="TG70" s="2"/>
      <c r="TH70" s="2"/>
      <c r="TI70" s="2"/>
      <c r="TJ70" s="2"/>
      <c r="TK70" s="2"/>
      <c r="TL70" s="2"/>
      <c r="TM70" s="2"/>
      <c r="TN70" s="2"/>
      <c r="TO70" s="2"/>
      <c r="TP70" s="2"/>
      <c r="TQ70" s="2"/>
      <c r="TR70" s="2"/>
      <c r="TS70" s="2"/>
      <c r="TT70" s="2"/>
      <c r="TU70" s="2"/>
      <c r="TV70" s="2"/>
      <c r="TW70" s="2"/>
      <c r="TX70" s="2"/>
      <c r="TY70" s="2"/>
      <c r="TZ70" s="2"/>
      <c r="UA70" s="2"/>
      <c r="UB70" s="2"/>
      <c r="UC70" s="2"/>
      <c r="UD70" s="2"/>
      <c r="UE70" s="2"/>
      <c r="UF70" s="2"/>
      <c r="UG70" s="2"/>
      <c r="UH70" s="2"/>
      <c r="UI70" s="2"/>
      <c r="UJ70" s="2"/>
      <c r="UK70" s="2"/>
      <c r="UL70" s="2"/>
      <c r="UM70" s="2"/>
      <c r="UN70" s="2"/>
      <c r="UO70" s="2"/>
      <c r="UP70" s="2"/>
      <c r="UQ70" s="2"/>
      <c r="UR70" s="2"/>
      <c r="US70" s="2"/>
      <c r="UT70" s="2"/>
      <c r="UU70" s="2"/>
      <c r="UV70" s="2"/>
      <c r="UW70" s="2"/>
      <c r="UX70" s="2"/>
      <c r="UY70" s="2"/>
      <c r="UZ70" s="2"/>
      <c r="VA70" s="2"/>
      <c r="VB70" s="2"/>
      <c r="VC70" s="2"/>
      <c r="VD70" s="2"/>
      <c r="VE70" s="2"/>
      <c r="VF70" s="2"/>
      <c r="VG70" s="2"/>
      <c r="VH70" s="2"/>
      <c r="VI70" s="2"/>
      <c r="VJ70" s="2"/>
      <c r="VK70" s="2"/>
      <c r="VL70" s="2"/>
      <c r="VM70" s="2"/>
      <c r="VN70" s="2"/>
      <c r="VO70" s="2"/>
      <c r="VP70" s="2"/>
      <c r="VQ70" s="2"/>
      <c r="VR70" s="2"/>
      <c r="VS70" s="2"/>
      <c r="VT70" s="2"/>
      <c r="VU70" s="2"/>
      <c r="VV70" s="2"/>
      <c r="VW70" s="2"/>
      <c r="VX70" s="2"/>
      <c r="VY70" s="2"/>
      <c r="VZ70" s="2"/>
      <c r="WA70" s="2"/>
      <c r="WB70" s="2"/>
      <c r="WC70" s="2"/>
      <c r="WD70" s="2"/>
      <c r="WE70" s="2"/>
      <c r="WF70" s="2"/>
      <c r="WG70" s="11"/>
    </row>
    <row r="71" spans="1:605" ht="22.15" customHeight="1" x14ac:dyDescent="0.25">
      <c r="A71" s="298"/>
      <c r="B71" s="25" t="s">
        <v>15</v>
      </c>
      <c r="BY71" s="184"/>
      <c r="BZ71" s="184"/>
      <c r="CA71" s="184"/>
      <c r="CB71" s="184"/>
      <c r="CC71" s="184"/>
      <c r="CD71" s="184"/>
      <c r="CE71" s="184"/>
      <c r="CF71" s="184"/>
      <c r="CG71" s="184"/>
      <c r="CH71" s="184"/>
      <c r="CI71" s="184"/>
      <c r="CJ71" s="184"/>
      <c r="CK71" s="184"/>
      <c r="CL71" s="184"/>
      <c r="CM71" s="184"/>
      <c r="CN71" s="184"/>
      <c r="CO71" s="184"/>
      <c r="CP71" s="184"/>
      <c r="CQ71" s="184"/>
      <c r="CR71" s="184"/>
      <c r="CS71" s="184"/>
      <c r="CT71" s="184"/>
      <c r="CU71" s="184"/>
      <c r="CV71" s="184"/>
      <c r="CW71" s="184"/>
      <c r="CX71" s="184"/>
      <c r="CY71" s="184"/>
      <c r="CZ71" s="184"/>
      <c r="DA71" s="184"/>
      <c r="DB71" s="184"/>
      <c r="DC71" s="184"/>
      <c r="DD71" s="184"/>
      <c r="DE71" s="184"/>
      <c r="DF71" s="184"/>
      <c r="DG71" s="184"/>
      <c r="DH71" s="184"/>
      <c r="DI71" s="184"/>
      <c r="DJ71" s="184"/>
      <c r="DK71" s="184"/>
      <c r="DL71" s="184"/>
      <c r="DM71" s="184"/>
      <c r="DN71" s="184"/>
      <c r="DO71" s="184"/>
      <c r="DP71" s="184"/>
      <c r="DQ71" s="184"/>
      <c r="DR71" s="184"/>
      <c r="DS71" s="184"/>
      <c r="DT71" s="184"/>
      <c r="DU71" s="184"/>
      <c r="DV71" s="184"/>
      <c r="DW71" s="184"/>
      <c r="DX71" s="184"/>
      <c r="DY71" s="184"/>
      <c r="DZ71" s="184"/>
      <c r="EA71" s="184"/>
      <c r="EB71" s="184"/>
      <c r="EC71" s="184"/>
      <c r="ED71" s="184"/>
      <c r="EE71" s="184"/>
      <c r="EF71" s="184"/>
      <c r="EG71" s="184"/>
      <c r="EH71" s="184"/>
      <c r="EI71" s="184"/>
      <c r="EJ71" s="184"/>
      <c r="EK71" s="184"/>
      <c r="EL71" s="184"/>
      <c r="EM71" s="184"/>
      <c r="EN71" s="184"/>
      <c r="EO71" s="184"/>
      <c r="EP71" s="184"/>
      <c r="EQ71" s="184"/>
      <c r="ER71" s="184"/>
      <c r="ES71" s="184"/>
      <c r="ET71" s="184"/>
      <c r="EU71" s="184"/>
      <c r="EV71" s="184"/>
      <c r="EW71" s="184"/>
      <c r="EX71" s="184"/>
      <c r="EY71" s="184"/>
      <c r="EZ71" s="139">
        <f t="shared" si="516"/>
        <v>0.5</v>
      </c>
      <c r="FA71" s="110">
        <f t="shared" si="517"/>
        <v>0.499</v>
      </c>
      <c r="FB71" s="110">
        <f t="shared" si="518"/>
        <v>0.498002</v>
      </c>
      <c r="FC71" s="110">
        <f t="shared" si="519"/>
        <v>0.49700599600000001</v>
      </c>
      <c r="FD71" s="110">
        <f t="shared" si="537"/>
        <v>0.49601198400799995</v>
      </c>
      <c r="FE71" s="110">
        <f t="shared" si="521"/>
        <v>0.495019960039984</v>
      </c>
      <c r="FF71" s="110">
        <f t="shared" si="522"/>
        <v>0.49402992011990399</v>
      </c>
      <c r="FG71" s="110">
        <f t="shared" si="523"/>
        <v>0.49304186027966418</v>
      </c>
      <c r="FH71" s="110">
        <f t="shared" si="524"/>
        <v>0.49205577655910482</v>
      </c>
      <c r="FI71" s="110">
        <f t="shared" si="525"/>
        <v>0.49107166500598659</v>
      </c>
      <c r="FJ71" s="110">
        <f t="shared" si="526"/>
        <v>0.49008952167597458</v>
      </c>
      <c r="FK71" s="110">
        <f t="shared" si="527"/>
        <v>0.48910934263262268</v>
      </c>
      <c r="FL71" s="110">
        <f t="shared" si="528"/>
        <v>0.48813112394735741</v>
      </c>
      <c r="FM71" s="110">
        <f t="shared" si="529"/>
        <v>0.4871548616994627</v>
      </c>
      <c r="FN71" s="110">
        <f t="shared" si="530"/>
        <v>0.4861805519760638</v>
      </c>
      <c r="FO71" s="110">
        <f t="shared" si="538"/>
        <v>0.48520819087211164</v>
      </c>
      <c r="FP71" s="110">
        <f t="shared" si="539"/>
        <v>0.48423777449036742</v>
      </c>
      <c r="FQ71" s="110">
        <f t="shared" si="540"/>
        <v>0.4832692989413867</v>
      </c>
      <c r="FR71" s="110">
        <f t="shared" si="541"/>
        <v>0.48230276034350389</v>
      </c>
      <c r="FS71" s="110">
        <f t="shared" si="542"/>
        <v>0.48133815482281689</v>
      </c>
      <c r="FT71" s="110">
        <f t="shared" si="543"/>
        <v>0.48037547851317125</v>
      </c>
      <c r="FU71" s="110">
        <f t="shared" si="544"/>
        <v>0.47941472755614489</v>
      </c>
      <c r="FV71" s="110">
        <f t="shared" si="545"/>
        <v>0.47845589810103262</v>
      </c>
      <c r="FW71" s="110">
        <f t="shared" si="546"/>
        <v>0.47749898630483056</v>
      </c>
      <c r="FX71" s="110">
        <f t="shared" si="547"/>
        <v>0.47654398833222095</v>
      </c>
      <c r="FY71" s="110">
        <f t="shared" si="548"/>
        <v>0.47559090035555646</v>
      </c>
      <c r="FZ71" s="110">
        <f t="shared" si="549"/>
        <v>0.47463971855484532</v>
      </c>
      <c r="GA71" s="110">
        <f t="shared" si="550"/>
        <v>0.47369043911773567</v>
      </c>
      <c r="GB71" s="110">
        <f t="shared" si="551"/>
        <v>0.47274305823950019</v>
      </c>
      <c r="GC71" s="110">
        <f t="shared" si="552"/>
        <v>0.47179757212302115</v>
      </c>
      <c r="GD71" s="110">
        <f t="shared" si="553"/>
        <v>0.47085397697877512</v>
      </c>
      <c r="GE71" s="110">
        <f t="shared" si="554"/>
        <v>0.46991226902481753</v>
      </c>
      <c r="GF71" s="110">
        <f t="shared" si="555"/>
        <v>0.46897244448676789</v>
      </c>
      <c r="GG71" s="110">
        <f t="shared" si="556"/>
        <v>0.46803449959779431</v>
      </c>
      <c r="GH71" s="110">
        <f t="shared" si="557"/>
        <v>0.46709843059859874</v>
      </c>
      <c r="GI71" s="110">
        <f t="shared" si="558"/>
        <v>0.46616423373740151</v>
      </c>
      <c r="GJ71" s="110">
        <f t="shared" si="559"/>
        <v>0.46523190526992669</v>
      </c>
      <c r="GK71" s="110">
        <f t="shared" si="560"/>
        <v>0.4643014414593869</v>
      </c>
      <c r="GL71" s="110">
        <f t="shared" si="561"/>
        <v>0.4633728385764681</v>
      </c>
      <c r="GM71" s="110">
        <f t="shared" si="562"/>
        <v>0.46244609289931515</v>
      </c>
      <c r="GN71" s="110">
        <f t="shared" si="563"/>
        <v>0.46152120071351654</v>
      </c>
      <c r="GO71" s="110">
        <f t="shared" si="564"/>
        <v>0.4605981583120895</v>
      </c>
      <c r="GP71" s="110">
        <f t="shared" si="565"/>
        <v>0.45967696199546532</v>
      </c>
      <c r="GQ71" s="110">
        <f t="shared" si="566"/>
        <v>0.45875760807147442</v>
      </c>
      <c r="GR71" s="110">
        <f t="shared" si="567"/>
        <v>0.4578400928553315</v>
      </c>
      <c r="GS71" s="110">
        <f t="shared" si="568"/>
        <v>0.45692441266962086</v>
      </c>
      <c r="GT71" s="110">
        <f t="shared" si="569"/>
        <v>0.45601056384428162</v>
      </c>
      <c r="GU71" s="110">
        <f t="shared" si="570"/>
        <v>0.45509854271659306</v>
      </c>
      <c r="GV71" s="110">
        <f t="shared" si="571"/>
        <v>0.45418834563115984</v>
      </c>
      <c r="GW71" s="110">
        <f t="shared" si="572"/>
        <v>0.45327996893989753</v>
      </c>
      <c r="GX71" s="110">
        <f t="shared" si="573"/>
        <v>0.45237340900201772</v>
      </c>
      <c r="GY71" s="148">
        <f t="shared" si="574"/>
        <v>0.45146866218401371</v>
      </c>
      <c r="GZ71" s="148">
        <f t="shared" si="575"/>
        <v>0.45056572485964563</v>
      </c>
      <c r="HA71" s="148">
        <f t="shared" si="576"/>
        <v>0.44966459340992637</v>
      </c>
      <c r="HB71" s="148">
        <f t="shared" si="577"/>
        <v>0.44876526422310653</v>
      </c>
      <c r="HC71" s="148">
        <f t="shared" si="578"/>
        <v>0.44786773369466026</v>
      </c>
      <c r="HD71" s="148">
        <f t="shared" si="579"/>
        <v>0.44697199822727096</v>
      </c>
      <c r="HE71" s="148">
        <f t="shared" si="580"/>
        <v>0.44607805423081642</v>
      </c>
      <c r="HF71" s="148">
        <f t="shared" si="581"/>
        <v>0.44518589812235482</v>
      </c>
      <c r="HG71" s="148">
        <f t="shared" si="582"/>
        <v>0.44429552632611008</v>
      </c>
      <c r="HH71" s="148">
        <f t="shared" si="583"/>
        <v>0.44340693527345787</v>
      </c>
      <c r="HI71" s="148">
        <f t="shared" si="584"/>
        <v>0.44252012140291097</v>
      </c>
      <c r="HJ71" s="148">
        <f t="shared" si="585"/>
        <v>0.44163508116010514</v>
      </c>
      <c r="HK71" s="148">
        <f t="shared" si="586"/>
        <v>0.44075181099778493</v>
      </c>
      <c r="HL71" s="148">
        <f t="shared" si="535"/>
        <v>0.4398703073757893</v>
      </c>
      <c r="HM71" s="148">
        <f t="shared" si="587"/>
        <v>0.4389905667610377</v>
      </c>
      <c r="HN71" s="148">
        <f t="shared" si="588"/>
        <v>0.43811258562751565</v>
      </c>
      <c r="HO71" s="148">
        <f t="shared" si="589"/>
        <v>0.43723636045626058</v>
      </c>
      <c r="HP71" s="148">
        <f t="shared" si="590"/>
        <v>0.43636188773534806</v>
      </c>
      <c r="HQ71" s="148">
        <f t="shared" si="591"/>
        <v>0.4354891639598773</v>
      </c>
      <c r="HR71" s="148">
        <f t="shared" si="592"/>
        <v>0.43461818563195753</v>
      </c>
      <c r="HS71" s="148">
        <f t="shared" si="593"/>
        <v>0.43374894926069363</v>
      </c>
      <c r="HT71" s="148">
        <f t="shared" si="594"/>
        <v>0.43288145136217226</v>
      </c>
      <c r="HU71" s="148">
        <f t="shared" si="595"/>
        <v>0.43201568845944793</v>
      </c>
      <c r="HV71" s="148">
        <f t="shared" si="596"/>
        <v>0.43115165708252906</v>
      </c>
      <c r="HW71" s="148">
        <f t="shared" si="597"/>
        <v>0.43028935376836397</v>
      </c>
      <c r="HX71" s="148">
        <f t="shared" si="598"/>
        <v>0.42942877506082727</v>
      </c>
      <c r="HY71" s="148">
        <f t="shared" si="599"/>
        <v>0.42856991751070567</v>
      </c>
      <c r="HZ71" s="148">
        <f t="shared" si="600"/>
        <v>0.42771277767568422</v>
      </c>
      <c r="IA71" s="148">
        <f t="shared" si="601"/>
        <v>0.42685735212033288</v>
      </c>
      <c r="IB71" s="148">
        <f t="shared" si="602"/>
        <v>0.42600363741609221</v>
      </c>
      <c r="IC71" s="148">
        <f t="shared" si="603"/>
        <v>0.42515163014126001</v>
      </c>
      <c r="ID71" s="148">
        <f t="shared" si="604"/>
        <v>0.42430132688097749</v>
      </c>
      <c r="IE71" s="148">
        <f t="shared" si="605"/>
        <v>0.42345272422721553</v>
      </c>
      <c r="IF71" s="148">
        <f t="shared" si="606"/>
        <v>0.42260581877876108</v>
      </c>
      <c r="IG71" s="148">
        <f t="shared" si="607"/>
        <v>0.42176060714120361</v>
      </c>
      <c r="IH71" s="148">
        <f t="shared" si="608"/>
        <v>0.42091708592692118</v>
      </c>
      <c r="II71" s="148">
        <f t="shared" si="609"/>
        <v>0.42007525175506732</v>
      </c>
      <c r="IJ71" s="148">
        <f t="shared" si="610"/>
        <v>0.41923510125155722</v>
      </c>
      <c r="IK71" s="148">
        <f t="shared" si="611"/>
        <v>0.41839663104905406</v>
      </c>
      <c r="IL71" s="148">
        <f t="shared" si="612"/>
        <v>0.41755983778695593</v>
      </c>
      <c r="IM71" s="148">
        <f t="shared" si="613"/>
        <v>0.41672471811138201</v>
      </c>
      <c r="IN71" s="148">
        <f t="shared" si="614"/>
        <v>0.4158912686751593</v>
      </c>
      <c r="IO71" s="148">
        <f t="shared" si="615"/>
        <v>0.41505948613780896</v>
      </c>
      <c r="IP71" s="148">
        <f t="shared" si="616"/>
        <v>0.41422936716553338</v>
      </c>
      <c r="IQ71" s="148">
        <f t="shared" si="617"/>
        <v>0.41340090843120225</v>
      </c>
      <c r="IR71" s="148">
        <f t="shared" si="618"/>
        <v>0.41257410661433985</v>
      </c>
      <c r="IS71" s="148">
        <f t="shared" si="619"/>
        <v>0.4117489584011112</v>
      </c>
      <c r="IT71" s="148">
        <f t="shared" si="620"/>
        <v>0.41092546048430895</v>
      </c>
      <c r="IU71" s="148">
        <f t="shared" si="621"/>
        <v>0.4101036095633403</v>
      </c>
      <c r="IV71" s="148">
        <f t="shared" si="622"/>
        <v>0.40928340234421362</v>
      </c>
      <c r="IW71" s="148">
        <f t="shared" si="623"/>
        <v>0.40846483553952517</v>
      </c>
      <c r="IX71" s="158">
        <f t="shared" si="624"/>
        <v>0.40764790586844613</v>
      </c>
      <c r="IY71" s="158">
        <f t="shared" si="625"/>
        <v>0.40683261005670923</v>
      </c>
      <c r="IZ71" s="158">
        <f t="shared" si="626"/>
        <v>0.40601894483659579</v>
      </c>
      <c r="JA71" s="158">
        <f t="shared" si="627"/>
        <v>0.40520690694692257</v>
      </c>
      <c r="JB71" s="158">
        <f t="shared" si="628"/>
        <v>0.40439649313302872</v>
      </c>
      <c r="JC71" s="158">
        <f t="shared" si="629"/>
        <v>0.40358770014676271</v>
      </c>
      <c r="JD71" s="158">
        <f t="shared" si="630"/>
        <v>0.40278052474646914</v>
      </c>
      <c r="JE71" s="158">
        <f t="shared" si="631"/>
        <v>0.40197496369697622</v>
      </c>
      <c r="JF71" s="158">
        <f t="shared" si="632"/>
        <v>0.40117101376958225</v>
      </c>
      <c r="JG71" s="158">
        <f t="shared" si="633"/>
        <v>0.4003686717420431</v>
      </c>
      <c r="JH71" s="158">
        <f t="shared" si="634"/>
        <v>0.39956793439855903</v>
      </c>
      <c r="JI71" s="158">
        <f t="shared" si="635"/>
        <v>0.39876879852976194</v>
      </c>
      <c r="JJ71" s="158">
        <f t="shared" si="636"/>
        <v>0.39797126093270235</v>
      </c>
      <c r="JK71" s="158">
        <f t="shared" si="637"/>
        <v>0.39717531841083697</v>
      </c>
      <c r="JL71" s="158">
        <f t="shared" si="638"/>
        <v>0.39638096777401532</v>
      </c>
      <c r="JM71" s="158">
        <f t="shared" si="639"/>
        <v>0.39558820583846727</v>
      </c>
      <c r="JN71" s="158">
        <f t="shared" si="640"/>
        <v>0.39479702942679035</v>
      </c>
      <c r="JO71" s="158">
        <f t="shared" si="641"/>
        <v>0.39400743536793675</v>
      </c>
      <c r="JP71" s="158">
        <f t="shared" si="642"/>
        <v>0.39321942049720088</v>
      </c>
      <c r="JQ71" s="158">
        <f t="shared" si="643"/>
        <v>0.39243298165620649</v>
      </c>
      <c r="JR71" s="158">
        <f t="shared" si="644"/>
        <v>0.39164811569289409</v>
      </c>
      <c r="JS71" s="158">
        <f t="shared" si="645"/>
        <v>0.39086481946150825</v>
      </c>
      <c r="JT71" s="158">
        <f t="shared" si="646"/>
        <v>0.39008308982258527</v>
      </c>
      <c r="JU71" s="158">
        <f t="shared" si="647"/>
        <v>0.38930292364294006</v>
      </c>
      <c r="JV71" s="158">
        <f t="shared" si="648"/>
        <v>0.38852431779565422</v>
      </c>
      <c r="JW71" s="158">
        <f t="shared" si="649"/>
        <v>0.38774726916006291</v>
      </c>
      <c r="JX71" s="158">
        <f t="shared" si="536"/>
        <v>0.38697177462174281</v>
      </c>
      <c r="JY71" s="158">
        <f t="shared" si="532"/>
        <v>0.33782635924478144</v>
      </c>
      <c r="JZ71" s="158">
        <f t="shared" si="532"/>
        <v>0.33715070652629187</v>
      </c>
      <c r="KA71" s="158">
        <f t="shared" si="532"/>
        <v>0.28831201846662613</v>
      </c>
      <c r="KB71" s="158">
        <f t="shared" si="532"/>
        <v>0.28773539442969287</v>
      </c>
      <c r="KC71" s="158">
        <f t="shared" si="532"/>
        <v>0.28715992364083348</v>
      </c>
      <c r="KD71" s="158">
        <f t="shared" si="532"/>
        <v>0.2865856037935518</v>
      </c>
      <c r="KE71" s="158">
        <f t="shared" si="532"/>
        <v>0.2860124325859647</v>
      </c>
      <c r="KF71" s="158">
        <f t="shared" si="532"/>
        <v>0.23777166895646529</v>
      </c>
      <c r="KG71" s="158">
        <f t="shared" si="532"/>
        <v>0.23729612561855234</v>
      </c>
      <c r="KH71" s="158">
        <f t="shared" si="532"/>
        <v>0.18936230824360475</v>
      </c>
      <c r="KI71" s="158">
        <f t="shared" si="532"/>
        <v>0.18898358362711756</v>
      </c>
      <c r="KJ71" s="158">
        <f t="shared" si="532"/>
        <v>0.18860561645986332</v>
      </c>
      <c r="KK71" s="158">
        <f t="shared" si="532"/>
        <v>0.18822840522694359</v>
      </c>
      <c r="KL71" s="158">
        <f t="shared" si="532"/>
        <v>0.18785194841648972</v>
      </c>
      <c r="KM71" s="158">
        <f t="shared" si="532"/>
        <v>0.1405132574155343</v>
      </c>
      <c r="KN71" s="158">
        <f t="shared" si="532"/>
        <v>0.14023223090070322</v>
      </c>
      <c r="KO71" s="158">
        <f t="shared" si="532"/>
        <v>9.320768947200074E-2</v>
      </c>
      <c r="KP71" s="158">
        <f t="shared" si="532"/>
        <v>9.302127409305673E-2</v>
      </c>
      <c r="KQ71" s="158">
        <f t="shared" si="532"/>
        <v>9.2835231544870625E-2</v>
      </c>
      <c r="KR71" s="158">
        <f t="shared" si="532"/>
        <v>9.2649561081780893E-2</v>
      </c>
      <c r="KS71" s="158">
        <f t="shared" si="532"/>
        <v>9.2464261959617336E-2</v>
      </c>
      <c r="KT71" s="158">
        <f t="shared" si="534"/>
        <v>4.6047202455889426E-2</v>
      </c>
      <c r="KU71" s="158">
        <f t="shared" si="533"/>
        <v>4.5955108050977654E-2</v>
      </c>
      <c r="KV71" s="158">
        <f t="shared" si="533"/>
        <v>-9.1910216101958044E-5</v>
      </c>
      <c r="KW71" s="184"/>
      <c r="KX71" s="184"/>
      <c r="KY71" s="184"/>
      <c r="KZ71" s="184"/>
      <c r="LA71" s="184"/>
      <c r="LB71" s="184"/>
      <c r="LC71" s="184"/>
      <c r="LD71" s="184"/>
      <c r="LE71" s="184"/>
      <c r="LF71" s="184"/>
      <c r="LG71" s="23"/>
      <c r="LH71" s="23"/>
      <c r="LI71" s="23"/>
      <c r="LJ71" s="23"/>
      <c r="LK71" s="23"/>
      <c r="LL71" s="23"/>
      <c r="LM71" s="23"/>
      <c r="LN71" s="23"/>
      <c r="LO71" s="23"/>
      <c r="LP71" s="23"/>
      <c r="LQ71" s="23"/>
      <c r="LR71" s="23"/>
      <c r="LS71" s="23"/>
      <c r="LT71" s="23"/>
      <c r="LU71" s="23"/>
      <c r="LV71" s="23"/>
      <c r="LW71" s="23"/>
      <c r="LX71" s="23"/>
      <c r="LY71" s="23"/>
      <c r="LZ71" s="23"/>
      <c r="MA71" s="23"/>
      <c r="MB71" s="23"/>
      <c r="MC71" s="23"/>
      <c r="MD71" s="23"/>
      <c r="ME71" s="23"/>
      <c r="MF71" s="23"/>
      <c r="MG71" s="23"/>
      <c r="MH71" s="23"/>
      <c r="MI71" s="23"/>
      <c r="MJ71" s="23"/>
      <c r="MK71" s="23"/>
      <c r="ML71" s="23"/>
      <c r="MM71" s="23"/>
      <c r="MN71" s="23"/>
      <c r="MO71" s="23"/>
      <c r="MP71" s="23"/>
      <c r="MQ71" s="23"/>
      <c r="MR71" s="23"/>
      <c r="MS71" s="23"/>
      <c r="MT71" s="23"/>
      <c r="MU71" s="23"/>
      <c r="MV71" s="23"/>
      <c r="MW71" s="23"/>
      <c r="MX71" s="23"/>
      <c r="MY71" s="23"/>
      <c r="MZ71" s="23"/>
      <c r="NA71" s="23"/>
      <c r="NB71" s="23"/>
      <c r="NC71" s="23"/>
      <c r="ND71" s="23"/>
      <c r="NE71" s="23"/>
      <c r="NF71" s="23"/>
      <c r="NG71" s="23"/>
      <c r="NH71" s="23"/>
      <c r="NI71" s="23"/>
      <c r="NJ71" s="23"/>
      <c r="NK71" s="23"/>
      <c r="NL71" s="23"/>
      <c r="NM71" s="23"/>
      <c r="NN71" s="23"/>
      <c r="NO71" s="23"/>
      <c r="NP71" s="23"/>
      <c r="NQ71" s="23"/>
      <c r="NR71" s="23"/>
      <c r="NS71" s="23"/>
      <c r="NT71" s="23"/>
      <c r="NU71" s="23"/>
      <c r="NV71" s="23"/>
      <c r="NW71" s="23"/>
      <c r="NX71" s="23"/>
      <c r="NY71" s="23"/>
      <c r="NZ71" s="23"/>
      <c r="OA71" s="23"/>
      <c r="OB71" s="23"/>
      <c r="OC71" s="23"/>
      <c r="OD71" s="23"/>
      <c r="OE71" s="23"/>
      <c r="OF71" s="23"/>
      <c r="OG71" s="23"/>
      <c r="OH71" s="23"/>
      <c r="OI71" s="23"/>
      <c r="OJ71" s="23"/>
      <c r="OK71" s="23"/>
      <c r="OL71" s="23"/>
      <c r="OM71" s="23"/>
      <c r="ON71" s="23"/>
      <c r="OO71" s="23"/>
      <c r="OP71" s="23"/>
      <c r="OQ71" s="23"/>
      <c r="OR71" s="23"/>
      <c r="OS71" s="23"/>
      <c r="OT71" s="23"/>
      <c r="OU71" s="23"/>
      <c r="OV71" s="23"/>
      <c r="OW71" s="23"/>
      <c r="OX71" s="23"/>
      <c r="OY71" s="23"/>
      <c r="OZ71" s="23"/>
      <c r="PA71" s="23"/>
      <c r="PB71" s="23"/>
      <c r="PC71" s="23"/>
      <c r="PD71" s="23"/>
      <c r="PE71" s="23"/>
      <c r="PF71" s="23"/>
      <c r="PG71" s="23"/>
      <c r="PH71" s="23"/>
      <c r="PI71" s="23"/>
      <c r="PJ71" s="23"/>
      <c r="PK71" s="23"/>
      <c r="PL71" s="23"/>
      <c r="PM71" s="23"/>
      <c r="PN71" s="23"/>
      <c r="PO71" s="23"/>
      <c r="PP71" s="23"/>
      <c r="PQ71" s="23"/>
      <c r="PR71" s="23"/>
      <c r="PS71" s="23"/>
      <c r="PT71" s="23"/>
      <c r="PU71" s="23"/>
      <c r="PV71" s="23"/>
      <c r="PW71" s="23"/>
      <c r="PX71" s="23"/>
      <c r="PY71" s="23"/>
      <c r="PZ71" s="23"/>
      <c r="QA71" s="23"/>
      <c r="QB71" s="23"/>
      <c r="QC71" s="23"/>
      <c r="QD71" s="23"/>
      <c r="QE71" s="23"/>
      <c r="QF71" s="23"/>
      <c r="QG71" s="23"/>
      <c r="QH71" s="23"/>
      <c r="QI71" s="23"/>
      <c r="QJ71" s="23"/>
      <c r="QK71" s="23"/>
      <c r="QL71" s="23"/>
      <c r="QM71" s="23"/>
      <c r="QN71" s="23"/>
      <c r="QO71" s="23"/>
      <c r="QP71" s="23"/>
      <c r="QQ71" s="23"/>
      <c r="QR71" s="23"/>
      <c r="QS71" s="23"/>
      <c r="QT71" s="23"/>
      <c r="QU71" s="23"/>
      <c r="QV71" s="23"/>
      <c r="QW71" s="23"/>
      <c r="QX71" s="23"/>
      <c r="QY71" s="23"/>
      <c r="QZ71" s="23"/>
      <c r="RA71" s="23"/>
      <c r="RB71" s="23"/>
      <c r="RC71" s="23"/>
      <c r="RD71" s="23"/>
      <c r="RE71" s="23"/>
      <c r="RF71" s="23"/>
      <c r="RG71" s="23"/>
      <c r="RH71" s="23"/>
      <c r="RI71" s="23"/>
      <c r="RJ71" s="23"/>
      <c r="RK71" s="23"/>
      <c r="RL71" s="23"/>
      <c r="RM71" s="23"/>
      <c r="RN71" s="23"/>
      <c r="RO71" s="23"/>
      <c r="RP71" s="23"/>
      <c r="RQ71" s="23"/>
      <c r="RR71" s="23"/>
      <c r="RS71" s="23"/>
      <c r="RT71" s="23"/>
      <c r="RU71" s="23"/>
      <c r="RV71" s="23"/>
      <c r="RW71" s="23"/>
      <c r="RX71" s="23"/>
      <c r="RY71" s="23"/>
      <c r="RZ71" s="23"/>
      <c r="SA71" s="23"/>
      <c r="SB71" s="23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11"/>
    </row>
    <row r="72" spans="1:605" ht="22.15" customHeight="1" x14ac:dyDescent="0.25">
      <c r="A72" s="298"/>
      <c r="B72" s="25" t="s">
        <v>10</v>
      </c>
      <c r="BY72" s="184"/>
      <c r="BZ72" s="184"/>
      <c r="CA72" s="184"/>
      <c r="CB72" s="184"/>
      <c r="CC72" s="184"/>
      <c r="CD72" s="184"/>
      <c r="CE72" s="184"/>
      <c r="CF72" s="184"/>
      <c r="CG72" s="184"/>
      <c r="CH72" s="184"/>
      <c r="CI72" s="184"/>
      <c r="CJ72" s="184"/>
      <c r="CK72" s="184"/>
      <c r="CL72" s="184"/>
      <c r="CM72" s="184"/>
      <c r="CN72" s="184"/>
      <c r="CO72" s="184"/>
      <c r="CP72" s="184"/>
      <c r="CQ72" s="184"/>
      <c r="CR72" s="184"/>
      <c r="CS72" s="184"/>
      <c r="CT72" s="184"/>
      <c r="CU72" s="184"/>
      <c r="CV72" s="184"/>
      <c r="CW72" s="184"/>
      <c r="CX72" s="184"/>
      <c r="CY72" s="184"/>
      <c r="CZ72" s="184"/>
      <c r="DA72" s="184"/>
      <c r="DB72" s="184"/>
      <c r="DC72" s="184"/>
      <c r="DD72" s="184"/>
      <c r="DE72" s="184"/>
      <c r="DF72" s="184"/>
      <c r="DG72" s="184"/>
      <c r="DH72" s="184"/>
      <c r="DI72" s="184"/>
      <c r="DJ72" s="184"/>
      <c r="DK72" s="184"/>
      <c r="DL72" s="184"/>
      <c r="DM72" s="184"/>
      <c r="DN72" s="184"/>
      <c r="DO72" s="184"/>
      <c r="DP72" s="184"/>
      <c r="DQ72" s="184"/>
      <c r="DR72" s="184"/>
      <c r="DS72" s="184"/>
      <c r="DT72" s="184"/>
      <c r="DU72" s="184"/>
      <c r="DV72" s="184"/>
      <c r="DW72" s="184"/>
      <c r="DX72" s="184"/>
      <c r="DY72" s="184"/>
      <c r="DZ72" s="184"/>
      <c r="EA72" s="184"/>
      <c r="EB72" s="184"/>
      <c r="EC72" s="184"/>
      <c r="ED72" s="184"/>
      <c r="EE72" s="184"/>
      <c r="EF72" s="184"/>
      <c r="EG72" s="184"/>
      <c r="EH72" s="184"/>
      <c r="EI72" s="184"/>
      <c r="EJ72" s="184"/>
      <c r="EK72" s="184"/>
      <c r="EL72" s="184"/>
      <c r="EM72" s="184"/>
      <c r="EN72" s="184"/>
      <c r="EO72" s="184"/>
      <c r="EP72" s="184"/>
      <c r="EQ72" s="184"/>
      <c r="ER72" s="184"/>
      <c r="ES72" s="184"/>
      <c r="ET72" s="184"/>
      <c r="EU72" s="184"/>
      <c r="EV72" s="184"/>
      <c r="EW72" s="184"/>
      <c r="EX72" s="184"/>
      <c r="EY72" s="184"/>
      <c r="EZ72" s="122">
        <f t="shared" si="516"/>
        <v>0.01</v>
      </c>
      <c r="FA72" s="115">
        <f t="shared" si="517"/>
        <v>1.1005582593758946E-2</v>
      </c>
      <c r="FB72" s="115">
        <f t="shared" si="518"/>
        <v>1.2106377159660616E-2</v>
      </c>
      <c r="FC72" s="115">
        <f t="shared" si="519"/>
        <v>1.329177463494996E-2</v>
      </c>
      <c r="FD72" s="115">
        <f t="shared" si="537"/>
        <v>1.4588567329531619E-2</v>
      </c>
      <c r="FE72" s="115">
        <f t="shared" si="521"/>
        <v>1.6001621613287186E-2</v>
      </c>
      <c r="FF72" s="115">
        <f t="shared" si="522"/>
        <v>1.7513764350912106E-2</v>
      </c>
      <c r="FG72" s="115">
        <f t="shared" si="523"/>
        <v>1.9159726586917943E-2</v>
      </c>
      <c r="FH72" s="115">
        <f t="shared" si="524"/>
        <v>2.0916842913967924E-2</v>
      </c>
      <c r="FI72" s="115">
        <f t="shared" si="525"/>
        <v>2.2820893014488763E-2</v>
      </c>
      <c r="FJ72" s="115">
        <f t="shared" si="526"/>
        <v>2.4875013679153523E-2</v>
      </c>
      <c r="FK72" s="115">
        <f t="shared" si="527"/>
        <v>2.7051785083274507E-2</v>
      </c>
      <c r="FL72" s="115">
        <f t="shared" si="528"/>
        <v>2.9391936164292577E-2</v>
      </c>
      <c r="FM72" s="115">
        <f t="shared" si="529"/>
        <v>3.1863875340368962E-2</v>
      </c>
      <c r="FN72" s="115">
        <f t="shared" si="530"/>
        <v>3.4512306780663762E-2</v>
      </c>
      <c r="FO72" s="115">
        <f t="shared" si="538"/>
        <v>3.7295557327491485E-2</v>
      </c>
      <c r="FP72" s="115">
        <f t="shared" si="539"/>
        <v>4.026107129173058E-2</v>
      </c>
      <c r="FQ72" s="115">
        <f t="shared" si="540"/>
        <v>4.3360342612975861E-2</v>
      </c>
      <c r="FR72" s="115">
        <f t="shared" si="541"/>
        <v>4.664991913528866E-2</v>
      </c>
      <c r="FS72" s="115">
        <f t="shared" si="542"/>
        <v>5.0082638009534913E-2</v>
      </c>
      <c r="FT72" s="115">
        <f t="shared" si="543"/>
        <v>5.3713064706430995E-2</v>
      </c>
      <c r="FU72" s="115">
        <f t="shared" si="544"/>
        <v>5.7488794243371416E-2</v>
      </c>
      <c r="FV72" s="115">
        <f t="shared" si="545"/>
        <v>6.1459039321378257E-2</v>
      </c>
      <c r="FW72" s="115">
        <f t="shared" si="546"/>
        <v>6.5573850206895934E-2</v>
      </c>
      <c r="FX72" s="115">
        <f t="shared" si="547"/>
        <v>6.9894468866911849E-2</v>
      </c>
      <c r="FY72" s="115">
        <f t="shared" si="548"/>
        <v>7.4436102539565979E-2</v>
      </c>
      <c r="FZ72" s="115">
        <f t="shared" si="549"/>
        <v>7.9133861530936309E-2</v>
      </c>
      <c r="GA72" s="115">
        <f t="shared" si="550"/>
        <v>8.405709402530856E-2</v>
      </c>
      <c r="GB72" s="115">
        <f t="shared" si="551"/>
        <v>8.9135398951392567E-2</v>
      </c>
      <c r="GC72" s="115">
        <f t="shared" si="552"/>
        <v>9.4441702908772407E-2</v>
      </c>
      <c r="GD72" s="115">
        <f t="shared" si="553"/>
        <v>9.9980397615493405E-2</v>
      </c>
      <c r="GE72" s="115">
        <f t="shared" si="554"/>
        <v>0.10567182625033895</v>
      </c>
      <c r="GF72" s="115">
        <f t="shared" si="555"/>
        <v>0.11159516930349321</v>
      </c>
      <c r="GG72" s="115">
        <f t="shared" si="556"/>
        <v>0.11775330649604171</v>
      </c>
      <c r="GH72" s="115">
        <f t="shared" si="557"/>
        <v>0.12405730544100586</v>
      </c>
      <c r="GI72" s="115">
        <f t="shared" si="558"/>
        <v>0.13059224509206371</v>
      </c>
      <c r="GJ72" s="115">
        <f t="shared" si="559"/>
        <v>0.13724552354731717</v>
      </c>
      <c r="GK72" s="115">
        <f t="shared" si="560"/>
        <v>0.14412155178115069</v>
      </c>
      <c r="GL72" s="115">
        <f t="shared" si="561"/>
        <v>0.15119969398384345</v>
      </c>
      <c r="GM72" s="115">
        <f t="shared" si="562"/>
        <v>0.15839607220451735</v>
      </c>
      <c r="GN72" s="115">
        <f t="shared" si="563"/>
        <v>0.16580270216732043</v>
      </c>
      <c r="GO72" s="115">
        <f t="shared" si="564"/>
        <v>0.17339414742075068</v>
      </c>
      <c r="GP72" s="115">
        <f t="shared" si="565"/>
        <v>0.18108161957284974</v>
      </c>
      <c r="GQ72" s="115">
        <f t="shared" si="566"/>
        <v>0.18893592980770582</v>
      </c>
      <c r="GR72" s="115">
        <f t="shared" si="567"/>
        <v>0.19697531518673633</v>
      </c>
      <c r="GS72" s="115">
        <f t="shared" si="568"/>
        <v>0.20508349043138344</v>
      </c>
      <c r="GT72" s="115">
        <f t="shared" si="569"/>
        <v>0.21335880865547383</v>
      </c>
      <c r="GU72" s="115">
        <f t="shared" si="570"/>
        <v>0.22179470370603419</v>
      </c>
      <c r="GV72" s="115">
        <f t="shared" si="571"/>
        <v>0.2302694245156435</v>
      </c>
      <c r="GW72" s="115">
        <f t="shared" si="572"/>
        <v>0.23888337760373704</v>
      </c>
      <c r="GX72" s="115">
        <f t="shared" si="573"/>
        <v>0.24751301127415998</v>
      </c>
      <c r="GY72" s="149">
        <f t="shared" si="574"/>
        <v>0.24751301127415998</v>
      </c>
      <c r="GZ72" s="149">
        <f t="shared" si="575"/>
        <v>0.25606279623273898</v>
      </c>
      <c r="HA72" s="149">
        <f t="shared" si="576"/>
        <v>0.26459311346923547</v>
      </c>
      <c r="HB72" s="149">
        <f t="shared" si="577"/>
        <v>0.27320101477409309</v>
      </c>
      <c r="HC72" s="149">
        <f t="shared" si="578"/>
        <v>0.28194674644970757</v>
      </c>
      <c r="HD72" s="149">
        <f t="shared" si="579"/>
        <v>0.29071185521092607</v>
      </c>
      <c r="HE72" s="149">
        <f t="shared" si="580"/>
        <v>0.29956272485855329</v>
      </c>
      <c r="HF72" s="149">
        <f t="shared" si="581"/>
        <v>0.3085291339449367</v>
      </c>
      <c r="HG72" s="149">
        <f t="shared" si="582"/>
        <v>0.31760538538029337</v>
      </c>
      <c r="HH72" s="149">
        <f t="shared" si="583"/>
        <v>0.32666923608303633</v>
      </c>
      <c r="HI72" s="149">
        <f t="shared" si="584"/>
        <v>0.33582601815025315</v>
      </c>
      <c r="HJ72" s="149">
        <f t="shared" si="585"/>
        <v>0.34502649758005638</v>
      </c>
      <c r="HK72" s="149">
        <f t="shared" si="586"/>
        <v>0.35430399149027836</v>
      </c>
      <c r="HL72" s="149">
        <f t="shared" si="535"/>
        <v>0.36353435599804113</v>
      </c>
      <c r="HM72" s="149">
        <f t="shared" si="587"/>
        <v>0.3728685923431812</v>
      </c>
      <c r="HN72" s="149">
        <f t="shared" si="588"/>
        <v>0.38230239189895809</v>
      </c>
      <c r="HO72" s="149">
        <f t="shared" si="589"/>
        <v>0.39183122155676026</v>
      </c>
      <c r="HP72" s="149">
        <f t="shared" si="590"/>
        <v>0.4014503246911697</v>
      </c>
      <c r="HQ72" s="149">
        <f t="shared" si="591"/>
        <v>0.41103491518888063</v>
      </c>
      <c r="HR72" s="149">
        <f t="shared" si="592"/>
        <v>0.42069579669088308</v>
      </c>
      <c r="HS72" s="149">
        <f t="shared" si="593"/>
        <v>0.43042762008844304</v>
      </c>
      <c r="HT72" s="149">
        <f t="shared" si="594"/>
        <v>0.44022482958104225</v>
      </c>
      <c r="HU72" s="149">
        <f t="shared" si="595"/>
        <v>0.44996146066689308</v>
      </c>
      <c r="HV72" s="149">
        <f t="shared" si="596"/>
        <v>0.45974849082461178</v>
      </c>
      <c r="HW72" s="149">
        <f t="shared" si="597"/>
        <v>0.46963603840576573</v>
      </c>
      <c r="HX72" s="149">
        <f t="shared" si="598"/>
        <v>0.47962145688694802</v>
      </c>
      <c r="HY72" s="149">
        <f t="shared" si="599"/>
        <v>0.48970197042433439</v>
      </c>
      <c r="HZ72" s="149">
        <f t="shared" si="600"/>
        <v>0.49975211106370188</v>
      </c>
      <c r="IA72" s="149">
        <f t="shared" si="601"/>
        <v>0.50988784695218992</v>
      </c>
      <c r="IB72" s="149">
        <f t="shared" si="602"/>
        <v>0.5201060402778851</v>
      </c>
      <c r="IC72" s="149">
        <f t="shared" si="603"/>
        <v>0.53040342910440241</v>
      </c>
      <c r="ID72" s="149">
        <f t="shared" si="604"/>
        <v>0.54077662797381754</v>
      </c>
      <c r="IE72" s="149">
        <f t="shared" si="605"/>
        <v>0.55122212867109288</v>
      </c>
      <c r="IF72" s="149">
        <f t="shared" si="606"/>
        <v>0.56173630115220363</v>
      </c>
      <c r="IG72" s="149">
        <f t="shared" si="607"/>
        <v>0.57225646043277623</v>
      </c>
      <c r="IH72" s="149">
        <f t="shared" si="608"/>
        <v>0.58290537824787225</v>
      </c>
      <c r="II72" s="149">
        <f t="shared" si="609"/>
        <v>0.59368292544087975</v>
      </c>
      <c r="IJ72" s="149">
        <f t="shared" si="610"/>
        <v>0.6045889244052246</v>
      </c>
      <c r="IK72" s="149">
        <f t="shared" si="611"/>
        <v>0.61562314826174713</v>
      </c>
      <c r="IL72" s="149">
        <f t="shared" si="612"/>
        <v>0.62678532005006016</v>
      </c>
      <c r="IM72" s="149">
        <f t="shared" si="613"/>
        <v>0.63794229085373333</v>
      </c>
      <c r="IN72" s="149">
        <f t="shared" si="614"/>
        <v>0.64922265671817514</v>
      </c>
      <c r="IO72" s="149">
        <f t="shared" si="615"/>
        <v>0.66062595459050899</v>
      </c>
      <c r="IP72" s="149">
        <f t="shared" si="616"/>
        <v>0.67215166970065821</v>
      </c>
      <c r="IQ72" s="149">
        <f t="shared" si="617"/>
        <v>0.68379923488349403</v>
      </c>
      <c r="IR72" s="149">
        <f t="shared" si="618"/>
        <v>0.69556802991980082</v>
      </c>
      <c r="IS72" s="149">
        <f t="shared" si="619"/>
        <v>0.70745738089685739</v>
      </c>
      <c r="IT72" s="149">
        <f t="shared" si="620"/>
        <v>0.71946655958943639</v>
      </c>
      <c r="IU72" s="149">
        <f t="shared" si="621"/>
        <v>0.73145375701000881</v>
      </c>
      <c r="IV72" s="149">
        <f t="shared" si="622"/>
        <v>0.74355545266823475</v>
      </c>
      <c r="IW72" s="149">
        <f t="shared" si="623"/>
        <v>0.75577073425771846</v>
      </c>
      <c r="IX72" s="159">
        <f t="shared" si="624"/>
        <v>0.75577073425771846</v>
      </c>
      <c r="IY72" s="159">
        <f t="shared" si="625"/>
        <v>0.76801057813871565</v>
      </c>
      <c r="IZ72" s="159">
        <f t="shared" si="626"/>
        <v>0.78035916598687038</v>
      </c>
      <c r="JA72" s="159">
        <f t="shared" si="627"/>
        <v>0.7928153814107648</v>
      </c>
      <c r="JB72" s="159">
        <f t="shared" si="628"/>
        <v>0.80537805231907722</v>
      </c>
      <c r="JC72" s="159">
        <f t="shared" si="629"/>
        <v>0.81790034253895094</v>
      </c>
      <c r="JD72" s="159">
        <f t="shared" si="630"/>
        <v>0.83052313362689922</v>
      </c>
      <c r="JE72" s="159">
        <f t="shared" si="631"/>
        <v>0.84334073433475221</v>
      </c>
      <c r="JF72" s="159">
        <f t="shared" si="632"/>
        <v>0.85625902121500952</v>
      </c>
      <c r="JG72" s="159">
        <f t="shared" si="633"/>
        <v>0.86927657250153445</v>
      </c>
      <c r="JH72" s="159">
        <f t="shared" si="634"/>
        <v>0.88239191018813767</v>
      </c>
      <c r="JI72" s="159">
        <f t="shared" si="635"/>
        <v>0.8956034998415201</v>
      </c>
      <c r="JJ72" s="159">
        <f t="shared" si="636"/>
        <v>0.9087585430506151</v>
      </c>
      <c r="JK72" s="159">
        <f t="shared" si="637"/>
        <v>0.92200333872269546</v>
      </c>
      <c r="JL72" s="159">
        <f t="shared" si="638"/>
        <v>0.93533618897066662</v>
      </c>
      <c r="JM72" s="159">
        <f t="shared" si="639"/>
        <v>0.94886184209501467</v>
      </c>
      <c r="JN72" s="159">
        <f t="shared" si="640"/>
        <v>0.96247504487602809</v>
      </c>
      <c r="JO72" s="159">
        <f t="shared" si="641"/>
        <v>0.97617396323655636</v>
      </c>
      <c r="JP72" s="159">
        <f t="shared" si="642"/>
        <v>0.98995670729755714</v>
      </c>
      <c r="JQ72" s="159">
        <f t="shared" si="643"/>
        <v>1.0036655491382722</v>
      </c>
      <c r="JR72" s="159">
        <f t="shared" si="644"/>
        <v>1.0175642299317702</v>
      </c>
      <c r="JS72" s="159">
        <f t="shared" si="645"/>
        <v>1.0315408163688777</v>
      </c>
      <c r="JT72" s="159">
        <f t="shared" si="646"/>
        <v>1.0455932401806174</v>
      </c>
      <c r="JU72" s="159">
        <f t="shared" si="647"/>
        <v>1.0597193788423986</v>
      </c>
      <c r="JV72" s="159">
        <f t="shared" si="648"/>
        <v>1.0739170557785458</v>
      </c>
      <c r="JW72" s="159">
        <f t="shared" si="649"/>
        <v>1.0881840406000842</v>
      </c>
      <c r="JX72" s="159">
        <f t="shared" si="536"/>
        <v>1.102358782611909</v>
      </c>
      <c r="JY72" s="159">
        <f t="shared" si="532"/>
        <v>1.1187742054915824</v>
      </c>
      <c r="JZ72" s="159">
        <f t="shared" si="532"/>
        <v>1.1332228592253859</v>
      </c>
      <c r="KA72" s="159">
        <f t="shared" si="532"/>
        <v>1.1501557842295889</v>
      </c>
      <c r="KB72" s="159">
        <f t="shared" si="532"/>
        <v>1.1647536198343733</v>
      </c>
      <c r="KC72" s="159">
        <f t="shared" si="532"/>
        <v>1.1794070554880456</v>
      </c>
      <c r="KD72" s="159">
        <f t="shared" si="532"/>
        <v>1.1941135340245252</v>
      </c>
      <c r="KE72" s="159">
        <f t="shared" si="532"/>
        <v>1.2087082842146553</v>
      </c>
      <c r="KF72" s="159">
        <f t="shared" si="532"/>
        <v>1.2262833758099052</v>
      </c>
      <c r="KG72" s="159">
        <f t="shared" si="532"/>
        <v>1.2411362872744927</v>
      </c>
      <c r="KH72" s="159">
        <f t="shared" si="532"/>
        <v>1.2597658082352627</v>
      </c>
      <c r="KI72" s="159">
        <f t="shared" si="532"/>
        <v>1.274746837027948</v>
      </c>
      <c r="KJ72" s="159">
        <f t="shared" si="532"/>
        <v>1.2897656561565338</v>
      </c>
      <c r="KK72" s="159">
        <f t="shared" si="532"/>
        <v>1.3048194075662316</v>
      </c>
      <c r="KL72" s="159">
        <f t="shared" si="532"/>
        <v>1.3200488617715675</v>
      </c>
      <c r="KM72" s="159">
        <f t="shared" si="532"/>
        <v>1.3404116064513016</v>
      </c>
      <c r="KN72" s="159">
        <f t="shared" si="532"/>
        <v>1.3557612956176492</v>
      </c>
      <c r="KO72" s="159">
        <f t="shared" si="532"/>
        <v>1.3788487029134848</v>
      </c>
      <c r="KP72" s="159">
        <f t="shared" si="532"/>
        <v>1.3943167494848983</v>
      </c>
      <c r="KQ72" s="159">
        <f t="shared" si="532"/>
        <v>1.4098064580811625</v>
      </c>
      <c r="KR72" s="159">
        <f t="shared" si="532"/>
        <v>1.4254682445589308</v>
      </c>
      <c r="KS72" s="159">
        <f t="shared" si="532"/>
        <v>1.4411487678555732</v>
      </c>
      <c r="KT72" s="159">
        <f t="shared" si="534"/>
        <v>1.4726039094623389</v>
      </c>
      <c r="KU72" s="159">
        <f t="shared" si="533"/>
        <v>1.4886425509786578</v>
      </c>
      <c r="KV72" s="159">
        <f t="shared" si="533"/>
        <v>1.5046616392989716</v>
      </c>
      <c r="KW72" s="184"/>
      <c r="KX72" s="184"/>
      <c r="KY72" s="184"/>
      <c r="KZ72" s="184"/>
      <c r="LA72" s="184"/>
      <c r="LB72" s="184"/>
      <c r="LC72" s="184"/>
      <c r="LD72" s="184"/>
      <c r="LE72" s="184"/>
      <c r="LF72" s="184"/>
      <c r="LG72" s="131"/>
      <c r="LH72" s="131"/>
      <c r="LI72" s="131"/>
      <c r="LJ72" s="131"/>
      <c r="LK72" s="131"/>
      <c r="LL72" s="131"/>
      <c r="LM72" s="131"/>
      <c r="LN72" s="131"/>
      <c r="LO72" s="131"/>
      <c r="LP72" s="131"/>
      <c r="LQ72" s="131"/>
      <c r="LR72" s="131"/>
      <c r="LS72" s="131"/>
      <c r="LT72" s="131"/>
      <c r="LU72" s="131"/>
      <c r="LV72" s="131"/>
      <c r="LW72" s="131"/>
      <c r="LX72" s="131"/>
      <c r="LY72" s="131"/>
      <c r="LZ72" s="131"/>
      <c r="MA72" s="131"/>
      <c r="MB72" s="131"/>
      <c r="MC72" s="131"/>
      <c r="MD72" s="131"/>
      <c r="ME72" s="131"/>
      <c r="MF72" s="131"/>
      <c r="MG72" s="131"/>
      <c r="MH72" s="131"/>
      <c r="MI72" s="131"/>
      <c r="MJ72" s="131"/>
      <c r="MK72" s="131"/>
      <c r="ML72" s="131"/>
      <c r="MM72" s="131"/>
      <c r="MN72" s="131"/>
      <c r="MO72" s="131"/>
      <c r="MP72" s="131"/>
      <c r="MQ72" s="131"/>
      <c r="MR72" s="131"/>
      <c r="MS72" s="131"/>
      <c r="MT72" s="131"/>
      <c r="MU72" s="131"/>
      <c r="MV72" s="131"/>
      <c r="MW72" s="131"/>
      <c r="MX72" s="131"/>
      <c r="MY72" s="131"/>
      <c r="MZ72" s="131"/>
      <c r="NA72" s="131"/>
      <c r="NB72" s="131"/>
      <c r="NC72" s="131"/>
      <c r="ND72" s="131"/>
      <c r="NE72" s="131"/>
      <c r="NF72" s="131"/>
      <c r="NG72" s="131"/>
      <c r="NH72" s="131"/>
      <c r="NI72" s="131"/>
      <c r="NJ72" s="131"/>
      <c r="NK72" s="131"/>
      <c r="NL72" s="131"/>
      <c r="NM72" s="131"/>
      <c r="NN72" s="131"/>
      <c r="NO72" s="131"/>
      <c r="NP72" s="131"/>
      <c r="NQ72" s="131"/>
      <c r="NR72" s="131"/>
      <c r="NS72" s="131"/>
      <c r="NT72" s="131"/>
      <c r="NU72" s="131"/>
      <c r="NV72" s="131"/>
      <c r="NW72" s="131"/>
      <c r="NX72" s="131"/>
      <c r="NY72" s="131"/>
      <c r="NZ72" s="131"/>
      <c r="OA72" s="131"/>
      <c r="OB72" s="131"/>
      <c r="OC72" s="131"/>
      <c r="OD72" s="131"/>
      <c r="OE72" s="131"/>
      <c r="OF72" s="131"/>
      <c r="OG72" s="131"/>
      <c r="OH72" s="131"/>
      <c r="OI72" s="131"/>
      <c r="OJ72" s="131"/>
      <c r="OK72" s="131"/>
      <c r="OL72" s="131"/>
      <c r="OM72" s="131"/>
      <c r="ON72" s="131"/>
      <c r="OO72" s="131"/>
      <c r="OP72" s="131"/>
      <c r="OQ72" s="131"/>
      <c r="OR72" s="131"/>
      <c r="OS72" s="131"/>
      <c r="OT72" s="131"/>
      <c r="OU72" s="131"/>
      <c r="OV72" s="131"/>
      <c r="OW72" s="131"/>
      <c r="OX72" s="131"/>
      <c r="OY72" s="131"/>
      <c r="OZ72" s="131"/>
      <c r="PA72" s="131"/>
      <c r="PB72" s="131"/>
      <c r="PC72" s="131"/>
      <c r="PD72" s="131"/>
      <c r="PE72" s="131"/>
      <c r="PF72" s="131"/>
      <c r="PG72" s="131"/>
      <c r="PH72" s="131"/>
      <c r="PI72" s="131"/>
      <c r="PJ72" s="131"/>
      <c r="PK72" s="131"/>
      <c r="PL72" s="131"/>
      <c r="PM72" s="131"/>
      <c r="PN72" s="131"/>
      <c r="PO72" s="131"/>
      <c r="PP72" s="131"/>
      <c r="PQ72" s="131"/>
      <c r="PR72" s="131"/>
      <c r="PS72" s="131"/>
      <c r="PT72" s="131"/>
      <c r="PU72" s="131"/>
      <c r="PV72" s="131"/>
      <c r="PW72" s="131"/>
      <c r="PX72" s="131"/>
      <c r="PY72" s="131"/>
      <c r="PZ72" s="131"/>
      <c r="QA72" s="131"/>
      <c r="QB72" s="131"/>
      <c r="QC72" s="131"/>
      <c r="QD72" s="131"/>
      <c r="QE72" s="23"/>
      <c r="QF72" s="23"/>
      <c r="QG72" s="23"/>
      <c r="QH72" s="23"/>
      <c r="QI72" s="23"/>
      <c r="QJ72" s="23"/>
      <c r="QK72" s="23"/>
      <c r="QL72" s="23"/>
      <c r="QM72" s="23"/>
      <c r="QN72" s="23"/>
      <c r="QO72" s="23"/>
      <c r="QP72" s="23"/>
      <c r="QQ72" s="23"/>
      <c r="QR72" s="23"/>
      <c r="QS72" s="23"/>
      <c r="QT72" s="23"/>
      <c r="QU72" s="23"/>
      <c r="QV72" s="23"/>
      <c r="QW72" s="23"/>
      <c r="QX72" s="23"/>
      <c r="QY72" s="23"/>
      <c r="QZ72" s="23"/>
      <c r="RA72" s="23"/>
      <c r="RB72" s="23"/>
      <c r="RC72" s="23"/>
      <c r="RD72" s="23"/>
      <c r="RE72" s="23"/>
      <c r="RF72" s="23"/>
      <c r="RG72" s="23"/>
      <c r="RH72" s="23"/>
      <c r="RI72" s="23"/>
      <c r="RJ72" s="23"/>
      <c r="RK72" s="23"/>
      <c r="RL72" s="23"/>
      <c r="RM72" s="23"/>
      <c r="RN72" s="23"/>
      <c r="RO72" s="23"/>
      <c r="RP72" s="23"/>
      <c r="RQ72" s="23"/>
      <c r="RR72" s="23"/>
      <c r="RS72" s="23"/>
      <c r="RT72" s="23"/>
      <c r="RU72" s="23"/>
      <c r="RV72" s="23"/>
      <c r="RW72" s="23"/>
      <c r="RX72" s="23"/>
      <c r="RY72" s="23"/>
      <c r="RZ72" s="23"/>
      <c r="SA72" s="23"/>
      <c r="SB72" s="23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11"/>
    </row>
    <row r="73" spans="1:605" ht="22.15" customHeight="1" thickBot="1" x14ac:dyDescent="0.3">
      <c r="A73" s="298"/>
      <c r="B73" s="25" t="s">
        <v>11</v>
      </c>
      <c r="BY73" s="184"/>
      <c r="BZ73" s="184"/>
      <c r="CA73" s="184"/>
      <c r="CB73" s="184"/>
      <c r="CC73" s="184"/>
      <c r="CD73" s="184"/>
      <c r="CE73" s="184"/>
      <c r="CF73" s="184"/>
      <c r="CG73" s="184"/>
      <c r="CH73" s="184"/>
      <c r="CI73" s="184"/>
      <c r="CJ73" s="184"/>
      <c r="CK73" s="184"/>
      <c r="CL73" s="184"/>
      <c r="CM73" s="184"/>
      <c r="CN73" s="184"/>
      <c r="CO73" s="184"/>
      <c r="CP73" s="184"/>
      <c r="CQ73" s="184"/>
      <c r="CR73" s="184"/>
      <c r="CS73" s="184"/>
      <c r="CT73" s="184"/>
      <c r="CU73" s="184"/>
      <c r="CV73" s="184"/>
      <c r="CW73" s="184"/>
      <c r="CX73" s="184"/>
      <c r="CY73" s="184"/>
      <c r="CZ73" s="184"/>
      <c r="DA73" s="184"/>
      <c r="DB73" s="184"/>
      <c r="DC73" s="184"/>
      <c r="DD73" s="184"/>
      <c r="DE73" s="184"/>
      <c r="DF73" s="184"/>
      <c r="DG73" s="184"/>
      <c r="DH73" s="184"/>
      <c r="DI73" s="184"/>
      <c r="DJ73" s="184"/>
      <c r="DK73" s="184"/>
      <c r="DL73" s="184"/>
      <c r="DM73" s="184"/>
      <c r="DN73" s="184"/>
      <c r="DO73" s="184"/>
      <c r="DP73" s="184"/>
      <c r="DQ73" s="184"/>
      <c r="DR73" s="184"/>
      <c r="DS73" s="184"/>
      <c r="DT73" s="184"/>
      <c r="DU73" s="184"/>
      <c r="DV73" s="184"/>
      <c r="DW73" s="184"/>
      <c r="DX73" s="184"/>
      <c r="DY73" s="184"/>
      <c r="DZ73" s="184"/>
      <c r="EA73" s="184"/>
      <c r="EB73" s="184"/>
      <c r="EC73" s="184"/>
      <c r="ED73" s="184"/>
      <c r="EE73" s="184"/>
      <c r="EF73" s="184"/>
      <c r="EG73" s="184"/>
      <c r="EH73" s="184"/>
      <c r="EI73" s="184"/>
      <c r="EJ73" s="184"/>
      <c r="EK73" s="184"/>
      <c r="EL73" s="184"/>
      <c r="EM73" s="184"/>
      <c r="EN73" s="184"/>
      <c r="EO73" s="184"/>
      <c r="EP73" s="184"/>
      <c r="EQ73" s="184"/>
      <c r="ER73" s="184"/>
      <c r="ES73" s="184"/>
      <c r="ET73" s="184"/>
      <c r="EU73" s="184"/>
      <c r="EV73" s="184"/>
      <c r="EW73" s="184"/>
      <c r="EX73" s="184"/>
      <c r="EY73" s="184"/>
      <c r="EZ73" s="123">
        <f t="shared" si="516"/>
        <v>2.5</v>
      </c>
      <c r="FA73" s="110">
        <f t="shared" si="517"/>
        <v>2.7458928571428571</v>
      </c>
      <c r="FB73" s="110">
        <f t="shared" si="518"/>
        <v>3.0145000191326532</v>
      </c>
      <c r="FC73" s="110">
        <f t="shared" si="519"/>
        <v>3.3030458455254204</v>
      </c>
      <c r="FD73" s="110">
        <f t="shared" si="537"/>
        <v>3.6180521124776339</v>
      </c>
      <c r="FE73" s="110">
        <f t="shared" si="521"/>
        <v>3.9605610457921832</v>
      </c>
      <c r="FF73" s="110">
        <f t="shared" si="522"/>
        <v>4.326161801639965</v>
      </c>
      <c r="FG73" s="110">
        <f t="shared" si="523"/>
        <v>4.7232736194318816</v>
      </c>
      <c r="FH73" s="110">
        <f t="shared" si="524"/>
        <v>5.1461266915986474</v>
      </c>
      <c r="FI73" s="110">
        <f t="shared" si="525"/>
        <v>5.603346964774242</v>
      </c>
      <c r="FJ73" s="110">
        <f t="shared" si="526"/>
        <v>6.0954917778498379</v>
      </c>
      <c r="FK73" s="110">
        <f t="shared" si="527"/>
        <v>6.615640409559691</v>
      </c>
      <c r="FL73" s="110">
        <f t="shared" si="528"/>
        <v>7.1735594174325588</v>
      </c>
      <c r="FM73" s="110">
        <f t="shared" si="529"/>
        <v>7.7613208923231802</v>
      </c>
      <c r="FN73" s="110">
        <f t="shared" si="530"/>
        <v>8.3896061802951785</v>
      </c>
      <c r="FO73" s="110">
        <f t="shared" si="538"/>
        <v>9.0480549492196349</v>
      </c>
      <c r="FP73" s="110">
        <f t="shared" si="539"/>
        <v>9.7479657804528195</v>
      </c>
      <c r="FQ73" s="110">
        <f t="shared" si="540"/>
        <v>10.477361188215589</v>
      </c>
      <c r="FR73" s="110">
        <f t="shared" si="541"/>
        <v>11.249692384375482</v>
      </c>
      <c r="FS73" s="110">
        <f t="shared" si="542"/>
        <v>12.053342284084305</v>
      </c>
      <c r="FT73" s="110">
        <f t="shared" si="543"/>
        <v>12.90121958038036</v>
      </c>
      <c r="FU73" s="110">
        <f t="shared" si="544"/>
        <v>13.78048731485859</v>
      </c>
      <c r="FV73" s="110">
        <f t="shared" si="545"/>
        <v>14.702719927468356</v>
      </c>
      <c r="FW73" s="110">
        <f t="shared" si="546"/>
        <v>15.655723500948806</v>
      </c>
      <c r="FX73" s="110">
        <f t="shared" si="547"/>
        <v>16.653894478100209</v>
      </c>
      <c r="FY73" s="110">
        <f t="shared" si="548"/>
        <v>17.700566512875355</v>
      </c>
      <c r="FZ73" s="110">
        <f t="shared" si="549"/>
        <v>18.780036882600857</v>
      </c>
      <c r="GA73" s="110">
        <f t="shared" si="550"/>
        <v>19.908520889904604</v>
      </c>
      <c r="GB73" s="110">
        <f t="shared" si="551"/>
        <v>21.06907054883963</v>
      </c>
      <c r="GC73" s="110">
        <f t="shared" si="552"/>
        <v>22.278683069761243</v>
      </c>
      <c r="GD73" s="110">
        <f t="shared" si="553"/>
        <v>23.538083918587155</v>
      </c>
      <c r="GE73" s="110">
        <f t="shared" si="554"/>
        <v>24.828243822646527</v>
      </c>
      <c r="GF73" s="110">
        <f t="shared" si="555"/>
        <v>26.167529670586966</v>
      </c>
      <c r="GG73" s="110">
        <f t="shared" si="556"/>
        <v>27.556304940930293</v>
      </c>
      <c r="GH73" s="110">
        <f t="shared" si="557"/>
        <v>28.973486337892421</v>
      </c>
      <c r="GI73" s="110">
        <f t="shared" si="558"/>
        <v>30.438716932694408</v>
      </c>
      <c r="GJ73" s="110">
        <f t="shared" si="559"/>
        <v>31.925498204843478</v>
      </c>
      <c r="GK73" s="110">
        <f t="shared" si="560"/>
        <v>33.457922118675967</v>
      </c>
      <c r="GL73" s="110">
        <f t="shared" si="561"/>
        <v>35.030915696593432</v>
      </c>
      <c r="GM73" s="110">
        <f t="shared" si="562"/>
        <v>36.624822360788428</v>
      </c>
      <c r="GN73" s="110">
        <f t="shared" si="563"/>
        <v>38.260731092903647</v>
      </c>
      <c r="GO73" s="110">
        <f t="shared" si="564"/>
        <v>39.932512482046356</v>
      </c>
      <c r="GP73" s="110">
        <f t="shared" si="565"/>
        <v>41.619524379233077</v>
      </c>
      <c r="GQ73" s="110">
        <f t="shared" si="566"/>
        <v>43.337897618671555</v>
      </c>
      <c r="GR73" s="110">
        <f t="shared" si="567"/>
        <v>45.091598297651771</v>
      </c>
      <c r="GS73" s="110">
        <f t="shared" si="568"/>
        <v>46.85382670679784</v>
      </c>
      <c r="GT73" s="110">
        <f t="shared" si="569"/>
        <v>48.646935318063406</v>
      </c>
      <c r="GU73" s="110">
        <f t="shared" si="570"/>
        <v>50.469223219437346</v>
      </c>
      <c r="GV73" s="110">
        <f t="shared" si="571"/>
        <v>52.292844485099678</v>
      </c>
      <c r="GW73" s="110">
        <f t="shared" si="572"/>
        <v>54.140524990239868</v>
      </c>
      <c r="GX73" s="110">
        <f t="shared" si="573"/>
        <v>55.984152341223293</v>
      </c>
      <c r="GY73" s="148">
        <f t="shared" si="574"/>
        <v>55.872184036540851</v>
      </c>
      <c r="GZ73" s="148">
        <f t="shared" si="575"/>
        <v>57.686559697095888</v>
      </c>
      <c r="HA73" s="148">
        <f t="shared" si="576"/>
        <v>59.489077393605136</v>
      </c>
      <c r="HB73" s="148">
        <f t="shared" si="577"/>
        <v>61.30156279055835</v>
      </c>
      <c r="HC73" s="148">
        <f t="shared" si="578"/>
        <v>63.137425177506771</v>
      </c>
      <c r="HD73" s="148">
        <f t="shared" si="579"/>
        <v>64.970029415992343</v>
      </c>
      <c r="HE73" s="148">
        <f t="shared" si="580"/>
        <v>66.814178712492435</v>
      </c>
      <c r="HF73" s="148">
        <f t="shared" si="581"/>
        <v>68.676409796094475</v>
      </c>
      <c r="HG73" s="148">
        <f t="shared" si="582"/>
        <v>70.555325930772227</v>
      </c>
      <c r="HH73" s="148">
        <f t="shared" si="583"/>
        <v>72.423702409850407</v>
      </c>
      <c r="HI73" s="148">
        <f t="shared" si="584"/>
        <v>74.304885161053093</v>
      </c>
      <c r="HJ73" s="148">
        <f t="shared" si="585"/>
        <v>76.187902630577511</v>
      </c>
      <c r="HK73" s="148">
        <f t="shared" si="586"/>
        <v>78.080062946541972</v>
      </c>
      <c r="HL73" s="148">
        <f t="shared" si="535"/>
        <v>79.953984457258983</v>
      </c>
      <c r="HM73" s="148">
        <f t="shared" si="587"/>
        <v>81.842897340061725</v>
      </c>
      <c r="HN73" s="148">
        <f t="shared" si="588"/>
        <v>83.745744703218151</v>
      </c>
      <c r="HO73" s="148">
        <f t="shared" si="589"/>
        <v>85.661428613304267</v>
      </c>
      <c r="HP73" s="148">
        <f t="shared" si="590"/>
        <v>87.588810757103602</v>
      </c>
      <c r="HQ73" s="148">
        <f t="shared" si="591"/>
        <v>89.50062578696236</v>
      </c>
      <c r="HR73" s="148">
        <f t="shared" si="592"/>
        <v>91.421021930391248</v>
      </c>
      <c r="HS73" s="148">
        <f t="shared" si="593"/>
        <v>93.348763973071598</v>
      </c>
      <c r="HT73" s="148">
        <f t="shared" si="594"/>
        <v>95.282581577353255</v>
      </c>
      <c r="HU73" s="148">
        <f t="shared" si="595"/>
        <v>97.195205105113303</v>
      </c>
      <c r="HV73" s="148">
        <f t="shared" si="596"/>
        <v>99.110661830111624</v>
      </c>
      <c r="HW73" s="148">
        <f t="shared" si="597"/>
        <v>101.03969373597575</v>
      </c>
      <c r="HX73" s="148">
        <f t="shared" si="598"/>
        <v>102.98162736192573</v>
      </c>
      <c r="HY73" s="148">
        <f t="shared" si="599"/>
        <v>104.9357665347935</v>
      </c>
      <c r="HZ73" s="148">
        <f t="shared" si="600"/>
        <v>106.87518178617148</v>
      </c>
      <c r="IA73" s="148">
        <f t="shared" si="601"/>
        <v>108.82468811417466</v>
      </c>
      <c r="IB73" s="148">
        <f t="shared" si="602"/>
        <v>110.78353250022981</v>
      </c>
      <c r="IC73" s="148">
        <f t="shared" si="603"/>
        <v>112.75094125812545</v>
      </c>
      <c r="ID73" s="148">
        <f t="shared" si="604"/>
        <v>114.72612039775575</v>
      </c>
      <c r="IE73" s="148">
        <f t="shared" si="605"/>
        <v>116.7082560200495</v>
      </c>
      <c r="IF73" s="148">
        <f t="shared" si="606"/>
        <v>118.69651474308986</v>
      </c>
      <c r="IG73" s="148">
        <f t="shared" si="607"/>
        <v>120.67761609630193</v>
      </c>
      <c r="IH73" s="148">
        <f t="shared" si="608"/>
        <v>122.67741659161207</v>
      </c>
      <c r="II73" s="148">
        <f t="shared" si="609"/>
        <v>124.69575218363121</v>
      </c>
      <c r="IJ73" s="148">
        <f t="shared" si="610"/>
        <v>126.73244946929719</v>
      </c>
      <c r="IK73" s="148">
        <f t="shared" si="611"/>
        <v>128.78732561426366</v>
      </c>
      <c r="IL73" s="148">
        <f t="shared" si="612"/>
        <v>130.86018828367418</v>
      </c>
      <c r="IM73" s="148">
        <f t="shared" si="613"/>
        <v>132.92316066367565</v>
      </c>
      <c r="IN73" s="148">
        <f t="shared" si="614"/>
        <v>135.00301717758964</v>
      </c>
      <c r="IO73" s="148">
        <f t="shared" si="615"/>
        <v>137.09953462081808</v>
      </c>
      <c r="IP73" s="148">
        <f t="shared" si="616"/>
        <v>139.21248038968011</v>
      </c>
      <c r="IQ73" s="148">
        <f t="shared" si="617"/>
        <v>141.34161244269873</v>
      </c>
      <c r="IR73" s="148">
        <f t="shared" si="618"/>
        <v>143.4866792668291</v>
      </c>
      <c r="IS73" s="148">
        <f t="shared" si="619"/>
        <v>145.64741984872958</v>
      </c>
      <c r="IT73" s="148">
        <f t="shared" si="620"/>
        <v>147.82356365117531</v>
      </c>
      <c r="IU73" s="148">
        <f t="shared" si="621"/>
        <v>149.98591298923552</v>
      </c>
      <c r="IV73" s="148">
        <f t="shared" si="622"/>
        <v>152.1624527498235</v>
      </c>
      <c r="IW73" s="148">
        <f t="shared" si="623"/>
        <v>154.35288433708257</v>
      </c>
      <c r="IX73" s="158">
        <f t="shared" si="624"/>
        <v>154.0441785684084</v>
      </c>
      <c r="IY73" s="158">
        <f t="shared" si="625"/>
        <v>156.22587402766794</v>
      </c>
      <c r="IZ73" s="158">
        <f t="shared" si="626"/>
        <v>158.4203025837775</v>
      </c>
      <c r="JA73" s="158">
        <f t="shared" si="627"/>
        <v>160.62713424070034</v>
      </c>
      <c r="JB73" s="158">
        <f t="shared" si="628"/>
        <v>162.8460300020719</v>
      </c>
      <c r="JC73" s="158">
        <f t="shared" si="629"/>
        <v>165.0472590972723</v>
      </c>
      <c r="JD73" s="158">
        <f t="shared" si="630"/>
        <v>167.25927178816221</v>
      </c>
      <c r="JE73" s="158">
        <f t="shared" si="631"/>
        <v>169.50093053419664</v>
      </c>
      <c r="JF73" s="158">
        <f t="shared" si="632"/>
        <v>171.75314979508781</v>
      </c>
      <c r="JG73" s="158">
        <f t="shared" si="633"/>
        <v>174.01555335445758</v>
      </c>
      <c r="JH73" s="158">
        <f t="shared" si="634"/>
        <v>176.28775644193649</v>
      </c>
      <c r="JI73" s="158">
        <f t="shared" si="635"/>
        <v>178.56936579542639</v>
      </c>
      <c r="JJ73" s="158">
        <f t="shared" si="636"/>
        <v>180.82989163060938</v>
      </c>
      <c r="JK73" s="158">
        <f t="shared" si="637"/>
        <v>183.09848481652065</v>
      </c>
      <c r="JL73" s="158">
        <f t="shared" si="638"/>
        <v>185.37473188912605</v>
      </c>
      <c r="JM73" s="158">
        <f t="shared" si="639"/>
        <v>187.67927685147495</v>
      </c>
      <c r="JN73" s="158">
        <f t="shared" si="640"/>
        <v>189.99114430723631</v>
      </c>
      <c r="JO73" s="158">
        <f t="shared" si="641"/>
        <v>192.30989986389508</v>
      </c>
      <c r="JP73" s="158">
        <f t="shared" si="642"/>
        <v>194.63510138043125</v>
      </c>
      <c r="JQ73" s="158">
        <f t="shared" si="643"/>
        <v>196.93573201697299</v>
      </c>
      <c r="JR73" s="158">
        <f t="shared" si="644"/>
        <v>199.2635566246343</v>
      </c>
      <c r="JS73" s="158">
        <f t="shared" si="645"/>
        <v>201.59650747859911</v>
      </c>
      <c r="JT73" s="158">
        <f t="shared" si="646"/>
        <v>203.93412091363186</v>
      </c>
      <c r="JU73" s="158">
        <f t="shared" si="647"/>
        <v>206.27592621221311</v>
      </c>
      <c r="JV73" s="158">
        <f t="shared" si="648"/>
        <v>208.62144573273852</v>
      </c>
      <c r="JW73" s="158">
        <f t="shared" si="649"/>
        <v>210.97019504312283</v>
      </c>
      <c r="JX73" s="158">
        <f t="shared" si="536"/>
        <v>213.29086718859719</v>
      </c>
      <c r="JY73" s="158">
        <f t="shared" si="532"/>
        <v>188.9757083290971</v>
      </c>
      <c r="JZ73" s="158">
        <f t="shared" si="532"/>
        <v>191.03344381979173</v>
      </c>
      <c r="KA73" s="158">
        <f t="shared" si="532"/>
        <v>165.80186785114904</v>
      </c>
      <c r="KB73" s="158">
        <f t="shared" si="532"/>
        <v>167.57042110822798</v>
      </c>
      <c r="KC73" s="158">
        <f t="shared" si="532"/>
        <v>169.33921999770371</v>
      </c>
      <c r="KD73" s="158">
        <f t="shared" si="532"/>
        <v>171.10787407323525</v>
      </c>
      <c r="KE73" s="158">
        <f t="shared" si="532"/>
        <v>172.85279832752056</v>
      </c>
      <c r="KF73" s="158">
        <f t="shared" si="532"/>
        <v>145.78772243994473</v>
      </c>
      <c r="KG73" s="158">
        <f t="shared" si="532"/>
        <v>147.25841616741585</v>
      </c>
      <c r="KH73" s="158">
        <f t="shared" si="532"/>
        <v>119.27608064689986</v>
      </c>
      <c r="KI73" s="158">
        <f t="shared" si="532"/>
        <v>120.4531127394374</v>
      </c>
      <c r="KJ73" s="158">
        <f t="shared" si="532"/>
        <v>121.62852333408158</v>
      </c>
      <c r="KK73" s="158">
        <f t="shared" si="532"/>
        <v>122.80203809767855</v>
      </c>
      <c r="KL73" s="158">
        <f t="shared" si="532"/>
        <v>123.98687534437923</v>
      </c>
      <c r="KM73" s="158">
        <f t="shared" si="532"/>
        <v>94.1728005500308</v>
      </c>
      <c r="KN73" s="158">
        <f t="shared" si="532"/>
        <v>95.060715526645382</v>
      </c>
      <c r="KO73" s="158">
        <f t="shared" si="532"/>
        <v>64.259650865015544</v>
      </c>
      <c r="KP73" s="158">
        <f t="shared" si="532"/>
        <v>64.850560263187319</v>
      </c>
      <c r="KQ73" s="158">
        <f t="shared" si="532"/>
        <v>65.439854484709329</v>
      </c>
      <c r="KR73" s="158">
        <f t="shared" si="532"/>
        <v>66.034503597200825</v>
      </c>
      <c r="KS73" s="158">
        <f t="shared" si="532"/>
        <v>66.627378596888732</v>
      </c>
      <c r="KT73" s="158">
        <f t="shared" si="534"/>
        <v>33.90464517817329</v>
      </c>
      <c r="KU73" s="158">
        <f t="shared" si="533"/>
        <v>34.205364639753611</v>
      </c>
      <c r="KV73" s="160">
        <f t="shared" si="533"/>
        <v>-6.9146888214147453E-2</v>
      </c>
      <c r="KW73" s="184"/>
      <c r="KX73" s="184"/>
      <c r="KY73" s="184"/>
      <c r="KZ73" s="184"/>
      <c r="LA73" s="184"/>
      <c r="LB73" s="184"/>
      <c r="LC73" s="184"/>
      <c r="LD73" s="184"/>
      <c r="LE73" s="184"/>
      <c r="LF73" s="184"/>
      <c r="LG73" s="23"/>
      <c r="LH73" s="23"/>
      <c r="LI73" s="23"/>
      <c r="LJ73" s="23"/>
      <c r="LK73" s="23"/>
      <c r="LL73" s="23"/>
      <c r="LM73" s="23"/>
      <c r="LN73" s="23"/>
      <c r="LO73" s="23"/>
      <c r="LP73" s="23"/>
      <c r="LQ73" s="23"/>
      <c r="LR73" s="23"/>
      <c r="LS73" s="23"/>
      <c r="LT73" s="23"/>
      <c r="LU73" s="23"/>
      <c r="LV73" s="23"/>
      <c r="LW73" s="23"/>
      <c r="LX73" s="23"/>
      <c r="LY73" s="23"/>
      <c r="LZ73" s="23"/>
      <c r="MA73" s="23"/>
      <c r="MB73" s="23"/>
      <c r="MC73" s="23"/>
      <c r="MD73" s="23"/>
      <c r="ME73" s="23"/>
      <c r="MF73" s="23"/>
      <c r="MG73" s="23"/>
      <c r="MH73" s="23"/>
      <c r="MI73" s="23"/>
      <c r="MJ73" s="23"/>
      <c r="MK73" s="23"/>
      <c r="ML73" s="23"/>
      <c r="MM73" s="23"/>
      <c r="MN73" s="23"/>
      <c r="MO73" s="23"/>
      <c r="MP73" s="23"/>
      <c r="MQ73" s="23"/>
      <c r="MR73" s="23"/>
      <c r="MS73" s="23"/>
      <c r="MT73" s="23"/>
      <c r="MU73" s="23"/>
      <c r="MV73" s="23"/>
      <c r="MW73" s="23"/>
      <c r="MX73" s="23"/>
      <c r="MY73" s="23"/>
      <c r="MZ73" s="23"/>
      <c r="NA73" s="23"/>
      <c r="NB73" s="23"/>
      <c r="NC73" s="23"/>
      <c r="ND73" s="23"/>
      <c r="NE73" s="23"/>
      <c r="NF73" s="23"/>
      <c r="NG73" s="23"/>
      <c r="NH73" s="23"/>
      <c r="NI73" s="23"/>
      <c r="NJ73" s="23"/>
      <c r="NK73" s="23"/>
      <c r="NL73" s="23"/>
      <c r="NM73" s="23"/>
      <c r="NN73" s="23"/>
      <c r="NO73" s="23"/>
      <c r="NP73" s="23"/>
      <c r="NQ73" s="23"/>
      <c r="NR73" s="23"/>
      <c r="NS73" s="23"/>
      <c r="NT73" s="23"/>
      <c r="NU73" s="23"/>
      <c r="NV73" s="23"/>
      <c r="NW73" s="23"/>
      <c r="NX73" s="23"/>
      <c r="NY73" s="23"/>
      <c r="NZ73" s="23"/>
      <c r="OA73" s="23"/>
      <c r="OB73" s="23"/>
      <c r="OC73" s="23"/>
      <c r="OD73" s="23"/>
      <c r="OE73" s="23"/>
      <c r="OF73" s="23"/>
      <c r="OG73" s="23"/>
      <c r="OH73" s="23"/>
      <c r="OI73" s="23"/>
      <c r="OJ73" s="23"/>
      <c r="OK73" s="23"/>
      <c r="OL73" s="23"/>
      <c r="OM73" s="23"/>
      <c r="ON73" s="23"/>
      <c r="OO73" s="23"/>
      <c r="OP73" s="23"/>
      <c r="OQ73" s="23"/>
      <c r="OR73" s="23"/>
      <c r="OS73" s="23"/>
      <c r="OT73" s="23"/>
      <c r="OU73" s="23"/>
      <c r="OV73" s="23"/>
      <c r="OW73" s="23"/>
      <c r="OX73" s="23"/>
      <c r="OY73" s="23"/>
      <c r="OZ73" s="23"/>
      <c r="PA73" s="23"/>
      <c r="PB73" s="23"/>
      <c r="PC73" s="23"/>
      <c r="PD73" s="23"/>
      <c r="PE73" s="23"/>
      <c r="PF73" s="23"/>
      <c r="PG73" s="23"/>
      <c r="PH73" s="23"/>
      <c r="PI73" s="23"/>
      <c r="PJ73" s="23"/>
      <c r="PK73" s="23"/>
      <c r="PL73" s="23"/>
      <c r="PM73" s="23"/>
      <c r="PN73" s="23"/>
      <c r="PO73" s="23"/>
      <c r="PP73" s="23"/>
      <c r="PQ73" s="23"/>
      <c r="PR73" s="23"/>
      <c r="PS73" s="23"/>
      <c r="PT73" s="23"/>
      <c r="PU73" s="23"/>
      <c r="PV73" s="23"/>
      <c r="PW73" s="23"/>
      <c r="PX73" s="23"/>
      <c r="PY73" s="23"/>
      <c r="PZ73" s="23"/>
      <c r="QA73" s="23"/>
      <c r="QB73" s="23"/>
      <c r="QC73" s="23"/>
      <c r="QD73" s="23"/>
      <c r="QE73" s="34"/>
      <c r="QF73" s="34"/>
      <c r="QG73" s="34"/>
      <c r="QH73" s="34"/>
      <c r="QI73" s="34"/>
      <c r="QJ73" s="34"/>
      <c r="QK73" s="34"/>
      <c r="QL73" s="34"/>
      <c r="QM73" s="34"/>
      <c r="QN73" s="34"/>
      <c r="QO73" s="34"/>
      <c r="QP73" s="34"/>
      <c r="QQ73" s="34"/>
      <c r="QR73" s="34"/>
      <c r="QS73" s="34"/>
      <c r="QT73" s="34"/>
      <c r="QU73" s="34"/>
      <c r="QV73" s="34"/>
      <c r="QW73" s="34"/>
      <c r="QX73" s="34"/>
      <c r="QY73" s="34"/>
      <c r="QZ73" s="34"/>
      <c r="RA73" s="34"/>
      <c r="RB73" s="34"/>
      <c r="RC73" s="34"/>
      <c r="RD73" s="34"/>
      <c r="RE73" s="34"/>
      <c r="RF73" s="34"/>
      <c r="RG73" s="34"/>
      <c r="RH73" s="34"/>
      <c r="RI73" s="34"/>
      <c r="RJ73" s="34"/>
      <c r="RK73" s="34"/>
      <c r="RL73" s="34"/>
      <c r="RM73" s="34"/>
      <c r="RN73" s="34"/>
      <c r="RO73" s="34"/>
      <c r="RP73" s="34"/>
      <c r="RQ73" s="34"/>
      <c r="RR73" s="34"/>
      <c r="RS73" s="34"/>
      <c r="RT73" s="34"/>
      <c r="RU73" s="34"/>
      <c r="RV73" s="34"/>
      <c r="RW73" s="34"/>
      <c r="RX73" s="34"/>
      <c r="RY73" s="34"/>
      <c r="RZ73" s="34"/>
      <c r="SA73" s="34"/>
      <c r="SB73" s="34"/>
      <c r="SC73" s="34"/>
      <c r="SD73" s="34"/>
      <c r="SE73" s="34"/>
      <c r="SF73" s="34"/>
      <c r="SG73" s="34"/>
      <c r="SH73" s="34"/>
      <c r="SI73" s="34"/>
      <c r="SJ73" s="34"/>
      <c r="SK73" s="34"/>
      <c r="SL73" s="34"/>
      <c r="SM73" s="34"/>
      <c r="SN73" s="34"/>
      <c r="SO73" s="34"/>
      <c r="SP73" s="34"/>
      <c r="SQ73" s="34"/>
      <c r="SR73" s="34"/>
      <c r="SS73" s="34"/>
      <c r="ST73" s="34"/>
      <c r="SU73" s="34"/>
      <c r="SV73" s="34"/>
      <c r="SW73" s="34"/>
      <c r="SX73" s="34"/>
      <c r="SY73" s="34"/>
      <c r="SZ73" s="34"/>
      <c r="TA73" s="34"/>
      <c r="TB73" s="34"/>
      <c r="TC73" s="6"/>
      <c r="TD73" s="6"/>
      <c r="TE73" s="6"/>
      <c r="TF73" s="6"/>
      <c r="TG73" s="6"/>
      <c r="TH73" s="6"/>
      <c r="TI73" s="6"/>
      <c r="TJ73" s="6"/>
      <c r="TK73" s="6"/>
      <c r="TL73" s="6"/>
      <c r="TM73" s="6"/>
      <c r="TN73" s="6"/>
      <c r="TO73" s="6"/>
      <c r="TP73" s="6"/>
      <c r="TQ73" s="6"/>
      <c r="TR73" s="6"/>
      <c r="TS73" s="6"/>
      <c r="TT73" s="6"/>
      <c r="TU73" s="6"/>
      <c r="TV73" s="6"/>
      <c r="TW73" s="6"/>
      <c r="TX73" s="6"/>
      <c r="TY73" s="6"/>
      <c r="TZ73" s="6"/>
      <c r="UA73" s="6"/>
      <c r="UB73" s="6"/>
      <c r="UC73" s="6"/>
      <c r="UD73" s="6"/>
      <c r="UE73" s="6"/>
      <c r="UF73" s="6"/>
      <c r="UG73" s="6"/>
      <c r="UH73" s="6"/>
      <c r="UI73" s="6"/>
      <c r="UJ73" s="6"/>
      <c r="UK73" s="6"/>
      <c r="UL73" s="6"/>
      <c r="UM73" s="6"/>
      <c r="UN73" s="6"/>
      <c r="UO73" s="6"/>
      <c r="UP73" s="6"/>
      <c r="UQ73" s="6"/>
      <c r="UR73" s="6"/>
      <c r="US73" s="6"/>
      <c r="UT73" s="6"/>
      <c r="UU73" s="6"/>
      <c r="UV73" s="6"/>
      <c r="UW73" s="6"/>
      <c r="UX73" s="6"/>
      <c r="UY73" s="6"/>
      <c r="UZ73" s="6"/>
      <c r="VA73" s="6"/>
      <c r="VB73" s="6"/>
      <c r="VC73" s="6"/>
      <c r="VD73" s="6"/>
      <c r="VE73" s="6"/>
      <c r="VF73" s="6"/>
      <c r="VG73" s="6"/>
      <c r="VH73" s="6"/>
      <c r="VI73" s="6"/>
      <c r="VJ73" s="6"/>
      <c r="VK73" s="6"/>
      <c r="VL73" s="6"/>
      <c r="VM73" s="6"/>
      <c r="VN73" s="6"/>
      <c r="VO73" s="6"/>
      <c r="VP73" s="6"/>
      <c r="VQ73" s="6"/>
      <c r="VR73" s="6"/>
      <c r="VS73" s="6"/>
      <c r="VT73" s="6"/>
      <c r="VU73" s="6"/>
      <c r="VV73" s="6"/>
      <c r="VW73" s="6"/>
      <c r="VX73" s="6"/>
      <c r="VY73" s="6"/>
      <c r="VZ73" s="6"/>
      <c r="WA73" s="6"/>
      <c r="WB73" s="6"/>
      <c r="WC73" s="6"/>
      <c r="WD73" s="6"/>
      <c r="WE73" s="6"/>
      <c r="WF73" s="6"/>
      <c r="WG73" s="11"/>
    </row>
    <row r="74" spans="1:605" ht="22.15" customHeight="1" thickBot="1" x14ac:dyDescent="0.3">
      <c r="A74" s="298"/>
      <c r="B74" s="25" t="s">
        <v>12</v>
      </c>
      <c r="BY74" s="184"/>
      <c r="BZ74" s="184"/>
      <c r="CA74" s="184"/>
      <c r="CB74" s="184"/>
      <c r="CC74" s="184"/>
      <c r="CD74" s="184"/>
      <c r="CE74" s="184"/>
      <c r="CF74" s="184"/>
      <c r="CG74" s="184"/>
      <c r="CH74" s="184"/>
      <c r="CI74" s="184"/>
      <c r="CJ74" s="184"/>
      <c r="CK74" s="184"/>
      <c r="CL74" s="184"/>
      <c r="CM74" s="184"/>
      <c r="CN74" s="184"/>
      <c r="CO74" s="184"/>
      <c r="CP74" s="184"/>
      <c r="CQ74" s="184"/>
      <c r="CR74" s="184"/>
      <c r="CS74" s="184"/>
      <c r="CT74" s="184"/>
      <c r="CU74" s="184"/>
      <c r="CV74" s="184"/>
      <c r="CW74" s="184"/>
      <c r="CX74" s="184"/>
      <c r="CY74" s="184"/>
      <c r="CZ74" s="184"/>
      <c r="DA74" s="184"/>
      <c r="DB74" s="184"/>
      <c r="DC74" s="184"/>
      <c r="DD74" s="184"/>
      <c r="DE74" s="184"/>
      <c r="DF74" s="184"/>
      <c r="DG74" s="184"/>
      <c r="DH74" s="184"/>
      <c r="DI74" s="184"/>
      <c r="DJ74" s="184"/>
      <c r="DK74" s="184"/>
      <c r="DL74" s="184"/>
      <c r="DM74" s="184"/>
      <c r="DN74" s="184"/>
      <c r="DO74" s="184"/>
      <c r="DP74" s="184"/>
      <c r="DQ74" s="184"/>
      <c r="DR74" s="184"/>
      <c r="DS74" s="184"/>
      <c r="DT74" s="184"/>
      <c r="DU74" s="184"/>
      <c r="DV74" s="184"/>
      <c r="DW74" s="184"/>
      <c r="DX74" s="184"/>
      <c r="DY74" s="184"/>
      <c r="DZ74" s="184"/>
      <c r="EA74" s="184"/>
      <c r="EB74" s="184"/>
      <c r="EC74" s="184"/>
      <c r="ED74" s="184"/>
      <c r="EE74" s="184"/>
      <c r="EF74" s="184"/>
      <c r="EG74" s="184"/>
      <c r="EH74" s="184"/>
      <c r="EI74" s="184"/>
      <c r="EJ74" s="184"/>
      <c r="EK74" s="184"/>
      <c r="EL74" s="184"/>
      <c r="EM74" s="184"/>
      <c r="EN74" s="184"/>
      <c r="EO74" s="184"/>
      <c r="EP74" s="184"/>
      <c r="EQ74" s="184"/>
      <c r="ER74" s="184"/>
      <c r="ES74" s="184"/>
      <c r="ET74" s="184"/>
      <c r="EU74" s="184"/>
      <c r="EV74" s="184"/>
      <c r="EW74" s="184"/>
      <c r="EX74" s="184"/>
      <c r="EY74" s="184"/>
      <c r="EZ74" s="137">
        <f t="shared" si="516"/>
        <v>5.62E-2</v>
      </c>
      <c r="FA74" s="116">
        <f t="shared" si="517"/>
        <v>5.5899999999999998E-2</v>
      </c>
      <c r="FB74" s="116">
        <f t="shared" si="518"/>
        <v>5.57E-2</v>
      </c>
      <c r="FC74" s="116">
        <f t="shared" si="519"/>
        <v>5.5500000000000001E-2</v>
      </c>
      <c r="FD74" s="116">
        <f t="shared" si="537"/>
        <v>5.5099999999999996E-2</v>
      </c>
      <c r="FE74" s="116">
        <f t="shared" si="521"/>
        <v>5.4699999999999999E-2</v>
      </c>
      <c r="FF74" s="116">
        <f t="shared" si="522"/>
        <v>5.4400000000000004E-2</v>
      </c>
      <c r="FG74" s="116">
        <f t="shared" si="523"/>
        <v>5.4000000000000006E-2</v>
      </c>
      <c r="FH74" s="116">
        <f t="shared" si="524"/>
        <v>5.3600000000000002E-2</v>
      </c>
      <c r="FI74" s="116">
        <f t="shared" si="525"/>
        <v>5.2999999999999999E-2</v>
      </c>
      <c r="FJ74" s="116">
        <f t="shared" si="526"/>
        <v>5.2400000000000002E-2</v>
      </c>
      <c r="FK74" s="116">
        <f t="shared" si="527"/>
        <v>5.1799999999999999E-2</v>
      </c>
      <c r="FL74" s="116">
        <f t="shared" si="528"/>
        <v>5.1200000000000002E-2</v>
      </c>
      <c r="FM74" s="116">
        <f t="shared" si="529"/>
        <v>5.0599999999999999E-2</v>
      </c>
      <c r="FN74" s="116">
        <f t="shared" si="530"/>
        <v>4.99E-2</v>
      </c>
      <c r="FO74" s="116">
        <f t="shared" si="538"/>
        <v>4.9200000000000001E-2</v>
      </c>
      <c r="FP74" s="116">
        <f t="shared" si="539"/>
        <v>4.8399999999999999E-2</v>
      </c>
      <c r="FQ74" s="116">
        <f t="shared" si="540"/>
        <v>4.7699999999999992E-2</v>
      </c>
      <c r="FR74" s="116">
        <f t="shared" si="541"/>
        <v>4.7E-2</v>
      </c>
      <c r="FS74" s="116">
        <f t="shared" si="542"/>
        <v>4.6300000000000001E-2</v>
      </c>
      <c r="FT74" s="116">
        <f t="shared" si="543"/>
        <v>4.5599999999999995E-2</v>
      </c>
      <c r="FU74" s="116">
        <f t="shared" si="544"/>
        <v>4.4800000000000006E-2</v>
      </c>
      <c r="FV74" s="116">
        <f t="shared" si="545"/>
        <v>4.41E-2</v>
      </c>
      <c r="FW74" s="116">
        <f t="shared" si="546"/>
        <v>4.3400000000000001E-2</v>
      </c>
      <c r="FX74" s="116">
        <f t="shared" si="547"/>
        <v>4.2800000000000005E-2</v>
      </c>
      <c r="FY74" s="116">
        <f t="shared" si="548"/>
        <v>4.2199999999999994E-2</v>
      </c>
      <c r="FZ74" s="116">
        <f t="shared" si="549"/>
        <v>4.1599999999999998E-2</v>
      </c>
      <c r="GA74" s="116">
        <f t="shared" si="550"/>
        <v>4.0999999999999995E-2</v>
      </c>
      <c r="GB74" s="116">
        <f t="shared" si="551"/>
        <v>4.0399999999999998E-2</v>
      </c>
      <c r="GC74" s="116">
        <f t="shared" si="552"/>
        <v>3.9800000000000002E-2</v>
      </c>
      <c r="GD74" s="116">
        <f t="shared" si="553"/>
        <v>3.9199999999999999E-2</v>
      </c>
      <c r="GE74" s="116">
        <f t="shared" si="554"/>
        <v>3.8599999999999995E-2</v>
      </c>
      <c r="GF74" s="116">
        <f t="shared" si="555"/>
        <v>3.7999999999999999E-2</v>
      </c>
      <c r="GG74" s="116">
        <f t="shared" si="556"/>
        <v>3.7400000000000003E-2</v>
      </c>
      <c r="GH74" s="116">
        <f t="shared" si="557"/>
        <v>3.6799999999999999E-2</v>
      </c>
      <c r="GI74" s="116">
        <f t="shared" si="558"/>
        <v>3.61E-2</v>
      </c>
      <c r="GJ74" s="116">
        <f t="shared" si="559"/>
        <v>3.5499999999999997E-2</v>
      </c>
      <c r="GK74" s="116">
        <f t="shared" si="560"/>
        <v>3.4799999999999998E-2</v>
      </c>
      <c r="GL74" s="116">
        <f t="shared" si="561"/>
        <v>3.4200000000000001E-2</v>
      </c>
      <c r="GM74" s="116">
        <f t="shared" si="562"/>
        <v>3.3599999999999998E-2</v>
      </c>
      <c r="GN74" s="116">
        <f t="shared" si="563"/>
        <v>3.2899999999999999E-2</v>
      </c>
      <c r="GO74" s="116">
        <f t="shared" si="564"/>
        <v>3.2300000000000002E-2</v>
      </c>
      <c r="GP74" s="116">
        <f t="shared" si="565"/>
        <v>3.1600000000000003E-2</v>
      </c>
      <c r="GQ74" s="116">
        <f t="shared" si="566"/>
        <v>3.1E-2</v>
      </c>
      <c r="GR74" s="116">
        <f t="shared" si="567"/>
        <v>3.04E-2</v>
      </c>
      <c r="GS74" s="116">
        <f t="shared" si="568"/>
        <v>2.98E-2</v>
      </c>
      <c r="GT74" s="116">
        <f t="shared" si="569"/>
        <v>2.92E-2</v>
      </c>
      <c r="GU74" s="116">
        <f t="shared" si="570"/>
        <v>2.86E-2</v>
      </c>
      <c r="GV74" s="116">
        <f t="shared" si="571"/>
        <v>2.7999999999999997E-2</v>
      </c>
      <c r="GW74" s="116">
        <f t="shared" si="572"/>
        <v>2.7400000000000001E-2</v>
      </c>
      <c r="GX74" s="171">
        <f t="shared" si="573"/>
        <v>2.6800000000000001E-2</v>
      </c>
      <c r="GY74" s="199">
        <f t="shared" si="574"/>
        <v>2.6200000000000001E-2</v>
      </c>
      <c r="GZ74" s="150">
        <f t="shared" si="575"/>
        <v>2.5600000000000001E-2</v>
      </c>
      <c r="HA74" s="150">
        <f t="shared" si="576"/>
        <v>2.5000000000000001E-2</v>
      </c>
      <c r="HB74" s="150">
        <f t="shared" si="577"/>
        <v>2.46E-2</v>
      </c>
      <c r="HC74" s="150">
        <f t="shared" si="578"/>
        <v>2.4199999999999999E-2</v>
      </c>
      <c r="HD74" s="150">
        <f t="shared" si="579"/>
        <v>2.3700000000000002E-2</v>
      </c>
      <c r="HE74" s="150">
        <f t="shared" si="580"/>
        <v>2.3300000000000001E-2</v>
      </c>
      <c r="HF74" s="150">
        <f t="shared" si="581"/>
        <v>2.29E-2</v>
      </c>
      <c r="HG74" s="150">
        <f t="shared" si="582"/>
        <v>2.2499999999999999E-2</v>
      </c>
      <c r="HH74" s="150">
        <f t="shared" si="583"/>
        <v>2.2099999999999998E-2</v>
      </c>
      <c r="HI74" s="150">
        <f t="shared" si="584"/>
        <v>2.1600000000000001E-2</v>
      </c>
      <c r="HJ74" s="150">
        <f t="shared" si="585"/>
        <v>2.12E-2</v>
      </c>
      <c r="HK74" s="150">
        <f t="shared" si="586"/>
        <v>2.0799999999999999E-2</v>
      </c>
      <c r="HL74" s="150">
        <f t="shared" si="535"/>
        <v>2.0499999999999997E-2</v>
      </c>
      <c r="HM74" s="150">
        <f t="shared" si="587"/>
        <v>2.0199999999999999E-2</v>
      </c>
      <c r="HN74" s="150">
        <f t="shared" si="588"/>
        <v>1.9900000000000001E-2</v>
      </c>
      <c r="HO74" s="150">
        <f t="shared" si="589"/>
        <v>1.9599999999999999E-2</v>
      </c>
      <c r="HP74" s="150">
        <f t="shared" si="590"/>
        <v>1.9299999999999998E-2</v>
      </c>
      <c r="HQ74" s="150">
        <f t="shared" si="591"/>
        <v>1.9E-2</v>
      </c>
      <c r="HR74" s="150">
        <f t="shared" si="592"/>
        <v>1.8700000000000001E-2</v>
      </c>
      <c r="HS74" s="150">
        <f t="shared" si="593"/>
        <v>1.84E-2</v>
      </c>
      <c r="HT74" s="150">
        <f t="shared" si="594"/>
        <v>1.8100000000000002E-2</v>
      </c>
      <c r="HU74" s="150">
        <f t="shared" si="595"/>
        <v>1.78E-2</v>
      </c>
      <c r="HV74" s="150">
        <f t="shared" si="596"/>
        <v>1.7600000000000001E-2</v>
      </c>
      <c r="HW74" s="150">
        <f t="shared" si="597"/>
        <v>1.7399999999999999E-2</v>
      </c>
      <c r="HX74" s="150">
        <f t="shared" si="598"/>
        <v>1.72E-2</v>
      </c>
      <c r="HY74" s="150">
        <f t="shared" si="599"/>
        <v>1.7000000000000001E-2</v>
      </c>
      <c r="HZ74" s="150">
        <f t="shared" si="600"/>
        <v>1.6799999999999999E-2</v>
      </c>
      <c r="IA74" s="150">
        <f t="shared" si="601"/>
        <v>1.66E-2</v>
      </c>
      <c r="IB74" s="150">
        <f t="shared" si="602"/>
        <v>1.6399999999999998E-2</v>
      </c>
      <c r="IC74" s="150">
        <f t="shared" si="603"/>
        <v>1.6200000000000003E-2</v>
      </c>
      <c r="ID74" s="150">
        <f t="shared" si="604"/>
        <v>1.6E-2</v>
      </c>
      <c r="IE74" s="150">
        <f t="shared" si="605"/>
        <v>1.5800000000000002E-2</v>
      </c>
      <c r="IF74" s="150">
        <f t="shared" si="606"/>
        <v>1.5700000000000002E-2</v>
      </c>
      <c r="IG74" s="150">
        <f t="shared" si="607"/>
        <v>1.5600000000000001E-2</v>
      </c>
      <c r="IH74" s="150">
        <f t="shared" si="608"/>
        <v>1.55E-2</v>
      </c>
      <c r="II74" s="150">
        <f t="shared" si="609"/>
        <v>1.54E-2</v>
      </c>
      <c r="IJ74" s="150">
        <f t="shared" si="610"/>
        <v>1.5300000000000001E-2</v>
      </c>
      <c r="IK74" s="150">
        <f t="shared" si="611"/>
        <v>1.52E-2</v>
      </c>
      <c r="IL74" s="150">
        <f t="shared" si="612"/>
        <v>1.5100000000000001E-2</v>
      </c>
      <c r="IM74" s="150">
        <f t="shared" si="613"/>
        <v>1.4999999999999999E-2</v>
      </c>
      <c r="IN74" s="150">
        <f t="shared" si="614"/>
        <v>1.49E-2</v>
      </c>
      <c r="IO74" s="150">
        <f t="shared" si="615"/>
        <v>1.4800000000000001E-2</v>
      </c>
      <c r="IP74" s="150">
        <f t="shared" si="616"/>
        <v>1.47E-2</v>
      </c>
      <c r="IQ74" s="150">
        <f t="shared" si="617"/>
        <v>1.46E-2</v>
      </c>
      <c r="IR74" s="150">
        <f t="shared" si="618"/>
        <v>1.4499999999999999E-2</v>
      </c>
      <c r="IS74" s="150">
        <f t="shared" si="619"/>
        <v>1.44E-2</v>
      </c>
      <c r="IT74" s="150">
        <f t="shared" si="620"/>
        <v>1.43E-2</v>
      </c>
      <c r="IU74" s="150">
        <f t="shared" si="621"/>
        <v>1.4199999999999999E-2</v>
      </c>
      <c r="IV74" s="150">
        <f t="shared" si="622"/>
        <v>1.41E-2</v>
      </c>
      <c r="IW74" s="175">
        <f t="shared" si="623"/>
        <v>1.3999999999999999E-2</v>
      </c>
      <c r="IX74" s="161">
        <f t="shared" si="624"/>
        <v>1.3899999999999999E-2</v>
      </c>
      <c r="IY74" s="161">
        <f t="shared" si="625"/>
        <v>1.38E-2</v>
      </c>
      <c r="IZ74" s="161">
        <f t="shared" si="626"/>
        <v>1.37E-2</v>
      </c>
      <c r="JA74" s="161">
        <f t="shared" si="627"/>
        <v>1.3600000000000001E-2</v>
      </c>
      <c r="JB74" s="161">
        <f t="shared" si="628"/>
        <v>1.3500000000000002E-2</v>
      </c>
      <c r="JC74" s="161">
        <f t="shared" si="629"/>
        <v>1.34E-2</v>
      </c>
      <c r="JD74" s="161">
        <f t="shared" si="630"/>
        <v>1.34E-2</v>
      </c>
      <c r="JE74" s="161">
        <f t="shared" si="631"/>
        <v>1.3300000000000001E-2</v>
      </c>
      <c r="JF74" s="161">
        <f t="shared" si="632"/>
        <v>1.32E-2</v>
      </c>
      <c r="JG74" s="161">
        <f t="shared" si="633"/>
        <v>1.3100000000000001E-2</v>
      </c>
      <c r="JH74" s="161">
        <f t="shared" si="634"/>
        <v>1.3000000000000001E-2</v>
      </c>
      <c r="JI74" s="161">
        <f t="shared" si="635"/>
        <v>1.29E-2</v>
      </c>
      <c r="JJ74" s="161">
        <f t="shared" si="636"/>
        <v>1.2800000000000001E-2</v>
      </c>
      <c r="JK74" s="161">
        <f t="shared" si="637"/>
        <v>1.2699999999999999E-2</v>
      </c>
      <c r="JL74" s="161">
        <f t="shared" si="638"/>
        <v>1.2699999999999999E-2</v>
      </c>
      <c r="JM74" s="161">
        <f t="shared" si="639"/>
        <v>1.26E-2</v>
      </c>
      <c r="JN74" s="161">
        <f t="shared" si="640"/>
        <v>1.2500000000000001E-2</v>
      </c>
      <c r="JO74" s="161">
        <f t="shared" si="641"/>
        <v>1.24E-2</v>
      </c>
      <c r="JP74" s="161">
        <f t="shared" si="642"/>
        <v>1.23E-2</v>
      </c>
      <c r="JQ74" s="161">
        <f t="shared" si="643"/>
        <v>1.23E-2</v>
      </c>
      <c r="JR74" s="161">
        <f t="shared" si="644"/>
        <v>1.2199999999999999E-2</v>
      </c>
      <c r="JS74" s="161">
        <f t="shared" si="645"/>
        <v>1.21E-2</v>
      </c>
      <c r="JT74" s="161">
        <f t="shared" si="646"/>
        <v>1.2E-2</v>
      </c>
      <c r="JU74" s="161">
        <f t="shared" si="647"/>
        <v>1.1899999999999999E-2</v>
      </c>
      <c r="JV74" s="161">
        <f t="shared" si="648"/>
        <v>1.18E-2</v>
      </c>
      <c r="JW74" s="161">
        <f t="shared" si="649"/>
        <v>1.1699999999999999E-2</v>
      </c>
      <c r="JX74" s="161">
        <f t="shared" si="536"/>
        <v>1.1699999999999999E-2</v>
      </c>
      <c r="JY74" s="161">
        <f t="shared" si="532"/>
        <v>1.1599999999999999E-2</v>
      </c>
      <c r="JZ74" s="161">
        <f t="shared" si="532"/>
        <v>1.15E-2</v>
      </c>
      <c r="KA74" s="161">
        <f t="shared" si="532"/>
        <v>1.1399999999999999E-2</v>
      </c>
      <c r="KB74" s="161">
        <f t="shared" si="532"/>
        <v>1.1299999999999999E-2</v>
      </c>
      <c r="KC74" s="161">
        <f t="shared" si="532"/>
        <v>1.1200000000000002E-2</v>
      </c>
      <c r="KD74" s="161">
        <f t="shared" si="532"/>
        <v>1.11E-2</v>
      </c>
      <c r="KE74" s="161">
        <f t="shared" si="532"/>
        <v>1.1000000000000001E-2</v>
      </c>
      <c r="KF74" s="161">
        <f t="shared" si="532"/>
        <v>1.1000000000000001E-2</v>
      </c>
      <c r="KG74" s="161">
        <f t="shared" si="532"/>
        <v>1.09E-2</v>
      </c>
      <c r="KH74" s="161">
        <f t="shared" si="532"/>
        <v>1.0800000000000001E-2</v>
      </c>
      <c r="KI74" s="161">
        <f t="shared" si="532"/>
        <v>1.0700000000000001E-2</v>
      </c>
      <c r="KJ74" s="161">
        <f t="shared" si="532"/>
        <v>1.06E-2</v>
      </c>
      <c r="KK74" s="161">
        <f t="shared" si="532"/>
        <v>1.06E-2</v>
      </c>
      <c r="KL74" s="161">
        <f t="shared" si="532"/>
        <v>1.0500000000000001E-2</v>
      </c>
      <c r="KM74" s="161">
        <f t="shared" si="532"/>
        <v>1.04E-2</v>
      </c>
      <c r="KN74" s="161">
        <f t="shared" si="532"/>
        <v>1.03E-2</v>
      </c>
      <c r="KO74" s="161">
        <f t="shared" si="532"/>
        <v>1.03E-2</v>
      </c>
      <c r="KP74" s="161">
        <f t="shared" si="532"/>
        <v>1.0200000000000001E-2</v>
      </c>
      <c r="KQ74" s="161">
        <f t="shared" si="532"/>
        <v>1.0200000000000001E-2</v>
      </c>
      <c r="KR74" s="161">
        <f t="shared" si="532"/>
        <v>1.01E-2</v>
      </c>
      <c r="KS74" s="161">
        <f t="shared" si="532"/>
        <v>0.01</v>
      </c>
      <c r="KT74" s="161">
        <f t="shared" si="534"/>
        <v>0.01</v>
      </c>
      <c r="KU74" s="161">
        <f t="shared" si="533"/>
        <v>9.8999999999999991E-3</v>
      </c>
      <c r="KV74" s="118">
        <f t="shared" si="533"/>
        <v>9.8999999999999991E-3</v>
      </c>
      <c r="KW74" s="184"/>
      <c r="KX74" s="184"/>
      <c r="KY74" s="184"/>
      <c r="KZ74" s="184"/>
      <c r="LA74" s="184"/>
      <c r="LB74" s="184"/>
      <c r="LC74" s="184"/>
      <c r="LD74" s="184"/>
      <c r="LE74" s="184"/>
      <c r="LF74" s="184"/>
      <c r="LG74" s="132"/>
      <c r="LH74" s="132"/>
      <c r="LI74" s="132"/>
      <c r="LJ74" s="132"/>
      <c r="LK74" s="132"/>
      <c r="LL74" s="132"/>
      <c r="LM74" s="132"/>
      <c r="LN74" s="132"/>
      <c r="LO74" s="132"/>
      <c r="LP74" s="132"/>
      <c r="LQ74" s="132"/>
      <c r="LR74" s="132"/>
      <c r="LS74" s="132"/>
      <c r="LT74" s="132"/>
      <c r="LU74" s="132"/>
      <c r="LV74" s="132"/>
      <c r="LW74" s="132"/>
      <c r="LX74" s="132"/>
      <c r="LY74" s="132"/>
      <c r="LZ74" s="132"/>
      <c r="MA74" s="132"/>
      <c r="MB74" s="132"/>
      <c r="MC74" s="132"/>
      <c r="MD74" s="132"/>
      <c r="ME74" s="132"/>
      <c r="MF74" s="132"/>
      <c r="MG74" s="132"/>
      <c r="MH74" s="132"/>
      <c r="MI74" s="132"/>
      <c r="MJ74" s="132"/>
      <c r="MK74" s="132"/>
      <c r="ML74" s="132"/>
      <c r="MM74" s="132"/>
      <c r="MN74" s="132"/>
      <c r="MO74" s="132"/>
      <c r="MP74" s="132"/>
      <c r="MQ74" s="132"/>
      <c r="MR74" s="132"/>
      <c r="MS74" s="132"/>
      <c r="MT74" s="132"/>
      <c r="MU74" s="132"/>
      <c r="MV74" s="132"/>
      <c r="MW74" s="132"/>
      <c r="MX74" s="132"/>
      <c r="MY74" s="132"/>
      <c r="MZ74" s="132"/>
      <c r="NA74" s="132"/>
      <c r="NB74" s="132"/>
      <c r="NC74" s="132"/>
      <c r="ND74" s="132"/>
      <c r="NE74" s="132"/>
      <c r="NF74" s="132"/>
      <c r="NG74" s="132"/>
      <c r="NH74" s="132"/>
      <c r="NI74" s="132"/>
      <c r="NJ74" s="132"/>
      <c r="NK74" s="132"/>
      <c r="NL74" s="132"/>
      <c r="NM74" s="132"/>
      <c r="NN74" s="132"/>
      <c r="NO74" s="132"/>
      <c r="NP74" s="132"/>
      <c r="NQ74" s="132"/>
      <c r="NR74" s="132"/>
      <c r="NS74" s="132"/>
      <c r="NT74" s="132"/>
      <c r="NU74" s="132"/>
      <c r="NV74" s="132"/>
      <c r="NW74" s="132"/>
      <c r="NX74" s="132"/>
      <c r="NY74" s="132"/>
      <c r="NZ74" s="132"/>
      <c r="OA74" s="132"/>
      <c r="OB74" s="132"/>
      <c r="OC74" s="132"/>
      <c r="OD74" s="132"/>
      <c r="OE74" s="132"/>
      <c r="OF74" s="132"/>
      <c r="OG74" s="132"/>
      <c r="OH74" s="132"/>
      <c r="OI74" s="132"/>
      <c r="OJ74" s="132"/>
      <c r="OK74" s="132"/>
      <c r="OL74" s="132"/>
      <c r="OM74" s="132"/>
      <c r="ON74" s="132"/>
      <c r="OO74" s="132"/>
      <c r="OP74" s="132"/>
      <c r="OQ74" s="132"/>
      <c r="OR74" s="132"/>
      <c r="OS74" s="132"/>
      <c r="OT74" s="132"/>
      <c r="OU74" s="132"/>
      <c r="OV74" s="132"/>
      <c r="OW74" s="132"/>
      <c r="OX74" s="132"/>
      <c r="OY74" s="132"/>
      <c r="OZ74" s="132"/>
      <c r="PA74" s="132"/>
      <c r="PB74" s="132"/>
      <c r="PC74" s="132"/>
      <c r="PD74" s="132"/>
      <c r="PE74" s="132"/>
      <c r="PF74" s="132"/>
      <c r="PG74" s="132"/>
      <c r="PH74" s="132"/>
      <c r="PI74" s="132"/>
      <c r="PJ74" s="132"/>
      <c r="PK74" s="132"/>
      <c r="PL74" s="132"/>
      <c r="PM74" s="132"/>
      <c r="PN74" s="132"/>
      <c r="PO74" s="132"/>
      <c r="PP74" s="132"/>
      <c r="PQ74" s="132"/>
      <c r="PR74" s="132"/>
      <c r="PS74" s="132"/>
      <c r="PT74" s="132"/>
      <c r="PU74" s="132"/>
      <c r="PV74" s="132"/>
      <c r="PW74" s="132"/>
      <c r="PX74" s="132"/>
      <c r="PY74" s="132"/>
      <c r="PZ74" s="132"/>
      <c r="QA74" s="132"/>
      <c r="QB74" s="132"/>
      <c r="QC74" s="132"/>
      <c r="QD74" s="132"/>
      <c r="QE74" s="35"/>
      <c r="QF74" s="35"/>
      <c r="QG74" s="35"/>
      <c r="QH74" s="35"/>
      <c r="QI74" s="35"/>
      <c r="QJ74" s="35"/>
      <c r="QK74" s="35"/>
      <c r="QL74" s="35"/>
      <c r="QM74" s="35"/>
      <c r="QN74" s="35"/>
      <c r="QO74" s="35"/>
      <c r="QP74" s="35"/>
      <c r="QQ74" s="35"/>
      <c r="QR74" s="35"/>
      <c r="QS74" s="35"/>
      <c r="QT74" s="35"/>
      <c r="QU74" s="35"/>
      <c r="QV74" s="35"/>
      <c r="QW74" s="35"/>
      <c r="QX74" s="35"/>
      <c r="QY74" s="35"/>
      <c r="QZ74" s="35"/>
      <c r="RA74" s="35"/>
      <c r="RB74" s="35"/>
      <c r="RC74" s="35"/>
      <c r="RD74" s="35"/>
      <c r="RE74" s="35"/>
      <c r="RF74" s="35"/>
      <c r="RG74" s="35"/>
      <c r="RH74" s="35"/>
      <c r="RI74" s="35"/>
      <c r="RJ74" s="35"/>
      <c r="RK74" s="35"/>
      <c r="RL74" s="35"/>
      <c r="RM74" s="35"/>
      <c r="RN74" s="35"/>
      <c r="RO74" s="35"/>
      <c r="RP74" s="35"/>
      <c r="RQ74" s="35"/>
      <c r="RR74" s="35"/>
      <c r="RS74" s="35"/>
      <c r="RT74" s="35"/>
      <c r="RU74" s="35"/>
      <c r="RV74" s="35"/>
      <c r="RW74" s="35"/>
      <c r="RX74" s="35"/>
      <c r="RY74" s="35"/>
      <c r="RZ74" s="35"/>
      <c r="SA74" s="35"/>
      <c r="SB74" s="35"/>
      <c r="SC74" s="40"/>
      <c r="SD74" s="40"/>
      <c r="SE74" s="40"/>
      <c r="SF74" s="40"/>
      <c r="SG74" s="40"/>
      <c r="SH74" s="40"/>
      <c r="SI74" s="40"/>
      <c r="SJ74" s="40"/>
      <c r="SK74" s="40"/>
      <c r="SL74" s="40"/>
      <c r="SM74" s="40"/>
      <c r="SN74" s="40"/>
      <c r="SO74" s="40"/>
      <c r="SP74" s="40"/>
      <c r="SQ74" s="40"/>
      <c r="SR74" s="40"/>
      <c r="SS74" s="40"/>
      <c r="ST74" s="40"/>
      <c r="SU74" s="40"/>
      <c r="SV74" s="40"/>
      <c r="SW74" s="40"/>
      <c r="SX74" s="40"/>
      <c r="SY74" s="40"/>
      <c r="SZ74" s="40"/>
      <c r="TA74" s="40"/>
      <c r="TB74" s="40"/>
      <c r="TC74" s="3"/>
      <c r="TD74" s="3"/>
      <c r="TE74" s="3"/>
      <c r="TF74" s="3"/>
      <c r="TG74" s="3"/>
      <c r="TH74" s="3"/>
      <c r="TI74" s="3"/>
      <c r="TJ74" s="3"/>
      <c r="TK74" s="3"/>
      <c r="TL74" s="3"/>
      <c r="TM74" s="3"/>
      <c r="TN74" s="3"/>
      <c r="TO74" s="3"/>
      <c r="TP74" s="3"/>
      <c r="TQ74" s="3"/>
      <c r="TR74" s="3"/>
      <c r="TS74" s="3"/>
      <c r="TT74" s="3"/>
      <c r="TU74" s="3"/>
      <c r="TV74" s="3"/>
      <c r="TW74" s="3"/>
      <c r="TX74" s="3"/>
      <c r="TY74" s="3"/>
      <c r="TZ74" s="3"/>
      <c r="UA74" s="3"/>
      <c r="UB74" s="3"/>
      <c r="UC74" s="3"/>
      <c r="UD74" s="3"/>
      <c r="UE74" s="3"/>
      <c r="UF74" s="3"/>
      <c r="UG74" s="3"/>
      <c r="UH74" s="3"/>
      <c r="UI74" s="3"/>
      <c r="UJ74" s="3"/>
      <c r="UK74" s="3"/>
      <c r="UL74" s="3"/>
      <c r="UM74" s="3"/>
      <c r="UN74" s="3"/>
      <c r="UO74" s="3"/>
      <c r="UP74" s="3"/>
      <c r="UQ74" s="3"/>
      <c r="UR74" s="3"/>
      <c r="US74" s="3"/>
      <c r="UT74" s="3"/>
      <c r="UU74" s="3"/>
      <c r="UV74" s="3"/>
      <c r="UW74" s="3"/>
      <c r="UX74" s="3"/>
      <c r="UY74" s="3"/>
      <c r="UZ74" s="3"/>
      <c r="VA74" s="3"/>
      <c r="VB74" s="3"/>
      <c r="VC74" s="3"/>
      <c r="VD74" s="3"/>
      <c r="VE74" s="3"/>
      <c r="VF74" s="3"/>
      <c r="VG74" s="3"/>
      <c r="VH74" s="3"/>
      <c r="VI74" s="3"/>
      <c r="VJ74" s="3"/>
      <c r="VK74" s="3"/>
      <c r="VL74" s="3"/>
      <c r="VM74" s="3"/>
      <c r="VN74" s="3"/>
      <c r="VO74" s="3"/>
      <c r="VP74" s="3"/>
      <c r="VQ74" s="3"/>
      <c r="VR74" s="3"/>
      <c r="VS74" s="3"/>
      <c r="VT74" s="3"/>
      <c r="VU74" s="3"/>
      <c r="VV74" s="3"/>
      <c r="VW74" s="3"/>
      <c r="VX74" s="3"/>
      <c r="VY74" s="3"/>
      <c r="VZ74" s="3"/>
      <c r="WA74" s="3"/>
      <c r="WB74" s="3"/>
      <c r="WC74" s="3"/>
      <c r="WD74" s="3"/>
      <c r="WE74" s="3"/>
      <c r="WF74" s="3"/>
      <c r="WG74" s="11"/>
    </row>
    <row r="75" spans="1:605" ht="22.15" customHeight="1" thickBot="1" x14ac:dyDescent="0.3">
      <c r="A75" s="298"/>
      <c r="B75" s="25" t="s">
        <v>105</v>
      </c>
      <c r="BY75" s="184"/>
      <c r="BZ75" s="184"/>
      <c r="CA75" s="184"/>
      <c r="CB75" s="184"/>
      <c r="CC75" s="184"/>
      <c r="CD75" s="184"/>
      <c r="CE75" s="184"/>
      <c r="CF75" s="184"/>
      <c r="CG75" s="184"/>
      <c r="CH75" s="184"/>
      <c r="CI75" s="184"/>
      <c r="CJ75" s="184"/>
      <c r="CK75" s="184"/>
      <c r="CL75" s="184"/>
      <c r="CM75" s="184"/>
      <c r="CN75" s="184"/>
      <c r="CO75" s="184"/>
      <c r="CP75" s="184"/>
      <c r="CQ75" s="184"/>
      <c r="CR75" s="184"/>
      <c r="CS75" s="184"/>
      <c r="CT75" s="184"/>
      <c r="CU75" s="184"/>
      <c r="CV75" s="184"/>
      <c r="CW75" s="184"/>
      <c r="CX75" s="184"/>
      <c r="CY75" s="184"/>
      <c r="CZ75" s="184"/>
      <c r="DA75" s="184"/>
      <c r="DB75" s="184"/>
      <c r="DC75" s="184"/>
      <c r="DD75" s="184"/>
      <c r="DE75" s="184"/>
      <c r="DF75" s="184"/>
      <c r="DG75" s="184"/>
      <c r="DH75" s="184"/>
      <c r="DI75" s="184"/>
      <c r="DJ75" s="184"/>
      <c r="DK75" s="184"/>
      <c r="DL75" s="184"/>
      <c r="DM75" s="184"/>
      <c r="DN75" s="184"/>
      <c r="DO75" s="184"/>
      <c r="DP75" s="184"/>
      <c r="DQ75" s="184"/>
      <c r="DR75" s="184"/>
      <c r="DS75" s="184"/>
      <c r="DT75" s="184"/>
      <c r="DU75" s="184"/>
      <c r="DV75" s="184"/>
      <c r="DW75" s="184"/>
      <c r="DX75" s="184"/>
      <c r="DY75" s="184"/>
      <c r="DZ75" s="184"/>
      <c r="EA75" s="184"/>
      <c r="EB75" s="184"/>
      <c r="EC75" s="184"/>
      <c r="ED75" s="184"/>
      <c r="EE75" s="184"/>
      <c r="EF75" s="184"/>
      <c r="EG75" s="184"/>
      <c r="EH75" s="184"/>
      <c r="EI75" s="184"/>
      <c r="EJ75" s="184"/>
      <c r="EK75" s="184"/>
      <c r="EL75" s="184"/>
      <c r="EM75" s="184"/>
      <c r="EN75" s="184"/>
      <c r="EO75" s="184"/>
      <c r="EP75" s="184"/>
      <c r="EQ75" s="184"/>
      <c r="ER75" s="184"/>
      <c r="ES75" s="184"/>
      <c r="ET75" s="184"/>
      <c r="EU75" s="184"/>
      <c r="EV75" s="184"/>
      <c r="EW75" s="184"/>
      <c r="EX75" s="184"/>
      <c r="EY75" s="184"/>
      <c r="EZ75" s="124">
        <f t="shared" si="516"/>
        <v>0.14050000000000001</v>
      </c>
      <c r="FA75" s="115">
        <f t="shared" si="517"/>
        <v>0.15349541071428571</v>
      </c>
      <c r="FB75" s="115">
        <f t="shared" si="518"/>
        <v>0.16790765106568878</v>
      </c>
      <c r="FC75" s="115">
        <f t="shared" si="519"/>
        <v>0.18331904442666083</v>
      </c>
      <c r="FD75" s="115">
        <f t="shared" si="537"/>
        <v>0.19935467139751761</v>
      </c>
      <c r="FE75" s="115">
        <f t="shared" si="521"/>
        <v>0.2166426892048324</v>
      </c>
      <c r="FF75" s="115">
        <f t="shared" si="522"/>
        <v>0.2353432020092141</v>
      </c>
      <c r="FG75" s="115">
        <f t="shared" si="523"/>
        <v>0.25505677544932165</v>
      </c>
      <c r="FH75" s="115">
        <f t="shared" si="524"/>
        <v>0.27583239066968751</v>
      </c>
      <c r="FI75" s="115">
        <f t="shared" si="525"/>
        <v>0.29697738913303484</v>
      </c>
      <c r="FJ75" s="115">
        <f t="shared" si="526"/>
        <v>0.3194037691593315</v>
      </c>
      <c r="FK75" s="115">
        <f t="shared" si="527"/>
        <v>0.34269017321519196</v>
      </c>
      <c r="FL75" s="115">
        <f t="shared" si="528"/>
        <v>0.36728624217254702</v>
      </c>
      <c r="FM75" s="115">
        <f t="shared" si="529"/>
        <v>0.39272283715155293</v>
      </c>
      <c r="FN75" s="115">
        <f t="shared" si="530"/>
        <v>0.4186413483967294</v>
      </c>
      <c r="FO75" s="115">
        <f t="shared" si="538"/>
        <v>0.44516430350160602</v>
      </c>
      <c r="FP75" s="115">
        <f t="shared" si="539"/>
        <v>0.47180154377391648</v>
      </c>
      <c r="FQ75" s="115">
        <f t="shared" si="540"/>
        <v>0.49977012867788351</v>
      </c>
      <c r="FR75" s="115">
        <f t="shared" si="541"/>
        <v>0.52873554206564766</v>
      </c>
      <c r="FS75" s="115">
        <f t="shared" si="542"/>
        <v>0.55806974775310336</v>
      </c>
      <c r="FT75" s="115">
        <f t="shared" si="543"/>
        <v>0.58829561286534438</v>
      </c>
      <c r="FU75" s="115">
        <f t="shared" si="544"/>
        <v>0.61736583170566495</v>
      </c>
      <c r="FV75" s="115">
        <f t="shared" si="545"/>
        <v>0.64838994880135448</v>
      </c>
      <c r="FW75" s="115">
        <f t="shared" si="546"/>
        <v>0.67945839994117818</v>
      </c>
      <c r="FX75" s="115">
        <f t="shared" si="547"/>
        <v>0.71278668366268905</v>
      </c>
      <c r="FY75" s="115">
        <f t="shared" si="548"/>
        <v>0.74696390684333991</v>
      </c>
      <c r="FZ75" s="115">
        <f t="shared" si="549"/>
        <v>0.78124953431619559</v>
      </c>
      <c r="GA75" s="115">
        <f t="shared" si="550"/>
        <v>0.81624935648608865</v>
      </c>
      <c r="GB75" s="115">
        <f t="shared" si="551"/>
        <v>0.851190450173121</v>
      </c>
      <c r="GC75" s="115">
        <f t="shared" si="552"/>
        <v>0.88669158617649757</v>
      </c>
      <c r="GD75" s="115">
        <f t="shared" si="553"/>
        <v>0.9226928896086164</v>
      </c>
      <c r="GE75" s="115">
        <f t="shared" si="554"/>
        <v>0.9583702115541558</v>
      </c>
      <c r="GF75" s="115">
        <f t="shared" si="555"/>
        <v>0.99436612748230468</v>
      </c>
      <c r="GG75" s="115">
        <f t="shared" si="556"/>
        <v>1.0306058047907931</v>
      </c>
      <c r="GH75" s="115">
        <f t="shared" si="557"/>
        <v>1.0662242972344411</v>
      </c>
      <c r="GI75" s="115">
        <f t="shared" si="558"/>
        <v>1.098837681270268</v>
      </c>
      <c r="GJ75" s="115">
        <f t="shared" si="559"/>
        <v>1.1333551862719433</v>
      </c>
      <c r="GK75" s="115">
        <f t="shared" si="560"/>
        <v>1.1643356897299235</v>
      </c>
      <c r="GL75" s="115">
        <f t="shared" si="561"/>
        <v>1.1980573168234954</v>
      </c>
      <c r="GM75" s="115">
        <f t="shared" si="562"/>
        <v>1.230594031322491</v>
      </c>
      <c r="GN75" s="115">
        <f t="shared" si="563"/>
        <v>1.25877805295653</v>
      </c>
      <c r="GO75" s="115">
        <f t="shared" si="564"/>
        <v>1.2898201531700975</v>
      </c>
      <c r="GP75" s="115">
        <f t="shared" si="565"/>
        <v>1.3151769703837655</v>
      </c>
      <c r="GQ75" s="115">
        <f t="shared" si="566"/>
        <v>1.3434748261788181</v>
      </c>
      <c r="GR75" s="115">
        <f t="shared" si="567"/>
        <v>1.3707845882486138</v>
      </c>
      <c r="GS75" s="115">
        <f t="shared" si="568"/>
        <v>1.3962440358625756</v>
      </c>
      <c r="GT75" s="115">
        <f t="shared" si="569"/>
        <v>1.4204905112874515</v>
      </c>
      <c r="GU75" s="115">
        <f t="shared" si="570"/>
        <v>1.4434197840759082</v>
      </c>
      <c r="GV75" s="115">
        <f t="shared" si="571"/>
        <v>1.4641996455827908</v>
      </c>
      <c r="GW75" s="169">
        <f t="shared" si="572"/>
        <v>1.4834503847325724</v>
      </c>
      <c r="GX75" s="136">
        <f t="shared" si="573"/>
        <v>0</v>
      </c>
      <c r="GY75" s="170">
        <f t="shared" si="574"/>
        <v>1.4638512217573703</v>
      </c>
      <c r="GZ75" s="149">
        <f t="shared" si="575"/>
        <v>1.4767759282456547</v>
      </c>
      <c r="HA75" s="149">
        <f t="shared" si="576"/>
        <v>1.4872269348401286</v>
      </c>
      <c r="HB75" s="149">
        <f t="shared" si="577"/>
        <v>1.5080184446477354</v>
      </c>
      <c r="HC75" s="149">
        <f t="shared" si="578"/>
        <v>1.5279256892956639</v>
      </c>
      <c r="HD75" s="149">
        <f t="shared" si="579"/>
        <v>1.5397896971590186</v>
      </c>
      <c r="HE75" s="149">
        <f t="shared" si="580"/>
        <v>1.5567703640010737</v>
      </c>
      <c r="HF75" s="149">
        <f t="shared" si="581"/>
        <v>1.5726897843305634</v>
      </c>
      <c r="HG75" s="149">
        <f t="shared" si="582"/>
        <v>1.5874948334423751</v>
      </c>
      <c r="HH75" s="149">
        <f t="shared" si="583"/>
        <v>1.6005638232576938</v>
      </c>
      <c r="HI75" s="149">
        <f t="shared" si="584"/>
        <v>1.6049855194787468</v>
      </c>
      <c r="HJ75" s="149">
        <f t="shared" si="585"/>
        <v>1.6151835357682431</v>
      </c>
      <c r="HK75" s="149">
        <f t="shared" si="586"/>
        <v>1.624065309288073</v>
      </c>
      <c r="HL75" s="149">
        <f t="shared" si="535"/>
        <v>1.639056681373809</v>
      </c>
      <c r="HM75" s="149">
        <f t="shared" si="587"/>
        <v>1.6532265262692467</v>
      </c>
      <c r="HN75" s="149">
        <f t="shared" si="588"/>
        <v>1.6665403195940414</v>
      </c>
      <c r="HO75" s="149">
        <f t="shared" si="589"/>
        <v>1.6789640008207636</v>
      </c>
      <c r="HP75" s="149">
        <f t="shared" si="590"/>
        <v>1.6904640476120993</v>
      </c>
      <c r="HQ75" s="149">
        <f t="shared" si="591"/>
        <v>1.7005118899522849</v>
      </c>
      <c r="HR75" s="149">
        <f t="shared" si="592"/>
        <v>1.7095731100983165</v>
      </c>
      <c r="HS75" s="149">
        <f t="shared" si="593"/>
        <v>1.7176172571045174</v>
      </c>
      <c r="HT75" s="149">
        <f t="shared" si="594"/>
        <v>1.724614726550094</v>
      </c>
      <c r="HU75" s="149">
        <f t="shared" si="595"/>
        <v>1.7300746508710168</v>
      </c>
      <c r="HV75" s="149">
        <f t="shared" si="596"/>
        <v>1.7443476482099647</v>
      </c>
      <c r="HW75" s="149">
        <f t="shared" si="597"/>
        <v>1.7580906710059778</v>
      </c>
      <c r="HX75" s="149">
        <f t="shared" si="598"/>
        <v>1.7712839906251225</v>
      </c>
      <c r="HY75" s="149">
        <f t="shared" si="599"/>
        <v>1.7839080310914897</v>
      </c>
      <c r="HZ75" s="149">
        <f t="shared" si="600"/>
        <v>1.7955030540076808</v>
      </c>
      <c r="IA75" s="149">
        <f t="shared" si="601"/>
        <v>1.8064898226952995</v>
      </c>
      <c r="IB75" s="149">
        <f t="shared" si="602"/>
        <v>1.8168499330037686</v>
      </c>
      <c r="IC75" s="149">
        <f t="shared" si="603"/>
        <v>1.8265652483816326</v>
      </c>
      <c r="ID75" s="149">
        <f t="shared" si="604"/>
        <v>1.8356179263640919</v>
      </c>
      <c r="IE75" s="149">
        <f t="shared" si="605"/>
        <v>1.8439904451167823</v>
      </c>
      <c r="IF75" s="149">
        <f t="shared" si="606"/>
        <v>1.8635352814665112</v>
      </c>
      <c r="IG75" s="149">
        <f t="shared" si="607"/>
        <v>1.8825708111023103</v>
      </c>
      <c r="IH75" s="149">
        <f t="shared" si="608"/>
        <v>1.9014999571699871</v>
      </c>
      <c r="II75" s="149">
        <f t="shared" si="609"/>
        <v>1.9203145836279207</v>
      </c>
      <c r="IJ75" s="149">
        <f t="shared" si="610"/>
        <v>1.9390064768802473</v>
      </c>
      <c r="IK75" s="149">
        <f t="shared" si="611"/>
        <v>1.9575673493368078</v>
      </c>
      <c r="IL75" s="149">
        <f t="shared" si="612"/>
        <v>1.9759888430834802</v>
      </c>
      <c r="IM75" s="149">
        <f t="shared" si="613"/>
        <v>1.9938474099551347</v>
      </c>
      <c r="IN75" s="149">
        <f t="shared" si="614"/>
        <v>2.0115449559460856</v>
      </c>
      <c r="IO75" s="149">
        <f t="shared" si="615"/>
        <v>2.0290731123881076</v>
      </c>
      <c r="IP75" s="149">
        <f t="shared" si="616"/>
        <v>2.0464234617282977</v>
      </c>
      <c r="IQ75" s="149">
        <f t="shared" si="617"/>
        <v>2.0635875416634013</v>
      </c>
      <c r="IR75" s="149">
        <f t="shared" si="618"/>
        <v>2.0805568493690219</v>
      </c>
      <c r="IS75" s="149">
        <f t="shared" si="619"/>
        <v>2.0973228458217061</v>
      </c>
      <c r="IT75" s="149">
        <f t="shared" si="620"/>
        <v>2.1138769602118068</v>
      </c>
      <c r="IU75" s="149">
        <f t="shared" si="621"/>
        <v>2.1297999644471441</v>
      </c>
      <c r="IV75" s="173">
        <f t="shared" si="622"/>
        <v>2.1454905837725113</v>
      </c>
      <c r="IW75" s="136">
        <f t="shared" si="623"/>
        <v>0</v>
      </c>
      <c r="IX75" s="174">
        <f t="shared" si="624"/>
        <v>2.1412140821008765</v>
      </c>
      <c r="IY75" s="159">
        <f t="shared" si="625"/>
        <v>2.1559170615818175</v>
      </c>
      <c r="IZ75" s="159">
        <f t="shared" si="626"/>
        <v>2.1703581453977518</v>
      </c>
      <c r="JA75" s="159">
        <f t="shared" si="627"/>
        <v>2.184529025673525</v>
      </c>
      <c r="JB75" s="159">
        <f t="shared" si="628"/>
        <v>2.1984214050279709</v>
      </c>
      <c r="JC75" s="159">
        <f t="shared" si="629"/>
        <v>2.211633271903449</v>
      </c>
      <c r="JD75" s="159">
        <f t="shared" si="630"/>
        <v>2.2412742419613738</v>
      </c>
      <c r="JE75" s="159">
        <f t="shared" si="631"/>
        <v>2.2543623761048157</v>
      </c>
      <c r="JF75" s="159">
        <f t="shared" si="632"/>
        <v>2.2671415772951589</v>
      </c>
      <c r="JG75" s="159">
        <f t="shared" si="633"/>
        <v>2.2796037489433942</v>
      </c>
      <c r="JH75" s="159">
        <f t="shared" si="634"/>
        <v>2.2917408337451746</v>
      </c>
      <c r="JI75" s="159">
        <f t="shared" si="635"/>
        <v>2.3035448187610004</v>
      </c>
      <c r="JJ75" s="159">
        <f t="shared" si="636"/>
        <v>2.3146226128718004</v>
      </c>
      <c r="JK75" s="159">
        <f t="shared" si="637"/>
        <v>2.325350757169812</v>
      </c>
      <c r="JL75" s="159">
        <f t="shared" si="638"/>
        <v>2.3542590949919009</v>
      </c>
      <c r="JM75" s="159">
        <f t="shared" si="639"/>
        <v>2.3647588883285846</v>
      </c>
      <c r="JN75" s="159">
        <f t="shared" si="640"/>
        <v>2.3748893038404542</v>
      </c>
      <c r="JO75" s="159">
        <f t="shared" si="641"/>
        <v>2.3846427583122991</v>
      </c>
      <c r="JP75" s="159">
        <f t="shared" si="642"/>
        <v>2.3940117469793045</v>
      </c>
      <c r="JQ75" s="159">
        <f t="shared" si="643"/>
        <v>2.4223095038087679</v>
      </c>
      <c r="JR75" s="159">
        <f t="shared" si="644"/>
        <v>2.4310153908205385</v>
      </c>
      <c r="JS75" s="159">
        <f t="shared" si="645"/>
        <v>2.4393177404910493</v>
      </c>
      <c r="JT75" s="159">
        <f t="shared" si="646"/>
        <v>2.4472094509635824</v>
      </c>
      <c r="JU75" s="159">
        <f t="shared" si="647"/>
        <v>2.454683521925336</v>
      </c>
      <c r="JV75" s="159">
        <f t="shared" si="648"/>
        <v>2.4617330596463143</v>
      </c>
      <c r="JW75" s="159">
        <f t="shared" si="649"/>
        <v>2.4683512820045368</v>
      </c>
      <c r="JX75" s="159">
        <f t="shared" si="536"/>
        <v>2.4955031461065866</v>
      </c>
      <c r="JY75" s="159">
        <f t="shared" si="532"/>
        <v>2.1921182166175264</v>
      </c>
      <c r="JZ75" s="159">
        <f t="shared" si="532"/>
        <v>2.1968846039276047</v>
      </c>
      <c r="KA75" s="159">
        <f t="shared" si="532"/>
        <v>1.8901412935030988</v>
      </c>
      <c r="KB75" s="159">
        <f t="shared" si="532"/>
        <v>1.893545758522976</v>
      </c>
      <c r="KC75" s="159">
        <f t="shared" si="532"/>
        <v>1.8965992639742819</v>
      </c>
      <c r="KD75" s="159">
        <f t="shared" si="532"/>
        <v>1.8992974022129114</v>
      </c>
      <c r="KE75" s="159">
        <f t="shared" si="532"/>
        <v>1.9013807816027264</v>
      </c>
      <c r="KF75" s="159">
        <f t="shared" si="532"/>
        <v>1.6036649468393922</v>
      </c>
      <c r="KG75" s="159">
        <f t="shared" si="532"/>
        <v>1.6051167362248326</v>
      </c>
      <c r="KH75" s="159">
        <f t="shared" si="532"/>
        <v>1.2881816709865186</v>
      </c>
      <c r="KI75" s="159">
        <f t="shared" si="532"/>
        <v>1.2888483063119804</v>
      </c>
      <c r="KJ75" s="159">
        <f t="shared" si="532"/>
        <v>1.2892623473412648</v>
      </c>
      <c r="KK75" s="159">
        <f t="shared" si="532"/>
        <v>1.3017016038353926</v>
      </c>
      <c r="KL75" s="159">
        <f t="shared" si="532"/>
        <v>1.301862191115982</v>
      </c>
      <c r="KM75" s="159">
        <f t="shared" si="532"/>
        <v>0.97939712572032023</v>
      </c>
      <c r="KN75" s="159">
        <f t="shared" si="532"/>
        <v>0.97912536992444743</v>
      </c>
      <c r="KO75" s="159">
        <f t="shared" si="532"/>
        <v>0.66187440390966013</v>
      </c>
      <c r="KP75" s="159">
        <f t="shared" si="532"/>
        <v>0.66147571468451072</v>
      </c>
      <c r="KQ75" s="159">
        <f t="shared" si="532"/>
        <v>0.66748651574403517</v>
      </c>
      <c r="KR75" s="159">
        <f t="shared" si="532"/>
        <v>0.66694848633172832</v>
      </c>
      <c r="KS75" s="159">
        <f t="shared" si="532"/>
        <v>0.66627378596888731</v>
      </c>
      <c r="KT75" s="159">
        <f t="shared" si="534"/>
        <v>0.33904645178173293</v>
      </c>
      <c r="KU75" s="159">
        <f t="shared" si="533"/>
        <v>0.33863310993356072</v>
      </c>
      <c r="KV75" s="162">
        <f t="shared" si="533"/>
        <v>-6.845541933200597E-4</v>
      </c>
      <c r="KW75" s="184"/>
      <c r="KX75" s="184"/>
      <c r="KY75" s="184"/>
      <c r="KZ75" s="184"/>
      <c r="LA75" s="184"/>
      <c r="LB75" s="184"/>
      <c r="LC75" s="184"/>
      <c r="LD75" s="184"/>
      <c r="LE75" s="184"/>
      <c r="LF75" s="184"/>
      <c r="LG75" s="131"/>
      <c r="LH75" s="131"/>
      <c r="LI75" s="131"/>
      <c r="LJ75" s="131"/>
      <c r="LK75" s="131"/>
      <c r="LL75" s="131"/>
      <c r="LM75" s="131"/>
      <c r="LN75" s="131"/>
      <c r="LO75" s="131"/>
      <c r="LP75" s="131"/>
      <c r="LQ75" s="131"/>
      <c r="LR75" s="131"/>
      <c r="LS75" s="131"/>
      <c r="LT75" s="131"/>
      <c r="LU75" s="131"/>
      <c r="LV75" s="131"/>
      <c r="LW75" s="131"/>
      <c r="LX75" s="131"/>
      <c r="LY75" s="131"/>
      <c r="LZ75" s="131"/>
      <c r="MA75" s="131"/>
      <c r="MB75" s="131"/>
      <c r="MC75" s="131"/>
      <c r="MD75" s="131"/>
      <c r="ME75" s="131"/>
      <c r="MF75" s="131"/>
      <c r="MG75" s="131"/>
      <c r="MH75" s="131"/>
      <c r="MI75" s="131"/>
      <c r="MJ75" s="131"/>
      <c r="MK75" s="131"/>
      <c r="ML75" s="131"/>
      <c r="MM75" s="131"/>
      <c r="MN75" s="131"/>
      <c r="MO75" s="131"/>
      <c r="MP75" s="131"/>
      <c r="MQ75" s="131"/>
      <c r="MR75" s="131"/>
      <c r="MS75" s="131"/>
      <c r="MT75" s="131"/>
      <c r="MU75" s="131"/>
      <c r="MV75" s="131"/>
      <c r="MW75" s="131"/>
      <c r="MX75" s="131"/>
      <c r="MY75" s="131"/>
      <c r="MZ75" s="131"/>
      <c r="NA75" s="131"/>
      <c r="NB75" s="131"/>
      <c r="NC75" s="131"/>
      <c r="ND75" s="131"/>
      <c r="NE75" s="131"/>
      <c r="NF75" s="131"/>
      <c r="NG75" s="131"/>
      <c r="NH75" s="131"/>
      <c r="NI75" s="131"/>
      <c r="NJ75" s="131"/>
      <c r="NK75" s="131"/>
      <c r="NL75" s="131"/>
      <c r="NM75" s="131"/>
      <c r="NN75" s="131"/>
      <c r="NO75" s="131"/>
      <c r="NP75" s="131"/>
      <c r="NQ75" s="131"/>
      <c r="NR75" s="131"/>
      <c r="NS75" s="131"/>
      <c r="NT75" s="131"/>
      <c r="NU75" s="131"/>
      <c r="NV75" s="131"/>
      <c r="NW75" s="131"/>
      <c r="NX75" s="131"/>
      <c r="NY75" s="131"/>
      <c r="NZ75" s="131"/>
      <c r="OA75" s="131"/>
      <c r="OB75" s="131"/>
      <c r="OC75" s="131"/>
      <c r="OD75" s="131"/>
      <c r="OE75" s="131"/>
      <c r="OF75" s="131"/>
      <c r="OG75" s="131"/>
      <c r="OH75" s="131"/>
      <c r="OI75" s="131"/>
      <c r="OJ75" s="131"/>
      <c r="OK75" s="131"/>
      <c r="OL75" s="131"/>
      <c r="OM75" s="131"/>
      <c r="ON75" s="131"/>
      <c r="OO75" s="131"/>
      <c r="OP75" s="131"/>
      <c r="OQ75" s="131"/>
      <c r="OR75" s="131"/>
      <c r="OS75" s="131"/>
      <c r="OT75" s="131"/>
      <c r="OU75" s="131"/>
      <c r="OV75" s="131"/>
      <c r="OW75" s="131"/>
      <c r="OX75" s="131"/>
      <c r="OY75" s="131"/>
      <c r="OZ75" s="131"/>
      <c r="PA75" s="131"/>
      <c r="PB75" s="131"/>
      <c r="PC75" s="131"/>
      <c r="PD75" s="131"/>
      <c r="PE75" s="131"/>
      <c r="PF75" s="131"/>
      <c r="PG75" s="131"/>
      <c r="PH75" s="131"/>
      <c r="PI75" s="131"/>
      <c r="PJ75" s="131"/>
      <c r="PK75" s="131"/>
      <c r="PL75" s="131"/>
      <c r="PM75" s="131"/>
      <c r="PN75" s="131"/>
      <c r="PO75" s="131"/>
      <c r="PP75" s="131"/>
      <c r="PQ75" s="131"/>
      <c r="PR75" s="131"/>
      <c r="PS75" s="131"/>
      <c r="PT75" s="131"/>
      <c r="PU75" s="131"/>
      <c r="PV75" s="131"/>
      <c r="PW75" s="131"/>
      <c r="PX75" s="131"/>
      <c r="PY75" s="131"/>
      <c r="PZ75" s="131"/>
      <c r="QA75" s="131"/>
      <c r="QB75" s="131"/>
      <c r="QC75" s="131"/>
      <c r="QD75" s="131"/>
      <c r="QE75" s="23"/>
      <c r="QF75" s="23"/>
      <c r="QG75" s="23"/>
      <c r="QH75" s="23"/>
      <c r="QI75" s="23"/>
      <c r="QJ75" s="23"/>
      <c r="QK75" s="23"/>
      <c r="QL75" s="23"/>
      <c r="QM75" s="23"/>
      <c r="QN75" s="23"/>
      <c r="QO75" s="23"/>
      <c r="QP75" s="23"/>
      <c r="QQ75" s="23"/>
      <c r="QR75" s="23"/>
      <c r="QS75" s="23"/>
      <c r="QT75" s="23"/>
      <c r="QU75" s="23"/>
      <c r="QV75" s="23"/>
      <c r="QW75" s="23"/>
      <c r="QX75" s="23"/>
      <c r="QY75" s="23"/>
      <c r="QZ75" s="23"/>
      <c r="RA75" s="23"/>
      <c r="RB75" s="23"/>
      <c r="RC75" s="23"/>
      <c r="RD75" s="23"/>
      <c r="RE75" s="23"/>
      <c r="RF75" s="23"/>
      <c r="RG75" s="23"/>
      <c r="RH75" s="23"/>
      <c r="RI75" s="23"/>
      <c r="RJ75" s="23"/>
      <c r="RK75" s="23"/>
      <c r="RL75" s="23"/>
      <c r="RM75" s="23"/>
      <c r="RN75" s="23"/>
      <c r="RO75" s="23"/>
      <c r="RP75" s="23"/>
      <c r="RQ75" s="23"/>
      <c r="RR75" s="23"/>
      <c r="RS75" s="23"/>
      <c r="RT75" s="23"/>
      <c r="RU75" s="23"/>
      <c r="RV75" s="23"/>
      <c r="RW75" s="23"/>
      <c r="RX75" s="23"/>
      <c r="RY75" s="23"/>
      <c r="RZ75" s="23"/>
      <c r="SA75" s="23"/>
      <c r="SB75" s="23"/>
      <c r="SC75" s="23"/>
      <c r="SD75" s="23"/>
      <c r="SE75" s="23"/>
      <c r="SF75" s="23"/>
      <c r="SG75" s="23"/>
      <c r="SH75" s="23"/>
      <c r="SI75" s="23"/>
      <c r="SJ75" s="23"/>
      <c r="SK75" s="23"/>
      <c r="SL75" s="23"/>
      <c r="SM75" s="23"/>
      <c r="SN75" s="23"/>
      <c r="SO75" s="23"/>
      <c r="SP75" s="23"/>
      <c r="SQ75" s="23"/>
      <c r="SR75" s="23"/>
      <c r="SS75" s="23"/>
      <c r="ST75" s="23"/>
      <c r="SU75" s="23"/>
      <c r="SV75" s="23"/>
      <c r="SW75" s="23"/>
      <c r="SX75" s="23"/>
      <c r="SY75" s="23"/>
      <c r="SZ75" s="23"/>
      <c r="TA75" s="23"/>
      <c r="TB75" s="5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11"/>
    </row>
    <row r="76" spans="1:605" ht="22.15" customHeight="1" thickBot="1" x14ac:dyDescent="0.3">
      <c r="A76" s="298"/>
      <c r="B76" s="25" t="s">
        <v>13</v>
      </c>
      <c r="BY76" s="184"/>
      <c r="BZ76" s="184"/>
      <c r="CA76" s="184"/>
      <c r="CB76" s="184"/>
      <c r="CC76" s="184"/>
      <c r="CD76" s="184"/>
      <c r="CE76" s="184"/>
      <c r="CF76" s="184"/>
      <c r="CG76" s="184"/>
      <c r="CH76" s="184"/>
      <c r="CI76" s="184"/>
      <c r="CJ76" s="184"/>
      <c r="CK76" s="184"/>
      <c r="CL76" s="184"/>
      <c r="CM76" s="184"/>
      <c r="CN76" s="184"/>
      <c r="CO76" s="184"/>
      <c r="CP76" s="184"/>
      <c r="CQ76" s="184"/>
      <c r="CR76" s="184"/>
      <c r="CS76" s="184"/>
      <c r="CT76" s="184"/>
      <c r="CU76" s="184"/>
      <c r="CV76" s="184"/>
      <c r="CW76" s="184"/>
      <c r="CX76" s="184"/>
      <c r="CY76" s="184"/>
      <c r="CZ76" s="184"/>
      <c r="DA76" s="184"/>
      <c r="DB76" s="184"/>
      <c r="DC76" s="184"/>
      <c r="DD76" s="184"/>
      <c r="DE76" s="184"/>
      <c r="DF76" s="184"/>
      <c r="DG76" s="184"/>
      <c r="DH76" s="184"/>
      <c r="DI76" s="184"/>
      <c r="DJ76" s="184"/>
      <c r="DK76" s="184"/>
      <c r="DL76" s="184"/>
      <c r="DM76" s="184"/>
      <c r="DN76" s="184"/>
      <c r="DO76" s="184"/>
      <c r="DP76" s="184"/>
      <c r="DQ76" s="184"/>
      <c r="DR76" s="184"/>
      <c r="DS76" s="184"/>
      <c r="DT76" s="184"/>
      <c r="DU76" s="184"/>
      <c r="DV76" s="184"/>
      <c r="DW76" s="184"/>
      <c r="DX76" s="184"/>
      <c r="DY76" s="184"/>
      <c r="DZ76" s="184"/>
      <c r="EA76" s="184"/>
      <c r="EB76" s="184"/>
      <c r="EC76" s="184"/>
      <c r="ED76" s="184"/>
      <c r="EE76" s="184"/>
      <c r="EF76" s="184"/>
      <c r="EG76" s="184"/>
      <c r="EH76" s="184"/>
      <c r="EI76" s="184"/>
      <c r="EJ76" s="184"/>
      <c r="EK76" s="184"/>
      <c r="EL76" s="184"/>
      <c r="EM76" s="184"/>
      <c r="EN76" s="184"/>
      <c r="EO76" s="184"/>
      <c r="EP76" s="184"/>
      <c r="EQ76" s="184"/>
      <c r="ER76" s="184"/>
      <c r="ES76" s="184"/>
      <c r="ET76" s="184"/>
      <c r="EU76" s="184"/>
      <c r="EV76" s="184"/>
      <c r="EW76" s="184"/>
      <c r="EX76" s="184"/>
      <c r="EY76" s="184"/>
      <c r="EZ76" s="141">
        <f t="shared" si="516"/>
        <v>0.56000000000000005</v>
      </c>
      <c r="FA76" s="114">
        <f t="shared" si="517"/>
        <v>0.56000000000000005</v>
      </c>
      <c r="FB76" s="114">
        <f t="shared" si="518"/>
        <v>0.56999999999999995</v>
      </c>
      <c r="FC76" s="114">
        <f t="shared" si="519"/>
        <v>0.56999999999999995</v>
      </c>
      <c r="FD76" s="114">
        <f t="shared" si="537"/>
        <v>0.56999999999999995</v>
      </c>
      <c r="FE76" s="114">
        <f t="shared" si="521"/>
        <v>0.57999999999999996</v>
      </c>
      <c r="FF76" s="114">
        <f t="shared" si="522"/>
        <v>0.57999999999999996</v>
      </c>
      <c r="FG76" s="114">
        <f t="shared" si="523"/>
        <v>0.59</v>
      </c>
      <c r="FH76" s="114">
        <f t="shared" si="524"/>
        <v>0.59</v>
      </c>
      <c r="FI76" s="114">
        <f t="shared" si="525"/>
        <v>0.59</v>
      </c>
      <c r="FJ76" s="114">
        <f t="shared" si="526"/>
        <v>0.6</v>
      </c>
      <c r="FK76" s="114">
        <f t="shared" si="527"/>
        <v>0.6</v>
      </c>
      <c r="FL76" s="114">
        <f t="shared" si="528"/>
        <v>0.61</v>
      </c>
      <c r="FM76" s="114">
        <f t="shared" si="529"/>
        <v>0.61</v>
      </c>
      <c r="FN76" s="114">
        <f t="shared" si="530"/>
        <v>0.62</v>
      </c>
      <c r="FO76" s="114">
        <f t="shared" si="538"/>
        <v>0.62</v>
      </c>
      <c r="FP76" s="114">
        <f t="shared" si="539"/>
        <v>0.63</v>
      </c>
      <c r="FQ76" s="114">
        <f t="shared" si="540"/>
        <v>0.63</v>
      </c>
      <c r="FR76" s="114">
        <f t="shared" si="541"/>
        <v>0.64</v>
      </c>
      <c r="FS76" s="114">
        <f t="shared" si="542"/>
        <v>0.64</v>
      </c>
      <c r="FT76" s="114">
        <f t="shared" si="543"/>
        <v>0.65</v>
      </c>
      <c r="FU76" s="114">
        <f t="shared" si="544"/>
        <v>0.65</v>
      </c>
      <c r="FV76" s="114">
        <f t="shared" si="545"/>
        <v>0.66</v>
      </c>
      <c r="FW76" s="114">
        <f t="shared" si="546"/>
        <v>0.66</v>
      </c>
      <c r="FX76" s="114">
        <f t="shared" si="547"/>
        <v>0.66</v>
      </c>
      <c r="FY76" s="114">
        <f t="shared" si="548"/>
        <v>0.67</v>
      </c>
      <c r="FZ76" s="114">
        <f t="shared" si="549"/>
        <v>0.67</v>
      </c>
      <c r="GA76" s="114">
        <f t="shared" si="550"/>
        <v>0.68</v>
      </c>
      <c r="GB76" s="114">
        <f t="shared" si="551"/>
        <v>0.68</v>
      </c>
      <c r="GC76" s="114">
        <f t="shared" si="552"/>
        <v>0.68</v>
      </c>
      <c r="GD76" s="114">
        <f t="shared" si="553"/>
        <v>0.69</v>
      </c>
      <c r="GE76" s="114">
        <f t="shared" si="554"/>
        <v>0.69</v>
      </c>
      <c r="GF76" s="114">
        <f t="shared" si="555"/>
        <v>0.69</v>
      </c>
      <c r="GG76" s="114">
        <f t="shared" si="556"/>
        <v>0.7</v>
      </c>
      <c r="GH76" s="114">
        <f t="shared" si="557"/>
        <v>0.7</v>
      </c>
      <c r="GI76" s="114">
        <f t="shared" si="558"/>
        <v>0.71</v>
      </c>
      <c r="GJ76" s="114">
        <f t="shared" si="559"/>
        <v>0.71</v>
      </c>
      <c r="GK76" s="114">
        <f t="shared" si="560"/>
        <v>0.71</v>
      </c>
      <c r="GL76" s="114">
        <f t="shared" si="561"/>
        <v>0.72</v>
      </c>
      <c r="GM76" s="114">
        <f t="shared" si="562"/>
        <v>0.72</v>
      </c>
      <c r="GN76" s="114">
        <f t="shared" si="563"/>
        <v>0.72</v>
      </c>
      <c r="GO76" s="114">
        <f t="shared" si="564"/>
        <v>0.73</v>
      </c>
      <c r="GP76" s="114">
        <f t="shared" si="565"/>
        <v>0.73</v>
      </c>
      <c r="GQ76" s="114">
        <f t="shared" si="566"/>
        <v>0.73</v>
      </c>
      <c r="GR76" s="114">
        <f t="shared" si="567"/>
        <v>0.74</v>
      </c>
      <c r="GS76" s="114">
        <f t="shared" si="568"/>
        <v>0.74</v>
      </c>
      <c r="GT76" s="114">
        <f t="shared" si="569"/>
        <v>0.74</v>
      </c>
      <c r="GU76" s="114">
        <f t="shared" si="570"/>
        <v>0.75</v>
      </c>
      <c r="GV76" s="114">
        <f t="shared" si="571"/>
        <v>0.75</v>
      </c>
      <c r="GW76" s="114">
        <f t="shared" si="572"/>
        <v>0.76</v>
      </c>
      <c r="GX76" s="172">
        <f t="shared" si="573"/>
        <v>0.76</v>
      </c>
      <c r="GY76" s="151">
        <f t="shared" si="574"/>
        <v>0.76</v>
      </c>
      <c r="GZ76" s="151">
        <f t="shared" si="575"/>
        <v>0.77</v>
      </c>
      <c r="HA76" s="151">
        <f t="shared" si="576"/>
        <v>0.77</v>
      </c>
      <c r="HB76" s="151">
        <f t="shared" si="577"/>
        <v>0.77</v>
      </c>
      <c r="HC76" s="151">
        <f t="shared" si="578"/>
        <v>0.78</v>
      </c>
      <c r="HD76" s="151">
        <f t="shared" si="579"/>
        <v>0.78</v>
      </c>
      <c r="HE76" s="151">
        <f t="shared" si="580"/>
        <v>0.78</v>
      </c>
      <c r="HF76" s="151">
        <f t="shared" si="581"/>
        <v>0.78</v>
      </c>
      <c r="HG76" s="151">
        <f t="shared" si="582"/>
        <v>0.79</v>
      </c>
      <c r="HH76" s="151">
        <f t="shared" si="583"/>
        <v>0.79</v>
      </c>
      <c r="HI76" s="151">
        <f t="shared" si="584"/>
        <v>0.79</v>
      </c>
      <c r="HJ76" s="151">
        <f t="shared" si="585"/>
        <v>0.79</v>
      </c>
      <c r="HK76" s="151">
        <f t="shared" si="586"/>
        <v>0.8</v>
      </c>
      <c r="HL76" s="151">
        <f t="shared" si="535"/>
        <v>0.8</v>
      </c>
      <c r="HM76" s="151">
        <f t="shared" si="587"/>
        <v>0.8</v>
      </c>
      <c r="HN76" s="151">
        <f t="shared" si="588"/>
        <v>0.8</v>
      </c>
      <c r="HO76" s="151">
        <f t="shared" si="589"/>
        <v>0.8</v>
      </c>
      <c r="HP76" s="151">
        <f t="shared" si="590"/>
        <v>0.81</v>
      </c>
      <c r="HQ76" s="151">
        <f t="shared" si="591"/>
        <v>0.81</v>
      </c>
      <c r="HR76" s="151">
        <f t="shared" si="592"/>
        <v>0.81</v>
      </c>
      <c r="HS76" s="151">
        <f t="shared" si="593"/>
        <v>0.81</v>
      </c>
      <c r="HT76" s="151">
        <f t="shared" si="594"/>
        <v>0.82</v>
      </c>
      <c r="HU76" s="151">
        <f t="shared" si="595"/>
        <v>0.82</v>
      </c>
      <c r="HV76" s="151">
        <f t="shared" si="596"/>
        <v>0.82</v>
      </c>
      <c r="HW76" s="151">
        <f t="shared" si="597"/>
        <v>0.82</v>
      </c>
      <c r="HX76" s="151">
        <f t="shared" si="598"/>
        <v>0.82</v>
      </c>
      <c r="HY76" s="151">
        <f t="shared" si="599"/>
        <v>0.83</v>
      </c>
      <c r="HZ76" s="151">
        <f t="shared" si="600"/>
        <v>0.83</v>
      </c>
      <c r="IA76" s="151">
        <f t="shared" si="601"/>
        <v>0.83</v>
      </c>
      <c r="IB76" s="151">
        <f t="shared" si="602"/>
        <v>0.83</v>
      </c>
      <c r="IC76" s="151">
        <f t="shared" si="603"/>
        <v>0.83</v>
      </c>
      <c r="ID76" s="151">
        <f t="shared" si="604"/>
        <v>0.83</v>
      </c>
      <c r="IE76" s="151">
        <f t="shared" si="605"/>
        <v>0.83</v>
      </c>
      <c r="IF76" s="151">
        <f t="shared" si="606"/>
        <v>0.84</v>
      </c>
      <c r="IG76" s="151">
        <f t="shared" si="607"/>
        <v>0.84</v>
      </c>
      <c r="IH76" s="151">
        <f t="shared" si="608"/>
        <v>0.84</v>
      </c>
      <c r="II76" s="151">
        <f t="shared" si="609"/>
        <v>0.84</v>
      </c>
      <c r="IJ76" s="151">
        <f t="shared" si="610"/>
        <v>0.84</v>
      </c>
      <c r="IK76" s="151">
        <f t="shared" si="611"/>
        <v>0.84</v>
      </c>
      <c r="IL76" s="151">
        <f t="shared" si="612"/>
        <v>0.85</v>
      </c>
      <c r="IM76" s="151">
        <f t="shared" si="613"/>
        <v>0.85</v>
      </c>
      <c r="IN76" s="151">
        <f t="shared" si="614"/>
        <v>0.85</v>
      </c>
      <c r="IO76" s="151">
        <f t="shared" si="615"/>
        <v>0.85</v>
      </c>
      <c r="IP76" s="151">
        <f t="shared" si="616"/>
        <v>0.85</v>
      </c>
      <c r="IQ76" s="151">
        <f t="shared" si="617"/>
        <v>0.85</v>
      </c>
      <c r="IR76" s="151">
        <f t="shared" si="618"/>
        <v>0.85</v>
      </c>
      <c r="IS76" s="151">
        <f t="shared" si="619"/>
        <v>0.85</v>
      </c>
      <c r="IT76" s="151">
        <f t="shared" si="620"/>
        <v>0.86</v>
      </c>
      <c r="IU76" s="151">
        <f t="shared" si="621"/>
        <v>0.86</v>
      </c>
      <c r="IV76" s="151">
        <f t="shared" si="622"/>
        <v>0.86</v>
      </c>
      <c r="IW76" s="176">
        <f t="shared" si="623"/>
        <v>0.86</v>
      </c>
      <c r="IX76" s="163">
        <f t="shared" si="624"/>
        <v>0.86</v>
      </c>
      <c r="IY76" s="163">
        <f t="shared" si="625"/>
        <v>0.86</v>
      </c>
      <c r="IZ76" s="163">
        <f t="shared" si="626"/>
        <v>0.86</v>
      </c>
      <c r="JA76" s="163">
        <f t="shared" si="627"/>
        <v>0.86</v>
      </c>
      <c r="JB76" s="163">
        <f t="shared" si="628"/>
        <v>0.87</v>
      </c>
      <c r="JC76" s="163">
        <f t="shared" si="629"/>
        <v>0.87</v>
      </c>
      <c r="JD76" s="163">
        <f t="shared" si="630"/>
        <v>0.87</v>
      </c>
      <c r="JE76" s="163">
        <f t="shared" si="631"/>
        <v>0.87</v>
      </c>
      <c r="JF76" s="163">
        <f t="shared" si="632"/>
        <v>0.87</v>
      </c>
      <c r="JG76" s="163">
        <f t="shared" si="633"/>
        <v>0.87</v>
      </c>
      <c r="JH76" s="163">
        <f t="shared" si="634"/>
        <v>0.87</v>
      </c>
      <c r="JI76" s="163">
        <f t="shared" si="635"/>
        <v>0.88</v>
      </c>
      <c r="JJ76" s="163">
        <f t="shared" si="636"/>
        <v>0.88</v>
      </c>
      <c r="JK76" s="163">
        <f t="shared" si="637"/>
        <v>0.88</v>
      </c>
      <c r="JL76" s="163">
        <f t="shared" si="638"/>
        <v>0.88</v>
      </c>
      <c r="JM76" s="163">
        <f t="shared" si="639"/>
        <v>0.88</v>
      </c>
      <c r="JN76" s="163">
        <f t="shared" si="640"/>
        <v>0.88</v>
      </c>
      <c r="JO76" s="163">
        <f t="shared" si="641"/>
        <v>0.88</v>
      </c>
      <c r="JP76" s="163">
        <f t="shared" si="642"/>
        <v>0.89</v>
      </c>
      <c r="JQ76" s="163">
        <f t="shared" si="643"/>
        <v>0.89</v>
      </c>
      <c r="JR76" s="163">
        <f t="shared" si="644"/>
        <v>0.89</v>
      </c>
      <c r="JS76" s="163">
        <f t="shared" si="645"/>
        <v>0.89</v>
      </c>
      <c r="JT76" s="163">
        <f t="shared" si="646"/>
        <v>0.89</v>
      </c>
      <c r="JU76" s="163">
        <f t="shared" si="647"/>
        <v>0.89</v>
      </c>
      <c r="JV76" s="163">
        <f t="shared" si="648"/>
        <v>0.89</v>
      </c>
      <c r="JW76" s="163">
        <f t="shared" si="649"/>
        <v>0.9</v>
      </c>
      <c r="JX76" s="163">
        <f t="shared" si="536"/>
        <v>0.9</v>
      </c>
      <c r="JY76" s="163">
        <f t="shared" si="532"/>
        <v>0.9</v>
      </c>
      <c r="JZ76" s="163">
        <f t="shared" si="532"/>
        <v>0.9</v>
      </c>
      <c r="KA76" s="163">
        <f t="shared" si="532"/>
        <v>0.9</v>
      </c>
      <c r="KB76" s="163">
        <f t="shared" si="532"/>
        <v>0.9</v>
      </c>
      <c r="KC76" s="163">
        <f t="shared" si="532"/>
        <v>0.9</v>
      </c>
      <c r="KD76" s="163">
        <f t="shared" si="532"/>
        <v>0.91</v>
      </c>
      <c r="KE76" s="163">
        <f t="shared" si="532"/>
        <v>0.91</v>
      </c>
      <c r="KF76" s="163">
        <f t="shared" si="532"/>
        <v>0.91</v>
      </c>
      <c r="KG76" s="163">
        <f t="shared" si="532"/>
        <v>0.91</v>
      </c>
      <c r="KH76" s="163">
        <f t="shared" si="532"/>
        <v>0.91</v>
      </c>
      <c r="KI76" s="163">
        <f t="shared" si="532"/>
        <v>0.91</v>
      </c>
      <c r="KJ76" s="163">
        <f t="shared" si="532"/>
        <v>0.91</v>
      </c>
      <c r="KK76" s="163">
        <f t="shared" si="532"/>
        <v>0.91</v>
      </c>
      <c r="KL76" s="163">
        <f t="shared" si="532"/>
        <v>0.91</v>
      </c>
      <c r="KM76" s="163">
        <f t="shared" si="532"/>
        <v>0.91</v>
      </c>
      <c r="KN76" s="163">
        <f t="shared" si="532"/>
        <v>0.91</v>
      </c>
      <c r="KO76" s="163">
        <f t="shared" si="532"/>
        <v>0.92</v>
      </c>
      <c r="KP76" s="163">
        <f t="shared" si="532"/>
        <v>0.92</v>
      </c>
      <c r="KQ76" s="163">
        <f t="shared" si="532"/>
        <v>0.92</v>
      </c>
      <c r="KR76" s="163">
        <f t="shared" si="532"/>
        <v>0.92</v>
      </c>
      <c r="KS76" s="163">
        <f t="shared" si="532"/>
        <v>0.92</v>
      </c>
      <c r="KT76" s="163">
        <f t="shared" si="534"/>
        <v>0.92</v>
      </c>
      <c r="KU76" s="163">
        <f t="shared" si="533"/>
        <v>0.92</v>
      </c>
      <c r="KV76" s="117">
        <f t="shared" si="533"/>
        <v>0.92</v>
      </c>
      <c r="KW76" s="184"/>
      <c r="KX76" s="184"/>
      <c r="KY76" s="184"/>
      <c r="KZ76" s="184"/>
      <c r="LA76" s="184"/>
      <c r="LB76" s="184"/>
      <c r="LC76" s="184"/>
      <c r="LD76" s="184"/>
      <c r="LE76" s="184"/>
      <c r="LF76" s="184"/>
      <c r="LG76" s="23"/>
      <c r="LH76" s="23"/>
      <c r="LI76" s="23"/>
      <c r="LJ76" s="23"/>
      <c r="LK76" s="23"/>
      <c r="LL76" s="23"/>
      <c r="LM76" s="23"/>
      <c r="LN76" s="23"/>
      <c r="LO76" s="23"/>
      <c r="LP76" s="23"/>
      <c r="LQ76" s="23"/>
      <c r="LR76" s="23"/>
      <c r="LS76" s="23"/>
      <c r="LT76" s="23"/>
      <c r="LU76" s="23"/>
      <c r="LV76" s="23"/>
      <c r="LW76" s="23"/>
      <c r="LX76" s="23"/>
      <c r="LY76" s="23"/>
      <c r="LZ76" s="23"/>
      <c r="MA76" s="23"/>
      <c r="MB76" s="23"/>
      <c r="MC76" s="23"/>
      <c r="MD76" s="23"/>
      <c r="ME76" s="23"/>
      <c r="MF76" s="23"/>
      <c r="MG76" s="23"/>
      <c r="MH76" s="23"/>
      <c r="MI76" s="23"/>
      <c r="MJ76" s="23"/>
      <c r="MK76" s="23"/>
      <c r="ML76" s="23"/>
      <c r="MM76" s="23"/>
      <c r="MN76" s="23"/>
      <c r="MO76" s="23"/>
      <c r="MP76" s="23"/>
      <c r="MQ76" s="23"/>
      <c r="MR76" s="23"/>
      <c r="MS76" s="23"/>
      <c r="MT76" s="23"/>
      <c r="MU76" s="23"/>
      <c r="MV76" s="23"/>
      <c r="MW76" s="23"/>
      <c r="MX76" s="23"/>
      <c r="MY76" s="23"/>
      <c r="MZ76" s="23"/>
      <c r="NA76" s="23"/>
      <c r="NB76" s="23"/>
      <c r="NC76" s="23"/>
      <c r="ND76" s="23"/>
      <c r="NE76" s="23"/>
      <c r="NF76" s="23"/>
      <c r="NG76" s="23"/>
      <c r="NH76" s="23"/>
      <c r="NI76" s="23"/>
      <c r="NJ76" s="23"/>
      <c r="NK76" s="23"/>
      <c r="NL76" s="23"/>
      <c r="NM76" s="23"/>
      <c r="NN76" s="23"/>
      <c r="NO76" s="23"/>
      <c r="NP76" s="23"/>
      <c r="NQ76" s="23"/>
      <c r="NR76" s="23"/>
      <c r="NS76" s="23"/>
      <c r="NT76" s="23"/>
      <c r="NU76" s="23"/>
      <c r="NV76" s="23"/>
      <c r="NW76" s="23"/>
      <c r="NX76" s="23"/>
      <c r="NY76" s="23"/>
      <c r="NZ76" s="23"/>
      <c r="OA76" s="23"/>
      <c r="OB76" s="23"/>
      <c r="OC76" s="23"/>
      <c r="OD76" s="23"/>
      <c r="OE76" s="23"/>
      <c r="OF76" s="23"/>
      <c r="OG76" s="23"/>
      <c r="OH76" s="23"/>
      <c r="OI76" s="23"/>
      <c r="OJ76" s="23"/>
      <c r="OK76" s="23"/>
      <c r="OL76" s="23"/>
      <c r="OM76" s="23"/>
      <c r="ON76" s="23"/>
      <c r="OO76" s="23"/>
      <c r="OP76" s="23"/>
      <c r="OQ76" s="23"/>
      <c r="OR76" s="23"/>
      <c r="OS76" s="23"/>
      <c r="OT76" s="23"/>
      <c r="OU76" s="23"/>
      <c r="OV76" s="23"/>
      <c r="OW76" s="23"/>
      <c r="OX76" s="23"/>
      <c r="OY76" s="23"/>
      <c r="OZ76" s="23"/>
      <c r="PA76" s="23"/>
      <c r="PB76" s="23"/>
      <c r="PC76" s="23"/>
      <c r="PD76" s="23"/>
      <c r="PE76" s="23"/>
      <c r="PF76" s="23"/>
      <c r="PG76" s="23"/>
      <c r="PH76" s="23"/>
      <c r="PI76" s="23"/>
      <c r="PJ76" s="23"/>
      <c r="PK76" s="23"/>
      <c r="PL76" s="23"/>
      <c r="PM76" s="23"/>
      <c r="PN76" s="23"/>
      <c r="PO76" s="23"/>
      <c r="PP76" s="23"/>
      <c r="PQ76" s="23"/>
      <c r="PR76" s="23"/>
      <c r="PS76" s="23"/>
      <c r="PT76" s="23"/>
      <c r="PU76" s="23"/>
      <c r="PV76" s="23"/>
      <c r="PW76" s="23"/>
      <c r="PX76" s="23"/>
      <c r="PY76" s="23"/>
      <c r="PZ76" s="23"/>
      <c r="QA76" s="23"/>
      <c r="QB76" s="23"/>
      <c r="QC76" s="23"/>
      <c r="QD76" s="23"/>
      <c r="QE76" s="23"/>
      <c r="QF76" s="23"/>
      <c r="QG76" s="23"/>
      <c r="QH76" s="23"/>
      <c r="QI76" s="23"/>
      <c r="QJ76" s="23"/>
      <c r="QK76" s="23"/>
      <c r="QL76" s="23"/>
      <c r="QM76" s="23"/>
      <c r="QN76" s="23"/>
      <c r="QO76" s="23"/>
      <c r="QP76" s="23"/>
      <c r="QQ76" s="23"/>
      <c r="QR76" s="23"/>
      <c r="QS76" s="23"/>
      <c r="QT76" s="23"/>
      <c r="QU76" s="23"/>
      <c r="QV76" s="23"/>
      <c r="QW76" s="23"/>
      <c r="QX76" s="23"/>
      <c r="QY76" s="23"/>
      <c r="QZ76" s="23"/>
      <c r="RA76" s="23"/>
      <c r="RB76" s="23"/>
      <c r="RC76" s="23"/>
      <c r="RD76" s="23"/>
      <c r="RE76" s="23"/>
      <c r="RF76" s="23"/>
      <c r="RG76" s="23"/>
      <c r="RH76" s="23"/>
      <c r="RI76" s="23"/>
      <c r="RJ76" s="23"/>
      <c r="RK76" s="23"/>
      <c r="RL76" s="23"/>
      <c r="RM76" s="23"/>
      <c r="RN76" s="23"/>
      <c r="RO76" s="23"/>
      <c r="RP76" s="23"/>
      <c r="RQ76" s="23"/>
      <c r="RR76" s="23"/>
      <c r="RS76" s="23"/>
      <c r="RT76" s="23"/>
      <c r="RU76" s="23"/>
      <c r="RV76" s="23"/>
      <c r="RW76" s="23"/>
      <c r="RX76" s="23"/>
      <c r="RY76" s="23"/>
      <c r="RZ76" s="23"/>
      <c r="SA76" s="23"/>
      <c r="SB76" s="23"/>
      <c r="SC76" s="23"/>
      <c r="SD76" s="23"/>
      <c r="SE76" s="23"/>
      <c r="SF76" s="23"/>
      <c r="SG76" s="23"/>
      <c r="SH76" s="23"/>
      <c r="SI76" s="23"/>
      <c r="SJ76" s="23"/>
      <c r="SK76" s="23"/>
      <c r="SL76" s="23"/>
      <c r="SM76" s="23"/>
      <c r="SN76" s="23"/>
      <c r="SO76" s="23"/>
      <c r="SP76" s="23"/>
      <c r="SQ76" s="23"/>
      <c r="SR76" s="23"/>
      <c r="SS76" s="23"/>
      <c r="ST76" s="23"/>
      <c r="SU76" s="23"/>
      <c r="SV76" s="23"/>
      <c r="SW76" s="23"/>
      <c r="SX76" s="23"/>
      <c r="SY76" s="23"/>
      <c r="SZ76" s="23"/>
      <c r="TA76" s="23"/>
      <c r="TB76" s="5"/>
      <c r="TC76" s="7"/>
      <c r="TD76" s="7"/>
      <c r="TE76" s="7"/>
      <c r="TF76" s="7"/>
      <c r="TG76" s="7"/>
      <c r="TH76" s="7"/>
      <c r="TI76" s="7"/>
      <c r="TJ76" s="7"/>
      <c r="TK76" s="7"/>
      <c r="TL76" s="7"/>
      <c r="TM76" s="7"/>
      <c r="TN76" s="7"/>
      <c r="TO76" s="7"/>
      <c r="TP76" s="7"/>
      <c r="TQ76" s="7"/>
      <c r="TR76" s="7"/>
      <c r="TS76" s="7"/>
      <c r="TT76" s="7"/>
      <c r="TU76" s="7"/>
      <c r="TV76" s="7"/>
      <c r="TW76" s="7"/>
      <c r="TX76" s="7"/>
      <c r="TY76" s="7"/>
      <c r="TZ76" s="7"/>
      <c r="UA76" s="7"/>
      <c r="UB76" s="7"/>
      <c r="UC76" s="7"/>
      <c r="UD76" s="7"/>
      <c r="UE76" s="7"/>
      <c r="UF76" s="7"/>
      <c r="UG76" s="7"/>
      <c r="UH76" s="7"/>
      <c r="UI76" s="7"/>
      <c r="UJ76" s="7"/>
      <c r="UK76" s="7"/>
      <c r="UL76" s="7"/>
      <c r="UM76" s="7"/>
      <c r="UN76" s="7"/>
      <c r="UO76" s="7"/>
      <c r="UP76" s="7"/>
      <c r="UQ76" s="7"/>
      <c r="UR76" s="7"/>
      <c r="US76" s="7"/>
      <c r="UT76" s="7"/>
      <c r="UU76" s="7"/>
      <c r="UV76" s="7"/>
      <c r="UW76" s="7"/>
      <c r="UX76" s="7"/>
      <c r="UY76" s="7"/>
      <c r="UZ76" s="7"/>
      <c r="VA76" s="7"/>
      <c r="VB76" s="7"/>
      <c r="VC76" s="7"/>
      <c r="VD76" s="7"/>
      <c r="VE76" s="7"/>
      <c r="VF76" s="7"/>
      <c r="VG76" s="7"/>
      <c r="VH76" s="7"/>
      <c r="VI76" s="7"/>
      <c r="VJ76" s="7"/>
      <c r="VK76" s="7"/>
      <c r="VL76" s="7"/>
      <c r="VM76" s="7"/>
      <c r="VN76" s="7"/>
      <c r="VO76" s="7"/>
      <c r="VP76" s="7"/>
      <c r="VQ76" s="7"/>
      <c r="VR76" s="7"/>
      <c r="VS76" s="7"/>
      <c r="VT76" s="7"/>
      <c r="VU76" s="7"/>
      <c r="VV76" s="7"/>
      <c r="VW76" s="7"/>
      <c r="VX76" s="7"/>
      <c r="VY76" s="7"/>
      <c r="VZ76" s="7"/>
      <c r="WA76" s="7"/>
      <c r="WB76" s="7"/>
      <c r="WC76" s="7"/>
      <c r="WD76" s="7"/>
      <c r="WE76" s="7"/>
      <c r="WF76" s="7"/>
      <c r="WG76" s="11"/>
    </row>
    <row r="77" spans="1:605" ht="22.15" customHeight="1" x14ac:dyDescent="0.25">
      <c r="A77" s="298"/>
      <c r="B77" s="25" t="s">
        <v>3</v>
      </c>
      <c r="BY77" s="184"/>
      <c r="BZ77" s="184"/>
      <c r="CA77" s="184"/>
      <c r="CB77" s="184"/>
      <c r="CC77" s="184"/>
      <c r="CD77" s="184"/>
      <c r="CE77" s="184"/>
      <c r="CF77" s="184"/>
      <c r="CG77" s="184"/>
      <c r="CH77" s="184"/>
      <c r="CI77" s="184"/>
      <c r="CJ77" s="184"/>
      <c r="CK77" s="184"/>
      <c r="CL77" s="184"/>
      <c r="CM77" s="184"/>
      <c r="CN77" s="184"/>
      <c r="CO77" s="184"/>
      <c r="CP77" s="184"/>
      <c r="CQ77" s="184"/>
      <c r="CR77" s="184"/>
      <c r="CS77" s="184"/>
      <c r="CT77" s="184"/>
      <c r="CU77" s="184"/>
      <c r="CV77" s="184"/>
      <c r="CW77" s="184"/>
      <c r="CX77" s="184"/>
      <c r="CY77" s="184"/>
      <c r="CZ77" s="184"/>
      <c r="DA77" s="184"/>
      <c r="DB77" s="184"/>
      <c r="DC77" s="184"/>
      <c r="DD77" s="184"/>
      <c r="DE77" s="184"/>
      <c r="DF77" s="184"/>
      <c r="DG77" s="184"/>
      <c r="DH77" s="184"/>
      <c r="DI77" s="184"/>
      <c r="DJ77" s="184"/>
      <c r="DK77" s="184"/>
      <c r="DL77" s="184"/>
      <c r="DM77" s="184"/>
      <c r="DN77" s="184"/>
      <c r="DO77" s="184"/>
      <c r="DP77" s="184"/>
      <c r="DQ77" s="184"/>
      <c r="DR77" s="184"/>
      <c r="DS77" s="184"/>
      <c r="DT77" s="184"/>
      <c r="DU77" s="184"/>
      <c r="DV77" s="184"/>
      <c r="DW77" s="184"/>
      <c r="DX77" s="184"/>
      <c r="DY77" s="184"/>
      <c r="DZ77" s="184"/>
      <c r="EA77" s="184"/>
      <c r="EB77" s="184"/>
      <c r="EC77" s="184"/>
      <c r="ED77" s="184"/>
      <c r="EE77" s="184"/>
      <c r="EF77" s="184"/>
      <c r="EG77" s="184"/>
      <c r="EH77" s="184"/>
      <c r="EI77" s="184"/>
      <c r="EJ77" s="184"/>
      <c r="EK77" s="184"/>
      <c r="EL77" s="184"/>
      <c r="EM77" s="184"/>
      <c r="EN77" s="184"/>
      <c r="EO77" s="184"/>
      <c r="EP77" s="184"/>
      <c r="EQ77" s="184"/>
      <c r="ER77" s="184"/>
      <c r="ES77" s="184"/>
      <c r="ET77" s="184"/>
      <c r="EU77" s="184"/>
      <c r="EV77" s="184"/>
      <c r="EW77" s="184"/>
      <c r="EX77" s="184"/>
      <c r="EY77" s="184"/>
      <c r="EZ77" s="125" t="str">
        <f t="shared" si="516"/>
        <v>Tank 1</v>
      </c>
      <c r="FA77" s="111" t="str">
        <f t="shared" si="517"/>
        <v>Tank 1</v>
      </c>
      <c r="FB77" s="111" t="str">
        <f t="shared" si="518"/>
        <v>Tank 1</v>
      </c>
      <c r="FC77" s="111" t="str">
        <f t="shared" si="519"/>
        <v>Tank 1</v>
      </c>
      <c r="FD77" s="111" t="str">
        <f t="shared" si="537"/>
        <v>Tank 1</v>
      </c>
      <c r="FE77" s="111" t="str">
        <f t="shared" si="521"/>
        <v>Tank 1</v>
      </c>
      <c r="FF77" s="111" t="str">
        <f t="shared" si="522"/>
        <v>Tank 1</v>
      </c>
      <c r="FG77" s="111" t="str">
        <f t="shared" si="523"/>
        <v>Tank 1</v>
      </c>
      <c r="FH77" s="111" t="str">
        <f t="shared" si="524"/>
        <v>Tank 1</v>
      </c>
      <c r="FI77" s="111" t="str">
        <f t="shared" si="525"/>
        <v>Tank 1</v>
      </c>
      <c r="FJ77" s="111" t="str">
        <f t="shared" si="526"/>
        <v>Tank 1</v>
      </c>
      <c r="FK77" s="111" t="str">
        <f t="shared" si="527"/>
        <v>Tank 1</v>
      </c>
      <c r="FL77" s="111" t="str">
        <f t="shared" si="528"/>
        <v>Tank 1</v>
      </c>
      <c r="FM77" s="111" t="str">
        <f t="shared" si="529"/>
        <v>Tank 1</v>
      </c>
      <c r="FN77" s="111" t="str">
        <f t="shared" si="530"/>
        <v>Tank 1</v>
      </c>
      <c r="FO77" s="111" t="str">
        <f t="shared" si="538"/>
        <v>Tank 1</v>
      </c>
      <c r="FP77" s="111" t="str">
        <f t="shared" si="539"/>
        <v>Tank 1</v>
      </c>
      <c r="FQ77" s="111" t="str">
        <f t="shared" si="540"/>
        <v>Tank 1</v>
      </c>
      <c r="FR77" s="111" t="str">
        <f t="shared" si="541"/>
        <v>Tank 1</v>
      </c>
      <c r="FS77" s="111" t="str">
        <f t="shared" si="542"/>
        <v>Tank 1</v>
      </c>
      <c r="FT77" s="111" t="str">
        <f t="shared" si="543"/>
        <v>Tank 1</v>
      </c>
      <c r="FU77" s="111" t="str">
        <f t="shared" si="544"/>
        <v>Tank 1</v>
      </c>
      <c r="FV77" s="111" t="str">
        <f t="shared" si="545"/>
        <v>Tank 1</v>
      </c>
      <c r="FW77" s="111" t="str">
        <f t="shared" si="546"/>
        <v>Tank 1</v>
      </c>
      <c r="FX77" s="111" t="str">
        <f t="shared" si="547"/>
        <v>Tank 1</v>
      </c>
      <c r="FY77" s="111" t="str">
        <f t="shared" si="548"/>
        <v>Tank 1</v>
      </c>
      <c r="FZ77" s="111" t="str">
        <f t="shared" si="549"/>
        <v>Tank 1</v>
      </c>
      <c r="GA77" s="111" t="str">
        <f t="shared" si="550"/>
        <v>Tank 1</v>
      </c>
      <c r="GB77" s="111" t="str">
        <f t="shared" si="551"/>
        <v>Tank 1</v>
      </c>
      <c r="GC77" s="111" t="str">
        <f t="shared" si="552"/>
        <v>Tank 1</v>
      </c>
      <c r="GD77" s="111" t="str">
        <f t="shared" si="553"/>
        <v>Tank 1</v>
      </c>
      <c r="GE77" s="111" t="str">
        <f t="shared" si="554"/>
        <v>Tank 1</v>
      </c>
      <c r="GF77" s="111" t="str">
        <f t="shared" si="555"/>
        <v>Tank 1</v>
      </c>
      <c r="GG77" s="111" t="str">
        <f t="shared" si="556"/>
        <v>Tank 1</v>
      </c>
      <c r="GH77" s="111" t="str">
        <f t="shared" si="557"/>
        <v>Tank 1</v>
      </c>
      <c r="GI77" s="111" t="str">
        <f t="shared" si="558"/>
        <v>Tank 1</v>
      </c>
      <c r="GJ77" s="111" t="str">
        <f t="shared" si="559"/>
        <v>Tank 1</v>
      </c>
      <c r="GK77" s="111" t="str">
        <f t="shared" si="560"/>
        <v>Tank 1</v>
      </c>
      <c r="GL77" s="111" t="str">
        <f t="shared" si="561"/>
        <v>Tank 1</v>
      </c>
      <c r="GM77" s="111" t="str">
        <f t="shared" si="562"/>
        <v>Tank 1</v>
      </c>
      <c r="GN77" s="111" t="str">
        <f t="shared" si="563"/>
        <v>Tank 1</v>
      </c>
      <c r="GO77" s="111" t="str">
        <f t="shared" si="564"/>
        <v>Tank 1</v>
      </c>
      <c r="GP77" s="111" t="str">
        <f t="shared" si="565"/>
        <v>Tank 1</v>
      </c>
      <c r="GQ77" s="111" t="str">
        <f t="shared" si="566"/>
        <v>Tank 1</v>
      </c>
      <c r="GR77" s="111" t="str">
        <f t="shared" si="567"/>
        <v>Tank 1</v>
      </c>
      <c r="GS77" s="111" t="str">
        <f t="shared" si="568"/>
        <v>Tank 1</v>
      </c>
      <c r="GT77" s="111" t="str">
        <f t="shared" si="569"/>
        <v>Tank 1</v>
      </c>
      <c r="GU77" s="111" t="str">
        <f t="shared" si="570"/>
        <v>Tank 1</v>
      </c>
      <c r="GV77" s="111" t="str">
        <f t="shared" si="571"/>
        <v>Tank 1</v>
      </c>
      <c r="GW77" s="111" t="str">
        <f t="shared" si="572"/>
        <v>Tank 1</v>
      </c>
      <c r="GX77" s="111" t="str">
        <f t="shared" si="573"/>
        <v>Tank 1</v>
      </c>
      <c r="GY77" s="152" t="str">
        <f t="shared" si="574"/>
        <v>Tank 2 + 3</v>
      </c>
      <c r="GZ77" s="152" t="str">
        <f t="shared" si="575"/>
        <v>Tank 2 + 3</v>
      </c>
      <c r="HA77" s="152" t="str">
        <f t="shared" si="576"/>
        <v>Tank 2 + 3</v>
      </c>
      <c r="HB77" s="152" t="str">
        <f t="shared" si="577"/>
        <v>Tank 2 + 3</v>
      </c>
      <c r="HC77" s="152" t="str">
        <f t="shared" si="578"/>
        <v>Tank 2 + 3</v>
      </c>
      <c r="HD77" s="152" t="str">
        <f t="shared" si="579"/>
        <v>Tank 2 + 3</v>
      </c>
      <c r="HE77" s="152" t="str">
        <f t="shared" si="580"/>
        <v>Tank 2 + 3</v>
      </c>
      <c r="HF77" s="152" t="str">
        <f t="shared" si="581"/>
        <v>Tank 2 + 3</v>
      </c>
      <c r="HG77" s="152" t="str">
        <f t="shared" si="582"/>
        <v>Tank 2 + 3</v>
      </c>
      <c r="HH77" s="152" t="str">
        <f t="shared" si="583"/>
        <v>Tank 2 + 3</v>
      </c>
      <c r="HI77" s="152" t="str">
        <f t="shared" si="584"/>
        <v>Tank 2 + 3</v>
      </c>
      <c r="HJ77" s="152" t="str">
        <f t="shared" si="585"/>
        <v>Tank 2 + 3</v>
      </c>
      <c r="HK77" s="152" t="str">
        <f t="shared" si="586"/>
        <v>Tank 2 + 3</v>
      </c>
      <c r="HL77" s="152" t="str">
        <f t="shared" si="535"/>
        <v>Tank 2 + 3</v>
      </c>
      <c r="HM77" s="152" t="str">
        <f t="shared" si="587"/>
        <v>Tank 2 + 3</v>
      </c>
      <c r="HN77" s="152" t="str">
        <f t="shared" si="588"/>
        <v>Tank 2 + 3</v>
      </c>
      <c r="HO77" s="152" t="str">
        <f t="shared" si="589"/>
        <v>Tank 2 + 3</v>
      </c>
      <c r="HP77" s="152" t="str">
        <f t="shared" si="590"/>
        <v>Tank 2 + 3</v>
      </c>
      <c r="HQ77" s="152" t="str">
        <f t="shared" si="591"/>
        <v>Tank 2 + 3</v>
      </c>
      <c r="HR77" s="152" t="str">
        <f t="shared" si="592"/>
        <v>Tank 2 + 3</v>
      </c>
      <c r="HS77" s="152" t="str">
        <f t="shared" si="593"/>
        <v>Tank 2 + 3</v>
      </c>
      <c r="HT77" s="152" t="str">
        <f t="shared" si="594"/>
        <v>Tank 2 + 3</v>
      </c>
      <c r="HU77" s="152" t="str">
        <f t="shared" si="595"/>
        <v>Tank 2 + 3</v>
      </c>
      <c r="HV77" s="152" t="str">
        <f t="shared" si="596"/>
        <v>Tank 2 + 3</v>
      </c>
      <c r="HW77" s="152" t="str">
        <f t="shared" si="597"/>
        <v>Tank 2 + 3</v>
      </c>
      <c r="HX77" s="152" t="str">
        <f t="shared" si="598"/>
        <v>Tank 2 + 3</v>
      </c>
      <c r="HY77" s="152" t="str">
        <f t="shared" si="599"/>
        <v>Tank 2 + 3</v>
      </c>
      <c r="HZ77" s="152" t="str">
        <f t="shared" si="600"/>
        <v>Tank 2 + 3</v>
      </c>
      <c r="IA77" s="152" t="str">
        <f t="shared" si="601"/>
        <v>Tank 2 + 3</v>
      </c>
      <c r="IB77" s="152" t="str">
        <f t="shared" si="602"/>
        <v>Tank 2 + 3</v>
      </c>
      <c r="IC77" s="152" t="str">
        <f t="shared" si="603"/>
        <v>Tank 2 + 3</v>
      </c>
      <c r="ID77" s="152" t="str">
        <f t="shared" si="604"/>
        <v>Tank 2 + 3</v>
      </c>
      <c r="IE77" s="152" t="str">
        <f t="shared" si="605"/>
        <v>Tank 2 + 3</v>
      </c>
      <c r="IF77" s="152" t="str">
        <f t="shared" si="606"/>
        <v>Tank 2 + 3</v>
      </c>
      <c r="IG77" s="152" t="str">
        <f t="shared" si="607"/>
        <v>Tank 2 + 3</v>
      </c>
      <c r="IH77" s="152" t="str">
        <f t="shared" si="608"/>
        <v>Tank 2 + 3</v>
      </c>
      <c r="II77" s="152" t="str">
        <f t="shared" si="609"/>
        <v>Tank 2 + 3</v>
      </c>
      <c r="IJ77" s="152" t="str">
        <f t="shared" si="610"/>
        <v>Tank 2 + 3</v>
      </c>
      <c r="IK77" s="152" t="str">
        <f t="shared" si="611"/>
        <v>Tank 2 + 3</v>
      </c>
      <c r="IL77" s="152" t="str">
        <f t="shared" si="612"/>
        <v>Tank 2 + 3</v>
      </c>
      <c r="IM77" s="152" t="str">
        <f t="shared" si="613"/>
        <v>Tank 2 + 3</v>
      </c>
      <c r="IN77" s="152" t="str">
        <f t="shared" si="614"/>
        <v>Tank 2 + 3</v>
      </c>
      <c r="IO77" s="152" t="str">
        <f t="shared" si="615"/>
        <v>Tank 2 + 3</v>
      </c>
      <c r="IP77" s="152" t="str">
        <f t="shared" si="616"/>
        <v>Tank 2 + 3</v>
      </c>
      <c r="IQ77" s="152" t="str">
        <f t="shared" si="617"/>
        <v>Tank 2 + 3</v>
      </c>
      <c r="IR77" s="152" t="str">
        <f t="shared" si="618"/>
        <v>Tank 2 + 3</v>
      </c>
      <c r="IS77" s="152" t="str">
        <f t="shared" si="619"/>
        <v>Tank 2 + 3</v>
      </c>
      <c r="IT77" s="152" t="str">
        <f t="shared" si="620"/>
        <v>Tank 2 + 3</v>
      </c>
      <c r="IU77" s="152" t="str">
        <f t="shared" si="621"/>
        <v>Tank 2 + 3</v>
      </c>
      <c r="IV77" s="152" t="str">
        <f t="shared" si="622"/>
        <v>Tank 2 + 3</v>
      </c>
      <c r="IW77" s="152" t="str">
        <f t="shared" si="623"/>
        <v>Tank 2 + 3</v>
      </c>
      <c r="IX77" s="158" t="str">
        <f t="shared" si="624"/>
        <v xml:space="preserve">Tank 4 + 5 + 6 </v>
      </c>
      <c r="IY77" s="158" t="str">
        <f t="shared" si="625"/>
        <v xml:space="preserve">Tank 4 + 5 + 6 </v>
      </c>
      <c r="IZ77" s="158" t="str">
        <f t="shared" si="626"/>
        <v xml:space="preserve">Tank 4 + 5 + 6 </v>
      </c>
      <c r="JA77" s="158" t="str">
        <f t="shared" si="627"/>
        <v xml:space="preserve">Tank 4 + 5 + 6 </v>
      </c>
      <c r="JB77" s="158" t="str">
        <f t="shared" si="628"/>
        <v xml:space="preserve">Tank 4 + 5 + 6 </v>
      </c>
      <c r="JC77" s="158" t="str">
        <f t="shared" si="629"/>
        <v xml:space="preserve">Tank 4 + 5 + 6 </v>
      </c>
      <c r="JD77" s="158" t="str">
        <f t="shared" si="630"/>
        <v xml:space="preserve">Tank 4 + 5 + 6 </v>
      </c>
      <c r="JE77" s="158" t="str">
        <f t="shared" si="631"/>
        <v xml:space="preserve">Tank 4 + 5 + 6 </v>
      </c>
      <c r="JF77" s="158" t="str">
        <f t="shared" si="632"/>
        <v xml:space="preserve">Tank 4 + 5 + 6 </v>
      </c>
      <c r="JG77" s="158" t="str">
        <f t="shared" si="633"/>
        <v xml:space="preserve">Tank 4 + 5 + 6 </v>
      </c>
      <c r="JH77" s="158" t="str">
        <f t="shared" si="634"/>
        <v xml:space="preserve">Tank 4 + 5 + 6 </v>
      </c>
      <c r="JI77" s="158" t="str">
        <f t="shared" si="635"/>
        <v xml:space="preserve">Tank 4 + 5 + 6 </v>
      </c>
      <c r="JJ77" s="158" t="str">
        <f t="shared" si="636"/>
        <v xml:space="preserve">Tank 4 + 5 + 6 </v>
      </c>
      <c r="JK77" s="158" t="str">
        <f t="shared" si="637"/>
        <v xml:space="preserve">Tank 4 + 5 + 6 </v>
      </c>
      <c r="JL77" s="158" t="str">
        <f t="shared" si="638"/>
        <v xml:space="preserve">Tank 4 + 5 + 6 </v>
      </c>
      <c r="JM77" s="158" t="str">
        <f t="shared" si="639"/>
        <v xml:space="preserve">Tank 4 + 5 + 6 </v>
      </c>
      <c r="JN77" s="158" t="str">
        <f t="shared" si="640"/>
        <v xml:space="preserve">Tank 4 + 5 + 6 </v>
      </c>
      <c r="JO77" s="158" t="str">
        <f t="shared" si="641"/>
        <v xml:space="preserve">Tank 4 + 5 + 6 </v>
      </c>
      <c r="JP77" s="158" t="str">
        <f t="shared" si="642"/>
        <v xml:space="preserve">Tank 4 + 5 + 6 </v>
      </c>
      <c r="JQ77" s="158" t="str">
        <f t="shared" si="643"/>
        <v xml:space="preserve">Tank 4 + 5 + 6 </v>
      </c>
      <c r="JR77" s="158" t="str">
        <f t="shared" si="644"/>
        <v xml:space="preserve">Tank 4 + 5 + 6 </v>
      </c>
      <c r="JS77" s="158" t="str">
        <f t="shared" si="645"/>
        <v xml:space="preserve">Tank 4 + 5 + 6 </v>
      </c>
      <c r="JT77" s="158" t="str">
        <f t="shared" si="646"/>
        <v xml:space="preserve">Tank 4 + 5 + 6 </v>
      </c>
      <c r="JU77" s="158" t="str">
        <f t="shared" si="647"/>
        <v xml:space="preserve">Tank 4 + 5 + 6 </v>
      </c>
      <c r="JV77" s="158" t="str">
        <f t="shared" si="648"/>
        <v xml:space="preserve">Tank 4 + 5 + 6 </v>
      </c>
      <c r="JW77" s="158" t="str">
        <f t="shared" si="649"/>
        <v xml:space="preserve">Tank 4 + 5 + 6 </v>
      </c>
      <c r="JX77" s="158" t="str">
        <f t="shared" si="536"/>
        <v xml:space="preserve">Tank 4 + 5 + 6 </v>
      </c>
      <c r="JY77" s="158" t="str">
        <f t="shared" si="532"/>
        <v xml:space="preserve">Tank 4 + 5 + 6 </v>
      </c>
      <c r="JZ77" s="158" t="str">
        <f t="shared" si="532"/>
        <v xml:space="preserve">Tank 4 + 5 + 6 </v>
      </c>
      <c r="KA77" s="158" t="str">
        <f t="shared" si="532"/>
        <v xml:space="preserve">Tank 4 + 5 + 6 </v>
      </c>
      <c r="KB77" s="158" t="str">
        <f t="shared" si="532"/>
        <v xml:space="preserve">Tank 4 + 5 + 6 </v>
      </c>
      <c r="KC77" s="158" t="str">
        <f t="shared" si="532"/>
        <v xml:space="preserve">Tank 4 + 5 + 6 </v>
      </c>
      <c r="KD77" s="158" t="str">
        <f t="shared" si="532"/>
        <v xml:space="preserve">Tank 4 + 5 + 6 </v>
      </c>
      <c r="KE77" s="158" t="str">
        <f t="shared" si="532"/>
        <v xml:space="preserve">Tank 4 + 5 + 6 </v>
      </c>
      <c r="KF77" s="158" t="str">
        <f t="shared" si="532"/>
        <v xml:space="preserve">Tank 4 + 5 + 6 </v>
      </c>
      <c r="KG77" s="158" t="str">
        <f t="shared" si="532"/>
        <v xml:space="preserve">Tank 4 + 5 + 6 </v>
      </c>
      <c r="KH77" s="158" t="str">
        <f t="shared" si="532"/>
        <v xml:space="preserve">Tank 4 + 5 + 6 </v>
      </c>
      <c r="KI77" s="158" t="str">
        <f t="shared" si="532"/>
        <v xml:space="preserve">Tank 4 + 5 + 6 </v>
      </c>
      <c r="KJ77" s="158" t="str">
        <f t="shared" si="532"/>
        <v xml:space="preserve">Tank 4 + 5 + 6 </v>
      </c>
      <c r="KK77" s="158" t="str">
        <f t="shared" si="532"/>
        <v xml:space="preserve">Tank 4 + 5 + 6 </v>
      </c>
      <c r="KL77" s="158" t="str">
        <f t="shared" si="532"/>
        <v xml:space="preserve">Tank 4 + 5 + 6 </v>
      </c>
      <c r="KM77" s="158" t="str">
        <f t="shared" si="532"/>
        <v xml:space="preserve">Tank 4 + 5 + 6 </v>
      </c>
      <c r="KN77" s="158" t="str">
        <f t="shared" si="532"/>
        <v xml:space="preserve">Tank 4 + 5 + 6 </v>
      </c>
      <c r="KO77" s="158" t="str">
        <f t="shared" si="532"/>
        <v xml:space="preserve">Tank 4 + 5 + 6 </v>
      </c>
      <c r="KP77" s="158" t="str">
        <f t="shared" si="532"/>
        <v xml:space="preserve">Tank 4 + 5 + 6 </v>
      </c>
      <c r="KQ77" s="158" t="str">
        <f t="shared" si="532"/>
        <v xml:space="preserve">Tank 4 + 5 + 6 </v>
      </c>
      <c r="KR77" s="158" t="str">
        <f t="shared" si="532"/>
        <v xml:space="preserve">Tank 4 + 5 + 6 </v>
      </c>
      <c r="KS77" s="158" t="str">
        <f t="shared" si="532"/>
        <v xml:space="preserve">Tank 4 + 5 + 6 </v>
      </c>
      <c r="KT77" s="158" t="str">
        <f t="shared" si="534"/>
        <v xml:space="preserve">Tank 4 + 5 + 6 </v>
      </c>
      <c r="KU77" s="158" t="str">
        <f t="shared" si="533"/>
        <v xml:space="preserve">Tank 4 + 5 + 6 </v>
      </c>
      <c r="KV77" s="158" t="str">
        <f t="shared" si="533"/>
        <v xml:space="preserve">Tank 4 + 5 + 6 </v>
      </c>
      <c r="KW77" s="184"/>
      <c r="KX77" s="184"/>
      <c r="KY77" s="184"/>
      <c r="KZ77" s="184"/>
      <c r="LA77" s="184"/>
      <c r="LB77" s="184"/>
      <c r="LC77" s="184"/>
      <c r="LD77" s="184"/>
      <c r="LE77" s="184"/>
      <c r="LF77" s="184"/>
      <c r="LG77" s="23"/>
      <c r="LH77" s="23"/>
      <c r="LI77" s="23"/>
      <c r="LJ77" s="23"/>
      <c r="LK77" s="23"/>
      <c r="LL77" s="23"/>
      <c r="LM77" s="23"/>
      <c r="LN77" s="23"/>
      <c r="LO77" s="23"/>
      <c r="LP77" s="23"/>
      <c r="LQ77" s="23"/>
      <c r="LR77" s="23"/>
      <c r="LS77" s="23"/>
      <c r="LT77" s="23"/>
      <c r="LU77" s="23"/>
      <c r="LV77" s="23"/>
      <c r="LW77" s="23"/>
      <c r="LX77" s="23"/>
      <c r="LY77" s="23"/>
      <c r="LZ77" s="23"/>
      <c r="MA77" s="23"/>
      <c r="MB77" s="23"/>
      <c r="MC77" s="23"/>
      <c r="MD77" s="23"/>
      <c r="ME77" s="23"/>
      <c r="MF77" s="23"/>
      <c r="MG77" s="23"/>
      <c r="MH77" s="23"/>
      <c r="MI77" s="23"/>
      <c r="MJ77" s="23"/>
      <c r="MK77" s="23"/>
      <c r="ML77" s="23"/>
      <c r="MM77" s="23"/>
      <c r="MN77" s="23"/>
      <c r="MO77" s="23"/>
      <c r="MP77" s="23"/>
      <c r="MQ77" s="23"/>
      <c r="MR77" s="23"/>
      <c r="MS77" s="23"/>
      <c r="MT77" s="23"/>
      <c r="MU77" s="23"/>
      <c r="MV77" s="23"/>
      <c r="MW77" s="23"/>
      <c r="MX77" s="23"/>
      <c r="MY77" s="23"/>
      <c r="MZ77" s="23"/>
      <c r="NA77" s="23"/>
      <c r="NB77" s="23"/>
      <c r="NC77" s="23"/>
      <c r="ND77" s="23"/>
      <c r="NE77" s="23"/>
      <c r="NF77" s="23"/>
      <c r="NG77" s="23"/>
      <c r="NH77" s="23"/>
      <c r="NI77" s="23"/>
      <c r="NJ77" s="23"/>
      <c r="NK77" s="23"/>
      <c r="NL77" s="23"/>
      <c r="NM77" s="23"/>
      <c r="NN77" s="23"/>
      <c r="NO77" s="23"/>
      <c r="NP77" s="23"/>
      <c r="NQ77" s="23"/>
      <c r="NR77" s="23"/>
      <c r="NS77" s="23"/>
      <c r="NT77" s="23"/>
      <c r="NU77" s="23"/>
      <c r="NV77" s="23"/>
      <c r="NW77" s="23"/>
      <c r="NX77" s="23"/>
      <c r="NY77" s="23"/>
      <c r="NZ77" s="23"/>
      <c r="OA77" s="23"/>
      <c r="OB77" s="23"/>
      <c r="OC77" s="23"/>
      <c r="OD77" s="23"/>
      <c r="OE77" s="23"/>
      <c r="OF77" s="23"/>
      <c r="OG77" s="23"/>
      <c r="OH77" s="23"/>
      <c r="OI77" s="23"/>
      <c r="OJ77" s="23"/>
      <c r="OK77" s="23"/>
      <c r="OL77" s="23"/>
      <c r="OM77" s="23"/>
      <c r="ON77" s="23"/>
      <c r="OO77" s="23"/>
      <c r="OP77" s="23"/>
      <c r="OQ77" s="23"/>
      <c r="OR77" s="23"/>
      <c r="OS77" s="23"/>
      <c r="OT77" s="23"/>
      <c r="OU77" s="23"/>
      <c r="OV77" s="23"/>
      <c r="OW77" s="23"/>
      <c r="OX77" s="23"/>
      <c r="OY77" s="23"/>
      <c r="OZ77" s="23"/>
      <c r="PA77" s="23"/>
      <c r="PB77" s="23"/>
      <c r="PC77" s="23"/>
      <c r="PD77" s="23"/>
      <c r="PE77" s="23"/>
      <c r="PF77" s="23"/>
      <c r="PG77" s="23"/>
      <c r="PH77" s="23"/>
      <c r="PI77" s="23"/>
      <c r="PJ77" s="23"/>
      <c r="PK77" s="23"/>
      <c r="PL77" s="23"/>
      <c r="PM77" s="23"/>
      <c r="PN77" s="23"/>
      <c r="PO77" s="23"/>
      <c r="PP77" s="23"/>
      <c r="PQ77" s="23"/>
      <c r="PR77" s="23"/>
      <c r="PS77" s="23"/>
      <c r="PT77" s="23"/>
      <c r="PU77" s="23"/>
      <c r="PV77" s="23"/>
      <c r="PW77" s="23"/>
      <c r="PX77" s="23"/>
      <c r="PY77" s="23"/>
      <c r="PZ77" s="23"/>
      <c r="QA77" s="23"/>
      <c r="QB77" s="23"/>
      <c r="QC77" s="23"/>
      <c r="QD77" s="23"/>
      <c r="QE77" s="23"/>
      <c r="QF77" s="23"/>
      <c r="QG77" s="23"/>
      <c r="QH77" s="23"/>
      <c r="QI77" s="23"/>
      <c r="QJ77" s="23"/>
      <c r="QK77" s="23"/>
      <c r="QL77" s="23"/>
      <c r="QM77" s="23"/>
      <c r="QN77" s="23"/>
      <c r="QO77" s="23"/>
      <c r="QP77" s="23"/>
      <c r="QQ77" s="23"/>
      <c r="QR77" s="23"/>
      <c r="QS77" s="23"/>
      <c r="QT77" s="23"/>
      <c r="QU77" s="23"/>
      <c r="QV77" s="23"/>
      <c r="QW77" s="23"/>
      <c r="QX77" s="23"/>
      <c r="QY77" s="23"/>
      <c r="QZ77" s="23"/>
      <c r="RA77" s="23"/>
      <c r="RB77" s="23"/>
      <c r="RC77" s="23"/>
      <c r="RD77" s="23"/>
      <c r="RE77" s="23"/>
      <c r="RF77" s="23"/>
      <c r="RG77" s="23"/>
      <c r="RH77" s="23"/>
      <c r="RI77" s="23"/>
      <c r="RJ77" s="23"/>
      <c r="RK77" s="23"/>
      <c r="RL77" s="23"/>
      <c r="RM77" s="23"/>
      <c r="RN77" s="23"/>
      <c r="RO77" s="23"/>
      <c r="RP77" s="23"/>
      <c r="RQ77" s="23"/>
      <c r="RR77" s="23"/>
      <c r="RS77" s="23"/>
      <c r="RT77" s="23"/>
      <c r="RU77" s="23"/>
      <c r="RV77" s="23"/>
      <c r="RW77" s="23"/>
      <c r="RX77" s="23"/>
      <c r="RY77" s="23"/>
      <c r="RZ77" s="23"/>
      <c r="SA77" s="23"/>
      <c r="SB77" s="23"/>
      <c r="SC77" s="23"/>
      <c r="SD77" s="23"/>
      <c r="SE77" s="23"/>
      <c r="SF77" s="23"/>
      <c r="SG77" s="23"/>
      <c r="SH77" s="23"/>
      <c r="SI77" s="23"/>
      <c r="SJ77" s="23"/>
      <c r="SK77" s="23"/>
      <c r="SL77" s="23"/>
      <c r="SM77" s="23"/>
      <c r="SN77" s="23"/>
      <c r="SO77" s="23"/>
      <c r="SP77" s="23"/>
      <c r="SQ77" s="23"/>
      <c r="SR77" s="23"/>
      <c r="SS77" s="23"/>
      <c r="ST77" s="23"/>
      <c r="SU77" s="23"/>
      <c r="SV77" s="23"/>
      <c r="SW77" s="23"/>
      <c r="SX77" s="23"/>
      <c r="SY77" s="23"/>
      <c r="SZ77" s="23"/>
      <c r="TA77" s="23"/>
      <c r="TB77" s="5"/>
      <c r="TC77" s="7"/>
      <c r="TD77" s="7"/>
      <c r="TE77" s="7"/>
      <c r="TF77" s="7"/>
      <c r="TG77" s="7"/>
      <c r="TH77" s="7"/>
      <c r="TI77" s="7"/>
      <c r="TJ77" s="7"/>
      <c r="TK77" s="7"/>
      <c r="TL77" s="7"/>
      <c r="TM77" s="7"/>
      <c r="TN77" s="7"/>
      <c r="TO77" s="7"/>
      <c r="TP77" s="7"/>
      <c r="TQ77" s="7"/>
      <c r="TR77" s="7"/>
      <c r="TS77" s="7"/>
      <c r="TT77" s="7"/>
      <c r="TU77" s="7"/>
      <c r="TV77" s="7"/>
      <c r="TW77" s="7"/>
      <c r="TX77" s="7"/>
      <c r="TY77" s="7"/>
      <c r="TZ77" s="7"/>
      <c r="UA77" s="7"/>
      <c r="UB77" s="7"/>
      <c r="UC77" s="7"/>
      <c r="UD77" s="7"/>
      <c r="UE77" s="7"/>
      <c r="UF77" s="7"/>
      <c r="UG77" s="7"/>
      <c r="UH77" s="7"/>
      <c r="UI77" s="7"/>
      <c r="UJ77" s="7"/>
      <c r="UK77" s="7"/>
      <c r="UL77" s="7"/>
      <c r="UM77" s="7"/>
      <c r="UN77" s="7"/>
      <c r="UO77" s="7"/>
      <c r="UP77" s="7"/>
      <c r="UQ77" s="7"/>
      <c r="UR77" s="7"/>
      <c r="US77" s="7"/>
      <c r="UT77" s="7"/>
      <c r="UU77" s="7"/>
      <c r="UV77" s="7"/>
      <c r="UW77" s="7"/>
      <c r="UX77" s="7"/>
      <c r="UY77" s="7"/>
      <c r="UZ77" s="7"/>
      <c r="VA77" s="7"/>
      <c r="VB77" s="7"/>
      <c r="VC77" s="7"/>
      <c r="VD77" s="7"/>
      <c r="VE77" s="7"/>
      <c r="VF77" s="7"/>
      <c r="VG77" s="7"/>
      <c r="VH77" s="7"/>
      <c r="VI77" s="7"/>
      <c r="VJ77" s="7"/>
      <c r="VK77" s="7"/>
      <c r="VL77" s="7"/>
      <c r="VM77" s="7"/>
      <c r="VN77" s="7"/>
      <c r="VO77" s="7"/>
      <c r="VP77" s="7"/>
      <c r="VQ77" s="7"/>
      <c r="VR77" s="7"/>
      <c r="VS77" s="7"/>
      <c r="VT77" s="7"/>
      <c r="VU77" s="7"/>
      <c r="VV77" s="7"/>
      <c r="VW77" s="7"/>
      <c r="VX77" s="7"/>
      <c r="VY77" s="7"/>
      <c r="VZ77" s="7"/>
      <c r="WA77" s="7"/>
      <c r="WB77" s="7"/>
      <c r="WC77" s="7"/>
      <c r="WD77" s="7"/>
      <c r="WE77" s="7"/>
      <c r="WF77" s="7"/>
      <c r="WG77" s="11"/>
    </row>
    <row r="78" spans="1:605" ht="22.15" customHeight="1" thickBot="1" x14ac:dyDescent="0.3">
      <c r="A78" s="299"/>
      <c r="B78" s="26" t="s">
        <v>21</v>
      </c>
      <c r="BY78" s="184"/>
      <c r="BZ78" s="184"/>
      <c r="CA78" s="184"/>
      <c r="CB78" s="184"/>
      <c r="CC78" s="184"/>
      <c r="CD78" s="184"/>
      <c r="CE78" s="184"/>
      <c r="CF78" s="184"/>
      <c r="CG78" s="184"/>
      <c r="CH78" s="184"/>
      <c r="CI78" s="184"/>
      <c r="CJ78" s="184"/>
      <c r="CK78" s="184"/>
      <c r="CL78" s="184"/>
      <c r="CM78" s="184"/>
      <c r="CN78" s="184"/>
      <c r="CO78" s="184"/>
      <c r="CP78" s="184"/>
      <c r="CQ78" s="184"/>
      <c r="CR78" s="184"/>
      <c r="CS78" s="184"/>
      <c r="CT78" s="184"/>
      <c r="CU78" s="184"/>
      <c r="CV78" s="184"/>
      <c r="CW78" s="184"/>
      <c r="CX78" s="184"/>
      <c r="CY78" s="184"/>
      <c r="CZ78" s="184"/>
      <c r="DA78" s="184"/>
      <c r="DB78" s="184"/>
      <c r="DC78" s="184"/>
      <c r="DD78" s="184"/>
      <c r="DE78" s="184"/>
      <c r="DF78" s="184"/>
      <c r="DG78" s="184"/>
      <c r="DH78" s="184"/>
      <c r="DI78" s="184"/>
      <c r="DJ78" s="184"/>
      <c r="DK78" s="184"/>
      <c r="DL78" s="184"/>
      <c r="DM78" s="184"/>
      <c r="DN78" s="184"/>
      <c r="DO78" s="184"/>
      <c r="DP78" s="184"/>
      <c r="DQ78" s="184"/>
      <c r="DR78" s="184"/>
      <c r="DS78" s="184"/>
      <c r="DT78" s="184"/>
      <c r="DU78" s="184"/>
      <c r="DV78" s="184"/>
      <c r="DW78" s="184"/>
      <c r="DX78" s="184"/>
      <c r="DY78" s="184"/>
      <c r="DZ78" s="184"/>
      <c r="EA78" s="184"/>
      <c r="EB78" s="184"/>
      <c r="EC78" s="184"/>
      <c r="ED78" s="184"/>
      <c r="EE78" s="184"/>
      <c r="EF78" s="184"/>
      <c r="EG78" s="184"/>
      <c r="EH78" s="184"/>
      <c r="EI78" s="184"/>
      <c r="EJ78" s="184"/>
      <c r="EK78" s="184"/>
      <c r="EL78" s="184"/>
      <c r="EM78" s="184"/>
      <c r="EN78" s="184"/>
      <c r="EO78" s="184"/>
      <c r="EP78" s="184"/>
      <c r="EQ78" s="184"/>
      <c r="ER78" s="184"/>
      <c r="ES78" s="184"/>
      <c r="ET78" s="184"/>
      <c r="EU78" s="184"/>
      <c r="EV78" s="184"/>
      <c r="EW78" s="184"/>
      <c r="EX78" s="184"/>
      <c r="EY78" s="184"/>
      <c r="EZ78" s="126">
        <f t="shared" si="516"/>
        <v>4.166666666666667</v>
      </c>
      <c r="FA78" s="127">
        <f t="shared" si="517"/>
        <v>4.5764880952380951</v>
      </c>
      <c r="FB78" s="127">
        <f t="shared" si="518"/>
        <v>5.0241666985544224</v>
      </c>
      <c r="FC78" s="127">
        <f t="shared" si="519"/>
        <v>5.5050764092090345</v>
      </c>
      <c r="FD78" s="127">
        <f t="shared" si="537"/>
        <v>6.0300868541293902</v>
      </c>
      <c r="FE78" s="127">
        <f t="shared" si="521"/>
        <v>6.6009350763203054</v>
      </c>
      <c r="FF78" s="127">
        <f t="shared" si="522"/>
        <v>7.210269669399942</v>
      </c>
      <c r="FG78" s="127">
        <f t="shared" si="523"/>
        <v>7.8721226990531363</v>
      </c>
      <c r="FH78" s="127">
        <f t="shared" si="524"/>
        <v>8.5768778193310791</v>
      </c>
      <c r="FI78" s="127">
        <f t="shared" si="525"/>
        <v>9.3389116079570709</v>
      </c>
      <c r="FJ78" s="127">
        <f t="shared" si="526"/>
        <v>10.159152963083063</v>
      </c>
      <c r="FK78" s="127">
        <f t="shared" si="527"/>
        <v>11.026067349266151</v>
      </c>
      <c r="FL78" s="127">
        <f t="shared" si="528"/>
        <v>11.955932362387598</v>
      </c>
      <c r="FM78" s="127">
        <f t="shared" si="529"/>
        <v>12.935534820538635</v>
      </c>
      <c r="FN78" s="127">
        <f t="shared" si="530"/>
        <v>13.982676967158632</v>
      </c>
      <c r="FO78" s="127">
        <f t="shared" si="538"/>
        <v>15.080091582032725</v>
      </c>
      <c r="FP78" s="127">
        <f t="shared" si="539"/>
        <v>16.246609634088035</v>
      </c>
      <c r="FQ78" s="127">
        <f t="shared" si="540"/>
        <v>17.462268647025983</v>
      </c>
      <c r="FR78" s="127">
        <f t="shared" si="541"/>
        <v>18.749487307292473</v>
      </c>
      <c r="FS78" s="127">
        <f t="shared" si="542"/>
        <v>20.088903806807178</v>
      </c>
      <c r="FT78" s="127">
        <f t="shared" si="543"/>
        <v>21.502032633967268</v>
      </c>
      <c r="FU78" s="127">
        <f t="shared" si="544"/>
        <v>22.96747885809765</v>
      </c>
      <c r="FV78" s="127">
        <f t="shared" si="545"/>
        <v>24.50453321244726</v>
      </c>
      <c r="FW78" s="127">
        <f t="shared" si="546"/>
        <v>26.092872501581343</v>
      </c>
      <c r="FX78" s="127">
        <f t="shared" si="547"/>
        <v>27.756490796833685</v>
      </c>
      <c r="FY78" s="127">
        <f t="shared" si="548"/>
        <v>29.500944188125594</v>
      </c>
      <c r="FZ78" s="127">
        <f t="shared" si="549"/>
        <v>31.300061471001431</v>
      </c>
      <c r="GA78" s="127">
        <f t="shared" si="550"/>
        <v>33.180868149841011</v>
      </c>
      <c r="GB78" s="127">
        <f t="shared" si="551"/>
        <v>35.115117581399382</v>
      </c>
      <c r="GC78" s="127">
        <f t="shared" si="552"/>
        <v>37.131138449602076</v>
      </c>
      <c r="GD78" s="127">
        <f t="shared" si="553"/>
        <v>39.23013986431193</v>
      </c>
      <c r="GE78" s="127">
        <f t="shared" si="554"/>
        <v>41.380406371077548</v>
      </c>
      <c r="GF78" s="127">
        <f t="shared" si="555"/>
        <v>43.612549450978278</v>
      </c>
      <c r="GG78" s="127">
        <f t="shared" si="556"/>
        <v>45.927174901550487</v>
      </c>
      <c r="GH78" s="127">
        <f t="shared" si="557"/>
        <v>48.289143896487367</v>
      </c>
      <c r="GI78" s="127">
        <f t="shared" si="558"/>
        <v>50.731194887824017</v>
      </c>
      <c r="GJ78" s="127">
        <f t="shared" si="559"/>
        <v>53.209163674739131</v>
      </c>
      <c r="GK78" s="127">
        <f t="shared" si="560"/>
        <v>55.763203531126614</v>
      </c>
      <c r="GL78" s="127">
        <f t="shared" si="561"/>
        <v>58.384859494322392</v>
      </c>
      <c r="GM78" s="127">
        <f t="shared" si="562"/>
        <v>61.04137060131405</v>
      </c>
      <c r="GN78" s="127">
        <f t="shared" si="563"/>
        <v>63.767885154839412</v>
      </c>
      <c r="GO78" s="127">
        <f t="shared" si="564"/>
        <v>66.554187470077267</v>
      </c>
      <c r="GP78" s="127">
        <f t="shared" si="565"/>
        <v>69.36587396538846</v>
      </c>
      <c r="GQ78" s="127">
        <f t="shared" si="566"/>
        <v>72.229829364452598</v>
      </c>
      <c r="GR78" s="127">
        <f t="shared" si="567"/>
        <v>75.152663829419623</v>
      </c>
      <c r="GS78" s="127">
        <f t="shared" si="568"/>
        <v>78.089711177996406</v>
      </c>
      <c r="GT78" s="127">
        <f t="shared" si="569"/>
        <v>81.078225530105684</v>
      </c>
      <c r="GU78" s="127">
        <f t="shared" si="570"/>
        <v>84.115372032395584</v>
      </c>
      <c r="GV78" s="127">
        <f t="shared" si="571"/>
        <v>87.154740808499469</v>
      </c>
      <c r="GW78" s="127">
        <f t="shared" si="572"/>
        <v>90.234208317066447</v>
      </c>
      <c r="GX78" s="127">
        <f t="shared" si="573"/>
        <v>93.306920568705493</v>
      </c>
      <c r="GY78" s="182">
        <f t="shared" si="574"/>
        <v>46.560153363784046</v>
      </c>
      <c r="GZ78" s="182">
        <f t="shared" si="575"/>
        <v>48.07213308091324</v>
      </c>
      <c r="HA78" s="182">
        <f t="shared" si="576"/>
        <v>49.574231161337615</v>
      </c>
      <c r="HB78" s="182">
        <f t="shared" si="577"/>
        <v>51.084635658798625</v>
      </c>
      <c r="HC78" s="182">
        <f t="shared" si="578"/>
        <v>52.614520981255644</v>
      </c>
      <c r="HD78" s="182">
        <f t="shared" si="579"/>
        <v>54.141691179993622</v>
      </c>
      <c r="HE78" s="182">
        <f t="shared" si="580"/>
        <v>55.678482260410362</v>
      </c>
      <c r="HF78" s="182">
        <f t="shared" si="581"/>
        <v>57.230341496745396</v>
      </c>
      <c r="HG78" s="182">
        <f t="shared" si="582"/>
        <v>58.796104942310194</v>
      </c>
      <c r="HH78" s="182">
        <f t="shared" si="583"/>
        <v>60.353085341542005</v>
      </c>
      <c r="HI78" s="182">
        <f t="shared" si="584"/>
        <v>61.920737634210916</v>
      </c>
      <c r="HJ78" s="182">
        <f t="shared" si="585"/>
        <v>63.489918858814598</v>
      </c>
      <c r="HK78" s="182">
        <f t="shared" si="586"/>
        <v>65.066719122118315</v>
      </c>
      <c r="HL78" s="182">
        <f t="shared" si="535"/>
        <v>66.62832038104915</v>
      </c>
      <c r="HM78" s="182">
        <f t="shared" si="587"/>
        <v>68.202414450051435</v>
      </c>
      <c r="HN78" s="182">
        <f t="shared" si="588"/>
        <v>69.788120586015125</v>
      </c>
      <c r="HO78" s="182">
        <f t="shared" si="589"/>
        <v>71.384523844420229</v>
      </c>
      <c r="HP78" s="182">
        <f t="shared" si="590"/>
        <v>72.990675630919668</v>
      </c>
      <c r="HQ78" s="182">
        <f t="shared" si="591"/>
        <v>74.583854822468638</v>
      </c>
      <c r="HR78" s="182">
        <f t="shared" si="592"/>
        <v>76.184184941992712</v>
      </c>
      <c r="HS78" s="182">
        <f t="shared" si="593"/>
        <v>77.790636644226339</v>
      </c>
      <c r="HT78" s="182">
        <f t="shared" si="594"/>
        <v>79.402151314461051</v>
      </c>
      <c r="HU78" s="182">
        <f t="shared" si="595"/>
        <v>80.996004254261095</v>
      </c>
      <c r="HV78" s="182">
        <f t="shared" si="596"/>
        <v>82.592218191759684</v>
      </c>
      <c r="HW78" s="182">
        <f t="shared" si="597"/>
        <v>84.199744779979795</v>
      </c>
      <c r="HX78" s="182">
        <f t="shared" si="598"/>
        <v>85.818022801604783</v>
      </c>
      <c r="HY78" s="182">
        <f t="shared" si="599"/>
        <v>87.446472112327925</v>
      </c>
      <c r="HZ78" s="182">
        <f t="shared" si="600"/>
        <v>89.062651488476234</v>
      </c>
      <c r="IA78" s="182">
        <f t="shared" si="601"/>
        <v>90.687240095145555</v>
      </c>
      <c r="IB78" s="182">
        <f t="shared" si="602"/>
        <v>92.319610416858183</v>
      </c>
      <c r="IC78" s="182">
        <f t="shared" si="603"/>
        <v>93.95911771510454</v>
      </c>
      <c r="ID78" s="182">
        <f t="shared" si="604"/>
        <v>95.605100331463134</v>
      </c>
      <c r="IE78" s="182">
        <f t="shared" si="605"/>
        <v>97.256880016707925</v>
      </c>
      <c r="IF78" s="182">
        <f t="shared" si="606"/>
        <v>98.91376228590822</v>
      </c>
      <c r="IG78" s="182">
        <f t="shared" si="607"/>
        <v>100.56468008025162</v>
      </c>
      <c r="IH78" s="182">
        <f t="shared" si="608"/>
        <v>102.23118049301006</v>
      </c>
      <c r="II78" s="182">
        <f t="shared" si="609"/>
        <v>103.91312681969268</v>
      </c>
      <c r="IJ78" s="182">
        <f t="shared" si="610"/>
        <v>105.61037455774766</v>
      </c>
      <c r="IK78" s="182">
        <f t="shared" si="611"/>
        <v>107.32277134521972</v>
      </c>
      <c r="IL78" s="182">
        <f t="shared" si="612"/>
        <v>109.05015690306182</v>
      </c>
      <c r="IM78" s="182">
        <f t="shared" si="613"/>
        <v>110.76930055306305</v>
      </c>
      <c r="IN78" s="182">
        <f t="shared" si="614"/>
        <v>112.50251431465804</v>
      </c>
      <c r="IO78" s="182">
        <f t="shared" si="615"/>
        <v>114.24961218401506</v>
      </c>
      <c r="IP78" s="182">
        <f t="shared" si="616"/>
        <v>116.01040032473342</v>
      </c>
      <c r="IQ78" s="182">
        <f t="shared" si="617"/>
        <v>117.78467703558228</v>
      </c>
      <c r="IR78" s="182">
        <f t="shared" si="618"/>
        <v>119.57223272235758</v>
      </c>
      <c r="IS78" s="182">
        <f t="shared" si="619"/>
        <v>121.37284987394132</v>
      </c>
      <c r="IT78" s="182">
        <f t="shared" si="620"/>
        <v>123.18630304264609</v>
      </c>
      <c r="IU78" s="182">
        <f t="shared" si="621"/>
        <v>124.98826082436294</v>
      </c>
      <c r="IV78" s="182">
        <f t="shared" si="622"/>
        <v>126.80204395818626</v>
      </c>
      <c r="IW78" s="182">
        <f t="shared" si="623"/>
        <v>128.62740361423548</v>
      </c>
      <c r="IX78" s="183">
        <f t="shared" si="624"/>
        <v>85.580099204671342</v>
      </c>
      <c r="IY78" s="183">
        <f t="shared" si="625"/>
        <v>86.792152237593314</v>
      </c>
      <c r="IZ78" s="183">
        <f t="shared" si="626"/>
        <v>88.011279213209733</v>
      </c>
      <c r="JA78" s="183">
        <f t="shared" si="627"/>
        <v>89.237296800389089</v>
      </c>
      <c r="JB78" s="183">
        <f t="shared" si="628"/>
        <v>90.470016667817731</v>
      </c>
      <c r="JC78" s="183">
        <f t="shared" si="629"/>
        <v>91.692921720706849</v>
      </c>
      <c r="JD78" s="183">
        <f t="shared" si="630"/>
        <v>92.921817660090127</v>
      </c>
      <c r="JE78" s="183">
        <f t="shared" si="631"/>
        <v>94.16718363010925</v>
      </c>
      <c r="JF78" s="183">
        <f t="shared" si="632"/>
        <v>95.418416552826571</v>
      </c>
      <c r="JG78" s="183">
        <f t="shared" si="633"/>
        <v>96.67530741914311</v>
      </c>
      <c r="JH78" s="183">
        <f t="shared" si="634"/>
        <v>97.937642467742506</v>
      </c>
      <c r="JI78" s="183">
        <f t="shared" si="635"/>
        <v>99.205203219681337</v>
      </c>
      <c r="JJ78" s="183">
        <f t="shared" si="636"/>
        <v>100.46105090589411</v>
      </c>
      <c r="JK78" s="183">
        <f t="shared" si="637"/>
        <v>101.7213804536226</v>
      </c>
      <c r="JL78" s="183">
        <f t="shared" si="638"/>
        <v>102.98596216062559</v>
      </c>
      <c r="JM78" s="183">
        <f t="shared" si="639"/>
        <v>104.2662649174861</v>
      </c>
      <c r="JN78" s="183">
        <f t="shared" si="640"/>
        <v>105.5506357262424</v>
      </c>
      <c r="JO78" s="183">
        <f t="shared" si="641"/>
        <v>106.8388332577195</v>
      </c>
      <c r="JP78" s="183">
        <f t="shared" si="642"/>
        <v>108.13061187801738</v>
      </c>
      <c r="JQ78" s="183">
        <f t="shared" si="643"/>
        <v>109.40874000942945</v>
      </c>
      <c r="JR78" s="183">
        <f t="shared" si="644"/>
        <v>110.70197590257463</v>
      </c>
      <c r="JS78" s="183">
        <f t="shared" si="645"/>
        <v>111.99805971033285</v>
      </c>
      <c r="JT78" s="183">
        <f t="shared" si="646"/>
        <v>113.2967338409066</v>
      </c>
      <c r="JU78" s="183">
        <f t="shared" si="647"/>
        <v>114.59773678456285</v>
      </c>
      <c r="JV78" s="183">
        <f t="shared" si="648"/>
        <v>115.90080318485475</v>
      </c>
      <c r="JW78" s="183">
        <f t="shared" si="649"/>
        <v>117.20566391284602</v>
      </c>
      <c r="JX78" s="183">
        <f t="shared" si="536"/>
        <v>118.49492621588733</v>
      </c>
      <c r="JY78" s="183">
        <f t="shared" si="532"/>
        <v>104.98650462727618</v>
      </c>
      <c r="JZ78" s="183">
        <f t="shared" si="532"/>
        <v>106.12969101099542</v>
      </c>
      <c r="KA78" s="183">
        <f t="shared" si="532"/>
        <v>92.112148806193915</v>
      </c>
      <c r="KB78" s="183">
        <f t="shared" ref="KB78" si="650">EE39</f>
        <v>93.094678393460001</v>
      </c>
      <c r="KC78" s="183">
        <f t="shared" ref="KC78" si="651">EF39</f>
        <v>94.077344443168741</v>
      </c>
      <c r="KD78" s="183">
        <f t="shared" ref="KD78" si="652">EG39</f>
        <v>95.059930040686254</v>
      </c>
      <c r="KE78" s="183">
        <f t="shared" ref="KE78" si="653">EH39</f>
        <v>96.029332404178092</v>
      </c>
      <c r="KF78" s="183">
        <f t="shared" ref="KF78" si="654">EI39</f>
        <v>80.993179133302633</v>
      </c>
      <c r="KG78" s="183">
        <f t="shared" ref="KG78" si="655">EJ39</f>
        <v>81.810231204119916</v>
      </c>
      <c r="KH78" s="183">
        <f t="shared" ref="KH78" si="656">EK39</f>
        <v>66.264489248277698</v>
      </c>
      <c r="KI78" s="183">
        <f t="shared" ref="KI78" si="657">EL39</f>
        <v>66.918395966354112</v>
      </c>
      <c r="KJ78" s="183">
        <f t="shared" ref="KJ78" si="658">EM39</f>
        <v>67.571401852267556</v>
      </c>
      <c r="KK78" s="183">
        <f t="shared" ref="KK78" si="659">EN39</f>
        <v>68.223354498710307</v>
      </c>
      <c r="KL78" s="183">
        <f t="shared" ref="KL78" si="660">EO39</f>
        <v>68.881597413544029</v>
      </c>
      <c r="KM78" s="183">
        <f t="shared" ref="KM78" si="661">EP39</f>
        <v>52.318222527794894</v>
      </c>
      <c r="KN78" s="183">
        <f t="shared" ref="KN78" si="662">EQ39</f>
        <v>52.811508625914108</v>
      </c>
      <c r="KO78" s="183">
        <f t="shared" ref="KO78" si="663">ER39</f>
        <v>35.699806036119753</v>
      </c>
      <c r="KP78" s="183">
        <f t="shared" ref="KP78" si="664">ES39</f>
        <v>36.028089035104067</v>
      </c>
      <c r="KQ78" s="183">
        <f t="shared" ref="KQ78" si="665">ET39</f>
        <v>36.355474713727411</v>
      </c>
      <c r="KR78" s="183">
        <f t="shared" ref="KR78" si="666">EU39</f>
        <v>36.685835331778243</v>
      </c>
      <c r="KS78" s="183">
        <f t="shared" ref="KS78" si="667">EV39</f>
        <v>37.015210331604855</v>
      </c>
      <c r="KT78" s="183">
        <f t="shared" si="534"/>
        <v>18.835913987874051</v>
      </c>
      <c r="KU78" s="183">
        <f t="shared" si="533"/>
        <v>19.002980355418675</v>
      </c>
      <c r="KV78" s="183">
        <f t="shared" si="533"/>
        <v>-3.8414937896748588E-2</v>
      </c>
      <c r="KW78" s="184"/>
      <c r="KX78" s="184"/>
      <c r="KY78" s="184"/>
      <c r="KZ78" s="184"/>
      <c r="LA78" s="184"/>
      <c r="LB78" s="184"/>
      <c r="LC78" s="184"/>
      <c r="LD78" s="184"/>
      <c r="LE78" s="184"/>
      <c r="LF78" s="184"/>
      <c r="LG78" s="23"/>
      <c r="LH78" s="23"/>
      <c r="LI78" s="23"/>
      <c r="LJ78" s="23"/>
      <c r="LK78" s="23"/>
      <c r="LL78" s="23"/>
      <c r="LM78" s="23"/>
      <c r="LN78" s="23"/>
      <c r="LO78" s="23"/>
      <c r="LP78" s="23"/>
      <c r="LQ78" s="23"/>
      <c r="LR78" s="23"/>
      <c r="LS78" s="23"/>
      <c r="LT78" s="23"/>
      <c r="LU78" s="23"/>
      <c r="LV78" s="23"/>
      <c r="LW78" s="23"/>
      <c r="LX78" s="23"/>
      <c r="LY78" s="23"/>
      <c r="LZ78" s="23"/>
      <c r="MA78" s="23"/>
      <c r="MB78" s="23"/>
      <c r="MC78" s="23"/>
      <c r="MD78" s="23"/>
      <c r="ME78" s="23"/>
      <c r="MF78" s="23"/>
      <c r="MG78" s="23"/>
      <c r="MH78" s="23"/>
      <c r="MI78" s="23"/>
      <c r="MJ78" s="23"/>
      <c r="MK78" s="23"/>
      <c r="ML78" s="23"/>
      <c r="MM78" s="23"/>
      <c r="MN78" s="23"/>
      <c r="MO78" s="23"/>
      <c r="MP78" s="23"/>
      <c r="MQ78" s="23"/>
      <c r="MR78" s="23"/>
      <c r="MS78" s="23"/>
      <c r="MT78" s="23"/>
      <c r="MU78" s="23"/>
      <c r="MV78" s="23"/>
      <c r="MW78" s="23"/>
      <c r="MX78" s="23"/>
      <c r="MY78" s="23"/>
      <c r="MZ78" s="23"/>
      <c r="NA78" s="23"/>
      <c r="NB78" s="23"/>
      <c r="NC78" s="23"/>
      <c r="ND78" s="23"/>
      <c r="NE78" s="23"/>
      <c r="NF78" s="23"/>
      <c r="NG78" s="23"/>
      <c r="NH78" s="23"/>
      <c r="NI78" s="23"/>
      <c r="NJ78" s="23"/>
      <c r="NK78" s="23"/>
      <c r="NL78" s="23"/>
      <c r="NM78" s="23"/>
      <c r="NN78" s="23"/>
      <c r="NO78" s="23"/>
      <c r="NP78" s="23"/>
      <c r="NQ78" s="23"/>
      <c r="NR78" s="23"/>
      <c r="NS78" s="23"/>
      <c r="NT78" s="23"/>
      <c r="NU78" s="23"/>
      <c r="NV78" s="23"/>
      <c r="NW78" s="23"/>
      <c r="NX78" s="23"/>
      <c r="NY78" s="23"/>
      <c r="NZ78" s="23"/>
      <c r="OA78" s="23"/>
      <c r="OB78" s="23"/>
      <c r="OC78" s="23"/>
      <c r="OD78" s="23"/>
      <c r="OE78" s="23"/>
      <c r="OF78" s="23"/>
      <c r="OG78" s="23"/>
      <c r="OH78" s="23"/>
      <c r="OI78" s="23"/>
      <c r="OJ78" s="23"/>
      <c r="OK78" s="23"/>
      <c r="OL78" s="23"/>
      <c r="OM78" s="23"/>
      <c r="ON78" s="23"/>
      <c r="OO78" s="23"/>
      <c r="OP78" s="23"/>
      <c r="OQ78" s="23"/>
      <c r="OR78" s="23"/>
      <c r="OS78" s="23"/>
      <c r="OT78" s="23"/>
      <c r="OU78" s="23"/>
      <c r="OV78" s="23"/>
      <c r="OW78" s="23"/>
      <c r="OX78" s="23"/>
      <c r="OY78" s="23"/>
      <c r="OZ78" s="23"/>
      <c r="PA78" s="23"/>
      <c r="PB78" s="23"/>
      <c r="PC78" s="23"/>
      <c r="PD78" s="23"/>
      <c r="PE78" s="23"/>
      <c r="PF78" s="23"/>
      <c r="PG78" s="23"/>
      <c r="PH78" s="23"/>
      <c r="PI78" s="23"/>
      <c r="PJ78" s="23"/>
      <c r="PK78" s="23"/>
      <c r="PL78" s="23"/>
      <c r="PM78" s="23"/>
      <c r="PN78" s="23"/>
      <c r="PO78" s="23"/>
      <c r="PP78" s="23"/>
      <c r="PQ78" s="23"/>
      <c r="PR78" s="23"/>
      <c r="PS78" s="23"/>
      <c r="PT78" s="23"/>
      <c r="PU78" s="23"/>
      <c r="PV78" s="23"/>
      <c r="PW78" s="23"/>
      <c r="PX78" s="23"/>
      <c r="PY78" s="23"/>
      <c r="PZ78" s="23"/>
      <c r="QA78" s="23"/>
      <c r="QB78" s="23"/>
      <c r="QC78" s="23"/>
      <c r="QD78" s="23"/>
      <c r="QE78" s="23"/>
      <c r="QF78" s="23"/>
      <c r="QG78" s="23"/>
      <c r="QH78" s="23"/>
      <c r="QI78" s="23"/>
      <c r="QJ78" s="23"/>
      <c r="QK78" s="23"/>
      <c r="QL78" s="23"/>
      <c r="QM78" s="23"/>
      <c r="QN78" s="23"/>
      <c r="QO78" s="23"/>
      <c r="QP78" s="23"/>
      <c r="QQ78" s="23"/>
      <c r="QR78" s="23"/>
      <c r="QS78" s="23"/>
      <c r="QT78" s="23"/>
      <c r="QU78" s="23"/>
      <c r="QV78" s="23"/>
      <c r="QW78" s="23"/>
      <c r="QX78" s="23"/>
      <c r="QY78" s="23"/>
      <c r="QZ78" s="23"/>
      <c r="RA78" s="23"/>
      <c r="RB78" s="23"/>
      <c r="RC78" s="23"/>
      <c r="RD78" s="23"/>
      <c r="RE78" s="23"/>
      <c r="RF78" s="23"/>
      <c r="RG78" s="23"/>
      <c r="RH78" s="23"/>
      <c r="RI78" s="23"/>
      <c r="RJ78" s="23"/>
      <c r="RK78" s="23"/>
      <c r="RL78" s="23"/>
      <c r="RM78" s="23"/>
      <c r="RN78" s="23"/>
      <c r="RO78" s="23"/>
      <c r="RP78" s="23"/>
      <c r="RQ78" s="23"/>
      <c r="RR78" s="23"/>
      <c r="RS78" s="23"/>
      <c r="RT78" s="23"/>
      <c r="RU78" s="23"/>
      <c r="RV78" s="23"/>
      <c r="RW78" s="23"/>
      <c r="RX78" s="23"/>
      <c r="RY78" s="23"/>
      <c r="RZ78" s="23"/>
      <c r="SA78" s="23"/>
      <c r="SB78" s="23"/>
      <c r="SC78" s="23"/>
      <c r="SD78" s="23"/>
      <c r="SE78" s="23"/>
      <c r="SF78" s="23"/>
      <c r="SG78" s="23"/>
      <c r="SH78" s="23"/>
      <c r="SI78" s="23"/>
      <c r="SJ78" s="23"/>
      <c r="SK78" s="23"/>
      <c r="SL78" s="23"/>
      <c r="SM78" s="23"/>
      <c r="SN78" s="23"/>
      <c r="SO78" s="23"/>
      <c r="SP78" s="23"/>
      <c r="SQ78" s="23"/>
      <c r="SR78" s="23"/>
      <c r="SS78" s="23"/>
      <c r="ST78" s="23"/>
      <c r="SU78" s="23"/>
      <c r="SV78" s="23"/>
      <c r="SW78" s="23"/>
      <c r="SX78" s="23"/>
      <c r="SY78" s="23"/>
      <c r="SZ78" s="23"/>
      <c r="TA78" s="23"/>
      <c r="TB78" s="5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11"/>
    </row>
    <row r="79" spans="1:605" ht="22.15" customHeight="1" thickBot="1" x14ac:dyDescent="0.3">
      <c r="A79" s="297" t="s">
        <v>7</v>
      </c>
      <c r="B79" s="24" t="s">
        <v>14</v>
      </c>
      <c r="BY79" s="184"/>
      <c r="BZ79" s="184"/>
      <c r="CA79" s="184"/>
      <c r="CB79" s="184"/>
      <c r="CC79" s="184"/>
      <c r="CD79" s="184"/>
      <c r="CE79" s="184"/>
      <c r="CF79" s="184"/>
      <c r="CG79" s="184"/>
      <c r="CH79" s="184"/>
      <c r="CI79" s="184"/>
      <c r="CJ79" s="184"/>
      <c r="CK79" s="184"/>
      <c r="CL79" s="184"/>
      <c r="CM79" s="184"/>
      <c r="CN79" s="184"/>
      <c r="CO79" s="184"/>
      <c r="CP79" s="184"/>
      <c r="CQ79" s="184"/>
      <c r="CR79" s="184"/>
      <c r="CS79" s="184"/>
      <c r="CT79" s="184"/>
      <c r="CU79" s="184"/>
      <c r="CV79" s="184"/>
      <c r="CW79" s="184"/>
      <c r="CX79" s="184"/>
      <c r="CY79" s="184"/>
      <c r="CZ79" s="184"/>
      <c r="DA79" s="184"/>
      <c r="DB79" s="184"/>
      <c r="DC79" s="184"/>
      <c r="DD79" s="184"/>
      <c r="DE79" s="184"/>
      <c r="DF79" s="184"/>
      <c r="DG79" s="184"/>
      <c r="DH79" s="184"/>
      <c r="DI79" s="184"/>
      <c r="DJ79" s="184"/>
      <c r="DK79" s="184"/>
      <c r="DL79" s="184"/>
      <c r="DM79" s="184"/>
      <c r="DN79" s="184"/>
      <c r="DO79" s="184"/>
      <c r="DP79" s="184"/>
      <c r="DQ79" s="184"/>
      <c r="DR79" s="184"/>
      <c r="DS79" s="184"/>
      <c r="DT79" s="184"/>
      <c r="DU79" s="184"/>
      <c r="DV79" s="184"/>
      <c r="DW79" s="184"/>
      <c r="DX79" s="184"/>
      <c r="DY79" s="184"/>
      <c r="DZ79" s="184"/>
      <c r="EA79" s="184"/>
      <c r="EB79" s="184"/>
      <c r="EC79" s="184"/>
      <c r="ED79" s="184"/>
      <c r="EE79" s="184"/>
      <c r="EF79" s="184"/>
      <c r="EG79" s="184"/>
      <c r="EH79" s="184"/>
      <c r="EI79" s="184"/>
      <c r="EJ79" s="184"/>
      <c r="EK79" s="184"/>
      <c r="EL79" s="184"/>
      <c r="EM79" s="184"/>
      <c r="EN79" s="184"/>
      <c r="EO79" s="184"/>
      <c r="EP79" s="184"/>
      <c r="EQ79" s="184"/>
      <c r="ER79" s="184"/>
      <c r="ES79" s="184"/>
      <c r="ET79" s="184"/>
      <c r="EU79" s="184"/>
      <c r="EV79" s="184"/>
      <c r="EW79" s="184"/>
      <c r="EX79" s="184"/>
      <c r="EY79" s="184"/>
      <c r="EZ79" s="184"/>
      <c r="FA79" s="184"/>
      <c r="FB79" s="184"/>
      <c r="FC79" s="184"/>
      <c r="FD79" s="184"/>
      <c r="FE79" s="184"/>
      <c r="FF79" s="184"/>
      <c r="FG79" s="184"/>
      <c r="FH79" s="184"/>
      <c r="FI79" s="184"/>
      <c r="FJ79" s="184"/>
      <c r="FK79" s="184"/>
      <c r="FL79" s="184"/>
      <c r="FM79" s="184"/>
      <c r="FN79" s="184"/>
      <c r="FO79" s="184"/>
      <c r="FP79" s="184"/>
      <c r="FQ79" s="184"/>
      <c r="FR79" s="184"/>
      <c r="FS79" s="184"/>
      <c r="FT79" s="184"/>
      <c r="FU79" s="184"/>
      <c r="FV79" s="184"/>
      <c r="FW79" s="184"/>
      <c r="FX79" s="184"/>
      <c r="FY79" s="184"/>
      <c r="FZ79" s="184"/>
      <c r="GA79" s="184"/>
      <c r="GB79" s="184"/>
      <c r="GC79" s="184"/>
      <c r="GD79" s="184"/>
      <c r="GE79" s="184"/>
      <c r="GF79" s="184"/>
      <c r="GG79" s="184"/>
      <c r="GH79" s="184"/>
      <c r="GI79" s="184"/>
      <c r="GJ79" s="184"/>
      <c r="GK79" s="184"/>
      <c r="GL79" s="184"/>
      <c r="GM79" s="184"/>
      <c r="GN79" s="184"/>
      <c r="GO79" s="184"/>
      <c r="GP79" s="184"/>
      <c r="GQ79" s="184"/>
      <c r="GR79" s="184"/>
      <c r="GS79" s="184"/>
      <c r="GT79" s="184"/>
      <c r="GU79" s="184"/>
      <c r="GV79" s="184"/>
      <c r="GW79" s="184"/>
      <c r="GX79" s="184"/>
      <c r="GY79" s="143">
        <f t="shared" ref="GY79:GY91" si="668">C27</f>
        <v>250</v>
      </c>
      <c r="GZ79" s="142">
        <f t="shared" ref="GZ79:GZ91" si="669">D27</f>
        <v>249.5</v>
      </c>
      <c r="HA79" s="109">
        <f t="shared" ref="HA79:HA91" si="670">E27</f>
        <v>249.001</v>
      </c>
      <c r="HB79" s="109">
        <f t="shared" ref="HB79:HB91" si="671">F27</f>
        <v>248.50299799999999</v>
      </c>
      <c r="HC79" s="109">
        <f t="shared" ref="HC79:JK82" si="672">G27</f>
        <v>248.00599200399998</v>
      </c>
      <c r="HD79" s="109">
        <f t="shared" ref="HD79:HD91" si="673">H27</f>
        <v>247.50998001999199</v>
      </c>
      <c r="HE79" s="109">
        <f t="shared" ref="HE79:HE91" si="674">I27</f>
        <v>247.01496005995199</v>
      </c>
      <c r="HF79" s="109">
        <f t="shared" ref="HF79:HF91" si="675">J27</f>
        <v>246.52093013983207</v>
      </c>
      <c r="HG79" s="109">
        <f t="shared" ref="HG79:HG91" si="676">K27</f>
        <v>246.0278882795524</v>
      </c>
      <c r="HH79" s="109">
        <f t="shared" ref="HH79:HH91" si="677">L27</f>
        <v>245.53583250299329</v>
      </c>
      <c r="HI79" s="109">
        <f t="shared" ref="HI79:HI91" si="678">M27</f>
        <v>245.0447608379873</v>
      </c>
      <c r="HJ79" s="109">
        <f t="shared" ref="HJ79:HJ91" si="679">N27</f>
        <v>244.55467131631133</v>
      </c>
      <c r="HK79" s="109">
        <f t="shared" ref="HK79:HK91" si="680">O27</f>
        <v>244.06556197367871</v>
      </c>
      <c r="HL79" s="109">
        <f t="shared" ref="HL79:HL91" si="681">P27</f>
        <v>243.57743084973134</v>
      </c>
      <c r="HM79" s="109">
        <f t="shared" ref="HM79:HM91" si="682">Q27</f>
        <v>243.09027598803189</v>
      </c>
      <c r="HN79" s="109">
        <f t="shared" si="672"/>
        <v>242.60409543605581</v>
      </c>
      <c r="HO79" s="109">
        <f t="shared" si="672"/>
        <v>242.11888724518371</v>
      </c>
      <c r="HP79" s="109">
        <f t="shared" si="672"/>
        <v>241.63464947069335</v>
      </c>
      <c r="HQ79" s="109">
        <f t="shared" si="672"/>
        <v>241.15138017175195</v>
      </c>
      <c r="HR79" s="109">
        <f t="shared" si="672"/>
        <v>240.66907741140844</v>
      </c>
      <c r="HS79" s="109">
        <f t="shared" si="672"/>
        <v>240.18773925658562</v>
      </c>
      <c r="HT79" s="109">
        <f t="shared" si="672"/>
        <v>239.70736377807245</v>
      </c>
      <c r="HU79" s="109">
        <f t="shared" si="672"/>
        <v>239.22794905051632</v>
      </c>
      <c r="HV79" s="109">
        <f t="shared" si="672"/>
        <v>238.74949315241528</v>
      </c>
      <c r="HW79" s="109">
        <f t="shared" si="672"/>
        <v>238.27199416611046</v>
      </c>
      <c r="HX79" s="109">
        <f t="shared" si="672"/>
        <v>237.79545017777824</v>
      </c>
      <c r="HY79" s="109">
        <f t="shared" si="672"/>
        <v>237.31985927742267</v>
      </c>
      <c r="HZ79" s="109">
        <f t="shared" si="672"/>
        <v>236.84521955886783</v>
      </c>
      <c r="IA79" s="109">
        <f t="shared" si="672"/>
        <v>236.37152911975008</v>
      </c>
      <c r="IB79" s="109">
        <f t="shared" si="672"/>
        <v>235.89878606151058</v>
      </c>
      <c r="IC79" s="109">
        <f t="shared" si="672"/>
        <v>235.42698848938755</v>
      </c>
      <c r="ID79" s="109">
        <f t="shared" si="672"/>
        <v>234.95613451240877</v>
      </c>
      <c r="IE79" s="109">
        <f t="shared" si="672"/>
        <v>234.48622224338393</v>
      </c>
      <c r="IF79" s="109">
        <f t="shared" si="672"/>
        <v>234.01724979889715</v>
      </c>
      <c r="IG79" s="109">
        <f t="shared" si="672"/>
        <v>233.54921529929936</v>
      </c>
      <c r="IH79" s="109">
        <f t="shared" si="672"/>
        <v>233.08211686870075</v>
      </c>
      <c r="II79" s="109">
        <f t="shared" si="672"/>
        <v>232.61595263496335</v>
      </c>
      <c r="IJ79" s="109">
        <f t="shared" si="672"/>
        <v>232.15072072969343</v>
      </c>
      <c r="IK79" s="109">
        <f t="shared" si="672"/>
        <v>231.68641928823405</v>
      </c>
      <c r="IL79" s="109">
        <f t="shared" si="672"/>
        <v>231.22304644965757</v>
      </c>
      <c r="IM79" s="109">
        <f t="shared" si="672"/>
        <v>230.76060035675826</v>
      </c>
      <c r="IN79" s="109">
        <f t="shared" si="672"/>
        <v>230.29907915604474</v>
      </c>
      <c r="IO79" s="109">
        <f t="shared" si="672"/>
        <v>229.83848099773266</v>
      </c>
      <c r="IP79" s="109">
        <f t="shared" si="672"/>
        <v>229.3788040357372</v>
      </c>
      <c r="IQ79" s="109">
        <f t="shared" si="672"/>
        <v>228.92004642766574</v>
      </c>
      <c r="IR79" s="109">
        <f t="shared" si="672"/>
        <v>228.46220633481042</v>
      </c>
      <c r="IS79" s="109">
        <f t="shared" si="672"/>
        <v>228.0052819221408</v>
      </c>
      <c r="IT79" s="109">
        <f t="shared" si="672"/>
        <v>227.54927135829652</v>
      </c>
      <c r="IU79" s="109">
        <f t="shared" si="672"/>
        <v>227.09417281557992</v>
      </c>
      <c r="IV79" s="109">
        <f t="shared" si="672"/>
        <v>226.63998446994876</v>
      </c>
      <c r="IW79" s="109">
        <f t="shared" si="672"/>
        <v>226.18670450100885</v>
      </c>
      <c r="IX79" s="144">
        <f t="shared" si="672"/>
        <v>225.73433109200684</v>
      </c>
      <c r="IY79" s="144">
        <f t="shared" si="672"/>
        <v>225.28286242982281</v>
      </c>
      <c r="IZ79" s="144">
        <f t="shared" si="672"/>
        <v>224.83229670496317</v>
      </c>
      <c r="JA79" s="144">
        <f t="shared" si="672"/>
        <v>224.38263211155325</v>
      </c>
      <c r="JB79" s="144">
        <f t="shared" si="672"/>
        <v>223.93386684733014</v>
      </c>
      <c r="JC79" s="144">
        <f t="shared" si="672"/>
        <v>223.48599911363547</v>
      </c>
      <c r="JD79" s="144">
        <f t="shared" si="672"/>
        <v>223.0390271154082</v>
      </c>
      <c r="JE79" s="144">
        <f t="shared" si="672"/>
        <v>222.59294906117739</v>
      </c>
      <c r="JF79" s="144">
        <f t="shared" si="672"/>
        <v>222.14776316305503</v>
      </c>
      <c r="JG79" s="144">
        <f t="shared" si="672"/>
        <v>221.70346763672893</v>
      </c>
      <c r="JH79" s="144">
        <f t="shared" si="672"/>
        <v>221.26006070145547</v>
      </c>
      <c r="JI79" s="144">
        <f t="shared" si="672"/>
        <v>220.81754058005257</v>
      </c>
      <c r="JJ79" s="144">
        <f t="shared" si="672"/>
        <v>220.37590549889245</v>
      </c>
      <c r="JK79" s="144">
        <f t="shared" si="672"/>
        <v>219.93515368789465</v>
      </c>
      <c r="JL79" s="144">
        <f t="shared" ref="JL79:LW82" si="683">BP27</f>
        <v>219.49528338051886</v>
      </c>
      <c r="JM79" s="144">
        <f t="shared" si="683"/>
        <v>219.05629281375781</v>
      </c>
      <c r="JN79" s="144">
        <f t="shared" si="683"/>
        <v>218.61818022813029</v>
      </c>
      <c r="JO79" s="144">
        <f t="shared" si="683"/>
        <v>218.18094386767402</v>
      </c>
      <c r="JP79" s="144">
        <f t="shared" si="683"/>
        <v>217.74458197993866</v>
      </c>
      <c r="JQ79" s="144">
        <f t="shared" si="683"/>
        <v>217.30909281597877</v>
      </c>
      <c r="JR79" s="144">
        <f t="shared" si="683"/>
        <v>216.87447463034681</v>
      </c>
      <c r="JS79" s="144">
        <f t="shared" si="683"/>
        <v>216.44072568108612</v>
      </c>
      <c r="JT79" s="144">
        <f t="shared" si="683"/>
        <v>216.00784422972396</v>
      </c>
      <c r="JU79" s="144">
        <f t="shared" si="683"/>
        <v>215.57582854126451</v>
      </c>
      <c r="JV79" s="144">
        <f t="shared" si="683"/>
        <v>215.14467688418199</v>
      </c>
      <c r="JW79" s="144">
        <f t="shared" si="683"/>
        <v>214.71438753041363</v>
      </c>
      <c r="JX79" s="144">
        <f t="shared" si="683"/>
        <v>214.28495875535282</v>
      </c>
      <c r="JY79" s="144">
        <f t="shared" si="683"/>
        <v>213.8563888378421</v>
      </c>
      <c r="JZ79" s="144">
        <f t="shared" si="683"/>
        <v>213.42867606016642</v>
      </c>
      <c r="KA79" s="144">
        <f t="shared" si="683"/>
        <v>213.0018187080461</v>
      </c>
      <c r="KB79" s="144">
        <f t="shared" si="683"/>
        <v>212.57581507063</v>
      </c>
      <c r="KC79" s="144">
        <f t="shared" si="683"/>
        <v>212.15066344048873</v>
      </c>
      <c r="KD79" s="144">
        <f t="shared" si="683"/>
        <v>211.72636211360776</v>
      </c>
      <c r="KE79" s="144">
        <f t="shared" si="683"/>
        <v>211.30290938938055</v>
      </c>
      <c r="KF79" s="144">
        <f t="shared" si="683"/>
        <v>210.8803035706018</v>
      </c>
      <c r="KG79" s="144">
        <f t="shared" si="683"/>
        <v>210.45854296346059</v>
      </c>
      <c r="KH79" s="144">
        <f t="shared" si="683"/>
        <v>210.03762587753366</v>
      </c>
      <c r="KI79" s="144">
        <f t="shared" si="683"/>
        <v>209.61755062577859</v>
      </c>
      <c r="KJ79" s="144">
        <f t="shared" si="683"/>
        <v>209.19831552452703</v>
      </c>
      <c r="KK79" s="144">
        <f t="shared" si="683"/>
        <v>208.77991889347797</v>
      </c>
      <c r="KL79" s="144">
        <f t="shared" si="683"/>
        <v>208.362359055691</v>
      </c>
      <c r="KM79" s="144">
        <f t="shared" si="683"/>
        <v>207.94563433757963</v>
      </c>
      <c r="KN79" s="144">
        <f t="shared" si="683"/>
        <v>207.52974306890448</v>
      </c>
      <c r="KO79" s="144">
        <f t="shared" si="683"/>
        <v>207.11468358276667</v>
      </c>
      <c r="KP79" s="144">
        <f t="shared" si="683"/>
        <v>206.70045421560113</v>
      </c>
      <c r="KQ79" s="144">
        <f t="shared" si="683"/>
        <v>206.28705330716991</v>
      </c>
      <c r="KR79" s="144">
        <f t="shared" si="683"/>
        <v>205.87447920055558</v>
      </c>
      <c r="KS79" s="144">
        <f t="shared" si="683"/>
        <v>205.46273024215446</v>
      </c>
      <c r="KT79" s="144">
        <f t="shared" si="683"/>
        <v>205.05180478167014</v>
      </c>
      <c r="KU79" s="144">
        <f t="shared" si="683"/>
        <v>204.64170117210679</v>
      </c>
      <c r="KV79" s="144">
        <f t="shared" si="683"/>
        <v>204.23241776976258</v>
      </c>
      <c r="KW79" s="154">
        <f t="shared" si="683"/>
        <v>203.82395293422306</v>
      </c>
      <c r="KX79" s="154">
        <f t="shared" si="683"/>
        <v>203.4163050283546</v>
      </c>
      <c r="KY79" s="154">
        <f t="shared" si="683"/>
        <v>203.00947241829789</v>
      </c>
      <c r="KZ79" s="154">
        <f t="shared" si="683"/>
        <v>202.60345347346129</v>
      </c>
      <c r="LA79" s="154">
        <f t="shared" si="683"/>
        <v>202.19824656651437</v>
      </c>
      <c r="LB79" s="154">
        <f t="shared" si="683"/>
        <v>201.79385007338135</v>
      </c>
      <c r="LC79" s="154">
        <f t="shared" si="683"/>
        <v>201.39026237323458</v>
      </c>
      <c r="LD79" s="154">
        <f t="shared" si="683"/>
        <v>200.9874818484881</v>
      </c>
      <c r="LE79" s="154">
        <f t="shared" si="683"/>
        <v>200.58550688479113</v>
      </c>
      <c r="LF79" s="154">
        <f t="shared" si="683"/>
        <v>200.18433587102155</v>
      </c>
      <c r="LG79" s="154">
        <f t="shared" si="683"/>
        <v>199.78396719927952</v>
      </c>
      <c r="LH79" s="154">
        <f t="shared" si="683"/>
        <v>199.38439926488095</v>
      </c>
      <c r="LI79" s="154">
        <f t="shared" si="683"/>
        <v>198.98563046635118</v>
      </c>
      <c r="LJ79" s="154">
        <f t="shared" si="683"/>
        <v>198.58765920541848</v>
      </c>
      <c r="LK79" s="154">
        <f t="shared" si="683"/>
        <v>198.19048388700764</v>
      </c>
      <c r="LL79" s="154">
        <f t="shared" si="683"/>
        <v>197.79410291923364</v>
      </c>
      <c r="LM79" s="154">
        <f t="shared" si="683"/>
        <v>197.39851471339517</v>
      </c>
      <c r="LN79" s="154">
        <f t="shared" si="683"/>
        <v>197.00371768396838</v>
      </c>
      <c r="LO79" s="154">
        <f t="shared" si="683"/>
        <v>196.60971024860044</v>
      </c>
      <c r="LP79" s="154">
        <f t="shared" si="683"/>
        <v>196.21649082810325</v>
      </c>
      <c r="LQ79" s="154">
        <f t="shared" si="683"/>
        <v>195.82405784644703</v>
      </c>
      <c r="LR79" s="154">
        <f t="shared" si="683"/>
        <v>195.43240973075413</v>
      </c>
      <c r="LS79" s="154">
        <f t="shared" si="683"/>
        <v>195.04154491129262</v>
      </c>
      <c r="LT79" s="154">
        <f t="shared" si="683"/>
        <v>194.65146182147004</v>
      </c>
      <c r="LU79" s="154">
        <f t="shared" si="683"/>
        <v>194.26215889782711</v>
      </c>
      <c r="LV79" s="154">
        <f t="shared" si="683"/>
        <v>193.87363458003145</v>
      </c>
      <c r="LW79" s="154">
        <f t="shared" si="683"/>
        <v>193.48588731087139</v>
      </c>
      <c r="LX79" s="179">
        <f t="shared" ref="LX79:MU85" si="684">EB27</f>
        <v>168.91317962239071</v>
      </c>
      <c r="LY79" s="154">
        <f t="shared" si="684"/>
        <v>168.57535326314593</v>
      </c>
      <c r="LZ79" s="179">
        <f t="shared" si="684"/>
        <v>144.15600923331306</v>
      </c>
      <c r="MA79" s="154">
        <f t="shared" si="684"/>
        <v>143.86769721484643</v>
      </c>
      <c r="MB79" s="154">
        <f t="shared" si="684"/>
        <v>143.57996182041674</v>
      </c>
      <c r="MC79" s="154">
        <f t="shared" si="684"/>
        <v>143.2928018967759</v>
      </c>
      <c r="MD79" s="154">
        <f t="shared" si="684"/>
        <v>143.00621629298234</v>
      </c>
      <c r="ME79" s="179">
        <f t="shared" si="684"/>
        <v>118.88583447823264</v>
      </c>
      <c r="MF79" s="154">
        <f t="shared" si="684"/>
        <v>118.64806280927617</v>
      </c>
      <c r="MG79" s="179">
        <f t="shared" si="684"/>
        <v>94.681154121802379</v>
      </c>
      <c r="MH79" s="154">
        <f t="shared" si="684"/>
        <v>94.491791813558777</v>
      </c>
      <c r="MI79" s="154">
        <f t="shared" si="684"/>
        <v>94.302808229931657</v>
      </c>
      <c r="MJ79" s="154">
        <f t="shared" si="684"/>
        <v>94.11420261347179</v>
      </c>
      <c r="MK79" s="154">
        <f t="shared" si="684"/>
        <v>93.925974208244853</v>
      </c>
      <c r="ML79" s="179">
        <f t="shared" si="684"/>
        <v>70.256628707767149</v>
      </c>
      <c r="MM79" s="154">
        <f t="shared" si="684"/>
        <v>70.116115450351614</v>
      </c>
      <c r="MN79" s="179">
        <f t="shared" si="684"/>
        <v>46.603844736000369</v>
      </c>
      <c r="MO79" s="154">
        <f t="shared" si="684"/>
        <v>46.510637046528366</v>
      </c>
      <c r="MP79" s="154">
        <f t="shared" si="684"/>
        <v>46.417615772435312</v>
      </c>
      <c r="MQ79" s="154">
        <f t="shared" si="684"/>
        <v>46.324780540890444</v>
      </c>
      <c r="MR79" s="154">
        <f t="shared" si="684"/>
        <v>46.232130979808666</v>
      </c>
      <c r="MS79" s="179">
        <f t="shared" si="684"/>
        <v>23.023601227944713</v>
      </c>
      <c r="MT79" s="154">
        <f t="shared" si="684"/>
        <v>22.977554025488825</v>
      </c>
      <c r="MU79" s="179">
        <f t="shared" si="684"/>
        <v>-4.5955108050979021E-2</v>
      </c>
      <c r="MV79" s="184"/>
      <c r="MW79" s="184"/>
      <c r="MX79" s="184"/>
      <c r="MY79" s="184"/>
      <c r="MZ79" s="184"/>
      <c r="NA79" s="184"/>
      <c r="NB79" s="184"/>
      <c r="NC79" s="184"/>
      <c r="ND79" s="184"/>
      <c r="NE79" s="184"/>
      <c r="NF79" s="184"/>
      <c r="NG79" s="184"/>
      <c r="NH79" s="184"/>
      <c r="NI79" s="184"/>
      <c r="NJ79" s="184"/>
      <c r="NK79" s="184"/>
      <c r="NL79" s="184"/>
      <c r="NM79" s="20"/>
      <c r="NN79" s="20"/>
      <c r="NO79" s="20"/>
      <c r="NP79" s="20"/>
      <c r="NQ79" s="20"/>
      <c r="NR79" s="20"/>
      <c r="NS79" s="20"/>
      <c r="NT79" s="20"/>
      <c r="NU79" s="20"/>
      <c r="NV79" s="20"/>
      <c r="NW79" s="20"/>
      <c r="NX79" s="20"/>
      <c r="NY79" s="20"/>
      <c r="NZ79" s="20"/>
      <c r="OA79" s="20"/>
      <c r="OB79" s="20"/>
      <c r="OC79" s="20"/>
      <c r="OD79" s="20"/>
      <c r="OE79" s="20"/>
      <c r="OF79" s="20"/>
      <c r="OG79" s="20"/>
      <c r="OH79" s="20"/>
      <c r="OI79" s="20"/>
      <c r="OJ79" s="20"/>
      <c r="OK79" s="20"/>
      <c r="OL79" s="20"/>
      <c r="OM79" s="20"/>
      <c r="ON79" s="20"/>
      <c r="OO79" s="20"/>
      <c r="OP79" s="20"/>
      <c r="OQ79" s="20"/>
      <c r="OR79" s="20"/>
      <c r="OS79" s="20"/>
      <c r="OT79" s="20"/>
      <c r="OU79" s="20"/>
      <c r="OV79" s="20"/>
      <c r="OW79" s="20"/>
      <c r="OX79" s="20"/>
      <c r="OY79" s="20"/>
      <c r="OZ79" s="20"/>
      <c r="PA79" s="20"/>
      <c r="PB79" s="20"/>
      <c r="PC79" s="20"/>
      <c r="PD79" s="20"/>
      <c r="PE79" s="20"/>
      <c r="PF79" s="20"/>
      <c r="PG79" s="20"/>
      <c r="PH79" s="20"/>
      <c r="PI79" s="20"/>
      <c r="PJ79" s="20"/>
      <c r="PK79" s="20"/>
      <c r="PL79" s="20"/>
      <c r="PM79" s="20"/>
      <c r="PN79" s="20"/>
      <c r="PO79" s="20"/>
      <c r="PP79" s="20"/>
      <c r="PQ79" s="20"/>
      <c r="PR79" s="20"/>
      <c r="PS79" s="20"/>
      <c r="PT79" s="20"/>
      <c r="PU79" s="20"/>
      <c r="PV79" s="20"/>
      <c r="PW79" s="20"/>
      <c r="PX79" s="20"/>
      <c r="PY79" s="20"/>
      <c r="PZ79" s="20"/>
      <c r="QA79" s="20"/>
      <c r="QB79" s="20"/>
      <c r="QC79" s="20"/>
      <c r="QD79" s="20"/>
      <c r="QE79" s="20"/>
      <c r="QF79" s="20"/>
      <c r="QG79" s="20"/>
      <c r="QH79" s="20"/>
      <c r="QI79" s="20"/>
      <c r="QJ79" s="20"/>
      <c r="QK79" s="20"/>
      <c r="QL79" s="20"/>
      <c r="QM79" s="20"/>
      <c r="QN79" s="20"/>
      <c r="QO79" s="20"/>
      <c r="QP79" s="20"/>
      <c r="QQ79" s="20"/>
      <c r="QR79" s="20"/>
      <c r="QS79" s="20"/>
      <c r="QT79" s="20"/>
      <c r="QU79" s="20"/>
      <c r="QV79" s="20"/>
      <c r="QW79" s="20"/>
      <c r="QX79" s="20"/>
      <c r="QY79" s="20"/>
      <c r="QZ79" s="20"/>
      <c r="RA79" s="20"/>
      <c r="RB79" s="20"/>
      <c r="RC79" s="20"/>
      <c r="RD79" s="20"/>
      <c r="RE79" s="20"/>
      <c r="RF79" s="20"/>
      <c r="RG79" s="20"/>
      <c r="RH79" s="20"/>
      <c r="RI79" s="20"/>
      <c r="RJ79" s="20"/>
      <c r="RK79" s="20"/>
      <c r="RL79" s="20"/>
      <c r="RM79" s="20"/>
      <c r="RN79" s="20"/>
      <c r="RO79" s="20"/>
      <c r="RP79" s="20"/>
      <c r="RQ79" s="20"/>
      <c r="RR79" s="20"/>
      <c r="RS79" s="20"/>
      <c r="RT79" s="20"/>
      <c r="RU79" s="20"/>
      <c r="RV79" s="20"/>
      <c r="RW79" s="20"/>
      <c r="RX79" s="20"/>
      <c r="RY79" s="20"/>
      <c r="RZ79" s="20"/>
      <c r="SA79" s="20"/>
      <c r="SB79" s="20"/>
      <c r="SC79" s="20"/>
      <c r="SD79" s="20"/>
      <c r="SE79" s="20"/>
      <c r="SF79" s="20"/>
      <c r="SG79" s="20"/>
      <c r="SH79" s="20"/>
      <c r="SI79" s="20"/>
      <c r="SJ79" s="20"/>
      <c r="SK79" s="20"/>
      <c r="SL79" s="20"/>
      <c r="SM79" s="20"/>
      <c r="SN79" s="20"/>
      <c r="SO79" s="20"/>
      <c r="SP79" s="20"/>
      <c r="SQ79" s="20"/>
      <c r="SR79" s="20"/>
      <c r="SS79" s="20"/>
      <c r="ST79" s="20"/>
      <c r="SU79" s="20"/>
      <c r="SV79" s="20"/>
      <c r="SW79" s="20"/>
      <c r="SX79" s="20"/>
      <c r="SY79" s="20"/>
      <c r="SZ79" s="20"/>
      <c r="TA79" s="184"/>
      <c r="TB79" s="185"/>
      <c r="TC79" s="11"/>
      <c r="TD79" s="11"/>
      <c r="TE79" s="11"/>
      <c r="TF79" s="11"/>
    </row>
    <row r="80" spans="1:605" ht="22.15" customHeight="1" thickBot="1" x14ac:dyDescent="0.3">
      <c r="A80" s="298"/>
      <c r="B80" s="25" t="s">
        <v>1</v>
      </c>
      <c r="BY80" s="184"/>
      <c r="BZ80" s="184"/>
      <c r="CA80" s="184"/>
      <c r="CB80" s="184"/>
      <c r="CC80" s="184"/>
      <c r="CD80" s="184"/>
      <c r="CE80" s="184"/>
      <c r="CF80" s="184"/>
      <c r="CG80" s="184"/>
      <c r="CH80" s="184"/>
      <c r="CI80" s="184"/>
      <c r="CJ80" s="184"/>
      <c r="CK80" s="184"/>
      <c r="CL80" s="184"/>
      <c r="CM80" s="184"/>
      <c r="CN80" s="184"/>
      <c r="CO80" s="184"/>
      <c r="CP80" s="184"/>
      <c r="CQ80" s="184"/>
      <c r="CR80" s="184"/>
      <c r="CS80" s="184"/>
      <c r="CT80" s="184"/>
      <c r="CU80" s="184"/>
      <c r="CV80" s="184"/>
      <c r="CW80" s="184"/>
      <c r="CX80" s="184"/>
      <c r="CY80" s="184"/>
      <c r="CZ80" s="184"/>
      <c r="DA80" s="184"/>
      <c r="DB80" s="184"/>
      <c r="DC80" s="184"/>
      <c r="DD80" s="184"/>
      <c r="DE80" s="184"/>
      <c r="DF80" s="184"/>
      <c r="DG80" s="184"/>
      <c r="DH80" s="184"/>
      <c r="DI80" s="184"/>
      <c r="DJ80" s="184"/>
      <c r="DK80" s="184"/>
      <c r="DL80" s="184"/>
      <c r="DM80" s="184"/>
      <c r="DN80" s="184"/>
      <c r="DO80" s="184"/>
      <c r="DP80" s="184"/>
      <c r="DQ80" s="184"/>
      <c r="DR80" s="184"/>
      <c r="DS80" s="184"/>
      <c r="DT80" s="184"/>
      <c r="DU80" s="184"/>
      <c r="DV80" s="184"/>
      <c r="DW80" s="184"/>
      <c r="DX80" s="184"/>
      <c r="DY80" s="184"/>
      <c r="DZ80" s="184"/>
      <c r="EA80" s="184"/>
      <c r="EB80" s="184"/>
      <c r="EC80" s="184"/>
      <c r="ED80" s="184"/>
      <c r="EE80" s="184"/>
      <c r="EF80" s="184"/>
      <c r="EG80" s="184"/>
      <c r="EH80" s="184"/>
      <c r="EI80" s="184"/>
      <c r="EJ80" s="184"/>
      <c r="EK80" s="184"/>
      <c r="EL80" s="184"/>
      <c r="EM80" s="184"/>
      <c r="EN80" s="184"/>
      <c r="EO80" s="184"/>
      <c r="EP80" s="184"/>
      <c r="EQ80" s="184"/>
      <c r="ER80" s="184"/>
      <c r="ES80" s="184"/>
      <c r="ET80" s="184"/>
      <c r="EU80" s="184"/>
      <c r="EV80" s="184"/>
      <c r="EW80" s="184"/>
      <c r="EX80" s="184"/>
      <c r="EY80" s="184"/>
      <c r="EZ80" s="184"/>
      <c r="FA80" s="184"/>
      <c r="FB80" s="184"/>
      <c r="FC80" s="184"/>
      <c r="FD80" s="184"/>
      <c r="FE80" s="184"/>
      <c r="FF80" s="184"/>
      <c r="FG80" s="184"/>
      <c r="FH80" s="184"/>
      <c r="FI80" s="184"/>
      <c r="FJ80" s="184"/>
      <c r="FK80" s="184"/>
      <c r="FL80" s="184"/>
      <c r="FM80" s="184"/>
      <c r="FN80" s="184"/>
      <c r="FO80" s="184"/>
      <c r="FP80" s="184"/>
      <c r="FQ80" s="184"/>
      <c r="FR80" s="184"/>
      <c r="FS80" s="184"/>
      <c r="FT80" s="184"/>
      <c r="FU80" s="184"/>
      <c r="FV80" s="184"/>
      <c r="FW80" s="184"/>
      <c r="FX80" s="184"/>
      <c r="FY80" s="184"/>
      <c r="FZ80" s="184"/>
      <c r="GA80" s="184"/>
      <c r="GB80" s="184"/>
      <c r="GC80" s="184"/>
      <c r="GD80" s="184"/>
      <c r="GE80" s="184"/>
      <c r="GF80" s="184"/>
      <c r="GG80" s="184"/>
      <c r="GH80" s="184"/>
      <c r="GI80" s="184"/>
      <c r="GJ80" s="184"/>
      <c r="GK80" s="184"/>
      <c r="GL80" s="184"/>
      <c r="GM80" s="184"/>
      <c r="GN80" s="184"/>
      <c r="GO80" s="184"/>
      <c r="GP80" s="184"/>
      <c r="GQ80" s="184"/>
      <c r="GR80" s="184"/>
      <c r="GS80" s="184"/>
      <c r="GT80" s="184"/>
      <c r="GU80" s="184"/>
      <c r="GV80" s="184"/>
      <c r="GW80" s="184"/>
      <c r="GX80" s="184"/>
      <c r="GY80" s="128" t="str">
        <f t="shared" si="668"/>
        <v>-</v>
      </c>
      <c r="GZ80" s="108" t="str">
        <f t="shared" si="669"/>
        <v>-</v>
      </c>
      <c r="HA80" s="108" t="str">
        <f t="shared" si="670"/>
        <v>-</v>
      </c>
      <c r="HB80" s="108" t="str">
        <f t="shared" si="671"/>
        <v>-</v>
      </c>
      <c r="HC80" s="108" t="str">
        <f t="shared" si="672"/>
        <v>-</v>
      </c>
      <c r="HD80" s="108" t="str">
        <f t="shared" si="673"/>
        <v>-</v>
      </c>
      <c r="HE80" s="108" t="str">
        <f t="shared" si="674"/>
        <v>-</v>
      </c>
      <c r="HF80" s="108" t="str">
        <f t="shared" si="675"/>
        <v>-</v>
      </c>
      <c r="HG80" s="108" t="str">
        <f t="shared" si="676"/>
        <v>-</v>
      </c>
      <c r="HH80" s="108" t="str">
        <f t="shared" si="677"/>
        <v>-</v>
      </c>
      <c r="HI80" s="108" t="str">
        <f t="shared" si="678"/>
        <v>-</v>
      </c>
      <c r="HJ80" s="108" t="str">
        <f t="shared" si="679"/>
        <v>-</v>
      </c>
      <c r="HK80" s="108" t="str">
        <f t="shared" si="680"/>
        <v>-</v>
      </c>
      <c r="HL80" s="108" t="str">
        <f t="shared" si="681"/>
        <v>-</v>
      </c>
      <c r="HM80" s="108" t="str">
        <f t="shared" si="682"/>
        <v>-</v>
      </c>
      <c r="HN80" s="108" t="str">
        <f t="shared" si="672"/>
        <v>-</v>
      </c>
      <c r="HO80" s="108" t="str">
        <f t="shared" si="672"/>
        <v>-</v>
      </c>
      <c r="HP80" s="108" t="str">
        <f t="shared" si="672"/>
        <v>-</v>
      </c>
      <c r="HQ80" s="108" t="str">
        <f t="shared" si="672"/>
        <v>-</v>
      </c>
      <c r="HR80" s="108" t="str">
        <f t="shared" si="672"/>
        <v>-</v>
      </c>
      <c r="HS80" s="108" t="str">
        <f t="shared" si="672"/>
        <v>-</v>
      </c>
      <c r="HT80" s="108" t="str">
        <f t="shared" si="672"/>
        <v>-</v>
      </c>
      <c r="HU80" s="108" t="str">
        <f t="shared" si="672"/>
        <v>-</v>
      </c>
      <c r="HV80" s="108" t="str">
        <f t="shared" si="672"/>
        <v>-</v>
      </c>
      <c r="HW80" s="108" t="str">
        <f t="shared" si="672"/>
        <v>-</v>
      </c>
      <c r="HX80" s="108" t="str">
        <f t="shared" si="672"/>
        <v>-</v>
      </c>
      <c r="HY80" s="108" t="str">
        <f t="shared" si="672"/>
        <v>-</v>
      </c>
      <c r="HZ80" s="108" t="str">
        <f t="shared" si="672"/>
        <v>-</v>
      </c>
      <c r="IA80" s="108" t="str">
        <f t="shared" si="672"/>
        <v>-</v>
      </c>
      <c r="IB80" s="108" t="str">
        <f t="shared" si="672"/>
        <v>-</v>
      </c>
      <c r="IC80" s="108" t="str">
        <f t="shared" si="672"/>
        <v>-</v>
      </c>
      <c r="ID80" s="108" t="str">
        <f t="shared" si="672"/>
        <v>-</v>
      </c>
      <c r="IE80" s="108" t="str">
        <f t="shared" si="672"/>
        <v>-</v>
      </c>
      <c r="IF80" s="108" t="str">
        <f t="shared" si="672"/>
        <v>-</v>
      </c>
      <c r="IG80" s="108" t="str">
        <f t="shared" si="672"/>
        <v>-</v>
      </c>
      <c r="IH80" s="108" t="str">
        <f t="shared" si="672"/>
        <v>-</v>
      </c>
      <c r="II80" s="108" t="str">
        <f t="shared" si="672"/>
        <v>-</v>
      </c>
      <c r="IJ80" s="108" t="str">
        <f t="shared" si="672"/>
        <v>-</v>
      </c>
      <c r="IK80" s="108" t="str">
        <f t="shared" si="672"/>
        <v>-</v>
      </c>
      <c r="IL80" s="108" t="str">
        <f t="shared" si="672"/>
        <v>-</v>
      </c>
      <c r="IM80" s="108" t="str">
        <f t="shared" si="672"/>
        <v>-</v>
      </c>
      <c r="IN80" s="108" t="str">
        <f t="shared" si="672"/>
        <v>-</v>
      </c>
      <c r="IO80" s="108" t="str">
        <f t="shared" si="672"/>
        <v>-</v>
      </c>
      <c r="IP80" s="108" t="str">
        <f t="shared" si="672"/>
        <v>-</v>
      </c>
      <c r="IQ80" s="108" t="str">
        <f t="shared" si="672"/>
        <v>-</v>
      </c>
      <c r="IR80" s="108" t="str">
        <f t="shared" si="672"/>
        <v>-</v>
      </c>
      <c r="IS80" s="108" t="str">
        <f t="shared" si="672"/>
        <v>-</v>
      </c>
      <c r="IT80" s="108" t="str">
        <f t="shared" si="672"/>
        <v>-</v>
      </c>
      <c r="IU80" s="108" t="str">
        <f t="shared" si="672"/>
        <v>-</v>
      </c>
      <c r="IV80" s="108" t="str">
        <f t="shared" si="672"/>
        <v>-</v>
      </c>
      <c r="IW80" s="108" t="str">
        <f t="shared" si="672"/>
        <v>-</v>
      </c>
      <c r="IX80" s="145" t="str">
        <f t="shared" si="672"/>
        <v>-</v>
      </c>
      <c r="IY80" s="145" t="str">
        <f t="shared" si="672"/>
        <v>-</v>
      </c>
      <c r="IZ80" s="145" t="str">
        <f t="shared" si="672"/>
        <v>-</v>
      </c>
      <c r="JA80" s="145" t="str">
        <f t="shared" si="672"/>
        <v>-</v>
      </c>
      <c r="JB80" s="145" t="str">
        <f t="shared" si="672"/>
        <v>-</v>
      </c>
      <c r="JC80" s="145" t="str">
        <f t="shared" si="672"/>
        <v>-</v>
      </c>
      <c r="JD80" s="145" t="str">
        <f t="shared" si="672"/>
        <v>-</v>
      </c>
      <c r="JE80" s="145" t="str">
        <f t="shared" si="672"/>
        <v>-</v>
      </c>
      <c r="JF80" s="145" t="str">
        <f t="shared" si="672"/>
        <v>-</v>
      </c>
      <c r="JG80" s="145" t="str">
        <f t="shared" si="672"/>
        <v>-</v>
      </c>
      <c r="JH80" s="145" t="str">
        <f t="shared" si="672"/>
        <v>-</v>
      </c>
      <c r="JI80" s="145" t="str">
        <f t="shared" si="672"/>
        <v>-</v>
      </c>
      <c r="JJ80" s="145" t="str">
        <f t="shared" si="672"/>
        <v>-</v>
      </c>
      <c r="JK80" s="145" t="str">
        <f t="shared" si="672"/>
        <v>-</v>
      </c>
      <c r="JL80" s="145" t="str">
        <f t="shared" si="683"/>
        <v>-</v>
      </c>
      <c r="JM80" s="145" t="str">
        <f t="shared" si="683"/>
        <v>-</v>
      </c>
      <c r="JN80" s="145" t="str">
        <f t="shared" si="683"/>
        <v>-</v>
      </c>
      <c r="JO80" s="145" t="str">
        <f t="shared" si="683"/>
        <v>-</v>
      </c>
      <c r="JP80" s="145" t="str">
        <f t="shared" si="683"/>
        <v>-</v>
      </c>
      <c r="JQ80" s="145" t="str">
        <f t="shared" si="683"/>
        <v>-</v>
      </c>
      <c r="JR80" s="145" t="str">
        <f t="shared" si="683"/>
        <v>-</v>
      </c>
      <c r="JS80" s="145" t="str">
        <f t="shared" si="683"/>
        <v>-</v>
      </c>
      <c r="JT80" s="145" t="str">
        <f t="shared" si="683"/>
        <v>-</v>
      </c>
      <c r="JU80" s="145" t="str">
        <f t="shared" si="683"/>
        <v>-</v>
      </c>
      <c r="JV80" s="145" t="str">
        <f t="shared" si="683"/>
        <v>-</v>
      </c>
      <c r="JW80" s="145" t="str">
        <f t="shared" si="683"/>
        <v>-</v>
      </c>
      <c r="JX80" s="145" t="str">
        <f t="shared" si="683"/>
        <v>-</v>
      </c>
      <c r="JY80" s="145" t="str">
        <f t="shared" si="683"/>
        <v>-</v>
      </c>
      <c r="JZ80" s="145" t="str">
        <f t="shared" si="683"/>
        <v>-</v>
      </c>
      <c r="KA80" s="145" t="str">
        <f t="shared" si="683"/>
        <v>-</v>
      </c>
      <c r="KB80" s="145" t="str">
        <f t="shared" si="683"/>
        <v>-</v>
      </c>
      <c r="KC80" s="145" t="str">
        <f t="shared" si="683"/>
        <v>-</v>
      </c>
      <c r="KD80" s="145" t="str">
        <f t="shared" si="683"/>
        <v>-</v>
      </c>
      <c r="KE80" s="145" t="str">
        <f t="shared" si="683"/>
        <v>-</v>
      </c>
      <c r="KF80" s="145" t="str">
        <f t="shared" si="683"/>
        <v>-</v>
      </c>
      <c r="KG80" s="145" t="str">
        <f t="shared" si="683"/>
        <v>-</v>
      </c>
      <c r="KH80" s="145" t="str">
        <f t="shared" si="683"/>
        <v>-</v>
      </c>
      <c r="KI80" s="145" t="str">
        <f t="shared" si="683"/>
        <v>-</v>
      </c>
      <c r="KJ80" s="145" t="str">
        <f t="shared" si="683"/>
        <v>-</v>
      </c>
      <c r="KK80" s="145" t="str">
        <f t="shared" si="683"/>
        <v>-</v>
      </c>
      <c r="KL80" s="145" t="str">
        <f t="shared" si="683"/>
        <v>-</v>
      </c>
      <c r="KM80" s="145" t="str">
        <f t="shared" si="683"/>
        <v>-</v>
      </c>
      <c r="KN80" s="145" t="str">
        <f t="shared" si="683"/>
        <v>-</v>
      </c>
      <c r="KO80" s="145" t="str">
        <f t="shared" si="683"/>
        <v>-</v>
      </c>
      <c r="KP80" s="145" t="str">
        <f t="shared" si="683"/>
        <v>-</v>
      </c>
      <c r="KQ80" s="145" t="str">
        <f t="shared" si="683"/>
        <v>-</v>
      </c>
      <c r="KR80" s="145" t="str">
        <f t="shared" si="683"/>
        <v>-</v>
      </c>
      <c r="KS80" s="145" t="str">
        <f t="shared" si="683"/>
        <v>-</v>
      </c>
      <c r="KT80" s="145" t="str">
        <f t="shared" si="683"/>
        <v>-</v>
      </c>
      <c r="KU80" s="145" t="str">
        <f t="shared" si="683"/>
        <v>-</v>
      </c>
      <c r="KV80" s="145" t="str">
        <f t="shared" si="683"/>
        <v>-</v>
      </c>
      <c r="KW80" s="155" t="str">
        <f t="shared" si="683"/>
        <v>-</v>
      </c>
      <c r="KX80" s="155" t="str">
        <f t="shared" si="683"/>
        <v>-</v>
      </c>
      <c r="KY80" s="155" t="str">
        <f t="shared" si="683"/>
        <v>-</v>
      </c>
      <c r="KZ80" s="155" t="str">
        <f t="shared" si="683"/>
        <v>-</v>
      </c>
      <c r="LA80" s="155" t="str">
        <f t="shared" si="683"/>
        <v>-</v>
      </c>
      <c r="LB80" s="155" t="str">
        <f t="shared" si="683"/>
        <v>-</v>
      </c>
      <c r="LC80" s="155" t="str">
        <f t="shared" si="683"/>
        <v>-</v>
      </c>
      <c r="LD80" s="155" t="str">
        <f t="shared" si="683"/>
        <v>-</v>
      </c>
      <c r="LE80" s="155" t="str">
        <f t="shared" si="683"/>
        <v>-</v>
      </c>
      <c r="LF80" s="155" t="str">
        <f t="shared" si="683"/>
        <v>-</v>
      </c>
      <c r="LG80" s="155" t="str">
        <f t="shared" si="683"/>
        <v>-</v>
      </c>
      <c r="LH80" s="155" t="str">
        <f t="shared" si="683"/>
        <v>-</v>
      </c>
      <c r="LI80" s="155" t="str">
        <f t="shared" si="683"/>
        <v>-</v>
      </c>
      <c r="LJ80" s="155" t="str">
        <f t="shared" si="683"/>
        <v>-</v>
      </c>
      <c r="LK80" s="155" t="str">
        <f t="shared" si="683"/>
        <v>-</v>
      </c>
      <c r="LL80" s="155" t="str">
        <f t="shared" si="683"/>
        <v>-</v>
      </c>
      <c r="LM80" s="155" t="str">
        <f t="shared" si="683"/>
        <v>-</v>
      </c>
      <c r="LN80" s="155" t="str">
        <f t="shared" si="683"/>
        <v>-</v>
      </c>
      <c r="LO80" s="155" t="str">
        <f t="shared" si="683"/>
        <v>-</v>
      </c>
      <c r="LP80" s="155" t="str">
        <f t="shared" si="683"/>
        <v>-</v>
      </c>
      <c r="LQ80" s="155" t="str">
        <f t="shared" si="683"/>
        <v>-</v>
      </c>
      <c r="LR80" s="155" t="str">
        <f t="shared" si="683"/>
        <v>-</v>
      </c>
      <c r="LS80" s="155" t="str">
        <f t="shared" si="683"/>
        <v>-</v>
      </c>
      <c r="LT80" s="155" t="str">
        <f t="shared" si="683"/>
        <v>-</v>
      </c>
      <c r="LU80" s="155" t="str">
        <f t="shared" si="683"/>
        <v>-</v>
      </c>
      <c r="LV80" s="155" t="str">
        <f t="shared" si="683"/>
        <v>-</v>
      </c>
      <c r="LW80" s="177" t="str">
        <f t="shared" si="683"/>
        <v>-</v>
      </c>
      <c r="LX80" s="181" t="str">
        <f t="shared" si="684"/>
        <v>Harvest</v>
      </c>
      <c r="LY80" s="177" t="str">
        <f t="shared" si="684"/>
        <v>-</v>
      </c>
      <c r="LZ80" s="181" t="str">
        <f t="shared" si="684"/>
        <v>Harvest</v>
      </c>
      <c r="MA80" s="155" t="str">
        <f t="shared" si="684"/>
        <v>-</v>
      </c>
      <c r="MB80" s="155" t="str">
        <f t="shared" si="684"/>
        <v>-</v>
      </c>
      <c r="MC80" s="155" t="str">
        <f t="shared" si="684"/>
        <v>-</v>
      </c>
      <c r="MD80" s="177" t="str">
        <f t="shared" si="684"/>
        <v>-</v>
      </c>
      <c r="ME80" s="181" t="str">
        <f t="shared" si="684"/>
        <v>Harvest</v>
      </c>
      <c r="MF80" s="177" t="str">
        <f t="shared" si="684"/>
        <v>-</v>
      </c>
      <c r="MG80" s="181" t="str">
        <f t="shared" si="684"/>
        <v>Harvest</v>
      </c>
      <c r="MH80" s="155" t="str">
        <f t="shared" si="684"/>
        <v>-</v>
      </c>
      <c r="MI80" s="155" t="str">
        <f t="shared" si="684"/>
        <v>-</v>
      </c>
      <c r="MJ80" s="155" t="str">
        <f t="shared" si="684"/>
        <v>-</v>
      </c>
      <c r="MK80" s="177" t="str">
        <f t="shared" si="684"/>
        <v>-</v>
      </c>
      <c r="ML80" s="181" t="str">
        <f t="shared" si="684"/>
        <v>Harvest</v>
      </c>
      <c r="MM80" s="177" t="str">
        <f t="shared" si="684"/>
        <v>-</v>
      </c>
      <c r="MN80" s="181" t="str">
        <f t="shared" si="684"/>
        <v>Harvest</v>
      </c>
      <c r="MO80" s="155" t="str">
        <f t="shared" si="684"/>
        <v>-</v>
      </c>
      <c r="MP80" s="155" t="str">
        <f t="shared" si="684"/>
        <v>-</v>
      </c>
      <c r="MQ80" s="155" t="str">
        <f t="shared" si="684"/>
        <v>-</v>
      </c>
      <c r="MR80" s="177" t="str">
        <f t="shared" si="684"/>
        <v>-</v>
      </c>
      <c r="MS80" s="181" t="str">
        <f t="shared" si="684"/>
        <v>Harvest</v>
      </c>
      <c r="MT80" s="177" t="str">
        <f t="shared" si="684"/>
        <v>-</v>
      </c>
      <c r="MU80" s="181" t="str">
        <f t="shared" si="684"/>
        <v>Harvest</v>
      </c>
      <c r="MV80" s="184"/>
      <c r="MW80" s="184"/>
      <c r="MX80" s="184"/>
      <c r="MY80" s="184"/>
      <c r="MZ80" s="184"/>
      <c r="NA80" s="184"/>
      <c r="NB80" s="184"/>
      <c r="NC80" s="184"/>
      <c r="ND80" s="184"/>
      <c r="NE80" s="184"/>
      <c r="NF80" s="184"/>
      <c r="NG80" s="184"/>
      <c r="NH80" s="184"/>
      <c r="NI80" s="184"/>
      <c r="NJ80" s="184"/>
      <c r="NK80" s="184"/>
      <c r="NL80" s="184"/>
      <c r="NM80" s="23"/>
      <c r="NN80" s="23"/>
      <c r="NO80" s="23"/>
      <c r="NP80" s="23"/>
      <c r="NQ80" s="23"/>
      <c r="NR80" s="23"/>
      <c r="NS80" s="23"/>
      <c r="NT80" s="23"/>
      <c r="NU80" s="23"/>
      <c r="NV80" s="23"/>
      <c r="NW80" s="23"/>
      <c r="NX80" s="23"/>
      <c r="NY80" s="23"/>
      <c r="NZ80" s="23"/>
      <c r="OA80" s="23"/>
      <c r="OB80" s="23"/>
      <c r="OC80" s="23"/>
      <c r="OD80" s="23"/>
      <c r="OE80" s="23"/>
      <c r="OF80" s="23"/>
      <c r="OG80" s="23"/>
      <c r="OH80" s="23"/>
      <c r="OI80" s="23"/>
      <c r="OJ80" s="23"/>
      <c r="OK80" s="23"/>
      <c r="OL80" s="23"/>
      <c r="OM80" s="23"/>
      <c r="ON80" s="23"/>
      <c r="OO80" s="23"/>
      <c r="OP80" s="23"/>
      <c r="OQ80" s="23"/>
      <c r="OR80" s="23"/>
      <c r="OS80" s="23"/>
      <c r="OT80" s="23"/>
      <c r="OU80" s="23"/>
      <c r="OV80" s="23"/>
      <c r="OW80" s="23"/>
      <c r="OX80" s="23"/>
      <c r="OY80" s="23"/>
      <c r="OZ80" s="23"/>
      <c r="PA80" s="23"/>
      <c r="PB80" s="23"/>
      <c r="PC80" s="23"/>
      <c r="PD80" s="23"/>
      <c r="PE80" s="23"/>
      <c r="PF80" s="23"/>
      <c r="PG80" s="23"/>
      <c r="PH80" s="23"/>
      <c r="PI80" s="23"/>
      <c r="PJ80" s="23"/>
      <c r="PK80" s="23"/>
      <c r="PL80" s="23"/>
      <c r="PM80" s="23"/>
      <c r="PN80" s="23"/>
      <c r="PO80" s="23"/>
      <c r="PP80" s="23"/>
      <c r="PQ80" s="23"/>
      <c r="PR80" s="23"/>
      <c r="PS80" s="23"/>
      <c r="PT80" s="23"/>
      <c r="PU80" s="23"/>
      <c r="PV80" s="23"/>
      <c r="PW80" s="23"/>
      <c r="PX80" s="23"/>
      <c r="PY80" s="23"/>
      <c r="PZ80" s="23"/>
      <c r="QA80" s="23"/>
      <c r="QB80" s="23"/>
      <c r="QC80" s="23"/>
      <c r="QD80" s="23"/>
      <c r="QE80" s="23"/>
      <c r="QF80" s="23"/>
      <c r="QG80" s="23"/>
      <c r="QH80" s="23"/>
      <c r="QI80" s="23"/>
      <c r="QJ80" s="23"/>
      <c r="QK80" s="23"/>
      <c r="QL80" s="23"/>
      <c r="QM80" s="23"/>
      <c r="QN80" s="23"/>
      <c r="QO80" s="23"/>
      <c r="QP80" s="23"/>
      <c r="QQ80" s="23"/>
      <c r="QR80" s="23"/>
      <c r="QS80" s="23"/>
      <c r="QT80" s="23"/>
      <c r="QU80" s="23"/>
      <c r="QV80" s="23"/>
      <c r="QW80" s="23"/>
      <c r="QX80" s="23"/>
      <c r="QY80" s="23"/>
      <c r="QZ80" s="23"/>
      <c r="RA80" s="23"/>
      <c r="RB80" s="23"/>
      <c r="RC80" s="23"/>
      <c r="RD80" s="23"/>
      <c r="RE80" s="23"/>
      <c r="RF80" s="23"/>
      <c r="RG80" s="23"/>
      <c r="RH80" s="23"/>
      <c r="RI80" s="23"/>
      <c r="RJ80" s="23"/>
      <c r="RK80" s="23"/>
      <c r="RL80" s="23"/>
      <c r="RM80" s="23"/>
      <c r="RN80" s="23"/>
      <c r="RO80" s="23"/>
      <c r="RP80" s="23"/>
      <c r="RQ80" s="23"/>
      <c r="RR80" s="23"/>
      <c r="RS80" s="23"/>
      <c r="RT80" s="23"/>
      <c r="RU80" s="23"/>
      <c r="RV80" s="23"/>
      <c r="RW80" s="23"/>
      <c r="RX80" s="23"/>
      <c r="RY80" s="23"/>
      <c r="RZ80" s="23"/>
      <c r="SA80" s="23"/>
      <c r="SB80" s="23"/>
      <c r="SC80" s="23"/>
      <c r="SD80" s="23"/>
      <c r="SE80" s="23"/>
      <c r="SF80" s="23"/>
      <c r="SG80" s="23"/>
      <c r="SH80" s="23"/>
      <c r="SI80" s="23"/>
      <c r="SJ80" s="23"/>
      <c r="SK80" s="23"/>
      <c r="SL80" s="23"/>
      <c r="SM80" s="23"/>
      <c r="SN80" s="23"/>
      <c r="SO80" s="23"/>
      <c r="SP80" s="23"/>
      <c r="SQ80" s="23"/>
      <c r="SR80" s="23"/>
      <c r="SS80" s="23"/>
      <c r="ST80" s="23"/>
      <c r="SU80" s="23"/>
      <c r="SV80" s="23"/>
      <c r="SW80" s="23"/>
      <c r="SX80" s="23"/>
      <c r="SY80" s="23"/>
      <c r="SZ80" s="23"/>
      <c r="TA80" s="184"/>
      <c r="TB80" s="185"/>
      <c r="TC80" s="11"/>
      <c r="TD80" s="11"/>
      <c r="TE80" s="11"/>
      <c r="TF80" s="11"/>
    </row>
    <row r="81" spans="1:526" ht="22.15" customHeight="1" thickBot="1" x14ac:dyDescent="0.3">
      <c r="A81" s="298"/>
      <c r="B81" s="25" t="s">
        <v>27</v>
      </c>
      <c r="BY81" s="184"/>
      <c r="BZ81" s="184"/>
      <c r="CA81" s="184"/>
      <c r="CB81" s="184"/>
      <c r="CC81" s="184"/>
      <c r="CD81" s="184"/>
      <c r="CE81" s="184"/>
      <c r="CF81" s="184"/>
      <c r="CG81" s="184"/>
      <c r="CH81" s="184"/>
      <c r="CI81" s="184"/>
      <c r="CJ81" s="184"/>
      <c r="CK81" s="184"/>
      <c r="CL81" s="184"/>
      <c r="CM81" s="184"/>
      <c r="CN81" s="184"/>
      <c r="CO81" s="184"/>
      <c r="CP81" s="184"/>
      <c r="CQ81" s="184"/>
      <c r="CR81" s="184"/>
      <c r="CS81" s="184"/>
      <c r="CT81" s="184"/>
      <c r="CU81" s="184"/>
      <c r="CV81" s="184"/>
      <c r="CW81" s="184"/>
      <c r="CX81" s="184"/>
      <c r="CY81" s="184"/>
      <c r="CZ81" s="184"/>
      <c r="DA81" s="184"/>
      <c r="DB81" s="184"/>
      <c r="DC81" s="184"/>
      <c r="DD81" s="184"/>
      <c r="DE81" s="184"/>
      <c r="DF81" s="184"/>
      <c r="DG81" s="184"/>
      <c r="DH81" s="184"/>
      <c r="DI81" s="184"/>
      <c r="DJ81" s="184"/>
      <c r="DK81" s="184"/>
      <c r="DL81" s="184"/>
      <c r="DM81" s="184"/>
      <c r="DN81" s="184"/>
      <c r="DO81" s="184"/>
      <c r="DP81" s="184"/>
      <c r="DQ81" s="184"/>
      <c r="DR81" s="184"/>
      <c r="DS81" s="184"/>
      <c r="DT81" s="184"/>
      <c r="DU81" s="184"/>
      <c r="DV81" s="184"/>
      <c r="DW81" s="184"/>
      <c r="DX81" s="184"/>
      <c r="DY81" s="184"/>
      <c r="DZ81" s="184"/>
      <c r="EA81" s="184"/>
      <c r="EB81" s="184"/>
      <c r="EC81" s="184"/>
      <c r="ED81" s="184"/>
      <c r="EE81" s="184"/>
      <c r="EF81" s="184"/>
      <c r="EG81" s="184"/>
      <c r="EH81" s="184"/>
      <c r="EI81" s="184"/>
      <c r="EJ81" s="184"/>
      <c r="EK81" s="184"/>
      <c r="EL81" s="184"/>
      <c r="EM81" s="184"/>
      <c r="EN81" s="184"/>
      <c r="EO81" s="184"/>
      <c r="EP81" s="184"/>
      <c r="EQ81" s="184"/>
      <c r="ER81" s="184"/>
      <c r="ES81" s="184"/>
      <c r="ET81" s="184"/>
      <c r="EU81" s="184"/>
      <c r="EV81" s="184"/>
      <c r="EW81" s="184"/>
      <c r="EX81" s="184"/>
      <c r="EY81" s="184"/>
      <c r="EZ81" s="184"/>
      <c r="FA81" s="184"/>
      <c r="FB81" s="184"/>
      <c r="FC81" s="184"/>
      <c r="FD81" s="184"/>
      <c r="FE81" s="184"/>
      <c r="FF81" s="184"/>
      <c r="FG81" s="184"/>
      <c r="FH81" s="184"/>
      <c r="FI81" s="184"/>
      <c r="FJ81" s="184"/>
      <c r="FK81" s="184"/>
      <c r="FL81" s="184"/>
      <c r="FM81" s="184"/>
      <c r="FN81" s="184"/>
      <c r="FO81" s="184"/>
      <c r="FP81" s="184"/>
      <c r="FQ81" s="184"/>
      <c r="FR81" s="184"/>
      <c r="FS81" s="184"/>
      <c r="FT81" s="184"/>
      <c r="FU81" s="184"/>
      <c r="FV81" s="184"/>
      <c r="FW81" s="184"/>
      <c r="FX81" s="184"/>
      <c r="FY81" s="184"/>
      <c r="FZ81" s="184"/>
      <c r="GA81" s="184"/>
      <c r="GB81" s="184"/>
      <c r="GC81" s="184"/>
      <c r="GD81" s="184"/>
      <c r="GE81" s="184"/>
      <c r="GF81" s="184"/>
      <c r="GG81" s="184"/>
      <c r="GH81" s="184"/>
      <c r="GI81" s="184"/>
      <c r="GJ81" s="184"/>
      <c r="GK81" s="184"/>
      <c r="GL81" s="184"/>
      <c r="GM81" s="184"/>
      <c r="GN81" s="184"/>
      <c r="GO81" s="184"/>
      <c r="GP81" s="184"/>
      <c r="GQ81" s="184"/>
      <c r="GR81" s="184"/>
      <c r="GS81" s="184"/>
      <c r="GT81" s="184"/>
      <c r="GU81" s="184"/>
      <c r="GV81" s="184"/>
      <c r="GW81" s="184"/>
      <c r="GX81" s="184"/>
      <c r="GY81" s="121">
        <f t="shared" si="668"/>
        <v>0</v>
      </c>
      <c r="GZ81" s="108">
        <f t="shared" si="669"/>
        <v>0</v>
      </c>
      <c r="HA81" s="108">
        <f t="shared" si="670"/>
        <v>0</v>
      </c>
      <c r="HB81" s="108">
        <f t="shared" si="671"/>
        <v>0</v>
      </c>
      <c r="HC81" s="108">
        <f t="shared" si="672"/>
        <v>0</v>
      </c>
      <c r="HD81" s="108">
        <f t="shared" si="673"/>
        <v>0</v>
      </c>
      <c r="HE81" s="108">
        <f t="shared" si="674"/>
        <v>0</v>
      </c>
      <c r="HF81" s="108">
        <f t="shared" si="675"/>
        <v>0</v>
      </c>
      <c r="HG81" s="108">
        <f t="shared" si="676"/>
        <v>0</v>
      </c>
      <c r="HH81" s="108">
        <f t="shared" si="677"/>
        <v>0</v>
      </c>
      <c r="HI81" s="108">
        <f t="shared" si="678"/>
        <v>0</v>
      </c>
      <c r="HJ81" s="108">
        <f t="shared" si="679"/>
        <v>0</v>
      </c>
      <c r="HK81" s="108">
        <f t="shared" si="680"/>
        <v>0</v>
      </c>
      <c r="HL81" s="108">
        <f t="shared" si="681"/>
        <v>0</v>
      </c>
      <c r="HM81" s="108">
        <f t="shared" si="682"/>
        <v>0</v>
      </c>
      <c r="HN81" s="108">
        <f t="shared" si="672"/>
        <v>0</v>
      </c>
      <c r="HO81" s="108">
        <f t="shared" si="672"/>
        <v>0</v>
      </c>
      <c r="HP81" s="108">
        <f t="shared" si="672"/>
        <v>0</v>
      </c>
      <c r="HQ81" s="108">
        <f t="shared" si="672"/>
        <v>0</v>
      </c>
      <c r="HR81" s="108">
        <f t="shared" si="672"/>
        <v>0</v>
      </c>
      <c r="HS81" s="108">
        <f t="shared" si="672"/>
        <v>0</v>
      </c>
      <c r="HT81" s="108">
        <f t="shared" si="672"/>
        <v>0</v>
      </c>
      <c r="HU81" s="108">
        <f t="shared" si="672"/>
        <v>0</v>
      </c>
      <c r="HV81" s="108">
        <f t="shared" si="672"/>
        <v>0</v>
      </c>
      <c r="HW81" s="108">
        <f t="shared" si="672"/>
        <v>0</v>
      </c>
      <c r="HX81" s="108">
        <f t="shared" si="672"/>
        <v>0</v>
      </c>
      <c r="HY81" s="108">
        <f t="shared" si="672"/>
        <v>0</v>
      </c>
      <c r="HZ81" s="108">
        <f t="shared" si="672"/>
        <v>0</v>
      </c>
      <c r="IA81" s="108">
        <f t="shared" si="672"/>
        <v>0</v>
      </c>
      <c r="IB81" s="108">
        <f t="shared" si="672"/>
        <v>0</v>
      </c>
      <c r="IC81" s="108">
        <f t="shared" si="672"/>
        <v>0</v>
      </c>
      <c r="ID81" s="108">
        <f t="shared" si="672"/>
        <v>0</v>
      </c>
      <c r="IE81" s="108">
        <f t="shared" si="672"/>
        <v>0</v>
      </c>
      <c r="IF81" s="108">
        <f t="shared" si="672"/>
        <v>0</v>
      </c>
      <c r="IG81" s="108">
        <f t="shared" si="672"/>
        <v>0</v>
      </c>
      <c r="IH81" s="108">
        <f t="shared" si="672"/>
        <v>0</v>
      </c>
      <c r="II81" s="108">
        <f t="shared" si="672"/>
        <v>0</v>
      </c>
      <c r="IJ81" s="108">
        <f t="shared" si="672"/>
        <v>0</v>
      </c>
      <c r="IK81" s="108">
        <f t="shared" si="672"/>
        <v>0</v>
      </c>
      <c r="IL81" s="108">
        <f t="shared" si="672"/>
        <v>0</v>
      </c>
      <c r="IM81" s="108">
        <f t="shared" si="672"/>
        <v>0</v>
      </c>
      <c r="IN81" s="108">
        <f t="shared" si="672"/>
        <v>0</v>
      </c>
      <c r="IO81" s="108">
        <f t="shared" si="672"/>
        <v>0</v>
      </c>
      <c r="IP81" s="108">
        <f t="shared" si="672"/>
        <v>0</v>
      </c>
      <c r="IQ81" s="108">
        <f t="shared" si="672"/>
        <v>0</v>
      </c>
      <c r="IR81" s="108">
        <f t="shared" si="672"/>
        <v>0</v>
      </c>
      <c r="IS81" s="108">
        <f t="shared" si="672"/>
        <v>0</v>
      </c>
      <c r="IT81" s="108">
        <f t="shared" si="672"/>
        <v>0</v>
      </c>
      <c r="IU81" s="108">
        <f t="shared" si="672"/>
        <v>0</v>
      </c>
      <c r="IV81" s="108">
        <f t="shared" si="672"/>
        <v>0</v>
      </c>
      <c r="IW81" s="108">
        <f t="shared" si="672"/>
        <v>0</v>
      </c>
      <c r="IX81" s="145">
        <f t="shared" si="672"/>
        <v>0</v>
      </c>
      <c r="IY81" s="145">
        <f t="shared" si="672"/>
        <v>0</v>
      </c>
      <c r="IZ81" s="145">
        <f t="shared" si="672"/>
        <v>0</v>
      </c>
      <c r="JA81" s="145">
        <f t="shared" si="672"/>
        <v>0</v>
      </c>
      <c r="JB81" s="145">
        <f t="shared" si="672"/>
        <v>0</v>
      </c>
      <c r="JC81" s="145">
        <f t="shared" si="672"/>
        <v>0</v>
      </c>
      <c r="JD81" s="145">
        <f t="shared" si="672"/>
        <v>0</v>
      </c>
      <c r="JE81" s="145">
        <f t="shared" si="672"/>
        <v>0</v>
      </c>
      <c r="JF81" s="145">
        <f t="shared" si="672"/>
        <v>0</v>
      </c>
      <c r="JG81" s="145">
        <f t="shared" si="672"/>
        <v>0</v>
      </c>
      <c r="JH81" s="145">
        <f t="shared" si="672"/>
        <v>0</v>
      </c>
      <c r="JI81" s="145">
        <f t="shared" si="672"/>
        <v>0</v>
      </c>
      <c r="JJ81" s="145">
        <f t="shared" si="672"/>
        <v>0</v>
      </c>
      <c r="JK81" s="145">
        <f t="shared" si="672"/>
        <v>0</v>
      </c>
      <c r="JL81" s="145">
        <f t="shared" si="683"/>
        <v>0</v>
      </c>
      <c r="JM81" s="145">
        <f t="shared" si="683"/>
        <v>0</v>
      </c>
      <c r="JN81" s="145">
        <f t="shared" si="683"/>
        <v>0</v>
      </c>
      <c r="JO81" s="145">
        <f t="shared" si="683"/>
        <v>0</v>
      </c>
      <c r="JP81" s="145">
        <f t="shared" si="683"/>
        <v>0</v>
      </c>
      <c r="JQ81" s="145">
        <f t="shared" si="683"/>
        <v>0</v>
      </c>
      <c r="JR81" s="145">
        <f t="shared" si="683"/>
        <v>0</v>
      </c>
      <c r="JS81" s="145">
        <f t="shared" si="683"/>
        <v>0</v>
      </c>
      <c r="JT81" s="145">
        <f t="shared" si="683"/>
        <v>0</v>
      </c>
      <c r="JU81" s="146">
        <f t="shared" si="683"/>
        <v>0</v>
      </c>
      <c r="JV81" s="146">
        <f t="shared" si="683"/>
        <v>0</v>
      </c>
      <c r="JW81" s="146">
        <f t="shared" si="683"/>
        <v>0</v>
      </c>
      <c r="JX81" s="146">
        <f t="shared" si="683"/>
        <v>0</v>
      </c>
      <c r="JY81" s="146">
        <f t="shared" si="683"/>
        <v>0</v>
      </c>
      <c r="JZ81" s="146">
        <f t="shared" si="683"/>
        <v>0</v>
      </c>
      <c r="KA81" s="146">
        <f t="shared" si="683"/>
        <v>0</v>
      </c>
      <c r="KB81" s="146">
        <f t="shared" si="683"/>
        <v>0</v>
      </c>
      <c r="KC81" s="146">
        <f t="shared" si="683"/>
        <v>0</v>
      </c>
      <c r="KD81" s="146">
        <f t="shared" si="683"/>
        <v>0</v>
      </c>
      <c r="KE81" s="146">
        <f t="shared" si="683"/>
        <v>0</v>
      </c>
      <c r="KF81" s="146">
        <f t="shared" si="683"/>
        <v>0</v>
      </c>
      <c r="KG81" s="146">
        <f t="shared" si="683"/>
        <v>0</v>
      </c>
      <c r="KH81" s="146">
        <f t="shared" si="683"/>
        <v>0</v>
      </c>
      <c r="KI81" s="146">
        <f t="shared" si="683"/>
        <v>0</v>
      </c>
      <c r="KJ81" s="146">
        <f t="shared" si="683"/>
        <v>0</v>
      </c>
      <c r="KK81" s="146">
        <f t="shared" si="683"/>
        <v>0</v>
      </c>
      <c r="KL81" s="146">
        <f t="shared" si="683"/>
        <v>0</v>
      </c>
      <c r="KM81" s="146">
        <f t="shared" si="683"/>
        <v>0</v>
      </c>
      <c r="KN81" s="146">
        <f t="shared" si="683"/>
        <v>0</v>
      </c>
      <c r="KO81" s="146">
        <f t="shared" si="683"/>
        <v>0</v>
      </c>
      <c r="KP81" s="146">
        <f t="shared" si="683"/>
        <v>0</v>
      </c>
      <c r="KQ81" s="146">
        <f t="shared" si="683"/>
        <v>0</v>
      </c>
      <c r="KR81" s="146">
        <f t="shared" si="683"/>
        <v>0</v>
      </c>
      <c r="KS81" s="146">
        <f t="shared" si="683"/>
        <v>0</v>
      </c>
      <c r="KT81" s="146">
        <f t="shared" si="683"/>
        <v>0</v>
      </c>
      <c r="KU81" s="146">
        <f t="shared" si="683"/>
        <v>0</v>
      </c>
      <c r="KV81" s="146">
        <f t="shared" si="683"/>
        <v>0</v>
      </c>
      <c r="KW81" s="156">
        <f t="shared" si="683"/>
        <v>0</v>
      </c>
      <c r="KX81" s="156">
        <f t="shared" si="683"/>
        <v>0</v>
      </c>
      <c r="KY81" s="156">
        <f t="shared" si="683"/>
        <v>0</v>
      </c>
      <c r="KZ81" s="156">
        <f t="shared" si="683"/>
        <v>0</v>
      </c>
      <c r="LA81" s="156">
        <f t="shared" si="683"/>
        <v>0</v>
      </c>
      <c r="LB81" s="156">
        <f t="shared" si="683"/>
        <v>0</v>
      </c>
      <c r="LC81" s="156">
        <f t="shared" si="683"/>
        <v>0</v>
      </c>
      <c r="LD81" s="156">
        <f t="shared" si="683"/>
        <v>0</v>
      </c>
      <c r="LE81" s="156">
        <f t="shared" si="683"/>
        <v>0</v>
      </c>
      <c r="LF81" s="156">
        <f t="shared" si="683"/>
        <v>0</v>
      </c>
      <c r="LG81" s="156">
        <f t="shared" si="683"/>
        <v>0</v>
      </c>
      <c r="LH81" s="156">
        <f t="shared" si="683"/>
        <v>0</v>
      </c>
      <c r="LI81" s="156">
        <f t="shared" si="683"/>
        <v>0</v>
      </c>
      <c r="LJ81" s="156">
        <f t="shared" si="683"/>
        <v>0</v>
      </c>
      <c r="LK81" s="156">
        <f t="shared" si="683"/>
        <v>0</v>
      </c>
      <c r="LL81" s="156">
        <f t="shared" si="683"/>
        <v>0</v>
      </c>
      <c r="LM81" s="156">
        <f t="shared" si="683"/>
        <v>0</v>
      </c>
      <c r="LN81" s="156">
        <f t="shared" si="683"/>
        <v>0</v>
      </c>
      <c r="LO81" s="156">
        <f t="shared" si="683"/>
        <v>0</v>
      </c>
      <c r="LP81" s="156">
        <f t="shared" si="683"/>
        <v>0</v>
      </c>
      <c r="LQ81" s="156">
        <f t="shared" si="683"/>
        <v>0</v>
      </c>
      <c r="LR81" s="156">
        <f t="shared" si="683"/>
        <v>0</v>
      </c>
      <c r="LS81" s="156">
        <f t="shared" si="683"/>
        <v>0</v>
      </c>
      <c r="LT81" s="156">
        <f t="shared" si="683"/>
        <v>0</v>
      </c>
      <c r="LU81" s="156">
        <f t="shared" si="683"/>
        <v>0</v>
      </c>
      <c r="LV81" s="156">
        <f t="shared" si="683"/>
        <v>0</v>
      </c>
      <c r="LW81" s="156">
        <f t="shared" si="683"/>
        <v>0</v>
      </c>
      <c r="LX81" s="179">
        <f t="shared" si="684"/>
        <v>0</v>
      </c>
      <c r="LY81" s="156">
        <f t="shared" si="684"/>
        <v>0</v>
      </c>
      <c r="LZ81" s="179">
        <f t="shared" si="684"/>
        <v>0</v>
      </c>
      <c r="MA81" s="156">
        <f t="shared" si="684"/>
        <v>0</v>
      </c>
      <c r="MB81" s="156">
        <f t="shared" si="684"/>
        <v>0</v>
      </c>
      <c r="MC81" s="156">
        <f t="shared" si="684"/>
        <v>0</v>
      </c>
      <c r="MD81" s="156">
        <f t="shared" si="684"/>
        <v>0</v>
      </c>
      <c r="ME81" s="179">
        <f t="shared" si="684"/>
        <v>0</v>
      </c>
      <c r="MF81" s="156">
        <f t="shared" si="684"/>
        <v>0</v>
      </c>
      <c r="MG81" s="179">
        <f t="shared" si="684"/>
        <v>0</v>
      </c>
      <c r="MH81" s="156">
        <f t="shared" si="684"/>
        <v>0</v>
      </c>
      <c r="MI81" s="156">
        <f t="shared" si="684"/>
        <v>0</v>
      </c>
      <c r="MJ81" s="156">
        <f t="shared" si="684"/>
        <v>0</v>
      </c>
      <c r="MK81" s="156">
        <f t="shared" si="684"/>
        <v>0</v>
      </c>
      <c r="ML81" s="179">
        <f t="shared" si="684"/>
        <v>0</v>
      </c>
      <c r="MM81" s="156">
        <f t="shared" si="684"/>
        <v>0</v>
      </c>
      <c r="MN81" s="179">
        <f t="shared" si="684"/>
        <v>0</v>
      </c>
      <c r="MO81" s="156">
        <f t="shared" si="684"/>
        <v>0</v>
      </c>
      <c r="MP81" s="156">
        <f t="shared" si="684"/>
        <v>0</v>
      </c>
      <c r="MQ81" s="156">
        <f t="shared" si="684"/>
        <v>0</v>
      </c>
      <c r="MR81" s="156">
        <f t="shared" si="684"/>
        <v>0</v>
      </c>
      <c r="MS81" s="179">
        <f t="shared" si="684"/>
        <v>0</v>
      </c>
      <c r="MT81" s="156">
        <f t="shared" si="684"/>
        <v>0</v>
      </c>
      <c r="MU81" s="179">
        <f t="shared" si="684"/>
        <v>0</v>
      </c>
      <c r="MV81" s="184"/>
      <c r="MW81" s="184"/>
      <c r="MX81" s="184"/>
      <c r="MY81" s="184"/>
      <c r="MZ81" s="184"/>
      <c r="NA81" s="184"/>
      <c r="NB81" s="184"/>
      <c r="NC81" s="184"/>
      <c r="ND81" s="184"/>
      <c r="NE81" s="184"/>
      <c r="NF81" s="184"/>
      <c r="NG81" s="184"/>
      <c r="NH81" s="184"/>
      <c r="NI81" s="184"/>
      <c r="NJ81" s="184"/>
      <c r="NK81" s="184"/>
      <c r="NL81" s="184"/>
      <c r="NM81" s="20"/>
      <c r="NN81" s="20"/>
      <c r="NO81" s="20"/>
      <c r="NP81" s="20"/>
      <c r="NQ81" s="20"/>
      <c r="NR81" s="20"/>
      <c r="NS81" s="20"/>
      <c r="NT81" s="20"/>
      <c r="NU81" s="20"/>
      <c r="NV81" s="20"/>
      <c r="NW81" s="20"/>
      <c r="NX81" s="20"/>
      <c r="NY81" s="20"/>
      <c r="NZ81" s="20"/>
      <c r="OA81" s="20"/>
      <c r="OB81" s="20"/>
      <c r="OC81" s="20"/>
      <c r="OD81" s="20"/>
      <c r="OE81" s="20"/>
      <c r="OF81" s="20"/>
      <c r="OG81" s="20"/>
      <c r="OH81" s="20"/>
      <c r="OI81" s="20"/>
      <c r="OJ81" s="20"/>
      <c r="OK81" s="20"/>
      <c r="OL81" s="20"/>
      <c r="OM81" s="20"/>
      <c r="ON81" s="20"/>
      <c r="OO81" s="20"/>
      <c r="OP81" s="20"/>
      <c r="OQ81" s="20"/>
      <c r="OR81" s="20"/>
      <c r="OS81" s="20"/>
      <c r="OT81" s="20"/>
      <c r="OU81" s="20"/>
      <c r="OV81" s="20"/>
      <c r="OW81" s="20"/>
      <c r="OX81" s="20"/>
      <c r="OY81" s="20"/>
      <c r="OZ81" s="20"/>
      <c r="PA81" s="20"/>
      <c r="PB81" s="20"/>
      <c r="PC81" s="20"/>
      <c r="PD81" s="20"/>
      <c r="PE81" s="20"/>
      <c r="PF81" s="20"/>
      <c r="PG81" s="20"/>
      <c r="PH81" s="20"/>
      <c r="PI81" s="20"/>
      <c r="PJ81" s="20"/>
      <c r="PK81" s="20"/>
      <c r="PL81" s="20"/>
      <c r="PM81" s="20"/>
      <c r="PN81" s="20"/>
      <c r="PO81" s="20"/>
      <c r="PP81" s="20"/>
      <c r="PQ81" s="20"/>
      <c r="PR81" s="20"/>
      <c r="PS81" s="20"/>
      <c r="PT81" s="20"/>
      <c r="PU81" s="20"/>
      <c r="PV81" s="20"/>
      <c r="PW81" s="20"/>
      <c r="PX81" s="20"/>
      <c r="PY81" s="20"/>
      <c r="PZ81" s="20"/>
      <c r="QA81" s="20"/>
      <c r="QB81" s="20"/>
      <c r="QC81" s="20"/>
      <c r="QD81" s="20"/>
      <c r="QE81" s="20"/>
      <c r="QF81" s="20"/>
      <c r="QG81" s="20"/>
      <c r="QH81" s="20"/>
      <c r="QI81" s="20"/>
      <c r="QJ81" s="20"/>
      <c r="QK81" s="20"/>
      <c r="QL81" s="20"/>
      <c r="QM81" s="20"/>
      <c r="QN81" s="20"/>
      <c r="QO81" s="20"/>
      <c r="QP81" s="20"/>
      <c r="QQ81" s="20"/>
      <c r="QR81" s="20"/>
      <c r="QS81" s="20"/>
      <c r="QT81" s="20"/>
      <c r="QU81" s="20"/>
      <c r="QV81" s="20"/>
      <c r="QW81" s="20"/>
      <c r="QX81" s="20"/>
      <c r="QY81" s="20"/>
      <c r="QZ81" s="20"/>
      <c r="RA81" s="20"/>
      <c r="RB81" s="20"/>
      <c r="RC81" s="20"/>
      <c r="RD81" s="20"/>
      <c r="RE81" s="20"/>
      <c r="RF81" s="20"/>
      <c r="RG81" s="20"/>
      <c r="RH81" s="20"/>
      <c r="RI81" s="20"/>
      <c r="RJ81" s="20"/>
      <c r="RK81" s="20"/>
      <c r="RL81" s="20"/>
      <c r="RM81" s="20"/>
      <c r="RN81" s="20"/>
      <c r="RO81" s="20"/>
      <c r="RP81" s="20"/>
      <c r="RQ81" s="20"/>
      <c r="RR81" s="20"/>
      <c r="RS81" s="20"/>
      <c r="RT81" s="20"/>
      <c r="RU81" s="20"/>
      <c r="RV81" s="20"/>
      <c r="RW81" s="20"/>
      <c r="RX81" s="20"/>
      <c r="RY81" s="20"/>
      <c r="RZ81" s="20"/>
      <c r="SA81" s="20"/>
      <c r="SB81" s="20"/>
      <c r="SC81" s="20"/>
      <c r="SD81" s="20"/>
      <c r="SE81" s="20"/>
      <c r="SF81" s="20"/>
      <c r="SG81" s="20"/>
      <c r="SH81" s="20"/>
      <c r="SI81" s="20"/>
      <c r="SJ81" s="20"/>
      <c r="SK81" s="20"/>
      <c r="SL81" s="20"/>
      <c r="SM81" s="20"/>
      <c r="SN81" s="20"/>
      <c r="SO81" s="20"/>
      <c r="SP81" s="20"/>
      <c r="SQ81" s="20"/>
      <c r="SR81" s="20"/>
      <c r="SS81" s="20"/>
      <c r="ST81" s="20"/>
      <c r="SU81" s="20"/>
      <c r="SV81" s="20"/>
      <c r="SW81" s="20"/>
      <c r="SX81" s="20"/>
      <c r="SY81" s="20"/>
      <c r="SZ81" s="20"/>
      <c r="TA81" s="184"/>
      <c r="TB81" s="185"/>
      <c r="TC81" s="11"/>
      <c r="TD81" s="11"/>
      <c r="TE81" s="11"/>
      <c r="TF81" s="11"/>
    </row>
    <row r="82" spans="1:526" ht="22.15" customHeight="1" thickBot="1" x14ac:dyDescent="0.3">
      <c r="A82" s="298"/>
      <c r="B82" s="25" t="s">
        <v>25</v>
      </c>
      <c r="BY82" s="184"/>
      <c r="BZ82" s="184"/>
      <c r="CA82" s="184"/>
      <c r="CB82" s="184"/>
      <c r="CC82" s="184"/>
      <c r="CD82" s="184"/>
      <c r="CE82" s="184"/>
      <c r="CF82" s="184"/>
      <c r="CG82" s="184"/>
      <c r="CH82" s="184"/>
      <c r="CI82" s="184"/>
      <c r="CJ82" s="184"/>
      <c r="CK82" s="184"/>
      <c r="CL82" s="184"/>
      <c r="CM82" s="184"/>
      <c r="CN82" s="184"/>
      <c r="CO82" s="184"/>
      <c r="CP82" s="184"/>
      <c r="CQ82" s="184"/>
      <c r="CR82" s="184"/>
      <c r="CS82" s="184"/>
      <c r="CT82" s="184"/>
      <c r="CU82" s="184"/>
      <c r="CV82" s="184"/>
      <c r="CW82" s="184"/>
      <c r="CX82" s="184"/>
      <c r="CY82" s="184"/>
      <c r="CZ82" s="184"/>
      <c r="DA82" s="184"/>
      <c r="DB82" s="184"/>
      <c r="DC82" s="184"/>
      <c r="DD82" s="184"/>
      <c r="DE82" s="184"/>
      <c r="DF82" s="184"/>
      <c r="DG82" s="184"/>
      <c r="DH82" s="184"/>
      <c r="DI82" s="184"/>
      <c r="DJ82" s="184"/>
      <c r="DK82" s="184"/>
      <c r="DL82" s="184"/>
      <c r="DM82" s="184"/>
      <c r="DN82" s="184"/>
      <c r="DO82" s="184"/>
      <c r="DP82" s="184"/>
      <c r="DQ82" s="184"/>
      <c r="DR82" s="184"/>
      <c r="DS82" s="184"/>
      <c r="DT82" s="184"/>
      <c r="DU82" s="184"/>
      <c r="DV82" s="184"/>
      <c r="DW82" s="184"/>
      <c r="DX82" s="184"/>
      <c r="DY82" s="184"/>
      <c r="DZ82" s="184"/>
      <c r="EA82" s="184"/>
      <c r="EB82" s="184"/>
      <c r="EC82" s="184"/>
      <c r="ED82" s="184"/>
      <c r="EE82" s="184"/>
      <c r="EF82" s="184"/>
      <c r="EG82" s="184"/>
      <c r="EH82" s="184"/>
      <c r="EI82" s="184"/>
      <c r="EJ82" s="184"/>
      <c r="EK82" s="184"/>
      <c r="EL82" s="184"/>
      <c r="EM82" s="184"/>
      <c r="EN82" s="184"/>
      <c r="EO82" s="184"/>
      <c r="EP82" s="184"/>
      <c r="EQ82" s="184"/>
      <c r="ER82" s="184"/>
      <c r="ES82" s="184"/>
      <c r="ET82" s="184"/>
      <c r="EU82" s="184"/>
      <c r="EV82" s="184"/>
      <c r="EW82" s="184"/>
      <c r="EX82" s="184"/>
      <c r="EY82" s="184"/>
      <c r="EZ82" s="184"/>
      <c r="FA82" s="184"/>
      <c r="FB82" s="184"/>
      <c r="FC82" s="184"/>
      <c r="FD82" s="184"/>
      <c r="FE82" s="184"/>
      <c r="FF82" s="184"/>
      <c r="FG82" s="184"/>
      <c r="FH82" s="184"/>
      <c r="FI82" s="184"/>
      <c r="FJ82" s="184"/>
      <c r="FK82" s="184"/>
      <c r="FL82" s="184"/>
      <c r="FM82" s="184"/>
      <c r="FN82" s="184"/>
      <c r="FO82" s="184"/>
      <c r="FP82" s="184"/>
      <c r="FQ82" s="184"/>
      <c r="FR82" s="184"/>
      <c r="FS82" s="184"/>
      <c r="FT82" s="184"/>
      <c r="FU82" s="184"/>
      <c r="FV82" s="184"/>
      <c r="FW82" s="184"/>
      <c r="FX82" s="184"/>
      <c r="FY82" s="184"/>
      <c r="FZ82" s="184"/>
      <c r="GA82" s="184"/>
      <c r="GB82" s="184"/>
      <c r="GC82" s="184"/>
      <c r="GD82" s="184"/>
      <c r="GE82" s="184"/>
      <c r="GF82" s="184"/>
      <c r="GG82" s="184"/>
      <c r="GH82" s="184"/>
      <c r="GI82" s="184"/>
      <c r="GJ82" s="184"/>
      <c r="GK82" s="184"/>
      <c r="GL82" s="184"/>
      <c r="GM82" s="184"/>
      <c r="GN82" s="184"/>
      <c r="GO82" s="184"/>
      <c r="GP82" s="184"/>
      <c r="GQ82" s="184"/>
      <c r="GR82" s="184"/>
      <c r="GS82" s="184"/>
      <c r="GT82" s="184"/>
      <c r="GU82" s="184"/>
      <c r="GV82" s="184"/>
      <c r="GW82" s="184"/>
      <c r="GX82" s="184"/>
      <c r="GY82" s="138">
        <f t="shared" si="668"/>
        <v>0</v>
      </c>
      <c r="GZ82" s="108">
        <f t="shared" si="669"/>
        <v>0</v>
      </c>
      <c r="HA82" s="108">
        <f t="shared" si="670"/>
        <v>0</v>
      </c>
      <c r="HB82" s="108">
        <f t="shared" si="671"/>
        <v>0</v>
      </c>
      <c r="HC82" s="108">
        <f t="shared" si="672"/>
        <v>0</v>
      </c>
      <c r="HD82" s="108">
        <f t="shared" si="673"/>
        <v>0</v>
      </c>
      <c r="HE82" s="108">
        <f t="shared" si="674"/>
        <v>0</v>
      </c>
      <c r="HF82" s="108">
        <f t="shared" si="675"/>
        <v>0</v>
      </c>
      <c r="HG82" s="108">
        <f t="shared" si="676"/>
        <v>0</v>
      </c>
      <c r="HH82" s="108">
        <f t="shared" si="677"/>
        <v>0</v>
      </c>
      <c r="HI82" s="108">
        <f t="shared" si="678"/>
        <v>0</v>
      </c>
      <c r="HJ82" s="108">
        <f t="shared" si="679"/>
        <v>0</v>
      </c>
      <c r="HK82" s="108">
        <f t="shared" si="680"/>
        <v>0</v>
      </c>
      <c r="HL82" s="108">
        <f t="shared" si="681"/>
        <v>0</v>
      </c>
      <c r="HM82" s="108">
        <f t="shared" si="682"/>
        <v>0</v>
      </c>
      <c r="HN82" s="108">
        <f t="shared" si="672"/>
        <v>0</v>
      </c>
      <c r="HO82" s="108">
        <f t="shared" si="672"/>
        <v>0</v>
      </c>
      <c r="HP82" s="108">
        <f t="shared" si="672"/>
        <v>0</v>
      </c>
      <c r="HQ82" s="108">
        <f t="shared" si="672"/>
        <v>0</v>
      </c>
      <c r="HR82" s="108">
        <f t="shared" si="672"/>
        <v>0</v>
      </c>
      <c r="HS82" s="108">
        <f t="shared" si="672"/>
        <v>0</v>
      </c>
      <c r="HT82" s="108">
        <f t="shared" si="672"/>
        <v>0</v>
      </c>
      <c r="HU82" s="108">
        <f t="shared" si="672"/>
        <v>0</v>
      </c>
      <c r="HV82" s="108">
        <f t="shared" si="672"/>
        <v>0</v>
      </c>
      <c r="HW82" s="108">
        <f t="shared" si="672"/>
        <v>0</v>
      </c>
      <c r="HX82" s="108">
        <f t="shared" si="672"/>
        <v>0</v>
      </c>
      <c r="HY82" s="108">
        <f t="shared" si="672"/>
        <v>0</v>
      </c>
      <c r="HZ82" s="108">
        <f t="shared" si="672"/>
        <v>0</v>
      </c>
      <c r="IA82" s="108">
        <f t="shared" si="672"/>
        <v>0</v>
      </c>
      <c r="IB82" s="108">
        <f t="shared" si="672"/>
        <v>0</v>
      </c>
      <c r="IC82" s="108">
        <f t="shared" si="672"/>
        <v>0</v>
      </c>
      <c r="ID82" s="108">
        <f t="shared" si="672"/>
        <v>0</v>
      </c>
      <c r="IE82" s="108">
        <f t="shared" si="672"/>
        <v>0</v>
      </c>
      <c r="IF82" s="108">
        <f t="shared" si="672"/>
        <v>0</v>
      </c>
      <c r="IG82" s="108">
        <f t="shared" si="672"/>
        <v>0</v>
      </c>
      <c r="IH82" s="108">
        <f t="shared" si="672"/>
        <v>0</v>
      </c>
      <c r="II82" s="108">
        <f t="shared" si="672"/>
        <v>0</v>
      </c>
      <c r="IJ82" s="108">
        <f t="shared" si="672"/>
        <v>0</v>
      </c>
      <c r="IK82" s="108">
        <f t="shared" si="672"/>
        <v>0</v>
      </c>
      <c r="IL82" s="108">
        <f t="shared" si="672"/>
        <v>0</v>
      </c>
      <c r="IM82" s="108">
        <f t="shared" si="672"/>
        <v>0</v>
      </c>
      <c r="IN82" s="108">
        <f t="shared" si="672"/>
        <v>0</v>
      </c>
      <c r="IO82" s="108">
        <f t="shared" si="672"/>
        <v>0</v>
      </c>
      <c r="IP82" s="108">
        <f t="shared" si="672"/>
        <v>0</v>
      </c>
      <c r="IQ82" s="108">
        <f t="shared" si="672"/>
        <v>0</v>
      </c>
      <c r="IR82" s="108">
        <f t="shared" si="672"/>
        <v>0</v>
      </c>
      <c r="IS82" s="108">
        <f t="shared" si="672"/>
        <v>0</v>
      </c>
      <c r="IT82" s="108">
        <f t="shared" si="672"/>
        <v>0</v>
      </c>
      <c r="IU82" s="108">
        <f t="shared" si="672"/>
        <v>0</v>
      </c>
      <c r="IV82" s="108">
        <f t="shared" si="672"/>
        <v>0</v>
      </c>
      <c r="IW82" s="108">
        <f t="shared" si="672"/>
        <v>0</v>
      </c>
      <c r="IX82" s="145">
        <f t="shared" si="672"/>
        <v>0</v>
      </c>
      <c r="IY82" s="145">
        <f t="shared" si="672"/>
        <v>0</v>
      </c>
      <c r="IZ82" s="145">
        <f t="shared" si="672"/>
        <v>0</v>
      </c>
      <c r="JA82" s="145">
        <f t="shared" si="672"/>
        <v>0</v>
      </c>
      <c r="JB82" s="145">
        <f t="shared" si="672"/>
        <v>0</v>
      </c>
      <c r="JC82" s="145">
        <f t="shared" si="672"/>
        <v>0</v>
      </c>
      <c r="JD82" s="145">
        <f t="shared" si="672"/>
        <v>0</v>
      </c>
      <c r="JE82" s="145">
        <f t="shared" si="672"/>
        <v>0</v>
      </c>
      <c r="JF82" s="145">
        <f t="shared" si="672"/>
        <v>0</v>
      </c>
      <c r="JG82" s="145">
        <f t="shared" si="672"/>
        <v>0</v>
      </c>
      <c r="JH82" s="145">
        <f t="shared" si="672"/>
        <v>0</v>
      </c>
      <c r="JI82" s="145">
        <f t="shared" si="672"/>
        <v>0</v>
      </c>
      <c r="JJ82" s="145">
        <f t="shared" si="672"/>
        <v>0</v>
      </c>
      <c r="JK82" s="145">
        <f t="shared" ref="JK82:JK91" si="685">BO30</f>
        <v>0</v>
      </c>
      <c r="JL82" s="145">
        <f t="shared" si="683"/>
        <v>0</v>
      </c>
      <c r="JM82" s="145">
        <f t="shared" si="683"/>
        <v>0</v>
      </c>
      <c r="JN82" s="145">
        <f t="shared" si="683"/>
        <v>0</v>
      </c>
      <c r="JO82" s="145">
        <f t="shared" si="683"/>
        <v>0</v>
      </c>
      <c r="JP82" s="145">
        <f t="shared" si="683"/>
        <v>0</v>
      </c>
      <c r="JQ82" s="145">
        <f t="shared" si="683"/>
        <v>0</v>
      </c>
      <c r="JR82" s="145">
        <f t="shared" si="683"/>
        <v>0</v>
      </c>
      <c r="JS82" s="145">
        <f t="shared" si="683"/>
        <v>0</v>
      </c>
      <c r="JT82" s="145">
        <f t="shared" si="683"/>
        <v>0</v>
      </c>
      <c r="JU82" s="146">
        <f t="shared" si="683"/>
        <v>0</v>
      </c>
      <c r="JV82" s="146">
        <f t="shared" si="683"/>
        <v>0</v>
      </c>
      <c r="JW82" s="146">
        <f t="shared" si="683"/>
        <v>0</v>
      </c>
      <c r="JX82" s="146">
        <f t="shared" si="683"/>
        <v>0</v>
      </c>
      <c r="JY82" s="146">
        <f t="shared" si="683"/>
        <v>0</v>
      </c>
      <c r="JZ82" s="146">
        <f t="shared" si="683"/>
        <v>0</v>
      </c>
      <c r="KA82" s="146">
        <f t="shared" si="683"/>
        <v>0</v>
      </c>
      <c r="KB82" s="146">
        <f t="shared" si="683"/>
        <v>0</v>
      </c>
      <c r="KC82" s="146">
        <f t="shared" si="683"/>
        <v>0</v>
      </c>
      <c r="KD82" s="146">
        <f t="shared" si="683"/>
        <v>0</v>
      </c>
      <c r="KE82" s="146">
        <f t="shared" si="683"/>
        <v>0</v>
      </c>
      <c r="KF82" s="146">
        <f t="shared" si="683"/>
        <v>0</v>
      </c>
      <c r="KG82" s="146">
        <f t="shared" si="683"/>
        <v>0</v>
      </c>
      <c r="KH82" s="146">
        <f t="shared" si="683"/>
        <v>0</v>
      </c>
      <c r="KI82" s="146">
        <f t="shared" si="683"/>
        <v>0</v>
      </c>
      <c r="KJ82" s="146">
        <f t="shared" si="683"/>
        <v>0</v>
      </c>
      <c r="KK82" s="146">
        <f t="shared" si="683"/>
        <v>0</v>
      </c>
      <c r="KL82" s="146">
        <f t="shared" si="683"/>
        <v>0</v>
      </c>
      <c r="KM82" s="146">
        <f t="shared" si="683"/>
        <v>0</v>
      </c>
      <c r="KN82" s="146">
        <f t="shared" si="683"/>
        <v>0</v>
      </c>
      <c r="KO82" s="146">
        <f t="shared" si="683"/>
        <v>0</v>
      </c>
      <c r="KP82" s="146">
        <f t="shared" si="683"/>
        <v>0</v>
      </c>
      <c r="KQ82" s="146">
        <f t="shared" si="683"/>
        <v>0</v>
      </c>
      <c r="KR82" s="146">
        <f t="shared" si="683"/>
        <v>0</v>
      </c>
      <c r="KS82" s="146">
        <f t="shared" si="683"/>
        <v>0</v>
      </c>
      <c r="KT82" s="146">
        <f t="shared" si="683"/>
        <v>0</v>
      </c>
      <c r="KU82" s="146">
        <f t="shared" si="683"/>
        <v>0</v>
      </c>
      <c r="KV82" s="146">
        <f t="shared" si="683"/>
        <v>0</v>
      </c>
      <c r="KW82" s="156">
        <f t="shared" si="683"/>
        <v>0</v>
      </c>
      <c r="KX82" s="156">
        <f t="shared" si="683"/>
        <v>0</v>
      </c>
      <c r="KY82" s="156">
        <f t="shared" si="683"/>
        <v>0</v>
      </c>
      <c r="KZ82" s="156">
        <f t="shared" si="683"/>
        <v>0</v>
      </c>
      <c r="LA82" s="156">
        <f t="shared" si="683"/>
        <v>0</v>
      </c>
      <c r="LB82" s="156">
        <f t="shared" si="683"/>
        <v>0</v>
      </c>
      <c r="LC82" s="156">
        <f t="shared" si="683"/>
        <v>0</v>
      </c>
      <c r="LD82" s="156">
        <f t="shared" si="683"/>
        <v>0</v>
      </c>
      <c r="LE82" s="156">
        <f t="shared" si="683"/>
        <v>0</v>
      </c>
      <c r="LF82" s="156">
        <f t="shared" si="683"/>
        <v>0</v>
      </c>
      <c r="LG82" s="156">
        <f t="shared" si="683"/>
        <v>0</v>
      </c>
      <c r="LH82" s="156">
        <f t="shared" si="683"/>
        <v>0</v>
      </c>
      <c r="LI82" s="156">
        <f t="shared" si="683"/>
        <v>0</v>
      </c>
      <c r="LJ82" s="156">
        <f t="shared" si="683"/>
        <v>0</v>
      </c>
      <c r="LK82" s="156">
        <f t="shared" si="683"/>
        <v>0</v>
      </c>
      <c r="LL82" s="156">
        <f t="shared" si="683"/>
        <v>0</v>
      </c>
      <c r="LM82" s="156">
        <f t="shared" si="683"/>
        <v>0</v>
      </c>
      <c r="LN82" s="156">
        <f t="shared" si="683"/>
        <v>0</v>
      </c>
      <c r="LO82" s="156">
        <f t="shared" si="683"/>
        <v>0</v>
      </c>
      <c r="LP82" s="156">
        <f t="shared" si="683"/>
        <v>0</v>
      </c>
      <c r="LQ82" s="156">
        <f t="shared" si="683"/>
        <v>0</v>
      </c>
      <c r="LR82" s="156">
        <f t="shared" si="683"/>
        <v>0</v>
      </c>
      <c r="LS82" s="156">
        <f t="shared" si="683"/>
        <v>0</v>
      </c>
      <c r="LT82" s="156">
        <f t="shared" si="683"/>
        <v>0</v>
      </c>
      <c r="LU82" s="156">
        <f t="shared" si="683"/>
        <v>0</v>
      </c>
      <c r="LV82" s="156">
        <f t="shared" si="683"/>
        <v>0</v>
      </c>
      <c r="LW82" s="178">
        <f t="shared" ref="LW82:LW91" si="686">EA30</f>
        <v>0</v>
      </c>
      <c r="LX82" s="181">
        <f t="shared" si="684"/>
        <v>24.185735913858924</v>
      </c>
      <c r="LY82" s="177">
        <f t="shared" si="684"/>
        <v>0</v>
      </c>
      <c r="LZ82" s="181">
        <f t="shared" si="684"/>
        <v>24.082193323306559</v>
      </c>
      <c r="MA82" s="155">
        <f t="shared" si="684"/>
        <v>0</v>
      </c>
      <c r="MB82" s="156">
        <f t="shared" si="684"/>
        <v>0</v>
      </c>
      <c r="MC82" s="156">
        <f t="shared" si="684"/>
        <v>0</v>
      </c>
      <c r="MD82" s="178">
        <f t="shared" si="684"/>
        <v>0</v>
      </c>
      <c r="ME82" s="181">
        <f t="shared" si="684"/>
        <v>23.834369382163725</v>
      </c>
      <c r="MF82" s="177">
        <f t="shared" si="684"/>
        <v>0</v>
      </c>
      <c r="MG82" s="181">
        <f t="shared" si="684"/>
        <v>23.729612561855234</v>
      </c>
      <c r="MH82" s="155">
        <f t="shared" si="684"/>
        <v>0</v>
      </c>
      <c r="MI82" s="156">
        <f t="shared" si="684"/>
        <v>0</v>
      </c>
      <c r="MJ82" s="156">
        <f t="shared" si="684"/>
        <v>0</v>
      </c>
      <c r="MK82" s="178">
        <f t="shared" si="684"/>
        <v>0</v>
      </c>
      <c r="ML82" s="181">
        <f t="shared" si="684"/>
        <v>23.481493552061213</v>
      </c>
      <c r="MM82" s="177">
        <f t="shared" si="684"/>
        <v>0</v>
      </c>
      <c r="MN82" s="181">
        <f t="shared" si="684"/>
        <v>23.372038483450538</v>
      </c>
      <c r="MO82" s="155">
        <f t="shared" si="684"/>
        <v>0</v>
      </c>
      <c r="MP82" s="156">
        <f t="shared" si="684"/>
        <v>0</v>
      </c>
      <c r="MQ82" s="156">
        <f t="shared" si="684"/>
        <v>0</v>
      </c>
      <c r="MR82" s="178">
        <f t="shared" si="684"/>
        <v>0</v>
      </c>
      <c r="MS82" s="181">
        <f t="shared" si="684"/>
        <v>23.116065489904333</v>
      </c>
      <c r="MT82" s="177">
        <f t="shared" si="684"/>
        <v>0</v>
      </c>
      <c r="MU82" s="181">
        <f t="shared" si="684"/>
        <v>22.977554025488825</v>
      </c>
      <c r="MV82" s="184"/>
      <c r="MW82" s="184"/>
      <c r="MX82" s="184"/>
      <c r="MY82" s="184"/>
      <c r="MZ82" s="184"/>
      <c r="NA82" s="184"/>
      <c r="NB82" s="184"/>
      <c r="NC82" s="184"/>
      <c r="ND82" s="184"/>
      <c r="NE82" s="184"/>
      <c r="NF82" s="184"/>
      <c r="NG82" s="184"/>
      <c r="NH82" s="184"/>
      <c r="NI82" s="184"/>
      <c r="NJ82" s="184"/>
      <c r="NK82" s="184"/>
      <c r="NL82" s="184"/>
      <c r="NM82" s="20"/>
      <c r="NN82" s="20"/>
      <c r="NO82" s="20"/>
      <c r="NP82" s="20"/>
      <c r="NQ82" s="20"/>
      <c r="NR82" s="20"/>
      <c r="NS82" s="20"/>
      <c r="NT82" s="20"/>
      <c r="NU82" s="20"/>
      <c r="NV82" s="20"/>
      <c r="NW82" s="20"/>
      <c r="NX82" s="20"/>
      <c r="NY82" s="20"/>
      <c r="NZ82" s="20"/>
      <c r="OA82" s="20"/>
      <c r="OB82" s="20"/>
      <c r="OC82" s="20"/>
      <c r="OD82" s="20"/>
      <c r="OE82" s="20"/>
      <c r="OF82" s="20"/>
      <c r="OG82" s="20"/>
      <c r="OH82" s="20"/>
      <c r="OI82" s="20"/>
      <c r="OJ82" s="20"/>
      <c r="OK82" s="20"/>
      <c r="OL82" s="20"/>
      <c r="OM82" s="20"/>
      <c r="ON82" s="20"/>
      <c r="OO82" s="20"/>
      <c r="OP82" s="20"/>
      <c r="OQ82" s="20"/>
      <c r="OR82" s="20"/>
      <c r="OS82" s="20"/>
      <c r="OT82" s="20"/>
      <c r="OU82" s="20"/>
      <c r="OV82" s="20"/>
      <c r="OW82" s="20"/>
      <c r="OX82" s="20"/>
      <c r="OY82" s="20"/>
      <c r="OZ82" s="20"/>
      <c r="PA82" s="20"/>
      <c r="PB82" s="20"/>
      <c r="PC82" s="20"/>
      <c r="PD82" s="20"/>
      <c r="PE82" s="20"/>
      <c r="PF82" s="20"/>
      <c r="PG82" s="20"/>
      <c r="PH82" s="20"/>
      <c r="PI82" s="20"/>
      <c r="PJ82" s="20"/>
      <c r="PK82" s="20"/>
      <c r="PL82" s="20"/>
      <c r="PM82" s="20"/>
      <c r="PN82" s="20"/>
      <c r="PO82" s="20"/>
      <c r="PP82" s="20"/>
      <c r="PQ82" s="20"/>
      <c r="PR82" s="20"/>
      <c r="PS82" s="20"/>
      <c r="PT82" s="20"/>
      <c r="PU82" s="20"/>
      <c r="PV82" s="20"/>
      <c r="PW82" s="20"/>
      <c r="PX82" s="20"/>
      <c r="PY82" s="20"/>
      <c r="PZ82" s="20"/>
      <c r="QA82" s="20"/>
      <c r="QB82" s="20"/>
      <c r="QC82" s="20"/>
      <c r="QD82" s="20"/>
      <c r="QE82" s="20"/>
      <c r="QF82" s="20"/>
      <c r="QG82" s="20"/>
      <c r="QH82" s="20"/>
      <c r="QI82" s="20"/>
      <c r="QJ82" s="20"/>
      <c r="QK82" s="20"/>
      <c r="QL82" s="20"/>
      <c r="QM82" s="20"/>
      <c r="QN82" s="20"/>
      <c r="QO82" s="20"/>
      <c r="QP82" s="20"/>
      <c r="QQ82" s="20"/>
      <c r="QR82" s="20"/>
      <c r="QS82" s="20"/>
      <c r="QT82" s="20"/>
      <c r="QU82" s="20"/>
      <c r="QV82" s="20"/>
      <c r="QW82" s="20"/>
      <c r="QX82" s="20"/>
      <c r="QY82" s="20"/>
      <c r="QZ82" s="20"/>
      <c r="RA82" s="20"/>
      <c r="RB82" s="20"/>
      <c r="RC82" s="20"/>
      <c r="RD82" s="20"/>
      <c r="RE82" s="20"/>
      <c r="RF82" s="20"/>
      <c r="RG82" s="20"/>
      <c r="RH82" s="20"/>
      <c r="RI82" s="20"/>
      <c r="RJ82" s="20"/>
      <c r="RK82" s="20"/>
      <c r="RL82" s="20"/>
      <c r="RM82" s="20"/>
      <c r="RN82" s="20"/>
      <c r="RO82" s="20"/>
      <c r="RP82" s="20"/>
      <c r="RQ82" s="20"/>
      <c r="RR82" s="20"/>
      <c r="RS82" s="20"/>
      <c r="RT82" s="20"/>
      <c r="RU82" s="20"/>
      <c r="RV82" s="20"/>
      <c r="RW82" s="20"/>
      <c r="RX82" s="20"/>
      <c r="RY82" s="20"/>
      <c r="RZ82" s="20"/>
      <c r="SA82" s="20"/>
      <c r="SB82" s="20"/>
      <c r="SC82" s="20"/>
      <c r="SD82" s="20"/>
      <c r="SE82" s="20"/>
      <c r="SF82" s="20"/>
      <c r="SG82" s="20"/>
      <c r="SH82" s="20"/>
      <c r="SI82" s="20"/>
      <c r="SJ82" s="20"/>
      <c r="SK82" s="20"/>
      <c r="SL82" s="20"/>
      <c r="SM82" s="20"/>
      <c r="SN82" s="20"/>
      <c r="SO82" s="20"/>
      <c r="SP82" s="20"/>
      <c r="SQ82" s="20"/>
      <c r="SR82" s="20"/>
      <c r="SS82" s="20"/>
      <c r="ST82" s="20"/>
      <c r="SU82" s="20"/>
      <c r="SV82" s="20"/>
      <c r="SW82" s="20"/>
      <c r="SX82" s="20"/>
      <c r="SY82" s="20"/>
      <c r="SZ82" s="20"/>
      <c r="TA82" s="184"/>
      <c r="TB82" s="185"/>
      <c r="TC82" s="11"/>
      <c r="TD82" s="11"/>
      <c r="TE82" s="11"/>
      <c r="TF82" s="11"/>
    </row>
    <row r="83" spans="1:526" ht="22.15" customHeight="1" thickBot="1" x14ac:dyDescent="0.3">
      <c r="A83" s="298"/>
      <c r="B83" s="25" t="s">
        <v>2</v>
      </c>
      <c r="BY83" s="184"/>
      <c r="BZ83" s="184"/>
      <c r="CA83" s="184"/>
      <c r="CB83" s="184"/>
      <c r="CC83" s="184"/>
      <c r="CD83" s="184"/>
      <c r="CE83" s="184"/>
      <c r="CF83" s="184"/>
      <c r="CG83" s="184"/>
      <c r="CH83" s="184"/>
      <c r="CI83" s="184"/>
      <c r="CJ83" s="184"/>
      <c r="CK83" s="184"/>
      <c r="CL83" s="184"/>
      <c r="CM83" s="184"/>
      <c r="CN83" s="184"/>
      <c r="CO83" s="184"/>
      <c r="CP83" s="184"/>
      <c r="CQ83" s="184"/>
      <c r="CR83" s="184"/>
      <c r="CS83" s="184"/>
      <c r="CT83" s="184"/>
      <c r="CU83" s="184"/>
      <c r="CV83" s="184"/>
      <c r="CW83" s="184"/>
      <c r="CX83" s="184"/>
      <c r="CY83" s="184"/>
      <c r="CZ83" s="184"/>
      <c r="DA83" s="184"/>
      <c r="DB83" s="184"/>
      <c r="DC83" s="184"/>
      <c r="DD83" s="184"/>
      <c r="DE83" s="184"/>
      <c r="DF83" s="184"/>
      <c r="DG83" s="184"/>
      <c r="DH83" s="184"/>
      <c r="DI83" s="184"/>
      <c r="DJ83" s="184"/>
      <c r="DK83" s="184"/>
      <c r="DL83" s="184"/>
      <c r="DM83" s="184"/>
      <c r="DN83" s="184"/>
      <c r="DO83" s="184"/>
      <c r="DP83" s="184"/>
      <c r="DQ83" s="184"/>
      <c r="DR83" s="184"/>
      <c r="DS83" s="184"/>
      <c r="DT83" s="184"/>
      <c r="DU83" s="184"/>
      <c r="DV83" s="184"/>
      <c r="DW83" s="184"/>
      <c r="DX83" s="184"/>
      <c r="DY83" s="184"/>
      <c r="DZ83" s="184"/>
      <c r="EA83" s="184"/>
      <c r="EB83" s="184"/>
      <c r="EC83" s="184"/>
      <c r="ED83" s="184"/>
      <c r="EE83" s="184"/>
      <c r="EF83" s="184"/>
      <c r="EG83" s="184"/>
      <c r="EH83" s="184"/>
      <c r="EI83" s="184"/>
      <c r="EJ83" s="184"/>
      <c r="EK83" s="184"/>
      <c r="EL83" s="184"/>
      <c r="EM83" s="184"/>
      <c r="EN83" s="184"/>
      <c r="EO83" s="184"/>
      <c r="EP83" s="184"/>
      <c r="EQ83" s="184"/>
      <c r="ER83" s="184"/>
      <c r="ES83" s="184"/>
      <c r="ET83" s="184"/>
      <c r="EU83" s="184"/>
      <c r="EV83" s="184"/>
      <c r="EW83" s="184"/>
      <c r="EX83" s="184"/>
      <c r="EY83" s="184"/>
      <c r="EZ83" s="184"/>
      <c r="FA83" s="184"/>
      <c r="FB83" s="184"/>
      <c r="FC83" s="184"/>
      <c r="FD83" s="184"/>
      <c r="FE83" s="184"/>
      <c r="FF83" s="184"/>
      <c r="FG83" s="184"/>
      <c r="FH83" s="184"/>
      <c r="FI83" s="184"/>
      <c r="FJ83" s="184"/>
      <c r="FK83" s="184"/>
      <c r="FL83" s="184"/>
      <c r="FM83" s="184"/>
      <c r="FN83" s="184"/>
      <c r="FO83" s="184"/>
      <c r="FP83" s="184"/>
      <c r="FQ83" s="184"/>
      <c r="FR83" s="184"/>
      <c r="FS83" s="184"/>
      <c r="FT83" s="184"/>
      <c r="FU83" s="184"/>
      <c r="FV83" s="184"/>
      <c r="FW83" s="184"/>
      <c r="FX83" s="184"/>
      <c r="FY83" s="184"/>
      <c r="FZ83" s="184"/>
      <c r="GA83" s="184"/>
      <c r="GB83" s="184"/>
      <c r="GC83" s="184"/>
      <c r="GD83" s="184"/>
      <c r="GE83" s="184"/>
      <c r="GF83" s="184"/>
      <c r="GG83" s="184"/>
      <c r="GH83" s="184"/>
      <c r="GI83" s="184"/>
      <c r="GJ83" s="184"/>
      <c r="GK83" s="184"/>
      <c r="GL83" s="184"/>
      <c r="GM83" s="184"/>
      <c r="GN83" s="184"/>
      <c r="GO83" s="184"/>
      <c r="GP83" s="184"/>
      <c r="GQ83" s="184"/>
      <c r="GR83" s="184"/>
      <c r="GS83" s="184"/>
      <c r="GT83" s="184"/>
      <c r="GU83" s="184"/>
      <c r="GV83" s="184"/>
      <c r="GW83" s="184"/>
      <c r="GX83" s="184"/>
      <c r="GY83" s="140">
        <f t="shared" si="668"/>
        <v>2E-3</v>
      </c>
      <c r="GZ83" s="112">
        <f t="shared" si="669"/>
        <v>2E-3</v>
      </c>
      <c r="HA83" s="113">
        <f t="shared" si="670"/>
        <v>2E-3</v>
      </c>
      <c r="HB83" s="113">
        <f t="shared" si="671"/>
        <v>2E-3</v>
      </c>
      <c r="HC83" s="113">
        <f t="shared" ref="HC83:HC91" si="687">G31</f>
        <v>2E-3</v>
      </c>
      <c r="HD83" s="113">
        <f t="shared" si="673"/>
        <v>2E-3</v>
      </c>
      <c r="HE83" s="113">
        <f t="shared" si="674"/>
        <v>2E-3</v>
      </c>
      <c r="HF83" s="113">
        <f t="shared" si="675"/>
        <v>2E-3</v>
      </c>
      <c r="HG83" s="113">
        <f t="shared" si="676"/>
        <v>2E-3</v>
      </c>
      <c r="HH83" s="113">
        <f t="shared" si="677"/>
        <v>2E-3</v>
      </c>
      <c r="HI83" s="113">
        <f t="shared" si="678"/>
        <v>2E-3</v>
      </c>
      <c r="HJ83" s="113">
        <f t="shared" si="679"/>
        <v>2E-3</v>
      </c>
      <c r="HK83" s="113">
        <f t="shared" si="680"/>
        <v>2E-3</v>
      </c>
      <c r="HL83" s="113">
        <f t="shared" si="681"/>
        <v>2E-3</v>
      </c>
      <c r="HM83" s="113">
        <f t="shared" si="682"/>
        <v>2E-3</v>
      </c>
      <c r="HN83" s="113">
        <f t="shared" ref="HN83:HN91" si="688">R31</f>
        <v>2E-3</v>
      </c>
      <c r="HO83" s="113">
        <f t="shared" ref="HO83:HO91" si="689">S31</f>
        <v>2E-3</v>
      </c>
      <c r="HP83" s="113">
        <f t="shared" ref="HP83:HP91" si="690">T31</f>
        <v>2E-3</v>
      </c>
      <c r="HQ83" s="113">
        <f t="shared" ref="HQ83:HQ91" si="691">U31</f>
        <v>2E-3</v>
      </c>
      <c r="HR83" s="113">
        <f t="shared" ref="HR83:HR91" si="692">V31</f>
        <v>2E-3</v>
      </c>
      <c r="HS83" s="113">
        <f t="shared" ref="HS83:HS91" si="693">W31</f>
        <v>2E-3</v>
      </c>
      <c r="HT83" s="113">
        <f t="shared" ref="HT83:HT91" si="694">X31</f>
        <v>2E-3</v>
      </c>
      <c r="HU83" s="113">
        <f t="shared" ref="HU83:HU91" si="695">Y31</f>
        <v>2E-3</v>
      </c>
      <c r="HV83" s="113">
        <f t="shared" ref="HV83:HV91" si="696">Z31</f>
        <v>2E-3</v>
      </c>
      <c r="HW83" s="113">
        <f t="shared" ref="HW83:HW91" si="697">AA31</f>
        <v>2E-3</v>
      </c>
      <c r="HX83" s="113">
        <f t="shared" ref="HX83:HX91" si="698">AB31</f>
        <v>2E-3</v>
      </c>
      <c r="HY83" s="113">
        <f t="shared" ref="HY83:HY91" si="699">AC31</f>
        <v>2E-3</v>
      </c>
      <c r="HZ83" s="113">
        <f t="shared" ref="HZ83:HZ91" si="700">AD31</f>
        <v>2E-3</v>
      </c>
      <c r="IA83" s="113">
        <f t="shared" ref="IA83:IA91" si="701">AE31</f>
        <v>2E-3</v>
      </c>
      <c r="IB83" s="113">
        <f t="shared" ref="IB83:IB91" si="702">AF31</f>
        <v>2E-3</v>
      </c>
      <c r="IC83" s="113">
        <f t="shared" ref="IC83:IC91" si="703">AG31</f>
        <v>2E-3</v>
      </c>
      <c r="ID83" s="113">
        <f t="shared" ref="ID83:ID91" si="704">AH31</f>
        <v>2E-3</v>
      </c>
      <c r="IE83" s="113">
        <f t="shared" ref="IE83:IE91" si="705">AI31</f>
        <v>2E-3</v>
      </c>
      <c r="IF83" s="113">
        <f t="shared" ref="IF83:IF91" si="706">AJ31</f>
        <v>2E-3</v>
      </c>
      <c r="IG83" s="113">
        <f t="shared" ref="IG83:IG91" si="707">AK31</f>
        <v>2E-3</v>
      </c>
      <c r="IH83" s="113">
        <f t="shared" ref="IH83:IH91" si="708">AL31</f>
        <v>2E-3</v>
      </c>
      <c r="II83" s="113">
        <f t="shared" ref="II83:II91" si="709">AM31</f>
        <v>2E-3</v>
      </c>
      <c r="IJ83" s="113">
        <f t="shared" ref="IJ83:IJ91" si="710">AN31</f>
        <v>2E-3</v>
      </c>
      <c r="IK83" s="113">
        <f t="shared" ref="IK83:IK91" si="711">AO31</f>
        <v>2E-3</v>
      </c>
      <c r="IL83" s="113">
        <f t="shared" ref="IL83:IL91" si="712">AP31</f>
        <v>2E-3</v>
      </c>
      <c r="IM83" s="113">
        <f t="shared" ref="IM83:IM91" si="713">AQ31</f>
        <v>2E-3</v>
      </c>
      <c r="IN83" s="113">
        <f t="shared" ref="IN83:IN91" si="714">AR31</f>
        <v>2E-3</v>
      </c>
      <c r="IO83" s="113">
        <f t="shared" ref="IO83:IO91" si="715">AS31</f>
        <v>2E-3</v>
      </c>
      <c r="IP83" s="113">
        <f t="shared" ref="IP83:IP91" si="716">AT31</f>
        <v>2E-3</v>
      </c>
      <c r="IQ83" s="113">
        <f t="shared" ref="IQ83:IQ91" si="717">AU31</f>
        <v>2E-3</v>
      </c>
      <c r="IR83" s="113">
        <f t="shared" ref="IR83:IR91" si="718">AV31</f>
        <v>2E-3</v>
      </c>
      <c r="IS83" s="113">
        <f t="shared" ref="IS83:IS91" si="719">AW31</f>
        <v>2E-3</v>
      </c>
      <c r="IT83" s="113">
        <f t="shared" ref="IT83:IT91" si="720">AX31</f>
        <v>2E-3</v>
      </c>
      <c r="IU83" s="113">
        <f t="shared" ref="IU83:IU91" si="721">AY31</f>
        <v>2E-3</v>
      </c>
      <c r="IV83" s="113">
        <f t="shared" ref="IV83:IV91" si="722">AZ31</f>
        <v>2E-3</v>
      </c>
      <c r="IW83" s="113">
        <f t="shared" ref="IW83:IW91" si="723">BA31</f>
        <v>2E-3</v>
      </c>
      <c r="IX83" s="147">
        <f t="shared" ref="IX83:IX91" si="724">BB31</f>
        <v>2E-3</v>
      </c>
      <c r="IY83" s="147">
        <f t="shared" ref="IY83:IY91" si="725">BC31</f>
        <v>2E-3</v>
      </c>
      <c r="IZ83" s="147">
        <f t="shared" ref="IZ83:IZ91" si="726">BD31</f>
        <v>2E-3</v>
      </c>
      <c r="JA83" s="147">
        <f t="shared" ref="JA83:JA91" si="727">BE31</f>
        <v>2E-3</v>
      </c>
      <c r="JB83" s="147">
        <f t="shared" ref="JB83:JB91" si="728">BF31</f>
        <v>2E-3</v>
      </c>
      <c r="JC83" s="147">
        <f t="shared" ref="JC83:JC91" si="729">BG31</f>
        <v>2E-3</v>
      </c>
      <c r="JD83" s="147">
        <f t="shared" ref="JD83:JD91" si="730">BH31</f>
        <v>2E-3</v>
      </c>
      <c r="JE83" s="147">
        <f t="shared" ref="JE83:JE91" si="731">BI31</f>
        <v>2E-3</v>
      </c>
      <c r="JF83" s="147">
        <f t="shared" ref="JF83:JF91" si="732">BJ31</f>
        <v>2E-3</v>
      </c>
      <c r="JG83" s="147">
        <f t="shared" ref="JG83:JG91" si="733">BK31</f>
        <v>2E-3</v>
      </c>
      <c r="JH83" s="147">
        <f t="shared" ref="JH83:JH91" si="734">BL31</f>
        <v>2E-3</v>
      </c>
      <c r="JI83" s="147">
        <f t="shared" ref="JI83:JI91" si="735">BM31</f>
        <v>2E-3</v>
      </c>
      <c r="JJ83" s="147">
        <f t="shared" ref="JJ83:JJ91" si="736">BN31</f>
        <v>2E-3</v>
      </c>
      <c r="JK83" s="147">
        <f t="shared" si="685"/>
        <v>2E-3</v>
      </c>
      <c r="JL83" s="147">
        <f t="shared" ref="JL83:JL91" si="737">BP31</f>
        <v>2E-3</v>
      </c>
      <c r="JM83" s="147">
        <f t="shared" ref="JM83:JM91" si="738">BQ31</f>
        <v>2E-3</v>
      </c>
      <c r="JN83" s="147">
        <f t="shared" ref="JN83:JN91" si="739">BR31</f>
        <v>2E-3</v>
      </c>
      <c r="JO83" s="147">
        <f t="shared" ref="JO83:JO91" si="740">BS31</f>
        <v>2E-3</v>
      </c>
      <c r="JP83" s="147">
        <f t="shared" ref="JP83:JP91" si="741">BT31</f>
        <v>2E-3</v>
      </c>
      <c r="JQ83" s="147">
        <f t="shared" ref="JQ83:JQ91" si="742">BU31</f>
        <v>2E-3</v>
      </c>
      <c r="JR83" s="147">
        <f t="shared" ref="JR83:JR91" si="743">BV31</f>
        <v>2E-3</v>
      </c>
      <c r="JS83" s="147">
        <f t="shared" ref="JS83:JS91" si="744">BW31</f>
        <v>2E-3</v>
      </c>
      <c r="JT83" s="147">
        <f t="shared" ref="JT83:JT91" si="745">BX31</f>
        <v>2E-3</v>
      </c>
      <c r="JU83" s="147">
        <f t="shared" ref="JU83:JU91" si="746">BY31</f>
        <v>2E-3</v>
      </c>
      <c r="JV83" s="147">
        <f t="shared" ref="JV83:JV91" si="747">BZ31</f>
        <v>2E-3</v>
      </c>
      <c r="JW83" s="147">
        <f t="shared" ref="JW83:JW91" si="748">CA31</f>
        <v>2E-3</v>
      </c>
      <c r="JX83" s="147">
        <f t="shared" ref="JX83:JX91" si="749">CB31</f>
        <v>2E-3</v>
      </c>
      <c r="JY83" s="147">
        <f t="shared" ref="JY83:JY91" si="750">CC31</f>
        <v>2E-3</v>
      </c>
      <c r="JZ83" s="147">
        <f t="shared" ref="JZ83:JZ91" si="751">CD31</f>
        <v>2E-3</v>
      </c>
      <c r="KA83" s="147">
        <f t="shared" ref="KA83:KA91" si="752">CE31</f>
        <v>2E-3</v>
      </c>
      <c r="KB83" s="147">
        <f t="shared" ref="KB83:KB91" si="753">CF31</f>
        <v>2E-3</v>
      </c>
      <c r="KC83" s="147">
        <f t="shared" ref="KC83:KC91" si="754">CG31</f>
        <v>2E-3</v>
      </c>
      <c r="KD83" s="147">
        <f t="shared" ref="KD83:KD91" si="755">CH31</f>
        <v>2E-3</v>
      </c>
      <c r="KE83" s="147">
        <f t="shared" ref="KE83:KE91" si="756">CI31</f>
        <v>2E-3</v>
      </c>
      <c r="KF83" s="147">
        <f t="shared" ref="KF83:KF91" si="757">CJ31</f>
        <v>2E-3</v>
      </c>
      <c r="KG83" s="147">
        <f t="shared" ref="KG83:KG91" si="758">CK31</f>
        <v>2E-3</v>
      </c>
      <c r="KH83" s="147">
        <f t="shared" ref="KH83:KH91" si="759">CL31</f>
        <v>2E-3</v>
      </c>
      <c r="KI83" s="147">
        <f t="shared" ref="KI83:KI91" si="760">CM31</f>
        <v>2E-3</v>
      </c>
      <c r="KJ83" s="147">
        <f t="shared" ref="KJ83:KJ91" si="761">CN31</f>
        <v>2E-3</v>
      </c>
      <c r="KK83" s="147">
        <f t="shared" ref="KK83:KK91" si="762">CO31</f>
        <v>2E-3</v>
      </c>
      <c r="KL83" s="147">
        <f t="shared" ref="KL83:KL91" si="763">CP31</f>
        <v>2E-3</v>
      </c>
      <c r="KM83" s="147">
        <f t="shared" ref="KM83:KM91" si="764">CQ31</f>
        <v>2E-3</v>
      </c>
      <c r="KN83" s="147">
        <f t="shared" ref="KN83:KN91" si="765">CR31</f>
        <v>2E-3</v>
      </c>
      <c r="KO83" s="147">
        <f t="shared" ref="KO83:KO91" si="766">CS31</f>
        <v>2E-3</v>
      </c>
      <c r="KP83" s="147">
        <f t="shared" ref="KP83:KP91" si="767">CT31</f>
        <v>2E-3</v>
      </c>
      <c r="KQ83" s="147">
        <f t="shared" ref="KQ83:KQ91" si="768">CU31</f>
        <v>2E-3</v>
      </c>
      <c r="KR83" s="147">
        <f t="shared" ref="KR83:KR91" si="769">CV31</f>
        <v>2E-3</v>
      </c>
      <c r="KS83" s="147">
        <f t="shared" ref="KS83:KS91" si="770">CW31</f>
        <v>2E-3</v>
      </c>
      <c r="KT83" s="147">
        <f t="shared" ref="KT83:KT91" si="771">CX31</f>
        <v>2E-3</v>
      </c>
      <c r="KU83" s="147">
        <f t="shared" ref="KU83:KU91" si="772">CY31</f>
        <v>2E-3</v>
      </c>
      <c r="KV83" s="147">
        <f t="shared" ref="KV83:KV91" si="773">CZ31</f>
        <v>2E-3</v>
      </c>
      <c r="KW83" s="157">
        <f t="shared" ref="KW83:KW91" si="774">DA31</f>
        <v>2E-3</v>
      </c>
      <c r="KX83" s="157">
        <f t="shared" ref="KX83:KX91" si="775">DB31</f>
        <v>2E-3</v>
      </c>
      <c r="KY83" s="157">
        <f t="shared" ref="KY83:KY91" si="776">DC31</f>
        <v>2E-3</v>
      </c>
      <c r="KZ83" s="157">
        <f t="shared" ref="KZ83:KZ91" si="777">DD31</f>
        <v>2E-3</v>
      </c>
      <c r="LA83" s="157">
        <f t="shared" ref="LA83:LA91" si="778">DE31</f>
        <v>2E-3</v>
      </c>
      <c r="LB83" s="157">
        <f t="shared" ref="LB83:LB91" si="779">DF31</f>
        <v>2E-3</v>
      </c>
      <c r="LC83" s="157">
        <f t="shared" ref="LC83:LC91" si="780">DG31</f>
        <v>2E-3</v>
      </c>
      <c r="LD83" s="157">
        <f t="shared" ref="LD83:LD91" si="781">DH31</f>
        <v>2E-3</v>
      </c>
      <c r="LE83" s="157">
        <f t="shared" ref="LE83:LE91" si="782">DI31</f>
        <v>2E-3</v>
      </c>
      <c r="LF83" s="157">
        <f t="shared" ref="LF83:LF91" si="783">DJ31</f>
        <v>2E-3</v>
      </c>
      <c r="LG83" s="157">
        <f t="shared" ref="LG83:LG91" si="784">DK31</f>
        <v>2E-3</v>
      </c>
      <c r="LH83" s="157">
        <f t="shared" ref="LH83:LH91" si="785">DL31</f>
        <v>2E-3</v>
      </c>
      <c r="LI83" s="157">
        <f t="shared" ref="LI83:LI91" si="786">DM31</f>
        <v>2E-3</v>
      </c>
      <c r="LJ83" s="157">
        <f t="shared" ref="LJ83:LJ91" si="787">DN31</f>
        <v>2E-3</v>
      </c>
      <c r="LK83" s="157">
        <f t="shared" ref="LK83:LK91" si="788">DO31</f>
        <v>2E-3</v>
      </c>
      <c r="LL83" s="157">
        <f t="shared" ref="LL83:LL91" si="789">DP31</f>
        <v>2E-3</v>
      </c>
      <c r="LM83" s="157">
        <f t="shared" ref="LM83:LM91" si="790">DQ31</f>
        <v>2E-3</v>
      </c>
      <c r="LN83" s="157">
        <f t="shared" ref="LN83:LN91" si="791">DR31</f>
        <v>2E-3</v>
      </c>
      <c r="LO83" s="157">
        <f t="shared" ref="LO83:LO91" si="792">DS31</f>
        <v>2E-3</v>
      </c>
      <c r="LP83" s="157">
        <f t="shared" ref="LP83:LP91" si="793">DT31</f>
        <v>2E-3</v>
      </c>
      <c r="LQ83" s="157">
        <f t="shared" ref="LQ83:LQ91" si="794">DU31</f>
        <v>2E-3</v>
      </c>
      <c r="LR83" s="157">
        <f t="shared" ref="LR83:LR91" si="795">DV31</f>
        <v>2E-3</v>
      </c>
      <c r="LS83" s="157">
        <f t="shared" ref="LS83:LS91" si="796">DW31</f>
        <v>2E-3</v>
      </c>
      <c r="LT83" s="157">
        <f t="shared" ref="LT83:LT91" si="797">DX31</f>
        <v>2E-3</v>
      </c>
      <c r="LU83" s="157">
        <f t="shared" ref="LU83:LU91" si="798">DY31</f>
        <v>2E-3</v>
      </c>
      <c r="LV83" s="157">
        <f t="shared" ref="LV83:LV91" si="799">DZ31</f>
        <v>2E-3</v>
      </c>
      <c r="LW83" s="157">
        <f t="shared" si="686"/>
        <v>2E-3</v>
      </c>
      <c r="LX83" s="180">
        <f t="shared" si="684"/>
        <v>2E-3</v>
      </c>
      <c r="LY83" s="157">
        <f t="shared" si="684"/>
        <v>2E-3</v>
      </c>
      <c r="LZ83" s="180">
        <f t="shared" si="684"/>
        <v>2E-3</v>
      </c>
      <c r="MA83" s="157">
        <f t="shared" si="684"/>
        <v>2E-3</v>
      </c>
      <c r="MB83" s="157">
        <f t="shared" si="684"/>
        <v>2E-3</v>
      </c>
      <c r="MC83" s="157">
        <f t="shared" si="684"/>
        <v>2E-3</v>
      </c>
      <c r="MD83" s="157">
        <f t="shared" si="684"/>
        <v>2E-3</v>
      </c>
      <c r="ME83" s="180">
        <f t="shared" si="684"/>
        <v>2E-3</v>
      </c>
      <c r="MF83" s="157">
        <f t="shared" si="684"/>
        <v>2E-3</v>
      </c>
      <c r="MG83" s="180">
        <f t="shared" si="684"/>
        <v>2E-3</v>
      </c>
      <c r="MH83" s="157">
        <f t="shared" si="684"/>
        <v>2E-3</v>
      </c>
      <c r="MI83" s="157">
        <f t="shared" si="684"/>
        <v>2E-3</v>
      </c>
      <c r="MJ83" s="157">
        <f t="shared" si="684"/>
        <v>2E-3</v>
      </c>
      <c r="MK83" s="157">
        <f t="shared" si="684"/>
        <v>2E-3</v>
      </c>
      <c r="ML83" s="180">
        <f t="shared" si="684"/>
        <v>2E-3</v>
      </c>
      <c r="MM83" s="157">
        <f t="shared" si="684"/>
        <v>2E-3</v>
      </c>
      <c r="MN83" s="180">
        <f t="shared" si="684"/>
        <v>2E-3</v>
      </c>
      <c r="MO83" s="157">
        <f t="shared" si="684"/>
        <v>2E-3</v>
      </c>
      <c r="MP83" s="157">
        <f t="shared" si="684"/>
        <v>2E-3</v>
      </c>
      <c r="MQ83" s="157">
        <f t="shared" si="684"/>
        <v>2E-3</v>
      </c>
      <c r="MR83" s="157">
        <f t="shared" si="684"/>
        <v>2E-3</v>
      </c>
      <c r="MS83" s="180">
        <f t="shared" si="684"/>
        <v>2E-3</v>
      </c>
      <c r="MT83" s="157">
        <f t="shared" si="684"/>
        <v>2E-3</v>
      </c>
      <c r="MU83" s="180">
        <f t="shared" si="684"/>
        <v>2E-3</v>
      </c>
      <c r="MV83" s="184"/>
      <c r="MW83" s="184"/>
      <c r="MX83" s="184"/>
      <c r="MY83" s="184"/>
      <c r="MZ83" s="184"/>
      <c r="NA83" s="184"/>
      <c r="NB83" s="184"/>
      <c r="NC83" s="184"/>
      <c r="ND83" s="184"/>
      <c r="NE83" s="184"/>
      <c r="NF83" s="184"/>
      <c r="NG83" s="184"/>
      <c r="NH83" s="184"/>
      <c r="NI83" s="184"/>
      <c r="NJ83" s="184"/>
      <c r="NK83" s="184"/>
      <c r="NL83" s="184"/>
      <c r="NM83" s="132"/>
      <c r="NN83" s="132"/>
      <c r="NO83" s="132"/>
      <c r="NP83" s="132"/>
      <c r="NQ83" s="132"/>
      <c r="NR83" s="132"/>
      <c r="NS83" s="132"/>
      <c r="NT83" s="132"/>
      <c r="NU83" s="132"/>
      <c r="NV83" s="132"/>
      <c r="NW83" s="132"/>
      <c r="NX83" s="132"/>
      <c r="NY83" s="132"/>
      <c r="NZ83" s="132"/>
      <c r="OA83" s="132"/>
      <c r="OB83" s="132"/>
      <c r="OC83" s="132"/>
      <c r="OD83" s="132"/>
      <c r="OE83" s="132"/>
      <c r="OF83" s="132"/>
      <c r="OG83" s="132"/>
      <c r="OH83" s="132"/>
      <c r="OI83" s="132"/>
      <c r="OJ83" s="132"/>
      <c r="OK83" s="132"/>
      <c r="OL83" s="132"/>
      <c r="OM83" s="132"/>
      <c r="ON83" s="132"/>
      <c r="OO83" s="132"/>
      <c r="OP83" s="132"/>
      <c r="OQ83" s="132"/>
      <c r="OR83" s="132"/>
      <c r="OS83" s="132"/>
      <c r="OT83" s="132"/>
      <c r="OU83" s="132"/>
      <c r="OV83" s="132"/>
      <c r="OW83" s="132"/>
      <c r="OX83" s="132"/>
      <c r="OY83" s="132"/>
      <c r="OZ83" s="132"/>
      <c r="PA83" s="132"/>
      <c r="PB83" s="132"/>
      <c r="PC83" s="132"/>
      <c r="PD83" s="132"/>
      <c r="PE83" s="132"/>
      <c r="PF83" s="132"/>
      <c r="PG83" s="132"/>
      <c r="PH83" s="132"/>
      <c r="PI83" s="132"/>
      <c r="PJ83" s="132"/>
      <c r="PK83" s="132"/>
      <c r="PL83" s="132"/>
      <c r="PM83" s="132"/>
      <c r="PN83" s="132"/>
      <c r="PO83" s="132"/>
      <c r="PP83" s="132"/>
      <c r="PQ83" s="132"/>
      <c r="PR83" s="132"/>
      <c r="PS83" s="132"/>
      <c r="PT83" s="132"/>
      <c r="PU83" s="132"/>
      <c r="PV83" s="132"/>
      <c r="PW83" s="132"/>
      <c r="PX83" s="132"/>
      <c r="PY83" s="132"/>
      <c r="PZ83" s="132"/>
      <c r="QA83" s="132"/>
      <c r="QB83" s="132"/>
      <c r="QC83" s="132"/>
      <c r="QD83" s="132"/>
      <c r="QE83" s="132"/>
      <c r="QF83" s="132"/>
      <c r="QG83" s="132"/>
      <c r="QH83" s="132"/>
      <c r="QI83" s="132"/>
      <c r="QJ83" s="132"/>
      <c r="QK83" s="132"/>
      <c r="QL83" s="132"/>
      <c r="QM83" s="132"/>
      <c r="QN83" s="132"/>
      <c r="QO83" s="132"/>
      <c r="QP83" s="132"/>
      <c r="QQ83" s="132"/>
      <c r="QR83" s="132"/>
      <c r="QS83" s="132"/>
      <c r="QT83" s="132"/>
      <c r="QU83" s="132"/>
      <c r="QV83" s="132"/>
      <c r="QW83" s="132"/>
      <c r="QX83" s="132"/>
      <c r="QY83" s="132"/>
      <c r="QZ83" s="132"/>
      <c r="RA83" s="132"/>
      <c r="RB83" s="132"/>
      <c r="RC83" s="132"/>
      <c r="RD83" s="132"/>
      <c r="RE83" s="132"/>
      <c r="RF83" s="132"/>
      <c r="RG83" s="132"/>
      <c r="RH83" s="132"/>
      <c r="RI83" s="132"/>
      <c r="RJ83" s="132"/>
      <c r="RK83" s="132"/>
      <c r="RL83" s="132"/>
      <c r="RM83" s="132"/>
      <c r="RN83" s="132"/>
      <c r="RO83" s="132"/>
      <c r="RP83" s="132"/>
      <c r="RQ83" s="132"/>
      <c r="RR83" s="132"/>
      <c r="RS83" s="132"/>
      <c r="RT83" s="132"/>
      <c r="RU83" s="132"/>
      <c r="RV83" s="132"/>
      <c r="RW83" s="132"/>
      <c r="RX83" s="132"/>
      <c r="RY83" s="132"/>
      <c r="RZ83" s="132"/>
      <c r="SA83" s="132"/>
      <c r="SB83" s="132"/>
      <c r="SC83" s="132"/>
      <c r="SD83" s="132"/>
      <c r="SE83" s="132"/>
      <c r="SF83" s="132"/>
      <c r="SG83" s="132"/>
      <c r="SH83" s="132"/>
      <c r="SI83" s="132"/>
      <c r="SJ83" s="132"/>
      <c r="SK83" s="132"/>
      <c r="SL83" s="132"/>
      <c r="SM83" s="132"/>
      <c r="SN83" s="132"/>
      <c r="SO83" s="132"/>
      <c r="SP83" s="132"/>
      <c r="SQ83" s="132"/>
      <c r="SR83" s="132"/>
      <c r="SS83" s="132"/>
      <c r="ST83" s="132"/>
      <c r="SU83" s="132"/>
      <c r="SV83" s="132"/>
      <c r="SW83" s="132"/>
      <c r="SX83" s="132"/>
      <c r="SY83" s="132"/>
      <c r="SZ83" s="132"/>
      <c r="TA83" s="184"/>
      <c r="TB83" s="185"/>
      <c r="TC83" s="11"/>
      <c r="TD83" s="11"/>
      <c r="TE83" s="11"/>
      <c r="TF83" s="11"/>
    </row>
    <row r="84" spans="1:526" ht="22.15" customHeight="1" x14ac:dyDescent="0.25">
      <c r="A84" s="298"/>
      <c r="B84" s="25" t="s">
        <v>15</v>
      </c>
      <c r="BY84" s="184"/>
      <c r="BZ84" s="184"/>
      <c r="CA84" s="184"/>
      <c r="CB84" s="184"/>
      <c r="CC84" s="184"/>
      <c r="CD84" s="184"/>
      <c r="CE84" s="184"/>
      <c r="CF84" s="184"/>
      <c r="CG84" s="184"/>
      <c r="CH84" s="184"/>
      <c r="CI84" s="184"/>
      <c r="CJ84" s="184"/>
      <c r="CK84" s="184"/>
      <c r="CL84" s="184"/>
      <c r="CM84" s="184"/>
      <c r="CN84" s="184"/>
      <c r="CO84" s="184"/>
      <c r="CP84" s="184"/>
      <c r="CQ84" s="184"/>
      <c r="CR84" s="184"/>
      <c r="CS84" s="184"/>
      <c r="CT84" s="184"/>
      <c r="CU84" s="184"/>
      <c r="CV84" s="184"/>
      <c r="CW84" s="184"/>
      <c r="CX84" s="184"/>
      <c r="CY84" s="184"/>
      <c r="CZ84" s="184"/>
      <c r="DA84" s="184"/>
      <c r="DB84" s="184"/>
      <c r="DC84" s="184"/>
      <c r="DD84" s="184"/>
      <c r="DE84" s="184"/>
      <c r="DF84" s="184"/>
      <c r="DG84" s="184"/>
      <c r="DH84" s="184"/>
      <c r="DI84" s="184"/>
      <c r="DJ84" s="184"/>
      <c r="DK84" s="184"/>
      <c r="DL84" s="184"/>
      <c r="DM84" s="184"/>
      <c r="DN84" s="184"/>
      <c r="DO84" s="184"/>
      <c r="DP84" s="184"/>
      <c r="DQ84" s="184"/>
      <c r="DR84" s="184"/>
      <c r="DS84" s="184"/>
      <c r="DT84" s="184"/>
      <c r="DU84" s="184"/>
      <c r="DV84" s="184"/>
      <c r="DW84" s="184"/>
      <c r="DX84" s="184"/>
      <c r="DY84" s="184"/>
      <c r="DZ84" s="184"/>
      <c r="EA84" s="184"/>
      <c r="EB84" s="184"/>
      <c r="EC84" s="184"/>
      <c r="ED84" s="184"/>
      <c r="EE84" s="184"/>
      <c r="EF84" s="184"/>
      <c r="EG84" s="184"/>
      <c r="EH84" s="184"/>
      <c r="EI84" s="184"/>
      <c r="EJ84" s="184"/>
      <c r="EK84" s="184"/>
      <c r="EL84" s="184"/>
      <c r="EM84" s="184"/>
      <c r="EN84" s="184"/>
      <c r="EO84" s="184"/>
      <c r="EP84" s="184"/>
      <c r="EQ84" s="184"/>
      <c r="ER84" s="184"/>
      <c r="ES84" s="184"/>
      <c r="ET84" s="184"/>
      <c r="EU84" s="184"/>
      <c r="EV84" s="184"/>
      <c r="EW84" s="184"/>
      <c r="EX84" s="184"/>
      <c r="EY84" s="184"/>
      <c r="EZ84" s="184"/>
      <c r="FA84" s="184"/>
      <c r="FB84" s="184"/>
      <c r="FC84" s="184"/>
      <c r="FD84" s="184"/>
      <c r="FE84" s="184"/>
      <c r="FF84" s="184"/>
      <c r="FG84" s="184"/>
      <c r="FH84" s="184"/>
      <c r="FI84" s="184"/>
      <c r="FJ84" s="184"/>
      <c r="FK84" s="184"/>
      <c r="FL84" s="184"/>
      <c r="FM84" s="184"/>
      <c r="FN84" s="184"/>
      <c r="FO84" s="184"/>
      <c r="FP84" s="184"/>
      <c r="FQ84" s="184"/>
      <c r="FR84" s="184"/>
      <c r="FS84" s="184"/>
      <c r="FT84" s="184"/>
      <c r="FU84" s="184"/>
      <c r="FV84" s="184"/>
      <c r="FW84" s="184"/>
      <c r="FX84" s="184"/>
      <c r="FY84" s="184"/>
      <c r="FZ84" s="184"/>
      <c r="GA84" s="184"/>
      <c r="GB84" s="184"/>
      <c r="GC84" s="184"/>
      <c r="GD84" s="184"/>
      <c r="GE84" s="184"/>
      <c r="GF84" s="184"/>
      <c r="GG84" s="184"/>
      <c r="GH84" s="184"/>
      <c r="GI84" s="184"/>
      <c r="GJ84" s="184"/>
      <c r="GK84" s="184"/>
      <c r="GL84" s="184"/>
      <c r="GM84" s="184"/>
      <c r="GN84" s="184"/>
      <c r="GO84" s="184"/>
      <c r="GP84" s="184"/>
      <c r="GQ84" s="184"/>
      <c r="GR84" s="184"/>
      <c r="GS84" s="184"/>
      <c r="GT84" s="184"/>
      <c r="GU84" s="184"/>
      <c r="GV84" s="184"/>
      <c r="GW84" s="184"/>
      <c r="GX84" s="184"/>
      <c r="GY84" s="139">
        <f t="shared" si="668"/>
        <v>0.5</v>
      </c>
      <c r="GZ84" s="110">
        <f t="shared" si="669"/>
        <v>0.499</v>
      </c>
      <c r="HA84" s="110">
        <f t="shared" si="670"/>
        <v>0.498002</v>
      </c>
      <c r="HB84" s="110">
        <f t="shared" si="671"/>
        <v>0.49700599600000001</v>
      </c>
      <c r="HC84" s="110">
        <f t="shared" si="687"/>
        <v>0.49601198400799995</v>
      </c>
      <c r="HD84" s="110">
        <f t="shared" si="673"/>
        <v>0.495019960039984</v>
      </c>
      <c r="HE84" s="110">
        <f t="shared" si="674"/>
        <v>0.49402992011990399</v>
      </c>
      <c r="HF84" s="110">
        <f t="shared" si="675"/>
        <v>0.49304186027966418</v>
      </c>
      <c r="HG84" s="110">
        <f t="shared" si="676"/>
        <v>0.49205577655910482</v>
      </c>
      <c r="HH84" s="110">
        <f t="shared" si="677"/>
        <v>0.49107166500598659</v>
      </c>
      <c r="HI84" s="110">
        <f t="shared" si="678"/>
        <v>0.49008952167597458</v>
      </c>
      <c r="HJ84" s="110">
        <f t="shared" si="679"/>
        <v>0.48910934263262268</v>
      </c>
      <c r="HK84" s="110">
        <f t="shared" si="680"/>
        <v>0.48813112394735741</v>
      </c>
      <c r="HL84" s="110">
        <f t="shared" si="681"/>
        <v>0.4871548616994627</v>
      </c>
      <c r="HM84" s="110">
        <f t="shared" si="682"/>
        <v>0.4861805519760638</v>
      </c>
      <c r="HN84" s="110">
        <f t="shared" si="688"/>
        <v>0.48520819087211164</v>
      </c>
      <c r="HO84" s="110">
        <f t="shared" si="689"/>
        <v>0.48423777449036742</v>
      </c>
      <c r="HP84" s="110">
        <f t="shared" si="690"/>
        <v>0.4832692989413867</v>
      </c>
      <c r="HQ84" s="110">
        <f t="shared" si="691"/>
        <v>0.48230276034350389</v>
      </c>
      <c r="HR84" s="110">
        <f t="shared" si="692"/>
        <v>0.48133815482281689</v>
      </c>
      <c r="HS84" s="110">
        <f t="shared" si="693"/>
        <v>0.48037547851317125</v>
      </c>
      <c r="HT84" s="110">
        <f t="shared" si="694"/>
        <v>0.47941472755614489</v>
      </c>
      <c r="HU84" s="110">
        <f t="shared" si="695"/>
        <v>0.47845589810103262</v>
      </c>
      <c r="HV84" s="110">
        <f t="shared" si="696"/>
        <v>0.47749898630483056</v>
      </c>
      <c r="HW84" s="110">
        <f t="shared" si="697"/>
        <v>0.47654398833222095</v>
      </c>
      <c r="HX84" s="110">
        <f t="shared" si="698"/>
        <v>0.47559090035555646</v>
      </c>
      <c r="HY84" s="110">
        <f t="shared" si="699"/>
        <v>0.47463971855484532</v>
      </c>
      <c r="HZ84" s="110">
        <f t="shared" si="700"/>
        <v>0.47369043911773567</v>
      </c>
      <c r="IA84" s="110">
        <f t="shared" si="701"/>
        <v>0.47274305823950019</v>
      </c>
      <c r="IB84" s="110">
        <f t="shared" si="702"/>
        <v>0.47179757212302115</v>
      </c>
      <c r="IC84" s="110">
        <f t="shared" si="703"/>
        <v>0.47085397697877512</v>
      </c>
      <c r="ID84" s="110">
        <f t="shared" si="704"/>
        <v>0.46991226902481753</v>
      </c>
      <c r="IE84" s="110">
        <f t="shared" si="705"/>
        <v>0.46897244448676789</v>
      </c>
      <c r="IF84" s="110">
        <f t="shared" si="706"/>
        <v>0.46803449959779431</v>
      </c>
      <c r="IG84" s="110">
        <f t="shared" si="707"/>
        <v>0.46709843059859874</v>
      </c>
      <c r="IH84" s="110">
        <f t="shared" si="708"/>
        <v>0.46616423373740151</v>
      </c>
      <c r="II84" s="110">
        <f t="shared" si="709"/>
        <v>0.46523190526992669</v>
      </c>
      <c r="IJ84" s="110">
        <f t="shared" si="710"/>
        <v>0.4643014414593869</v>
      </c>
      <c r="IK84" s="110">
        <f t="shared" si="711"/>
        <v>0.4633728385764681</v>
      </c>
      <c r="IL84" s="110">
        <f t="shared" si="712"/>
        <v>0.46244609289931515</v>
      </c>
      <c r="IM84" s="110">
        <f t="shared" si="713"/>
        <v>0.46152120071351654</v>
      </c>
      <c r="IN84" s="110">
        <f t="shared" si="714"/>
        <v>0.4605981583120895</v>
      </c>
      <c r="IO84" s="110">
        <f t="shared" si="715"/>
        <v>0.45967696199546532</v>
      </c>
      <c r="IP84" s="110">
        <f t="shared" si="716"/>
        <v>0.45875760807147442</v>
      </c>
      <c r="IQ84" s="110">
        <f t="shared" si="717"/>
        <v>0.4578400928553315</v>
      </c>
      <c r="IR84" s="110">
        <f t="shared" si="718"/>
        <v>0.45692441266962086</v>
      </c>
      <c r="IS84" s="110">
        <f t="shared" si="719"/>
        <v>0.45601056384428162</v>
      </c>
      <c r="IT84" s="110">
        <f t="shared" si="720"/>
        <v>0.45509854271659306</v>
      </c>
      <c r="IU84" s="110">
        <f t="shared" si="721"/>
        <v>0.45418834563115984</v>
      </c>
      <c r="IV84" s="110">
        <f t="shared" si="722"/>
        <v>0.45327996893989753</v>
      </c>
      <c r="IW84" s="110">
        <f t="shared" si="723"/>
        <v>0.45237340900201772</v>
      </c>
      <c r="IX84" s="148">
        <f t="shared" si="724"/>
        <v>0.45146866218401371</v>
      </c>
      <c r="IY84" s="148">
        <f t="shared" si="725"/>
        <v>0.45056572485964563</v>
      </c>
      <c r="IZ84" s="148">
        <f t="shared" si="726"/>
        <v>0.44966459340992637</v>
      </c>
      <c r="JA84" s="148">
        <f t="shared" si="727"/>
        <v>0.44876526422310653</v>
      </c>
      <c r="JB84" s="148">
        <f t="shared" si="728"/>
        <v>0.44786773369466026</v>
      </c>
      <c r="JC84" s="148">
        <f t="shared" si="729"/>
        <v>0.44697199822727096</v>
      </c>
      <c r="JD84" s="148">
        <f t="shared" si="730"/>
        <v>0.44607805423081642</v>
      </c>
      <c r="JE84" s="148">
        <f t="shared" si="731"/>
        <v>0.44518589812235482</v>
      </c>
      <c r="JF84" s="148">
        <f t="shared" si="732"/>
        <v>0.44429552632611008</v>
      </c>
      <c r="JG84" s="148">
        <f t="shared" si="733"/>
        <v>0.44340693527345787</v>
      </c>
      <c r="JH84" s="148">
        <f t="shared" si="734"/>
        <v>0.44252012140291097</v>
      </c>
      <c r="JI84" s="148">
        <f t="shared" si="735"/>
        <v>0.44163508116010514</v>
      </c>
      <c r="JJ84" s="148">
        <f t="shared" si="736"/>
        <v>0.44075181099778493</v>
      </c>
      <c r="JK84" s="148">
        <f t="shared" si="685"/>
        <v>0.4398703073757893</v>
      </c>
      <c r="JL84" s="148">
        <f t="shared" si="737"/>
        <v>0.4389905667610377</v>
      </c>
      <c r="JM84" s="148">
        <f t="shared" si="738"/>
        <v>0.43811258562751565</v>
      </c>
      <c r="JN84" s="148">
        <f t="shared" si="739"/>
        <v>0.43723636045626058</v>
      </c>
      <c r="JO84" s="148">
        <f t="shared" si="740"/>
        <v>0.43636188773534806</v>
      </c>
      <c r="JP84" s="148">
        <f t="shared" si="741"/>
        <v>0.4354891639598773</v>
      </c>
      <c r="JQ84" s="148">
        <f t="shared" si="742"/>
        <v>0.43461818563195753</v>
      </c>
      <c r="JR84" s="148">
        <f t="shared" si="743"/>
        <v>0.43374894926069363</v>
      </c>
      <c r="JS84" s="148">
        <f t="shared" si="744"/>
        <v>0.43288145136217226</v>
      </c>
      <c r="JT84" s="148">
        <f t="shared" si="745"/>
        <v>0.43201568845944793</v>
      </c>
      <c r="JU84" s="148">
        <f t="shared" si="746"/>
        <v>0.43115165708252906</v>
      </c>
      <c r="JV84" s="148">
        <f t="shared" si="747"/>
        <v>0.43028935376836397</v>
      </c>
      <c r="JW84" s="148">
        <f t="shared" si="748"/>
        <v>0.42942877506082727</v>
      </c>
      <c r="JX84" s="148">
        <f t="shared" si="749"/>
        <v>0.42856991751070567</v>
      </c>
      <c r="JY84" s="148">
        <f t="shared" si="750"/>
        <v>0.42771277767568422</v>
      </c>
      <c r="JZ84" s="148">
        <f t="shared" si="751"/>
        <v>0.42685735212033288</v>
      </c>
      <c r="KA84" s="148">
        <f t="shared" si="752"/>
        <v>0.42600363741609221</v>
      </c>
      <c r="KB84" s="148">
        <f t="shared" si="753"/>
        <v>0.42515163014126001</v>
      </c>
      <c r="KC84" s="148">
        <f t="shared" si="754"/>
        <v>0.42430132688097749</v>
      </c>
      <c r="KD84" s="148">
        <f t="shared" si="755"/>
        <v>0.42345272422721553</v>
      </c>
      <c r="KE84" s="148">
        <f t="shared" si="756"/>
        <v>0.42260581877876108</v>
      </c>
      <c r="KF84" s="148">
        <f t="shared" si="757"/>
        <v>0.42176060714120361</v>
      </c>
      <c r="KG84" s="148">
        <f t="shared" si="758"/>
        <v>0.42091708592692118</v>
      </c>
      <c r="KH84" s="148">
        <f t="shared" si="759"/>
        <v>0.42007525175506732</v>
      </c>
      <c r="KI84" s="148">
        <f t="shared" si="760"/>
        <v>0.41923510125155722</v>
      </c>
      <c r="KJ84" s="148">
        <f t="shared" si="761"/>
        <v>0.41839663104905406</v>
      </c>
      <c r="KK84" s="148">
        <f t="shared" si="762"/>
        <v>0.41755983778695593</v>
      </c>
      <c r="KL84" s="148">
        <f t="shared" si="763"/>
        <v>0.41672471811138201</v>
      </c>
      <c r="KM84" s="148">
        <f t="shared" si="764"/>
        <v>0.4158912686751593</v>
      </c>
      <c r="KN84" s="148">
        <f t="shared" si="765"/>
        <v>0.41505948613780896</v>
      </c>
      <c r="KO84" s="148">
        <f t="shared" si="766"/>
        <v>0.41422936716553338</v>
      </c>
      <c r="KP84" s="148">
        <f t="shared" si="767"/>
        <v>0.41340090843120225</v>
      </c>
      <c r="KQ84" s="148">
        <f t="shared" si="768"/>
        <v>0.41257410661433985</v>
      </c>
      <c r="KR84" s="148">
        <f t="shared" si="769"/>
        <v>0.4117489584011112</v>
      </c>
      <c r="KS84" s="148">
        <f t="shared" si="770"/>
        <v>0.41092546048430895</v>
      </c>
      <c r="KT84" s="148">
        <f t="shared" si="771"/>
        <v>0.4101036095633403</v>
      </c>
      <c r="KU84" s="148">
        <f t="shared" si="772"/>
        <v>0.40928340234421362</v>
      </c>
      <c r="KV84" s="148">
        <f t="shared" si="773"/>
        <v>0.40846483553952517</v>
      </c>
      <c r="KW84" s="158">
        <f t="shared" si="774"/>
        <v>0.40764790586844613</v>
      </c>
      <c r="KX84" s="158">
        <f t="shared" si="775"/>
        <v>0.40683261005670923</v>
      </c>
      <c r="KY84" s="158">
        <f t="shared" si="776"/>
        <v>0.40601894483659579</v>
      </c>
      <c r="KZ84" s="158">
        <f t="shared" si="777"/>
        <v>0.40520690694692257</v>
      </c>
      <c r="LA84" s="158">
        <f t="shared" si="778"/>
        <v>0.40439649313302872</v>
      </c>
      <c r="LB84" s="158">
        <f t="shared" si="779"/>
        <v>0.40358770014676271</v>
      </c>
      <c r="LC84" s="158">
        <f t="shared" si="780"/>
        <v>0.40278052474646914</v>
      </c>
      <c r="LD84" s="158">
        <f t="shared" si="781"/>
        <v>0.40197496369697622</v>
      </c>
      <c r="LE84" s="158">
        <f t="shared" si="782"/>
        <v>0.40117101376958225</v>
      </c>
      <c r="LF84" s="158">
        <f t="shared" si="783"/>
        <v>0.4003686717420431</v>
      </c>
      <c r="LG84" s="158">
        <f t="shared" si="784"/>
        <v>0.39956793439855903</v>
      </c>
      <c r="LH84" s="158">
        <f t="shared" si="785"/>
        <v>0.39876879852976194</v>
      </c>
      <c r="LI84" s="158">
        <f t="shared" si="786"/>
        <v>0.39797126093270235</v>
      </c>
      <c r="LJ84" s="158">
        <f t="shared" si="787"/>
        <v>0.39717531841083697</v>
      </c>
      <c r="LK84" s="158">
        <f t="shared" si="788"/>
        <v>0.39638096777401532</v>
      </c>
      <c r="LL84" s="158">
        <f t="shared" si="789"/>
        <v>0.39558820583846727</v>
      </c>
      <c r="LM84" s="158">
        <f t="shared" si="790"/>
        <v>0.39479702942679035</v>
      </c>
      <c r="LN84" s="158">
        <f t="shared" si="791"/>
        <v>0.39400743536793675</v>
      </c>
      <c r="LO84" s="158">
        <f t="shared" si="792"/>
        <v>0.39321942049720088</v>
      </c>
      <c r="LP84" s="158">
        <f t="shared" si="793"/>
        <v>0.39243298165620649</v>
      </c>
      <c r="LQ84" s="158">
        <f t="shared" si="794"/>
        <v>0.39164811569289409</v>
      </c>
      <c r="LR84" s="158">
        <f t="shared" si="795"/>
        <v>0.39086481946150825</v>
      </c>
      <c r="LS84" s="158">
        <f t="shared" si="796"/>
        <v>0.39008308982258527</v>
      </c>
      <c r="LT84" s="158">
        <f t="shared" si="797"/>
        <v>0.38930292364294006</v>
      </c>
      <c r="LU84" s="158">
        <f t="shared" si="798"/>
        <v>0.38852431779565422</v>
      </c>
      <c r="LV84" s="158">
        <f t="shared" si="799"/>
        <v>0.38774726916006291</v>
      </c>
      <c r="LW84" s="158">
        <f t="shared" si="686"/>
        <v>0.38697177462174281</v>
      </c>
      <c r="LX84" s="158">
        <f t="shared" si="684"/>
        <v>0.33782635924478144</v>
      </c>
      <c r="LY84" s="158">
        <f t="shared" si="684"/>
        <v>0.33715070652629187</v>
      </c>
      <c r="LZ84" s="158">
        <f t="shared" si="684"/>
        <v>0.28831201846662613</v>
      </c>
      <c r="MA84" s="158">
        <f t="shared" si="684"/>
        <v>0.28773539442969287</v>
      </c>
      <c r="MB84" s="158">
        <f t="shared" si="684"/>
        <v>0.28715992364083348</v>
      </c>
      <c r="MC84" s="158">
        <f t="shared" si="684"/>
        <v>0.2865856037935518</v>
      </c>
      <c r="MD84" s="158">
        <f t="shared" si="684"/>
        <v>0.2860124325859647</v>
      </c>
      <c r="ME84" s="158">
        <f t="shared" si="684"/>
        <v>0.23777166895646529</v>
      </c>
      <c r="MF84" s="158">
        <f t="shared" si="684"/>
        <v>0.23729612561855234</v>
      </c>
      <c r="MG84" s="158">
        <f t="shared" si="684"/>
        <v>0.18936230824360475</v>
      </c>
      <c r="MH84" s="158">
        <f t="shared" si="684"/>
        <v>0.18898358362711756</v>
      </c>
      <c r="MI84" s="158">
        <f t="shared" si="684"/>
        <v>0.18860561645986332</v>
      </c>
      <c r="MJ84" s="158">
        <f t="shared" si="684"/>
        <v>0.18822840522694359</v>
      </c>
      <c r="MK84" s="158">
        <f t="shared" si="684"/>
        <v>0.18785194841648972</v>
      </c>
      <c r="ML84" s="158">
        <f t="shared" si="684"/>
        <v>0.1405132574155343</v>
      </c>
      <c r="MM84" s="158">
        <f t="shared" si="684"/>
        <v>0.14023223090070322</v>
      </c>
      <c r="MN84" s="158">
        <f t="shared" si="684"/>
        <v>9.320768947200074E-2</v>
      </c>
      <c r="MO84" s="158">
        <f t="shared" si="684"/>
        <v>9.302127409305673E-2</v>
      </c>
      <c r="MP84" s="158">
        <f t="shared" si="684"/>
        <v>9.2835231544870625E-2</v>
      </c>
      <c r="MQ84" s="158">
        <f t="shared" si="684"/>
        <v>9.2649561081780893E-2</v>
      </c>
      <c r="MR84" s="158">
        <f t="shared" si="684"/>
        <v>9.2464261959617336E-2</v>
      </c>
      <c r="MS84" s="158">
        <f t="shared" si="684"/>
        <v>4.6047202455889426E-2</v>
      </c>
      <c r="MT84" s="158">
        <f t="shared" si="684"/>
        <v>4.5955108050977654E-2</v>
      </c>
      <c r="MU84" s="158">
        <f t="shared" si="684"/>
        <v>-9.1910216101958044E-5</v>
      </c>
      <c r="MV84" s="184"/>
      <c r="MW84" s="184"/>
      <c r="MX84" s="184"/>
      <c r="MY84" s="184"/>
      <c r="MZ84" s="184"/>
      <c r="NA84" s="184"/>
      <c r="NB84" s="184"/>
      <c r="NC84" s="184"/>
      <c r="ND84" s="184"/>
      <c r="NE84" s="184"/>
      <c r="NF84" s="184"/>
      <c r="NG84" s="184"/>
      <c r="NH84" s="184"/>
      <c r="NI84" s="184"/>
      <c r="NJ84" s="184"/>
      <c r="NK84" s="184"/>
      <c r="NL84" s="184"/>
      <c r="NM84" s="23"/>
      <c r="NN84" s="23"/>
      <c r="NO84" s="23"/>
      <c r="NP84" s="23"/>
      <c r="NQ84" s="23"/>
      <c r="NR84" s="23"/>
      <c r="NS84" s="23"/>
      <c r="NT84" s="23"/>
      <c r="NU84" s="23"/>
      <c r="NV84" s="23"/>
      <c r="NW84" s="23"/>
      <c r="NX84" s="23"/>
      <c r="NY84" s="23"/>
      <c r="NZ84" s="23"/>
      <c r="OA84" s="23"/>
      <c r="OB84" s="23"/>
      <c r="OC84" s="23"/>
      <c r="OD84" s="23"/>
      <c r="OE84" s="23"/>
      <c r="OF84" s="23"/>
      <c r="OG84" s="23"/>
      <c r="OH84" s="23"/>
      <c r="OI84" s="23"/>
      <c r="OJ84" s="23"/>
      <c r="OK84" s="23"/>
      <c r="OL84" s="23"/>
      <c r="OM84" s="23"/>
      <c r="ON84" s="23"/>
      <c r="OO84" s="23"/>
      <c r="OP84" s="23"/>
      <c r="OQ84" s="23"/>
      <c r="OR84" s="23"/>
      <c r="OS84" s="23"/>
      <c r="OT84" s="23"/>
      <c r="OU84" s="23"/>
      <c r="OV84" s="23"/>
      <c r="OW84" s="23"/>
      <c r="OX84" s="23"/>
      <c r="OY84" s="23"/>
      <c r="OZ84" s="23"/>
      <c r="PA84" s="23"/>
      <c r="PB84" s="23"/>
      <c r="PC84" s="23"/>
      <c r="PD84" s="23"/>
      <c r="PE84" s="23"/>
      <c r="PF84" s="23"/>
      <c r="PG84" s="23"/>
      <c r="PH84" s="23"/>
      <c r="PI84" s="23"/>
      <c r="PJ84" s="23"/>
      <c r="PK84" s="23"/>
      <c r="PL84" s="23"/>
      <c r="PM84" s="23"/>
      <c r="PN84" s="23"/>
      <c r="PO84" s="23"/>
      <c r="PP84" s="23"/>
      <c r="PQ84" s="23"/>
      <c r="PR84" s="23"/>
      <c r="PS84" s="23"/>
      <c r="PT84" s="23"/>
      <c r="PU84" s="23"/>
      <c r="PV84" s="23"/>
      <c r="PW84" s="23"/>
      <c r="PX84" s="23"/>
      <c r="PY84" s="23"/>
      <c r="PZ84" s="23"/>
      <c r="QA84" s="23"/>
      <c r="QB84" s="23"/>
      <c r="QC84" s="23"/>
      <c r="QD84" s="23"/>
      <c r="QE84" s="23"/>
      <c r="QF84" s="23"/>
      <c r="QG84" s="23"/>
      <c r="QH84" s="23"/>
      <c r="QI84" s="23"/>
      <c r="QJ84" s="23"/>
      <c r="QK84" s="23"/>
      <c r="QL84" s="23"/>
      <c r="QM84" s="23"/>
      <c r="QN84" s="23"/>
      <c r="QO84" s="23"/>
      <c r="QP84" s="23"/>
      <c r="QQ84" s="23"/>
      <c r="QR84" s="23"/>
      <c r="QS84" s="23"/>
      <c r="QT84" s="23"/>
      <c r="QU84" s="23"/>
      <c r="QV84" s="23"/>
      <c r="QW84" s="23"/>
      <c r="QX84" s="23"/>
      <c r="QY84" s="23"/>
      <c r="QZ84" s="23"/>
      <c r="RA84" s="23"/>
      <c r="RB84" s="23"/>
      <c r="RC84" s="23"/>
      <c r="RD84" s="23"/>
      <c r="RE84" s="23"/>
      <c r="RF84" s="23"/>
      <c r="RG84" s="23"/>
      <c r="RH84" s="23"/>
      <c r="RI84" s="23"/>
      <c r="RJ84" s="23"/>
      <c r="RK84" s="23"/>
      <c r="RL84" s="23"/>
      <c r="RM84" s="23"/>
      <c r="RN84" s="23"/>
      <c r="RO84" s="23"/>
      <c r="RP84" s="23"/>
      <c r="RQ84" s="23"/>
      <c r="RR84" s="23"/>
      <c r="RS84" s="23"/>
      <c r="RT84" s="23"/>
      <c r="RU84" s="23"/>
      <c r="RV84" s="23"/>
      <c r="RW84" s="23"/>
      <c r="RX84" s="23"/>
      <c r="RY84" s="23"/>
      <c r="RZ84" s="23"/>
      <c r="SA84" s="23"/>
      <c r="SB84" s="23"/>
      <c r="SC84" s="23"/>
      <c r="SD84" s="23"/>
      <c r="SE84" s="23"/>
      <c r="SF84" s="23"/>
      <c r="SG84" s="23"/>
      <c r="SH84" s="23"/>
      <c r="SI84" s="23"/>
      <c r="SJ84" s="23"/>
      <c r="SK84" s="23"/>
      <c r="SL84" s="23"/>
      <c r="SM84" s="23"/>
      <c r="SN84" s="23"/>
      <c r="SO84" s="23"/>
      <c r="SP84" s="23"/>
      <c r="SQ84" s="23"/>
      <c r="SR84" s="23"/>
      <c r="SS84" s="23"/>
      <c r="ST84" s="23"/>
      <c r="SU84" s="23"/>
      <c r="SV84" s="23"/>
      <c r="SW84" s="23"/>
      <c r="SX84" s="23"/>
      <c r="SY84" s="23"/>
      <c r="SZ84" s="23"/>
      <c r="TA84" s="184"/>
      <c r="TB84" s="185"/>
      <c r="TC84" s="11"/>
      <c r="TD84" s="11"/>
      <c r="TE84" s="11"/>
      <c r="TF84" s="11"/>
    </row>
    <row r="85" spans="1:526" ht="22.15" customHeight="1" x14ac:dyDescent="0.25">
      <c r="A85" s="298"/>
      <c r="B85" s="25" t="s">
        <v>10</v>
      </c>
      <c r="BY85" s="184"/>
      <c r="BZ85" s="184"/>
      <c r="CA85" s="184"/>
      <c r="CB85" s="184"/>
      <c r="CC85" s="184"/>
      <c r="CD85" s="184"/>
      <c r="CE85" s="184"/>
      <c r="CF85" s="184"/>
      <c r="CG85" s="184"/>
      <c r="CH85" s="184"/>
      <c r="CI85" s="184"/>
      <c r="CJ85" s="184"/>
      <c r="CK85" s="184"/>
      <c r="CL85" s="184"/>
      <c r="CM85" s="184"/>
      <c r="CN85" s="184"/>
      <c r="CO85" s="184"/>
      <c r="CP85" s="184"/>
      <c r="CQ85" s="184"/>
      <c r="CR85" s="184"/>
      <c r="CS85" s="184"/>
      <c r="CT85" s="184"/>
      <c r="CU85" s="184"/>
      <c r="CV85" s="184"/>
      <c r="CW85" s="184"/>
      <c r="CX85" s="184"/>
      <c r="CY85" s="184"/>
      <c r="CZ85" s="184"/>
      <c r="DA85" s="184"/>
      <c r="DB85" s="184"/>
      <c r="DC85" s="184"/>
      <c r="DD85" s="184"/>
      <c r="DE85" s="184"/>
      <c r="DF85" s="184"/>
      <c r="DG85" s="184"/>
      <c r="DH85" s="184"/>
      <c r="DI85" s="184"/>
      <c r="DJ85" s="184"/>
      <c r="DK85" s="184"/>
      <c r="DL85" s="184"/>
      <c r="DM85" s="184"/>
      <c r="DN85" s="184"/>
      <c r="DO85" s="184"/>
      <c r="DP85" s="184"/>
      <c r="DQ85" s="184"/>
      <c r="DR85" s="184"/>
      <c r="DS85" s="184"/>
      <c r="DT85" s="184"/>
      <c r="DU85" s="184"/>
      <c r="DV85" s="184"/>
      <c r="DW85" s="184"/>
      <c r="DX85" s="184"/>
      <c r="DY85" s="184"/>
      <c r="DZ85" s="184"/>
      <c r="EA85" s="184"/>
      <c r="EB85" s="184"/>
      <c r="EC85" s="184"/>
      <c r="ED85" s="184"/>
      <c r="EE85" s="184"/>
      <c r="EF85" s="184"/>
      <c r="EG85" s="184"/>
      <c r="EH85" s="184"/>
      <c r="EI85" s="184"/>
      <c r="EJ85" s="184"/>
      <c r="EK85" s="184"/>
      <c r="EL85" s="184"/>
      <c r="EM85" s="184"/>
      <c r="EN85" s="184"/>
      <c r="EO85" s="184"/>
      <c r="EP85" s="184"/>
      <c r="EQ85" s="184"/>
      <c r="ER85" s="184"/>
      <c r="ES85" s="184"/>
      <c r="ET85" s="184"/>
      <c r="EU85" s="184"/>
      <c r="EV85" s="184"/>
      <c r="EW85" s="184"/>
      <c r="EX85" s="184"/>
      <c r="EY85" s="184"/>
      <c r="EZ85" s="184"/>
      <c r="FA85" s="184"/>
      <c r="FB85" s="184"/>
      <c r="FC85" s="184"/>
      <c r="FD85" s="184"/>
      <c r="FE85" s="184"/>
      <c r="FF85" s="184"/>
      <c r="FG85" s="184"/>
      <c r="FH85" s="184"/>
      <c r="FI85" s="184"/>
      <c r="FJ85" s="184"/>
      <c r="FK85" s="184"/>
      <c r="FL85" s="184"/>
      <c r="FM85" s="184"/>
      <c r="FN85" s="184"/>
      <c r="FO85" s="184"/>
      <c r="FP85" s="184"/>
      <c r="FQ85" s="184"/>
      <c r="FR85" s="184"/>
      <c r="FS85" s="184"/>
      <c r="FT85" s="184"/>
      <c r="FU85" s="184"/>
      <c r="FV85" s="184"/>
      <c r="FW85" s="184"/>
      <c r="FX85" s="184"/>
      <c r="FY85" s="184"/>
      <c r="FZ85" s="184"/>
      <c r="GA85" s="184"/>
      <c r="GB85" s="184"/>
      <c r="GC85" s="184"/>
      <c r="GD85" s="184"/>
      <c r="GE85" s="184"/>
      <c r="GF85" s="184"/>
      <c r="GG85" s="184"/>
      <c r="GH85" s="184"/>
      <c r="GI85" s="184"/>
      <c r="GJ85" s="184"/>
      <c r="GK85" s="184"/>
      <c r="GL85" s="184"/>
      <c r="GM85" s="184"/>
      <c r="GN85" s="184"/>
      <c r="GO85" s="184"/>
      <c r="GP85" s="184"/>
      <c r="GQ85" s="184"/>
      <c r="GR85" s="184"/>
      <c r="GS85" s="184"/>
      <c r="GT85" s="184"/>
      <c r="GU85" s="184"/>
      <c r="GV85" s="184"/>
      <c r="GW85" s="184"/>
      <c r="GX85" s="184"/>
      <c r="GY85" s="122">
        <f t="shared" si="668"/>
        <v>0.01</v>
      </c>
      <c r="GZ85" s="115">
        <f t="shared" si="669"/>
        <v>1.1005582593758946E-2</v>
      </c>
      <c r="HA85" s="115">
        <f t="shared" si="670"/>
        <v>1.2106377159660616E-2</v>
      </c>
      <c r="HB85" s="115">
        <f t="shared" si="671"/>
        <v>1.329177463494996E-2</v>
      </c>
      <c r="HC85" s="115">
        <f t="shared" si="687"/>
        <v>1.4588567329531619E-2</v>
      </c>
      <c r="HD85" s="115">
        <f t="shared" si="673"/>
        <v>1.6001621613287186E-2</v>
      </c>
      <c r="HE85" s="115">
        <f t="shared" si="674"/>
        <v>1.7513764350912106E-2</v>
      </c>
      <c r="HF85" s="115">
        <f t="shared" si="675"/>
        <v>1.9159726586917943E-2</v>
      </c>
      <c r="HG85" s="115">
        <f t="shared" si="676"/>
        <v>2.0916842913967924E-2</v>
      </c>
      <c r="HH85" s="115">
        <f t="shared" si="677"/>
        <v>2.2820893014488763E-2</v>
      </c>
      <c r="HI85" s="115">
        <f t="shared" si="678"/>
        <v>2.4875013679153523E-2</v>
      </c>
      <c r="HJ85" s="115">
        <f t="shared" si="679"/>
        <v>2.7051785083274507E-2</v>
      </c>
      <c r="HK85" s="115">
        <f t="shared" si="680"/>
        <v>2.9391936164292577E-2</v>
      </c>
      <c r="HL85" s="115">
        <f t="shared" si="681"/>
        <v>3.1863875340368962E-2</v>
      </c>
      <c r="HM85" s="115">
        <f t="shared" si="682"/>
        <v>3.4512306780663762E-2</v>
      </c>
      <c r="HN85" s="115">
        <f t="shared" si="688"/>
        <v>3.7295557327491485E-2</v>
      </c>
      <c r="HO85" s="115">
        <f t="shared" si="689"/>
        <v>4.026107129173058E-2</v>
      </c>
      <c r="HP85" s="115">
        <f t="shared" si="690"/>
        <v>4.3360342612975861E-2</v>
      </c>
      <c r="HQ85" s="115">
        <f t="shared" si="691"/>
        <v>4.664991913528866E-2</v>
      </c>
      <c r="HR85" s="115">
        <f t="shared" si="692"/>
        <v>5.0082638009534913E-2</v>
      </c>
      <c r="HS85" s="115">
        <f t="shared" si="693"/>
        <v>5.3713064706430995E-2</v>
      </c>
      <c r="HT85" s="115">
        <f t="shared" si="694"/>
        <v>5.7488794243371416E-2</v>
      </c>
      <c r="HU85" s="115">
        <f t="shared" si="695"/>
        <v>6.1459039321378257E-2</v>
      </c>
      <c r="HV85" s="115">
        <f t="shared" si="696"/>
        <v>6.5573850206895934E-2</v>
      </c>
      <c r="HW85" s="115">
        <f t="shared" si="697"/>
        <v>6.9894468866911849E-2</v>
      </c>
      <c r="HX85" s="115">
        <f t="shared" si="698"/>
        <v>7.4436102539565979E-2</v>
      </c>
      <c r="HY85" s="115">
        <f t="shared" si="699"/>
        <v>7.9133861530936309E-2</v>
      </c>
      <c r="HZ85" s="115">
        <f t="shared" si="700"/>
        <v>8.405709402530856E-2</v>
      </c>
      <c r="IA85" s="115">
        <f t="shared" si="701"/>
        <v>8.9135398951392567E-2</v>
      </c>
      <c r="IB85" s="115">
        <f t="shared" si="702"/>
        <v>9.4441702908772407E-2</v>
      </c>
      <c r="IC85" s="115">
        <f t="shared" si="703"/>
        <v>9.9980397615493405E-2</v>
      </c>
      <c r="ID85" s="115">
        <f t="shared" si="704"/>
        <v>0.10567182625033895</v>
      </c>
      <c r="IE85" s="115">
        <f t="shared" si="705"/>
        <v>0.11159516930349321</v>
      </c>
      <c r="IF85" s="115">
        <f t="shared" si="706"/>
        <v>0.11775330649604171</v>
      </c>
      <c r="IG85" s="115">
        <f t="shared" si="707"/>
        <v>0.12405730544100586</v>
      </c>
      <c r="IH85" s="115">
        <f t="shared" si="708"/>
        <v>0.13059224509206371</v>
      </c>
      <c r="II85" s="115">
        <f t="shared" si="709"/>
        <v>0.13724552354731717</v>
      </c>
      <c r="IJ85" s="115">
        <f t="shared" si="710"/>
        <v>0.14412155178115069</v>
      </c>
      <c r="IK85" s="115">
        <f t="shared" si="711"/>
        <v>0.15119969398384345</v>
      </c>
      <c r="IL85" s="115">
        <f t="shared" si="712"/>
        <v>0.15839607220451735</v>
      </c>
      <c r="IM85" s="115">
        <f t="shared" si="713"/>
        <v>0.16580270216732043</v>
      </c>
      <c r="IN85" s="115">
        <f t="shared" si="714"/>
        <v>0.17339414742075068</v>
      </c>
      <c r="IO85" s="115">
        <f t="shared" si="715"/>
        <v>0.18108161957284974</v>
      </c>
      <c r="IP85" s="115">
        <f t="shared" si="716"/>
        <v>0.18893592980770582</v>
      </c>
      <c r="IQ85" s="115">
        <f t="shared" si="717"/>
        <v>0.19697531518673633</v>
      </c>
      <c r="IR85" s="115">
        <f t="shared" si="718"/>
        <v>0.20508349043138344</v>
      </c>
      <c r="IS85" s="115">
        <f t="shared" si="719"/>
        <v>0.21335880865547383</v>
      </c>
      <c r="IT85" s="115">
        <f t="shared" si="720"/>
        <v>0.22179470370603419</v>
      </c>
      <c r="IU85" s="115">
        <f t="shared" si="721"/>
        <v>0.2302694245156435</v>
      </c>
      <c r="IV85" s="115">
        <f t="shared" si="722"/>
        <v>0.23888337760373704</v>
      </c>
      <c r="IW85" s="115">
        <f t="shared" si="723"/>
        <v>0.24751301127415998</v>
      </c>
      <c r="IX85" s="149">
        <f t="shared" si="724"/>
        <v>0.24751301127415998</v>
      </c>
      <c r="IY85" s="149">
        <f t="shared" si="725"/>
        <v>0.25606279623273898</v>
      </c>
      <c r="IZ85" s="149">
        <f t="shared" si="726"/>
        <v>0.26459311346923547</v>
      </c>
      <c r="JA85" s="149">
        <f t="shared" si="727"/>
        <v>0.27320101477409309</v>
      </c>
      <c r="JB85" s="149">
        <f t="shared" si="728"/>
        <v>0.28194674644970757</v>
      </c>
      <c r="JC85" s="149">
        <f t="shared" si="729"/>
        <v>0.29071185521092607</v>
      </c>
      <c r="JD85" s="149">
        <f t="shared" si="730"/>
        <v>0.29956272485855329</v>
      </c>
      <c r="JE85" s="149">
        <f t="shared" si="731"/>
        <v>0.3085291339449367</v>
      </c>
      <c r="JF85" s="149">
        <f t="shared" si="732"/>
        <v>0.31760538538029337</v>
      </c>
      <c r="JG85" s="149">
        <f t="shared" si="733"/>
        <v>0.32666923608303633</v>
      </c>
      <c r="JH85" s="149">
        <f t="shared" si="734"/>
        <v>0.33582601815025315</v>
      </c>
      <c r="JI85" s="149">
        <f t="shared" si="735"/>
        <v>0.34502649758005638</v>
      </c>
      <c r="JJ85" s="149">
        <f t="shared" si="736"/>
        <v>0.35430399149027836</v>
      </c>
      <c r="JK85" s="149">
        <f t="shared" si="685"/>
        <v>0.36353435599804113</v>
      </c>
      <c r="JL85" s="149">
        <f t="shared" si="737"/>
        <v>0.3728685923431812</v>
      </c>
      <c r="JM85" s="149">
        <f t="shared" si="738"/>
        <v>0.38230239189895809</v>
      </c>
      <c r="JN85" s="149">
        <f t="shared" si="739"/>
        <v>0.39183122155676026</v>
      </c>
      <c r="JO85" s="149">
        <f t="shared" si="740"/>
        <v>0.4014503246911697</v>
      </c>
      <c r="JP85" s="149">
        <f t="shared" si="741"/>
        <v>0.41103491518888063</v>
      </c>
      <c r="JQ85" s="149">
        <f t="shared" si="742"/>
        <v>0.42069579669088308</v>
      </c>
      <c r="JR85" s="149">
        <f t="shared" si="743"/>
        <v>0.43042762008844304</v>
      </c>
      <c r="JS85" s="149">
        <f t="shared" si="744"/>
        <v>0.44022482958104225</v>
      </c>
      <c r="JT85" s="149">
        <f t="shared" si="745"/>
        <v>0.44996146066689308</v>
      </c>
      <c r="JU85" s="149">
        <f t="shared" si="746"/>
        <v>0.45974849082461178</v>
      </c>
      <c r="JV85" s="149">
        <f t="shared" si="747"/>
        <v>0.46963603840576573</v>
      </c>
      <c r="JW85" s="149">
        <f t="shared" si="748"/>
        <v>0.47962145688694802</v>
      </c>
      <c r="JX85" s="149">
        <f t="shared" si="749"/>
        <v>0.48970197042433439</v>
      </c>
      <c r="JY85" s="149">
        <f t="shared" si="750"/>
        <v>0.49975211106370188</v>
      </c>
      <c r="JZ85" s="149">
        <f t="shared" si="751"/>
        <v>0.50988784695218992</v>
      </c>
      <c r="KA85" s="149">
        <f t="shared" si="752"/>
        <v>0.5201060402778851</v>
      </c>
      <c r="KB85" s="149">
        <f t="shared" si="753"/>
        <v>0.53040342910440241</v>
      </c>
      <c r="KC85" s="149">
        <f t="shared" si="754"/>
        <v>0.54077662797381754</v>
      </c>
      <c r="KD85" s="149">
        <f t="shared" si="755"/>
        <v>0.55122212867109288</v>
      </c>
      <c r="KE85" s="149">
        <f t="shared" si="756"/>
        <v>0.56173630115220363</v>
      </c>
      <c r="KF85" s="149">
        <f t="shared" si="757"/>
        <v>0.57225646043277623</v>
      </c>
      <c r="KG85" s="149">
        <f t="shared" si="758"/>
        <v>0.58290537824787225</v>
      </c>
      <c r="KH85" s="149">
        <f t="shared" si="759"/>
        <v>0.59368292544087975</v>
      </c>
      <c r="KI85" s="149">
        <f t="shared" si="760"/>
        <v>0.6045889244052246</v>
      </c>
      <c r="KJ85" s="149">
        <f t="shared" si="761"/>
        <v>0.61562314826174713</v>
      </c>
      <c r="KK85" s="149">
        <f t="shared" si="762"/>
        <v>0.62678532005006016</v>
      </c>
      <c r="KL85" s="149">
        <f t="shared" si="763"/>
        <v>0.63794229085373333</v>
      </c>
      <c r="KM85" s="149">
        <f t="shared" si="764"/>
        <v>0.64922265671817514</v>
      </c>
      <c r="KN85" s="149">
        <f t="shared" si="765"/>
        <v>0.66062595459050899</v>
      </c>
      <c r="KO85" s="149">
        <f t="shared" si="766"/>
        <v>0.67215166970065821</v>
      </c>
      <c r="KP85" s="149">
        <f t="shared" si="767"/>
        <v>0.68379923488349403</v>
      </c>
      <c r="KQ85" s="149">
        <f t="shared" si="768"/>
        <v>0.69556802991980082</v>
      </c>
      <c r="KR85" s="149">
        <f t="shared" si="769"/>
        <v>0.70745738089685739</v>
      </c>
      <c r="KS85" s="149">
        <f t="shared" si="770"/>
        <v>0.71946655958943639</v>
      </c>
      <c r="KT85" s="149">
        <f t="shared" si="771"/>
        <v>0.73145375701000881</v>
      </c>
      <c r="KU85" s="149">
        <f t="shared" si="772"/>
        <v>0.74355545266823475</v>
      </c>
      <c r="KV85" s="149">
        <f t="shared" si="773"/>
        <v>0.75577073425771846</v>
      </c>
      <c r="KW85" s="159">
        <f t="shared" si="774"/>
        <v>0.75577073425771846</v>
      </c>
      <c r="KX85" s="159">
        <f t="shared" si="775"/>
        <v>0.76801057813871565</v>
      </c>
      <c r="KY85" s="159">
        <f t="shared" si="776"/>
        <v>0.78035916598687038</v>
      </c>
      <c r="KZ85" s="159">
        <f t="shared" si="777"/>
        <v>0.7928153814107648</v>
      </c>
      <c r="LA85" s="159">
        <f t="shared" si="778"/>
        <v>0.80537805231907722</v>
      </c>
      <c r="LB85" s="159">
        <f t="shared" si="779"/>
        <v>0.81790034253895094</v>
      </c>
      <c r="LC85" s="159">
        <f t="shared" si="780"/>
        <v>0.83052313362689922</v>
      </c>
      <c r="LD85" s="159">
        <f t="shared" si="781"/>
        <v>0.84334073433475221</v>
      </c>
      <c r="LE85" s="159">
        <f t="shared" si="782"/>
        <v>0.85625902121500952</v>
      </c>
      <c r="LF85" s="159">
        <f t="shared" si="783"/>
        <v>0.86927657250153445</v>
      </c>
      <c r="LG85" s="159">
        <f t="shared" si="784"/>
        <v>0.88239191018813767</v>
      </c>
      <c r="LH85" s="159">
        <f t="shared" si="785"/>
        <v>0.8956034998415201</v>
      </c>
      <c r="LI85" s="159">
        <f t="shared" si="786"/>
        <v>0.9087585430506151</v>
      </c>
      <c r="LJ85" s="159">
        <f t="shared" si="787"/>
        <v>0.92200333872269546</v>
      </c>
      <c r="LK85" s="159">
        <f t="shared" si="788"/>
        <v>0.93533618897066662</v>
      </c>
      <c r="LL85" s="159">
        <f t="shared" si="789"/>
        <v>0.94886184209501467</v>
      </c>
      <c r="LM85" s="159">
        <f t="shared" si="790"/>
        <v>0.96247504487602809</v>
      </c>
      <c r="LN85" s="159">
        <f t="shared" si="791"/>
        <v>0.97617396323655636</v>
      </c>
      <c r="LO85" s="159">
        <f t="shared" si="792"/>
        <v>0.98995670729755714</v>
      </c>
      <c r="LP85" s="159">
        <f t="shared" si="793"/>
        <v>1.0036655491382722</v>
      </c>
      <c r="LQ85" s="159">
        <f t="shared" si="794"/>
        <v>1.0175642299317702</v>
      </c>
      <c r="LR85" s="159">
        <f t="shared" si="795"/>
        <v>1.0315408163688777</v>
      </c>
      <c r="LS85" s="159">
        <f t="shared" si="796"/>
        <v>1.0455932401806174</v>
      </c>
      <c r="LT85" s="159">
        <f t="shared" si="797"/>
        <v>1.0597193788423986</v>
      </c>
      <c r="LU85" s="159">
        <f t="shared" si="798"/>
        <v>1.0739170557785458</v>
      </c>
      <c r="LV85" s="159">
        <f t="shared" si="799"/>
        <v>1.0881840406000842</v>
      </c>
      <c r="LW85" s="159">
        <f t="shared" si="686"/>
        <v>1.102358782611909</v>
      </c>
      <c r="LX85" s="159">
        <f t="shared" si="684"/>
        <v>1.1187742054915824</v>
      </c>
      <c r="LY85" s="159">
        <f t="shared" si="684"/>
        <v>1.1332228592253859</v>
      </c>
      <c r="LZ85" s="159">
        <f t="shared" si="684"/>
        <v>1.1501557842295889</v>
      </c>
      <c r="MA85" s="159">
        <f t="shared" si="684"/>
        <v>1.1647536198343733</v>
      </c>
      <c r="MB85" s="159">
        <f t="shared" si="684"/>
        <v>1.1794070554880456</v>
      </c>
      <c r="MC85" s="159">
        <f t="shared" si="684"/>
        <v>1.1941135340245252</v>
      </c>
      <c r="MD85" s="159">
        <f t="shared" si="684"/>
        <v>1.2087082842146553</v>
      </c>
      <c r="ME85" s="159">
        <f t="shared" si="684"/>
        <v>1.2262833758099052</v>
      </c>
      <c r="MF85" s="159">
        <f t="shared" si="684"/>
        <v>1.2411362872744927</v>
      </c>
      <c r="MG85" s="159">
        <f t="shared" ref="MG85:MG91" si="800">EK33</f>
        <v>1.2597658082352627</v>
      </c>
      <c r="MH85" s="159">
        <f t="shared" ref="MH85:MH91" si="801">EL33</f>
        <v>1.274746837027948</v>
      </c>
      <c r="MI85" s="159">
        <f t="shared" ref="MI85:MI91" si="802">EM33</f>
        <v>1.2897656561565338</v>
      </c>
      <c r="MJ85" s="159">
        <f t="shared" ref="MJ85:MJ91" si="803">EN33</f>
        <v>1.3048194075662316</v>
      </c>
      <c r="MK85" s="159">
        <f t="shared" ref="MK85:MK91" si="804">EO33</f>
        <v>1.3200488617715675</v>
      </c>
      <c r="ML85" s="159">
        <f t="shared" ref="ML85:ML91" si="805">EP33</f>
        <v>1.3404116064513016</v>
      </c>
      <c r="MM85" s="159">
        <f t="shared" ref="MM85:MM91" si="806">EQ33</f>
        <v>1.3557612956176492</v>
      </c>
      <c r="MN85" s="159">
        <f t="shared" ref="MN85:MN91" si="807">ER33</f>
        <v>1.3788487029134848</v>
      </c>
      <c r="MO85" s="159">
        <f t="shared" ref="MO85:MO91" si="808">ES33</f>
        <v>1.3943167494848983</v>
      </c>
      <c r="MP85" s="159">
        <f t="shared" ref="MP85:MP91" si="809">ET33</f>
        <v>1.4098064580811625</v>
      </c>
      <c r="MQ85" s="159">
        <f t="shared" ref="MQ85:MQ91" si="810">EU33</f>
        <v>1.4254682445589308</v>
      </c>
      <c r="MR85" s="159">
        <f t="shared" ref="MR85:MR91" si="811">EV33</f>
        <v>1.4411487678555732</v>
      </c>
      <c r="MS85" s="159">
        <f t="shared" ref="MS85:MS91" si="812">EW33</f>
        <v>1.4726039094623389</v>
      </c>
      <c r="MT85" s="159">
        <f t="shared" ref="MT85:MT91" si="813">EX33</f>
        <v>1.4886425509786578</v>
      </c>
      <c r="MU85" s="159">
        <f t="shared" ref="MU85:MU91" si="814">EY33</f>
        <v>1.5046616392989716</v>
      </c>
      <c r="MV85" s="184"/>
      <c r="MW85" s="184"/>
      <c r="MX85" s="184"/>
      <c r="MY85" s="184"/>
      <c r="MZ85" s="184"/>
      <c r="NA85" s="184"/>
      <c r="NB85" s="184"/>
      <c r="NC85" s="184"/>
      <c r="ND85" s="184"/>
      <c r="NE85" s="184"/>
      <c r="NF85" s="184"/>
      <c r="NG85" s="184"/>
      <c r="NH85" s="184"/>
      <c r="NI85" s="184"/>
      <c r="NJ85" s="184"/>
      <c r="NK85" s="184"/>
      <c r="NL85" s="184"/>
      <c r="NM85" s="131"/>
      <c r="NN85" s="131"/>
      <c r="NO85" s="131"/>
      <c r="NP85" s="131"/>
      <c r="NQ85" s="131"/>
      <c r="NR85" s="131"/>
      <c r="NS85" s="131"/>
      <c r="NT85" s="131"/>
      <c r="NU85" s="131"/>
      <c r="NV85" s="131"/>
      <c r="NW85" s="131"/>
      <c r="NX85" s="131"/>
      <c r="NY85" s="131"/>
      <c r="NZ85" s="131"/>
      <c r="OA85" s="131"/>
      <c r="OB85" s="131"/>
      <c r="OC85" s="131"/>
      <c r="OD85" s="131"/>
      <c r="OE85" s="131"/>
      <c r="OF85" s="131"/>
      <c r="OG85" s="131"/>
      <c r="OH85" s="131"/>
      <c r="OI85" s="131"/>
      <c r="OJ85" s="131"/>
      <c r="OK85" s="131"/>
      <c r="OL85" s="131"/>
      <c r="OM85" s="131"/>
      <c r="ON85" s="131"/>
      <c r="OO85" s="131"/>
      <c r="OP85" s="131"/>
      <c r="OQ85" s="131"/>
      <c r="OR85" s="131"/>
      <c r="OS85" s="131"/>
      <c r="OT85" s="131"/>
      <c r="OU85" s="131"/>
      <c r="OV85" s="131"/>
      <c r="OW85" s="131"/>
      <c r="OX85" s="131"/>
      <c r="OY85" s="131"/>
      <c r="OZ85" s="131"/>
      <c r="PA85" s="131"/>
      <c r="PB85" s="131"/>
      <c r="PC85" s="131"/>
      <c r="PD85" s="131"/>
      <c r="PE85" s="131"/>
      <c r="PF85" s="131"/>
      <c r="PG85" s="131"/>
      <c r="PH85" s="131"/>
      <c r="PI85" s="131"/>
      <c r="PJ85" s="131"/>
      <c r="PK85" s="131"/>
      <c r="PL85" s="131"/>
      <c r="PM85" s="131"/>
      <c r="PN85" s="131"/>
      <c r="PO85" s="131"/>
      <c r="PP85" s="131"/>
      <c r="PQ85" s="131"/>
      <c r="PR85" s="131"/>
      <c r="PS85" s="131"/>
      <c r="PT85" s="131"/>
      <c r="PU85" s="131"/>
      <c r="PV85" s="131"/>
      <c r="PW85" s="131"/>
      <c r="PX85" s="131"/>
      <c r="PY85" s="131"/>
      <c r="PZ85" s="131"/>
      <c r="QA85" s="131"/>
      <c r="QB85" s="131"/>
      <c r="QC85" s="131"/>
      <c r="QD85" s="131"/>
      <c r="QE85" s="131"/>
      <c r="QF85" s="131"/>
      <c r="QG85" s="131"/>
      <c r="QH85" s="131"/>
      <c r="QI85" s="131"/>
      <c r="QJ85" s="131"/>
      <c r="QK85" s="131"/>
      <c r="QL85" s="131"/>
      <c r="QM85" s="131"/>
      <c r="QN85" s="131"/>
      <c r="QO85" s="131"/>
      <c r="QP85" s="131"/>
      <c r="QQ85" s="131"/>
      <c r="QR85" s="131"/>
      <c r="QS85" s="131"/>
      <c r="QT85" s="131"/>
      <c r="QU85" s="131"/>
      <c r="QV85" s="131"/>
      <c r="QW85" s="131"/>
      <c r="QX85" s="131"/>
      <c r="QY85" s="131"/>
      <c r="QZ85" s="131"/>
      <c r="RA85" s="131"/>
      <c r="RB85" s="131"/>
      <c r="RC85" s="131"/>
      <c r="RD85" s="131"/>
      <c r="RE85" s="131"/>
      <c r="RF85" s="131"/>
      <c r="RG85" s="131"/>
      <c r="RH85" s="131"/>
      <c r="RI85" s="131"/>
      <c r="RJ85" s="131"/>
      <c r="RK85" s="131"/>
      <c r="RL85" s="131"/>
      <c r="RM85" s="131"/>
      <c r="RN85" s="131"/>
      <c r="RO85" s="131"/>
      <c r="RP85" s="131"/>
      <c r="RQ85" s="131"/>
      <c r="RR85" s="131"/>
      <c r="RS85" s="131"/>
      <c r="RT85" s="131"/>
      <c r="RU85" s="131"/>
      <c r="RV85" s="131"/>
      <c r="RW85" s="131"/>
      <c r="RX85" s="131"/>
      <c r="RY85" s="131"/>
      <c r="RZ85" s="131"/>
      <c r="SA85" s="131"/>
      <c r="SB85" s="131"/>
      <c r="SC85" s="131"/>
      <c r="SD85" s="131"/>
      <c r="SE85" s="131"/>
      <c r="SF85" s="131"/>
      <c r="SG85" s="131"/>
      <c r="SH85" s="131"/>
      <c r="SI85" s="131"/>
      <c r="SJ85" s="131"/>
      <c r="SK85" s="131"/>
      <c r="SL85" s="131"/>
      <c r="SM85" s="131"/>
      <c r="SN85" s="131"/>
      <c r="SO85" s="131"/>
      <c r="SP85" s="131"/>
      <c r="SQ85" s="131"/>
      <c r="SR85" s="131"/>
      <c r="SS85" s="131"/>
      <c r="ST85" s="131"/>
      <c r="SU85" s="131"/>
      <c r="SV85" s="131"/>
      <c r="SW85" s="131"/>
      <c r="SX85" s="131"/>
      <c r="SY85" s="131"/>
      <c r="SZ85" s="131"/>
      <c r="TA85" s="184"/>
      <c r="TB85" s="185"/>
      <c r="TC85" s="11"/>
      <c r="TD85" s="11"/>
      <c r="TE85" s="11"/>
      <c r="TF85" s="11"/>
    </row>
    <row r="86" spans="1:526" ht="22.15" customHeight="1" thickBot="1" x14ac:dyDescent="0.3">
      <c r="A86" s="298"/>
      <c r="B86" s="25" t="s">
        <v>11</v>
      </c>
      <c r="BY86" s="184"/>
      <c r="BZ86" s="184"/>
      <c r="CA86" s="184"/>
      <c r="CB86" s="184"/>
      <c r="CC86" s="184"/>
      <c r="CD86" s="184"/>
      <c r="CE86" s="184"/>
      <c r="CF86" s="184"/>
      <c r="CG86" s="184"/>
      <c r="CH86" s="184"/>
      <c r="CI86" s="184"/>
      <c r="CJ86" s="184"/>
      <c r="CK86" s="184"/>
      <c r="CL86" s="184"/>
      <c r="CM86" s="184"/>
      <c r="CN86" s="184"/>
      <c r="CO86" s="184"/>
      <c r="CP86" s="184"/>
      <c r="CQ86" s="184"/>
      <c r="CR86" s="184"/>
      <c r="CS86" s="184"/>
      <c r="CT86" s="184"/>
      <c r="CU86" s="184"/>
      <c r="CV86" s="184"/>
      <c r="CW86" s="184"/>
      <c r="CX86" s="184"/>
      <c r="CY86" s="184"/>
      <c r="CZ86" s="184"/>
      <c r="DA86" s="184"/>
      <c r="DB86" s="184"/>
      <c r="DC86" s="184"/>
      <c r="DD86" s="184"/>
      <c r="DE86" s="184"/>
      <c r="DF86" s="184"/>
      <c r="DG86" s="184"/>
      <c r="DH86" s="184"/>
      <c r="DI86" s="184"/>
      <c r="DJ86" s="184"/>
      <c r="DK86" s="184"/>
      <c r="DL86" s="184"/>
      <c r="DM86" s="184"/>
      <c r="DN86" s="184"/>
      <c r="DO86" s="184"/>
      <c r="DP86" s="184"/>
      <c r="DQ86" s="184"/>
      <c r="DR86" s="184"/>
      <c r="DS86" s="184"/>
      <c r="DT86" s="184"/>
      <c r="DU86" s="184"/>
      <c r="DV86" s="184"/>
      <c r="DW86" s="184"/>
      <c r="DX86" s="184"/>
      <c r="DY86" s="184"/>
      <c r="DZ86" s="184"/>
      <c r="EA86" s="184"/>
      <c r="EB86" s="184"/>
      <c r="EC86" s="184"/>
      <c r="ED86" s="184"/>
      <c r="EE86" s="184"/>
      <c r="EF86" s="184"/>
      <c r="EG86" s="184"/>
      <c r="EH86" s="184"/>
      <c r="EI86" s="184"/>
      <c r="EJ86" s="184"/>
      <c r="EK86" s="184"/>
      <c r="EL86" s="184"/>
      <c r="EM86" s="184"/>
      <c r="EN86" s="184"/>
      <c r="EO86" s="184"/>
      <c r="EP86" s="184"/>
      <c r="EQ86" s="184"/>
      <c r="ER86" s="184"/>
      <c r="ES86" s="184"/>
      <c r="ET86" s="184"/>
      <c r="EU86" s="184"/>
      <c r="EV86" s="184"/>
      <c r="EW86" s="184"/>
      <c r="EX86" s="184"/>
      <c r="EY86" s="184"/>
      <c r="EZ86" s="184"/>
      <c r="FA86" s="184"/>
      <c r="FB86" s="184"/>
      <c r="FC86" s="184"/>
      <c r="FD86" s="184"/>
      <c r="FE86" s="184"/>
      <c r="FF86" s="184"/>
      <c r="FG86" s="184"/>
      <c r="FH86" s="184"/>
      <c r="FI86" s="184"/>
      <c r="FJ86" s="184"/>
      <c r="FK86" s="184"/>
      <c r="FL86" s="184"/>
      <c r="FM86" s="184"/>
      <c r="FN86" s="184"/>
      <c r="FO86" s="184"/>
      <c r="FP86" s="184"/>
      <c r="FQ86" s="184"/>
      <c r="FR86" s="184"/>
      <c r="FS86" s="184"/>
      <c r="FT86" s="184"/>
      <c r="FU86" s="184"/>
      <c r="FV86" s="184"/>
      <c r="FW86" s="184"/>
      <c r="FX86" s="184"/>
      <c r="FY86" s="184"/>
      <c r="FZ86" s="184"/>
      <c r="GA86" s="184"/>
      <c r="GB86" s="184"/>
      <c r="GC86" s="184"/>
      <c r="GD86" s="184"/>
      <c r="GE86" s="184"/>
      <c r="GF86" s="184"/>
      <c r="GG86" s="184"/>
      <c r="GH86" s="184"/>
      <c r="GI86" s="184"/>
      <c r="GJ86" s="184"/>
      <c r="GK86" s="184"/>
      <c r="GL86" s="184"/>
      <c r="GM86" s="184"/>
      <c r="GN86" s="184"/>
      <c r="GO86" s="184"/>
      <c r="GP86" s="184"/>
      <c r="GQ86" s="184"/>
      <c r="GR86" s="184"/>
      <c r="GS86" s="184"/>
      <c r="GT86" s="184"/>
      <c r="GU86" s="184"/>
      <c r="GV86" s="184"/>
      <c r="GW86" s="184"/>
      <c r="GX86" s="184"/>
      <c r="GY86" s="123">
        <f t="shared" si="668"/>
        <v>2.5</v>
      </c>
      <c r="GZ86" s="110">
        <f t="shared" si="669"/>
        <v>2.7458928571428571</v>
      </c>
      <c r="HA86" s="110">
        <f t="shared" si="670"/>
        <v>3.0145000191326532</v>
      </c>
      <c r="HB86" s="110">
        <f t="shared" si="671"/>
        <v>3.3030458455254204</v>
      </c>
      <c r="HC86" s="110">
        <f t="shared" si="687"/>
        <v>3.6180521124776339</v>
      </c>
      <c r="HD86" s="110">
        <f t="shared" si="673"/>
        <v>3.9605610457921832</v>
      </c>
      <c r="HE86" s="110">
        <f t="shared" si="674"/>
        <v>4.326161801639965</v>
      </c>
      <c r="HF86" s="110">
        <f t="shared" si="675"/>
        <v>4.7232736194318816</v>
      </c>
      <c r="HG86" s="110">
        <f t="shared" si="676"/>
        <v>5.1461266915986474</v>
      </c>
      <c r="HH86" s="110">
        <f t="shared" si="677"/>
        <v>5.603346964774242</v>
      </c>
      <c r="HI86" s="110">
        <f t="shared" si="678"/>
        <v>6.0954917778498379</v>
      </c>
      <c r="HJ86" s="110">
        <f t="shared" si="679"/>
        <v>6.615640409559691</v>
      </c>
      <c r="HK86" s="110">
        <f t="shared" si="680"/>
        <v>7.1735594174325588</v>
      </c>
      <c r="HL86" s="110">
        <f t="shared" si="681"/>
        <v>7.7613208923231802</v>
      </c>
      <c r="HM86" s="110">
        <f t="shared" si="682"/>
        <v>8.3896061802951785</v>
      </c>
      <c r="HN86" s="110">
        <f t="shared" si="688"/>
        <v>9.0480549492196349</v>
      </c>
      <c r="HO86" s="110">
        <f t="shared" si="689"/>
        <v>9.7479657804528195</v>
      </c>
      <c r="HP86" s="110">
        <f t="shared" si="690"/>
        <v>10.477361188215589</v>
      </c>
      <c r="HQ86" s="110">
        <f t="shared" si="691"/>
        <v>11.249692384375482</v>
      </c>
      <c r="HR86" s="110">
        <f t="shared" si="692"/>
        <v>12.053342284084305</v>
      </c>
      <c r="HS86" s="110">
        <f t="shared" si="693"/>
        <v>12.90121958038036</v>
      </c>
      <c r="HT86" s="110">
        <f t="shared" si="694"/>
        <v>13.78048731485859</v>
      </c>
      <c r="HU86" s="110">
        <f t="shared" si="695"/>
        <v>14.702719927468356</v>
      </c>
      <c r="HV86" s="110">
        <f t="shared" si="696"/>
        <v>15.655723500948806</v>
      </c>
      <c r="HW86" s="110">
        <f t="shared" si="697"/>
        <v>16.653894478100209</v>
      </c>
      <c r="HX86" s="110">
        <f t="shared" si="698"/>
        <v>17.700566512875355</v>
      </c>
      <c r="HY86" s="110">
        <f t="shared" si="699"/>
        <v>18.780036882600857</v>
      </c>
      <c r="HZ86" s="110">
        <f t="shared" si="700"/>
        <v>19.908520889904604</v>
      </c>
      <c r="IA86" s="110">
        <f t="shared" si="701"/>
        <v>21.06907054883963</v>
      </c>
      <c r="IB86" s="110">
        <f t="shared" si="702"/>
        <v>22.278683069761243</v>
      </c>
      <c r="IC86" s="110">
        <f t="shared" si="703"/>
        <v>23.538083918587155</v>
      </c>
      <c r="ID86" s="110">
        <f t="shared" si="704"/>
        <v>24.828243822646527</v>
      </c>
      <c r="IE86" s="110">
        <f t="shared" si="705"/>
        <v>26.167529670586966</v>
      </c>
      <c r="IF86" s="110">
        <f t="shared" si="706"/>
        <v>27.556304940930293</v>
      </c>
      <c r="IG86" s="110">
        <f t="shared" si="707"/>
        <v>28.973486337892421</v>
      </c>
      <c r="IH86" s="110">
        <f t="shared" si="708"/>
        <v>30.438716932694408</v>
      </c>
      <c r="II86" s="110">
        <f t="shared" si="709"/>
        <v>31.925498204843478</v>
      </c>
      <c r="IJ86" s="110">
        <f t="shared" si="710"/>
        <v>33.457922118675967</v>
      </c>
      <c r="IK86" s="110">
        <f t="shared" si="711"/>
        <v>35.030915696593432</v>
      </c>
      <c r="IL86" s="110">
        <f t="shared" si="712"/>
        <v>36.624822360788428</v>
      </c>
      <c r="IM86" s="110">
        <f t="shared" si="713"/>
        <v>38.260731092903647</v>
      </c>
      <c r="IN86" s="110">
        <f t="shared" si="714"/>
        <v>39.932512482046356</v>
      </c>
      <c r="IO86" s="110">
        <f t="shared" si="715"/>
        <v>41.619524379233077</v>
      </c>
      <c r="IP86" s="110">
        <f t="shared" si="716"/>
        <v>43.337897618671555</v>
      </c>
      <c r="IQ86" s="110">
        <f t="shared" si="717"/>
        <v>45.091598297651771</v>
      </c>
      <c r="IR86" s="110">
        <f t="shared" si="718"/>
        <v>46.85382670679784</v>
      </c>
      <c r="IS86" s="110">
        <f t="shared" si="719"/>
        <v>48.646935318063406</v>
      </c>
      <c r="IT86" s="110">
        <f t="shared" si="720"/>
        <v>50.469223219437346</v>
      </c>
      <c r="IU86" s="110">
        <f t="shared" si="721"/>
        <v>52.292844485099678</v>
      </c>
      <c r="IV86" s="110">
        <f t="shared" si="722"/>
        <v>54.140524990239868</v>
      </c>
      <c r="IW86" s="110">
        <f t="shared" si="723"/>
        <v>55.984152341223293</v>
      </c>
      <c r="IX86" s="148">
        <f t="shared" si="724"/>
        <v>55.872184036540851</v>
      </c>
      <c r="IY86" s="148">
        <f t="shared" si="725"/>
        <v>57.686559697095888</v>
      </c>
      <c r="IZ86" s="148">
        <f t="shared" si="726"/>
        <v>59.489077393605136</v>
      </c>
      <c r="JA86" s="148">
        <f t="shared" si="727"/>
        <v>61.30156279055835</v>
      </c>
      <c r="JB86" s="148">
        <f t="shared" si="728"/>
        <v>63.137425177506771</v>
      </c>
      <c r="JC86" s="148">
        <f t="shared" si="729"/>
        <v>64.970029415992343</v>
      </c>
      <c r="JD86" s="148">
        <f t="shared" si="730"/>
        <v>66.814178712492435</v>
      </c>
      <c r="JE86" s="148">
        <f t="shared" si="731"/>
        <v>68.676409796094475</v>
      </c>
      <c r="JF86" s="148">
        <f t="shared" si="732"/>
        <v>70.555325930772227</v>
      </c>
      <c r="JG86" s="148">
        <f t="shared" si="733"/>
        <v>72.423702409850407</v>
      </c>
      <c r="JH86" s="148">
        <f t="shared" si="734"/>
        <v>74.304885161053093</v>
      </c>
      <c r="JI86" s="148">
        <f t="shared" si="735"/>
        <v>76.187902630577511</v>
      </c>
      <c r="JJ86" s="148">
        <f t="shared" si="736"/>
        <v>78.080062946541972</v>
      </c>
      <c r="JK86" s="148">
        <f t="shared" si="685"/>
        <v>79.953984457258983</v>
      </c>
      <c r="JL86" s="148">
        <f t="shared" si="737"/>
        <v>81.842897340061725</v>
      </c>
      <c r="JM86" s="148">
        <f t="shared" si="738"/>
        <v>83.745744703218151</v>
      </c>
      <c r="JN86" s="148">
        <f t="shared" si="739"/>
        <v>85.661428613304267</v>
      </c>
      <c r="JO86" s="148">
        <f t="shared" si="740"/>
        <v>87.588810757103602</v>
      </c>
      <c r="JP86" s="148">
        <f t="shared" si="741"/>
        <v>89.50062578696236</v>
      </c>
      <c r="JQ86" s="148">
        <f t="shared" si="742"/>
        <v>91.421021930391248</v>
      </c>
      <c r="JR86" s="148">
        <f t="shared" si="743"/>
        <v>93.348763973071598</v>
      </c>
      <c r="JS86" s="148">
        <f t="shared" si="744"/>
        <v>95.282581577353255</v>
      </c>
      <c r="JT86" s="148">
        <f t="shared" si="745"/>
        <v>97.195205105113303</v>
      </c>
      <c r="JU86" s="148">
        <f t="shared" si="746"/>
        <v>99.110661830111624</v>
      </c>
      <c r="JV86" s="148">
        <f t="shared" si="747"/>
        <v>101.03969373597575</v>
      </c>
      <c r="JW86" s="148">
        <f t="shared" si="748"/>
        <v>102.98162736192573</v>
      </c>
      <c r="JX86" s="148">
        <f t="shared" si="749"/>
        <v>104.9357665347935</v>
      </c>
      <c r="JY86" s="148">
        <f t="shared" si="750"/>
        <v>106.87518178617148</v>
      </c>
      <c r="JZ86" s="148">
        <f t="shared" si="751"/>
        <v>108.82468811417466</v>
      </c>
      <c r="KA86" s="148">
        <f t="shared" si="752"/>
        <v>110.78353250022981</v>
      </c>
      <c r="KB86" s="148">
        <f t="shared" si="753"/>
        <v>112.75094125812545</v>
      </c>
      <c r="KC86" s="148">
        <f t="shared" si="754"/>
        <v>114.72612039775575</v>
      </c>
      <c r="KD86" s="148">
        <f t="shared" si="755"/>
        <v>116.7082560200495</v>
      </c>
      <c r="KE86" s="148">
        <f t="shared" si="756"/>
        <v>118.69651474308986</v>
      </c>
      <c r="KF86" s="148">
        <f t="shared" si="757"/>
        <v>120.67761609630193</v>
      </c>
      <c r="KG86" s="148">
        <f t="shared" si="758"/>
        <v>122.67741659161207</v>
      </c>
      <c r="KH86" s="148">
        <f t="shared" si="759"/>
        <v>124.69575218363121</v>
      </c>
      <c r="KI86" s="148">
        <f t="shared" si="760"/>
        <v>126.73244946929719</v>
      </c>
      <c r="KJ86" s="148">
        <f t="shared" si="761"/>
        <v>128.78732561426366</v>
      </c>
      <c r="KK86" s="148">
        <f t="shared" si="762"/>
        <v>130.86018828367418</v>
      </c>
      <c r="KL86" s="148">
        <f t="shared" si="763"/>
        <v>132.92316066367565</v>
      </c>
      <c r="KM86" s="148">
        <f t="shared" si="764"/>
        <v>135.00301717758964</v>
      </c>
      <c r="KN86" s="148">
        <f t="shared" si="765"/>
        <v>137.09953462081808</v>
      </c>
      <c r="KO86" s="148">
        <f t="shared" si="766"/>
        <v>139.21248038968011</v>
      </c>
      <c r="KP86" s="148">
        <f t="shared" si="767"/>
        <v>141.34161244269873</v>
      </c>
      <c r="KQ86" s="148">
        <f t="shared" si="768"/>
        <v>143.4866792668291</v>
      </c>
      <c r="KR86" s="148">
        <f t="shared" si="769"/>
        <v>145.64741984872958</v>
      </c>
      <c r="KS86" s="148">
        <f t="shared" si="770"/>
        <v>147.82356365117531</v>
      </c>
      <c r="KT86" s="148">
        <f t="shared" si="771"/>
        <v>149.98591298923552</v>
      </c>
      <c r="KU86" s="148">
        <f t="shared" si="772"/>
        <v>152.1624527498235</v>
      </c>
      <c r="KV86" s="148">
        <f t="shared" si="773"/>
        <v>154.35288433708257</v>
      </c>
      <c r="KW86" s="158">
        <f t="shared" si="774"/>
        <v>154.0441785684084</v>
      </c>
      <c r="KX86" s="158">
        <f t="shared" si="775"/>
        <v>156.22587402766794</v>
      </c>
      <c r="KY86" s="158">
        <f t="shared" si="776"/>
        <v>158.4203025837775</v>
      </c>
      <c r="KZ86" s="158">
        <f t="shared" si="777"/>
        <v>160.62713424070034</v>
      </c>
      <c r="LA86" s="158">
        <f t="shared" si="778"/>
        <v>162.8460300020719</v>
      </c>
      <c r="LB86" s="158">
        <f t="shared" si="779"/>
        <v>165.0472590972723</v>
      </c>
      <c r="LC86" s="158">
        <f t="shared" si="780"/>
        <v>167.25927178816221</v>
      </c>
      <c r="LD86" s="158">
        <f t="shared" si="781"/>
        <v>169.50093053419664</v>
      </c>
      <c r="LE86" s="158">
        <f t="shared" si="782"/>
        <v>171.75314979508781</v>
      </c>
      <c r="LF86" s="158">
        <f t="shared" si="783"/>
        <v>174.01555335445758</v>
      </c>
      <c r="LG86" s="158">
        <f t="shared" si="784"/>
        <v>176.28775644193649</v>
      </c>
      <c r="LH86" s="158">
        <f t="shared" si="785"/>
        <v>178.56936579542639</v>
      </c>
      <c r="LI86" s="158">
        <f t="shared" si="786"/>
        <v>180.82989163060938</v>
      </c>
      <c r="LJ86" s="158">
        <f t="shared" si="787"/>
        <v>183.09848481652065</v>
      </c>
      <c r="LK86" s="158">
        <f t="shared" si="788"/>
        <v>185.37473188912605</v>
      </c>
      <c r="LL86" s="158">
        <f t="shared" si="789"/>
        <v>187.67927685147495</v>
      </c>
      <c r="LM86" s="158">
        <f t="shared" si="790"/>
        <v>189.99114430723631</v>
      </c>
      <c r="LN86" s="158">
        <f t="shared" si="791"/>
        <v>192.30989986389508</v>
      </c>
      <c r="LO86" s="158">
        <f t="shared" si="792"/>
        <v>194.63510138043125</v>
      </c>
      <c r="LP86" s="158">
        <f t="shared" si="793"/>
        <v>196.93573201697299</v>
      </c>
      <c r="LQ86" s="158">
        <f t="shared" si="794"/>
        <v>199.2635566246343</v>
      </c>
      <c r="LR86" s="158">
        <f t="shared" si="795"/>
        <v>201.59650747859911</v>
      </c>
      <c r="LS86" s="158">
        <f t="shared" si="796"/>
        <v>203.93412091363186</v>
      </c>
      <c r="LT86" s="158">
        <f t="shared" si="797"/>
        <v>206.27592621221311</v>
      </c>
      <c r="LU86" s="158">
        <f t="shared" si="798"/>
        <v>208.62144573273852</v>
      </c>
      <c r="LV86" s="158">
        <f t="shared" si="799"/>
        <v>210.97019504312283</v>
      </c>
      <c r="LW86" s="158">
        <f t="shared" si="686"/>
        <v>213.29086718859719</v>
      </c>
      <c r="LX86" s="158">
        <f t="shared" ref="LX86:LX91" si="815">EB34</f>
        <v>188.9757083290971</v>
      </c>
      <c r="LY86" s="158">
        <f t="shared" ref="LY86:LY91" si="816">EC34</f>
        <v>191.03344381979173</v>
      </c>
      <c r="LZ86" s="158">
        <f t="shared" ref="LZ86:LZ91" si="817">ED34</f>
        <v>165.80186785114904</v>
      </c>
      <c r="MA86" s="158">
        <f t="shared" ref="MA86:MA91" si="818">EE34</f>
        <v>167.57042110822798</v>
      </c>
      <c r="MB86" s="158">
        <f t="shared" ref="MB86:MB91" si="819">EF34</f>
        <v>169.33921999770371</v>
      </c>
      <c r="MC86" s="158">
        <f t="shared" ref="MC86:MC91" si="820">EG34</f>
        <v>171.10787407323525</v>
      </c>
      <c r="MD86" s="158">
        <f t="shared" ref="MD86:MD91" si="821">EH34</f>
        <v>172.85279832752056</v>
      </c>
      <c r="ME86" s="158">
        <f t="shared" ref="ME86:ME91" si="822">EI34</f>
        <v>145.78772243994473</v>
      </c>
      <c r="MF86" s="158">
        <f t="shared" ref="MF86:MF91" si="823">EJ34</f>
        <v>147.25841616741585</v>
      </c>
      <c r="MG86" s="158">
        <f t="shared" si="800"/>
        <v>119.27608064689986</v>
      </c>
      <c r="MH86" s="158">
        <f t="shared" si="801"/>
        <v>120.4531127394374</v>
      </c>
      <c r="MI86" s="158">
        <f t="shared" si="802"/>
        <v>121.62852333408158</v>
      </c>
      <c r="MJ86" s="158">
        <f t="shared" si="803"/>
        <v>122.80203809767855</v>
      </c>
      <c r="MK86" s="158">
        <f t="shared" si="804"/>
        <v>123.98687534437923</v>
      </c>
      <c r="ML86" s="158">
        <f t="shared" si="805"/>
        <v>94.1728005500308</v>
      </c>
      <c r="MM86" s="158">
        <f t="shared" si="806"/>
        <v>95.060715526645382</v>
      </c>
      <c r="MN86" s="158">
        <f t="shared" si="807"/>
        <v>64.259650865015544</v>
      </c>
      <c r="MO86" s="158">
        <f t="shared" si="808"/>
        <v>64.850560263187319</v>
      </c>
      <c r="MP86" s="158">
        <f t="shared" si="809"/>
        <v>65.439854484709329</v>
      </c>
      <c r="MQ86" s="158">
        <f t="shared" si="810"/>
        <v>66.034503597200825</v>
      </c>
      <c r="MR86" s="158">
        <f t="shared" si="811"/>
        <v>66.627378596888732</v>
      </c>
      <c r="MS86" s="158">
        <f t="shared" si="812"/>
        <v>33.90464517817329</v>
      </c>
      <c r="MT86" s="158">
        <f t="shared" si="813"/>
        <v>34.205364639753611</v>
      </c>
      <c r="MU86" s="160">
        <f t="shared" si="814"/>
        <v>-6.9146888214147453E-2</v>
      </c>
      <c r="MV86" s="184"/>
      <c r="MW86" s="184"/>
      <c r="MX86" s="184"/>
      <c r="MY86" s="184"/>
      <c r="MZ86" s="184"/>
      <c r="NA86" s="184"/>
      <c r="NB86" s="184"/>
      <c r="NC86" s="184"/>
      <c r="ND86" s="184"/>
      <c r="NE86" s="184"/>
      <c r="NF86" s="184"/>
      <c r="NG86" s="184"/>
      <c r="NH86" s="184"/>
      <c r="NI86" s="184"/>
      <c r="NJ86" s="184"/>
      <c r="NK86" s="184"/>
      <c r="NL86" s="184"/>
      <c r="NM86" s="23"/>
      <c r="NN86" s="23"/>
      <c r="NO86" s="23"/>
      <c r="NP86" s="23"/>
      <c r="NQ86" s="23"/>
      <c r="NR86" s="23"/>
      <c r="NS86" s="23"/>
      <c r="NT86" s="23"/>
      <c r="NU86" s="23"/>
      <c r="NV86" s="23"/>
      <c r="NW86" s="23"/>
      <c r="NX86" s="23"/>
      <c r="NY86" s="23"/>
      <c r="NZ86" s="23"/>
      <c r="OA86" s="23"/>
      <c r="OB86" s="23"/>
      <c r="OC86" s="23"/>
      <c r="OD86" s="23"/>
      <c r="OE86" s="23"/>
      <c r="OF86" s="23"/>
      <c r="OG86" s="23"/>
      <c r="OH86" s="23"/>
      <c r="OI86" s="23"/>
      <c r="OJ86" s="23"/>
      <c r="OK86" s="23"/>
      <c r="OL86" s="23"/>
      <c r="OM86" s="23"/>
      <c r="ON86" s="23"/>
      <c r="OO86" s="23"/>
      <c r="OP86" s="23"/>
      <c r="OQ86" s="23"/>
      <c r="OR86" s="23"/>
      <c r="OS86" s="23"/>
      <c r="OT86" s="23"/>
      <c r="OU86" s="23"/>
      <c r="OV86" s="23"/>
      <c r="OW86" s="23"/>
      <c r="OX86" s="23"/>
      <c r="OY86" s="23"/>
      <c r="OZ86" s="23"/>
      <c r="PA86" s="23"/>
      <c r="PB86" s="23"/>
      <c r="PC86" s="23"/>
      <c r="PD86" s="23"/>
      <c r="PE86" s="23"/>
      <c r="PF86" s="23"/>
      <c r="PG86" s="23"/>
      <c r="PH86" s="23"/>
      <c r="PI86" s="23"/>
      <c r="PJ86" s="23"/>
      <c r="PK86" s="23"/>
      <c r="PL86" s="23"/>
      <c r="PM86" s="23"/>
      <c r="PN86" s="23"/>
      <c r="PO86" s="23"/>
      <c r="PP86" s="23"/>
      <c r="PQ86" s="23"/>
      <c r="PR86" s="23"/>
      <c r="PS86" s="23"/>
      <c r="PT86" s="23"/>
      <c r="PU86" s="23"/>
      <c r="PV86" s="23"/>
      <c r="PW86" s="23"/>
      <c r="PX86" s="23"/>
      <c r="PY86" s="23"/>
      <c r="PZ86" s="23"/>
      <c r="QA86" s="23"/>
      <c r="QB86" s="23"/>
      <c r="QC86" s="23"/>
      <c r="QD86" s="23"/>
      <c r="QE86" s="23"/>
      <c r="QF86" s="23"/>
      <c r="QG86" s="23"/>
      <c r="QH86" s="23"/>
      <c r="QI86" s="23"/>
      <c r="QJ86" s="23"/>
      <c r="QK86" s="23"/>
      <c r="QL86" s="23"/>
      <c r="QM86" s="23"/>
      <c r="QN86" s="23"/>
      <c r="QO86" s="23"/>
      <c r="QP86" s="23"/>
      <c r="QQ86" s="23"/>
      <c r="QR86" s="23"/>
      <c r="QS86" s="23"/>
      <c r="QT86" s="23"/>
      <c r="QU86" s="23"/>
      <c r="QV86" s="23"/>
      <c r="QW86" s="23"/>
      <c r="QX86" s="23"/>
      <c r="QY86" s="23"/>
      <c r="QZ86" s="23"/>
      <c r="RA86" s="23"/>
      <c r="RB86" s="23"/>
      <c r="RC86" s="23"/>
      <c r="RD86" s="23"/>
      <c r="RE86" s="23"/>
      <c r="RF86" s="23"/>
      <c r="RG86" s="23"/>
      <c r="RH86" s="23"/>
      <c r="RI86" s="23"/>
      <c r="RJ86" s="23"/>
      <c r="RK86" s="23"/>
      <c r="RL86" s="23"/>
      <c r="RM86" s="23"/>
      <c r="RN86" s="23"/>
      <c r="RO86" s="23"/>
      <c r="RP86" s="23"/>
      <c r="RQ86" s="23"/>
      <c r="RR86" s="23"/>
      <c r="RS86" s="23"/>
      <c r="RT86" s="23"/>
      <c r="RU86" s="23"/>
      <c r="RV86" s="23"/>
      <c r="RW86" s="23"/>
      <c r="RX86" s="23"/>
      <c r="RY86" s="23"/>
      <c r="RZ86" s="23"/>
      <c r="SA86" s="23"/>
      <c r="SB86" s="23"/>
      <c r="SC86" s="23"/>
      <c r="SD86" s="23"/>
      <c r="SE86" s="23"/>
      <c r="SF86" s="23"/>
      <c r="SG86" s="23"/>
      <c r="SH86" s="23"/>
      <c r="SI86" s="23"/>
      <c r="SJ86" s="23"/>
      <c r="SK86" s="23"/>
      <c r="SL86" s="23"/>
      <c r="SM86" s="23"/>
      <c r="SN86" s="23"/>
      <c r="SO86" s="23"/>
      <c r="SP86" s="23"/>
      <c r="SQ86" s="23"/>
      <c r="SR86" s="23"/>
      <c r="SS86" s="23"/>
      <c r="ST86" s="23"/>
      <c r="SU86" s="23"/>
      <c r="SV86" s="23"/>
      <c r="SW86" s="23"/>
      <c r="SX86" s="23"/>
      <c r="SY86" s="23"/>
      <c r="SZ86" s="23"/>
      <c r="TA86" s="184"/>
      <c r="TB86" s="185"/>
      <c r="TC86" s="11"/>
      <c r="TD86" s="11"/>
      <c r="TE86" s="11"/>
      <c r="TF86" s="11"/>
    </row>
    <row r="87" spans="1:526" ht="22.15" customHeight="1" thickBot="1" x14ac:dyDescent="0.3">
      <c r="A87" s="298"/>
      <c r="B87" s="25" t="s">
        <v>12</v>
      </c>
      <c r="BY87" s="184"/>
      <c r="BZ87" s="184"/>
      <c r="CA87" s="184"/>
      <c r="CB87" s="184"/>
      <c r="CC87" s="184"/>
      <c r="CD87" s="184"/>
      <c r="CE87" s="184"/>
      <c r="CF87" s="184"/>
      <c r="CG87" s="184"/>
      <c r="CH87" s="184"/>
      <c r="CI87" s="184"/>
      <c r="CJ87" s="184"/>
      <c r="CK87" s="184"/>
      <c r="CL87" s="184"/>
      <c r="CM87" s="184"/>
      <c r="CN87" s="184"/>
      <c r="CO87" s="184"/>
      <c r="CP87" s="184"/>
      <c r="CQ87" s="184"/>
      <c r="CR87" s="184"/>
      <c r="CS87" s="184"/>
      <c r="CT87" s="184"/>
      <c r="CU87" s="184"/>
      <c r="CV87" s="184"/>
      <c r="CW87" s="184"/>
      <c r="CX87" s="184"/>
      <c r="CY87" s="184"/>
      <c r="CZ87" s="184"/>
      <c r="DA87" s="184"/>
      <c r="DB87" s="184"/>
      <c r="DC87" s="184"/>
      <c r="DD87" s="184"/>
      <c r="DE87" s="184"/>
      <c r="DF87" s="184"/>
      <c r="DG87" s="184"/>
      <c r="DH87" s="184"/>
      <c r="DI87" s="184"/>
      <c r="DJ87" s="184"/>
      <c r="DK87" s="184"/>
      <c r="DL87" s="184"/>
      <c r="DM87" s="184"/>
      <c r="DN87" s="184"/>
      <c r="DO87" s="184"/>
      <c r="DP87" s="184"/>
      <c r="DQ87" s="184"/>
      <c r="DR87" s="184"/>
      <c r="DS87" s="184"/>
      <c r="DT87" s="184"/>
      <c r="DU87" s="184"/>
      <c r="DV87" s="184"/>
      <c r="DW87" s="184"/>
      <c r="DX87" s="184"/>
      <c r="DY87" s="184"/>
      <c r="DZ87" s="184"/>
      <c r="EA87" s="184"/>
      <c r="EB87" s="184"/>
      <c r="EC87" s="184"/>
      <c r="ED87" s="184"/>
      <c r="EE87" s="184"/>
      <c r="EF87" s="184"/>
      <c r="EG87" s="184"/>
      <c r="EH87" s="184"/>
      <c r="EI87" s="184"/>
      <c r="EJ87" s="184"/>
      <c r="EK87" s="184"/>
      <c r="EL87" s="184"/>
      <c r="EM87" s="184"/>
      <c r="EN87" s="184"/>
      <c r="EO87" s="184"/>
      <c r="EP87" s="184"/>
      <c r="EQ87" s="184"/>
      <c r="ER87" s="184"/>
      <c r="ES87" s="184"/>
      <c r="ET87" s="184"/>
      <c r="EU87" s="184"/>
      <c r="EV87" s="184"/>
      <c r="EW87" s="184"/>
      <c r="EX87" s="184"/>
      <c r="EY87" s="184"/>
      <c r="EZ87" s="184"/>
      <c r="FA87" s="184"/>
      <c r="FB87" s="184"/>
      <c r="FC87" s="184"/>
      <c r="FD87" s="184"/>
      <c r="FE87" s="184"/>
      <c r="FF87" s="184"/>
      <c r="FG87" s="184"/>
      <c r="FH87" s="184"/>
      <c r="FI87" s="184"/>
      <c r="FJ87" s="184"/>
      <c r="FK87" s="184"/>
      <c r="FL87" s="184"/>
      <c r="FM87" s="184"/>
      <c r="FN87" s="184"/>
      <c r="FO87" s="184"/>
      <c r="FP87" s="184"/>
      <c r="FQ87" s="184"/>
      <c r="FR87" s="184"/>
      <c r="FS87" s="184"/>
      <c r="FT87" s="184"/>
      <c r="FU87" s="184"/>
      <c r="FV87" s="184"/>
      <c r="FW87" s="184"/>
      <c r="FX87" s="184"/>
      <c r="FY87" s="184"/>
      <c r="FZ87" s="184"/>
      <c r="GA87" s="184"/>
      <c r="GB87" s="184"/>
      <c r="GC87" s="184"/>
      <c r="GD87" s="184"/>
      <c r="GE87" s="184"/>
      <c r="GF87" s="184"/>
      <c r="GG87" s="184"/>
      <c r="GH87" s="184"/>
      <c r="GI87" s="184"/>
      <c r="GJ87" s="184"/>
      <c r="GK87" s="184"/>
      <c r="GL87" s="184"/>
      <c r="GM87" s="184"/>
      <c r="GN87" s="184"/>
      <c r="GO87" s="184"/>
      <c r="GP87" s="184"/>
      <c r="GQ87" s="184"/>
      <c r="GR87" s="184"/>
      <c r="GS87" s="184"/>
      <c r="GT87" s="184"/>
      <c r="GU87" s="184"/>
      <c r="GV87" s="184"/>
      <c r="GW87" s="184"/>
      <c r="GX87" s="184"/>
      <c r="GY87" s="137">
        <f t="shared" si="668"/>
        <v>5.62E-2</v>
      </c>
      <c r="GZ87" s="116">
        <f t="shared" si="669"/>
        <v>5.5899999999999998E-2</v>
      </c>
      <c r="HA87" s="116">
        <f t="shared" si="670"/>
        <v>5.57E-2</v>
      </c>
      <c r="HB87" s="116">
        <f t="shared" si="671"/>
        <v>5.5500000000000001E-2</v>
      </c>
      <c r="HC87" s="116">
        <f t="shared" si="687"/>
        <v>5.5099999999999996E-2</v>
      </c>
      <c r="HD87" s="116">
        <f t="shared" si="673"/>
        <v>5.4699999999999999E-2</v>
      </c>
      <c r="HE87" s="116">
        <f t="shared" si="674"/>
        <v>5.4400000000000004E-2</v>
      </c>
      <c r="HF87" s="116">
        <f t="shared" si="675"/>
        <v>5.4000000000000006E-2</v>
      </c>
      <c r="HG87" s="116">
        <f t="shared" si="676"/>
        <v>5.3600000000000002E-2</v>
      </c>
      <c r="HH87" s="116">
        <f t="shared" si="677"/>
        <v>5.2999999999999999E-2</v>
      </c>
      <c r="HI87" s="116">
        <f t="shared" si="678"/>
        <v>5.2400000000000002E-2</v>
      </c>
      <c r="HJ87" s="116">
        <f t="shared" si="679"/>
        <v>5.1799999999999999E-2</v>
      </c>
      <c r="HK87" s="116">
        <f t="shared" si="680"/>
        <v>5.1200000000000002E-2</v>
      </c>
      <c r="HL87" s="116">
        <f t="shared" si="681"/>
        <v>5.0599999999999999E-2</v>
      </c>
      <c r="HM87" s="116">
        <f t="shared" si="682"/>
        <v>4.99E-2</v>
      </c>
      <c r="HN87" s="116">
        <f t="shared" si="688"/>
        <v>4.9200000000000001E-2</v>
      </c>
      <c r="HO87" s="116">
        <f t="shared" si="689"/>
        <v>4.8399999999999999E-2</v>
      </c>
      <c r="HP87" s="116">
        <f t="shared" si="690"/>
        <v>4.7699999999999992E-2</v>
      </c>
      <c r="HQ87" s="116">
        <f t="shared" si="691"/>
        <v>4.7E-2</v>
      </c>
      <c r="HR87" s="116">
        <f t="shared" si="692"/>
        <v>4.6300000000000001E-2</v>
      </c>
      <c r="HS87" s="116">
        <f t="shared" si="693"/>
        <v>4.5599999999999995E-2</v>
      </c>
      <c r="HT87" s="116">
        <f t="shared" si="694"/>
        <v>4.4800000000000006E-2</v>
      </c>
      <c r="HU87" s="116">
        <f t="shared" si="695"/>
        <v>4.41E-2</v>
      </c>
      <c r="HV87" s="116">
        <f t="shared" si="696"/>
        <v>4.3400000000000001E-2</v>
      </c>
      <c r="HW87" s="116">
        <f t="shared" si="697"/>
        <v>4.2800000000000005E-2</v>
      </c>
      <c r="HX87" s="116">
        <f t="shared" si="698"/>
        <v>4.2199999999999994E-2</v>
      </c>
      <c r="HY87" s="116">
        <f t="shared" si="699"/>
        <v>4.1599999999999998E-2</v>
      </c>
      <c r="HZ87" s="116">
        <f t="shared" si="700"/>
        <v>4.0999999999999995E-2</v>
      </c>
      <c r="IA87" s="116">
        <f t="shared" si="701"/>
        <v>4.0399999999999998E-2</v>
      </c>
      <c r="IB87" s="116">
        <f t="shared" si="702"/>
        <v>3.9800000000000002E-2</v>
      </c>
      <c r="IC87" s="116">
        <f t="shared" si="703"/>
        <v>3.9199999999999999E-2</v>
      </c>
      <c r="ID87" s="116">
        <f t="shared" si="704"/>
        <v>3.8599999999999995E-2</v>
      </c>
      <c r="IE87" s="116">
        <f t="shared" si="705"/>
        <v>3.7999999999999999E-2</v>
      </c>
      <c r="IF87" s="116">
        <f t="shared" si="706"/>
        <v>3.7400000000000003E-2</v>
      </c>
      <c r="IG87" s="116">
        <f t="shared" si="707"/>
        <v>3.6799999999999999E-2</v>
      </c>
      <c r="IH87" s="116">
        <f t="shared" si="708"/>
        <v>3.61E-2</v>
      </c>
      <c r="II87" s="116">
        <f t="shared" si="709"/>
        <v>3.5499999999999997E-2</v>
      </c>
      <c r="IJ87" s="116">
        <f t="shared" si="710"/>
        <v>3.4799999999999998E-2</v>
      </c>
      <c r="IK87" s="116">
        <f t="shared" si="711"/>
        <v>3.4200000000000001E-2</v>
      </c>
      <c r="IL87" s="116">
        <f t="shared" si="712"/>
        <v>3.3599999999999998E-2</v>
      </c>
      <c r="IM87" s="116">
        <f t="shared" si="713"/>
        <v>3.2899999999999999E-2</v>
      </c>
      <c r="IN87" s="116">
        <f t="shared" si="714"/>
        <v>3.2300000000000002E-2</v>
      </c>
      <c r="IO87" s="116">
        <f t="shared" si="715"/>
        <v>3.1600000000000003E-2</v>
      </c>
      <c r="IP87" s="116">
        <f t="shared" si="716"/>
        <v>3.1E-2</v>
      </c>
      <c r="IQ87" s="116">
        <f t="shared" si="717"/>
        <v>3.04E-2</v>
      </c>
      <c r="IR87" s="116">
        <f t="shared" si="718"/>
        <v>2.98E-2</v>
      </c>
      <c r="IS87" s="116">
        <f t="shared" si="719"/>
        <v>2.92E-2</v>
      </c>
      <c r="IT87" s="116">
        <f t="shared" si="720"/>
        <v>2.86E-2</v>
      </c>
      <c r="IU87" s="116">
        <f t="shared" si="721"/>
        <v>2.7999999999999997E-2</v>
      </c>
      <c r="IV87" s="116">
        <f t="shared" si="722"/>
        <v>2.7400000000000001E-2</v>
      </c>
      <c r="IW87" s="171">
        <f t="shared" si="723"/>
        <v>2.6800000000000001E-2</v>
      </c>
      <c r="IX87" s="199">
        <f t="shared" si="724"/>
        <v>2.6200000000000001E-2</v>
      </c>
      <c r="IY87" s="150">
        <f t="shared" si="725"/>
        <v>2.5600000000000001E-2</v>
      </c>
      <c r="IZ87" s="150">
        <f t="shared" si="726"/>
        <v>2.5000000000000001E-2</v>
      </c>
      <c r="JA87" s="150">
        <f t="shared" si="727"/>
        <v>2.46E-2</v>
      </c>
      <c r="JB87" s="150">
        <f t="shared" si="728"/>
        <v>2.4199999999999999E-2</v>
      </c>
      <c r="JC87" s="150">
        <f t="shared" si="729"/>
        <v>2.3700000000000002E-2</v>
      </c>
      <c r="JD87" s="150">
        <f t="shared" si="730"/>
        <v>2.3300000000000001E-2</v>
      </c>
      <c r="JE87" s="150">
        <f t="shared" si="731"/>
        <v>2.29E-2</v>
      </c>
      <c r="JF87" s="150">
        <f t="shared" si="732"/>
        <v>2.2499999999999999E-2</v>
      </c>
      <c r="JG87" s="150">
        <f t="shared" si="733"/>
        <v>2.2099999999999998E-2</v>
      </c>
      <c r="JH87" s="150">
        <f t="shared" si="734"/>
        <v>2.1600000000000001E-2</v>
      </c>
      <c r="JI87" s="150">
        <f t="shared" si="735"/>
        <v>2.12E-2</v>
      </c>
      <c r="JJ87" s="150">
        <f t="shared" si="736"/>
        <v>2.0799999999999999E-2</v>
      </c>
      <c r="JK87" s="150">
        <f t="shared" si="685"/>
        <v>2.0499999999999997E-2</v>
      </c>
      <c r="JL87" s="150">
        <f t="shared" si="737"/>
        <v>2.0199999999999999E-2</v>
      </c>
      <c r="JM87" s="150">
        <f t="shared" si="738"/>
        <v>1.9900000000000001E-2</v>
      </c>
      <c r="JN87" s="150">
        <f t="shared" si="739"/>
        <v>1.9599999999999999E-2</v>
      </c>
      <c r="JO87" s="150">
        <f t="shared" si="740"/>
        <v>1.9299999999999998E-2</v>
      </c>
      <c r="JP87" s="150">
        <f t="shared" si="741"/>
        <v>1.9E-2</v>
      </c>
      <c r="JQ87" s="150">
        <f t="shared" si="742"/>
        <v>1.8700000000000001E-2</v>
      </c>
      <c r="JR87" s="150">
        <f t="shared" si="743"/>
        <v>1.84E-2</v>
      </c>
      <c r="JS87" s="150">
        <f t="shared" si="744"/>
        <v>1.8100000000000002E-2</v>
      </c>
      <c r="JT87" s="150">
        <f t="shared" si="745"/>
        <v>1.78E-2</v>
      </c>
      <c r="JU87" s="150">
        <f t="shared" si="746"/>
        <v>1.7600000000000001E-2</v>
      </c>
      <c r="JV87" s="150">
        <f t="shared" si="747"/>
        <v>1.7399999999999999E-2</v>
      </c>
      <c r="JW87" s="150">
        <f t="shared" si="748"/>
        <v>1.72E-2</v>
      </c>
      <c r="JX87" s="150">
        <f t="shared" si="749"/>
        <v>1.7000000000000001E-2</v>
      </c>
      <c r="JY87" s="150">
        <f t="shared" si="750"/>
        <v>1.6799999999999999E-2</v>
      </c>
      <c r="JZ87" s="150">
        <f t="shared" si="751"/>
        <v>1.66E-2</v>
      </c>
      <c r="KA87" s="150">
        <f t="shared" si="752"/>
        <v>1.6399999999999998E-2</v>
      </c>
      <c r="KB87" s="150">
        <f t="shared" si="753"/>
        <v>1.6200000000000003E-2</v>
      </c>
      <c r="KC87" s="150">
        <f t="shared" si="754"/>
        <v>1.6E-2</v>
      </c>
      <c r="KD87" s="150">
        <f t="shared" si="755"/>
        <v>1.5800000000000002E-2</v>
      </c>
      <c r="KE87" s="150">
        <f t="shared" si="756"/>
        <v>1.5700000000000002E-2</v>
      </c>
      <c r="KF87" s="150">
        <f t="shared" si="757"/>
        <v>1.5600000000000001E-2</v>
      </c>
      <c r="KG87" s="150">
        <f t="shared" si="758"/>
        <v>1.55E-2</v>
      </c>
      <c r="KH87" s="150">
        <f t="shared" si="759"/>
        <v>1.54E-2</v>
      </c>
      <c r="KI87" s="150">
        <f t="shared" si="760"/>
        <v>1.5300000000000001E-2</v>
      </c>
      <c r="KJ87" s="150">
        <f t="shared" si="761"/>
        <v>1.52E-2</v>
      </c>
      <c r="KK87" s="150">
        <f t="shared" si="762"/>
        <v>1.5100000000000001E-2</v>
      </c>
      <c r="KL87" s="150">
        <f t="shared" si="763"/>
        <v>1.4999999999999999E-2</v>
      </c>
      <c r="KM87" s="150">
        <f t="shared" si="764"/>
        <v>1.49E-2</v>
      </c>
      <c r="KN87" s="150">
        <f t="shared" si="765"/>
        <v>1.4800000000000001E-2</v>
      </c>
      <c r="KO87" s="150">
        <f t="shared" si="766"/>
        <v>1.47E-2</v>
      </c>
      <c r="KP87" s="150">
        <f t="shared" si="767"/>
        <v>1.46E-2</v>
      </c>
      <c r="KQ87" s="150">
        <f t="shared" si="768"/>
        <v>1.4499999999999999E-2</v>
      </c>
      <c r="KR87" s="150">
        <f t="shared" si="769"/>
        <v>1.44E-2</v>
      </c>
      <c r="KS87" s="150">
        <f t="shared" si="770"/>
        <v>1.43E-2</v>
      </c>
      <c r="KT87" s="150">
        <f t="shared" si="771"/>
        <v>1.4199999999999999E-2</v>
      </c>
      <c r="KU87" s="150">
        <f t="shared" si="772"/>
        <v>1.41E-2</v>
      </c>
      <c r="KV87" s="175">
        <f t="shared" si="773"/>
        <v>1.3999999999999999E-2</v>
      </c>
      <c r="KW87" s="161">
        <f t="shared" si="774"/>
        <v>1.3899999999999999E-2</v>
      </c>
      <c r="KX87" s="161">
        <f t="shared" si="775"/>
        <v>1.38E-2</v>
      </c>
      <c r="KY87" s="161">
        <f t="shared" si="776"/>
        <v>1.37E-2</v>
      </c>
      <c r="KZ87" s="161">
        <f t="shared" si="777"/>
        <v>1.3600000000000001E-2</v>
      </c>
      <c r="LA87" s="161">
        <f t="shared" si="778"/>
        <v>1.3500000000000002E-2</v>
      </c>
      <c r="LB87" s="161">
        <f t="shared" si="779"/>
        <v>1.34E-2</v>
      </c>
      <c r="LC87" s="161">
        <f t="shared" si="780"/>
        <v>1.34E-2</v>
      </c>
      <c r="LD87" s="161">
        <f t="shared" si="781"/>
        <v>1.3300000000000001E-2</v>
      </c>
      <c r="LE87" s="161">
        <f t="shared" si="782"/>
        <v>1.32E-2</v>
      </c>
      <c r="LF87" s="161">
        <f t="shared" si="783"/>
        <v>1.3100000000000001E-2</v>
      </c>
      <c r="LG87" s="161">
        <f t="shared" si="784"/>
        <v>1.3000000000000001E-2</v>
      </c>
      <c r="LH87" s="161">
        <f t="shared" si="785"/>
        <v>1.29E-2</v>
      </c>
      <c r="LI87" s="161">
        <f t="shared" si="786"/>
        <v>1.2800000000000001E-2</v>
      </c>
      <c r="LJ87" s="161">
        <f t="shared" si="787"/>
        <v>1.2699999999999999E-2</v>
      </c>
      <c r="LK87" s="161">
        <f t="shared" si="788"/>
        <v>1.2699999999999999E-2</v>
      </c>
      <c r="LL87" s="161">
        <f t="shared" si="789"/>
        <v>1.26E-2</v>
      </c>
      <c r="LM87" s="161">
        <f t="shared" si="790"/>
        <v>1.2500000000000001E-2</v>
      </c>
      <c r="LN87" s="161">
        <f t="shared" si="791"/>
        <v>1.24E-2</v>
      </c>
      <c r="LO87" s="161">
        <f t="shared" si="792"/>
        <v>1.23E-2</v>
      </c>
      <c r="LP87" s="161">
        <f t="shared" si="793"/>
        <v>1.23E-2</v>
      </c>
      <c r="LQ87" s="161">
        <f t="shared" si="794"/>
        <v>1.2199999999999999E-2</v>
      </c>
      <c r="LR87" s="161">
        <f t="shared" si="795"/>
        <v>1.21E-2</v>
      </c>
      <c r="LS87" s="161">
        <f t="shared" si="796"/>
        <v>1.2E-2</v>
      </c>
      <c r="LT87" s="161">
        <f t="shared" si="797"/>
        <v>1.1899999999999999E-2</v>
      </c>
      <c r="LU87" s="161">
        <f t="shared" si="798"/>
        <v>1.18E-2</v>
      </c>
      <c r="LV87" s="161">
        <f t="shared" si="799"/>
        <v>1.1699999999999999E-2</v>
      </c>
      <c r="LW87" s="161">
        <f t="shared" si="686"/>
        <v>1.1699999999999999E-2</v>
      </c>
      <c r="LX87" s="161">
        <f t="shared" si="815"/>
        <v>1.1599999999999999E-2</v>
      </c>
      <c r="LY87" s="161">
        <f t="shared" si="816"/>
        <v>1.15E-2</v>
      </c>
      <c r="LZ87" s="161">
        <f t="shared" si="817"/>
        <v>1.1399999999999999E-2</v>
      </c>
      <c r="MA87" s="161">
        <f t="shared" si="818"/>
        <v>1.1299999999999999E-2</v>
      </c>
      <c r="MB87" s="161">
        <f t="shared" si="819"/>
        <v>1.1200000000000002E-2</v>
      </c>
      <c r="MC87" s="161">
        <f t="shared" si="820"/>
        <v>1.11E-2</v>
      </c>
      <c r="MD87" s="161">
        <f t="shared" si="821"/>
        <v>1.1000000000000001E-2</v>
      </c>
      <c r="ME87" s="161">
        <f t="shared" si="822"/>
        <v>1.1000000000000001E-2</v>
      </c>
      <c r="MF87" s="161">
        <f t="shared" si="823"/>
        <v>1.09E-2</v>
      </c>
      <c r="MG87" s="161">
        <f t="shared" si="800"/>
        <v>1.0800000000000001E-2</v>
      </c>
      <c r="MH87" s="161">
        <f t="shared" si="801"/>
        <v>1.0700000000000001E-2</v>
      </c>
      <c r="MI87" s="161">
        <f t="shared" si="802"/>
        <v>1.06E-2</v>
      </c>
      <c r="MJ87" s="161">
        <f t="shared" si="803"/>
        <v>1.06E-2</v>
      </c>
      <c r="MK87" s="161">
        <f t="shared" si="804"/>
        <v>1.0500000000000001E-2</v>
      </c>
      <c r="ML87" s="161">
        <f t="shared" si="805"/>
        <v>1.04E-2</v>
      </c>
      <c r="MM87" s="161">
        <f t="shared" si="806"/>
        <v>1.03E-2</v>
      </c>
      <c r="MN87" s="161">
        <f t="shared" si="807"/>
        <v>1.03E-2</v>
      </c>
      <c r="MO87" s="161">
        <f t="shared" si="808"/>
        <v>1.0200000000000001E-2</v>
      </c>
      <c r="MP87" s="161">
        <f t="shared" si="809"/>
        <v>1.0200000000000001E-2</v>
      </c>
      <c r="MQ87" s="161">
        <f t="shared" si="810"/>
        <v>1.01E-2</v>
      </c>
      <c r="MR87" s="161">
        <f t="shared" si="811"/>
        <v>0.01</v>
      </c>
      <c r="MS87" s="161">
        <f t="shared" si="812"/>
        <v>0.01</v>
      </c>
      <c r="MT87" s="161">
        <f t="shared" si="813"/>
        <v>9.8999999999999991E-3</v>
      </c>
      <c r="MU87" s="118">
        <f t="shared" si="814"/>
        <v>9.8999999999999991E-3</v>
      </c>
      <c r="MV87" s="184"/>
      <c r="MW87" s="184"/>
      <c r="MX87" s="184"/>
      <c r="MY87" s="184"/>
      <c r="MZ87" s="184"/>
      <c r="NA87" s="184"/>
      <c r="NB87" s="184"/>
      <c r="NC87" s="184"/>
      <c r="ND87" s="184"/>
      <c r="NE87" s="184"/>
      <c r="NF87" s="184"/>
      <c r="NG87" s="184"/>
      <c r="NH87" s="184"/>
      <c r="NI87" s="184"/>
      <c r="NJ87" s="184"/>
      <c r="NK87" s="184"/>
      <c r="NL87" s="184"/>
      <c r="NM87" s="132"/>
      <c r="NN87" s="132"/>
      <c r="NO87" s="132"/>
      <c r="NP87" s="132"/>
      <c r="NQ87" s="132"/>
      <c r="NR87" s="132"/>
      <c r="NS87" s="132"/>
      <c r="NT87" s="132"/>
      <c r="NU87" s="132"/>
      <c r="NV87" s="132"/>
      <c r="NW87" s="132"/>
      <c r="NX87" s="132"/>
      <c r="NY87" s="132"/>
      <c r="NZ87" s="132"/>
      <c r="OA87" s="132"/>
      <c r="OB87" s="132"/>
      <c r="OC87" s="132"/>
      <c r="OD87" s="132"/>
      <c r="OE87" s="132"/>
      <c r="OF87" s="132"/>
      <c r="OG87" s="132"/>
      <c r="OH87" s="132"/>
      <c r="OI87" s="132"/>
      <c r="OJ87" s="132"/>
      <c r="OK87" s="132"/>
      <c r="OL87" s="132"/>
      <c r="OM87" s="132"/>
      <c r="ON87" s="132"/>
      <c r="OO87" s="132"/>
      <c r="OP87" s="132"/>
      <c r="OQ87" s="132"/>
      <c r="OR87" s="132"/>
      <c r="OS87" s="132"/>
      <c r="OT87" s="132"/>
      <c r="OU87" s="132"/>
      <c r="OV87" s="132"/>
      <c r="OW87" s="132"/>
      <c r="OX87" s="132"/>
      <c r="OY87" s="132"/>
      <c r="OZ87" s="132"/>
      <c r="PA87" s="132"/>
      <c r="PB87" s="132"/>
      <c r="PC87" s="132"/>
      <c r="PD87" s="132"/>
      <c r="PE87" s="132"/>
      <c r="PF87" s="132"/>
      <c r="PG87" s="132"/>
      <c r="PH87" s="132"/>
      <c r="PI87" s="132"/>
      <c r="PJ87" s="132"/>
      <c r="PK87" s="132"/>
      <c r="PL87" s="132"/>
      <c r="PM87" s="132"/>
      <c r="PN87" s="132"/>
      <c r="PO87" s="132"/>
      <c r="PP87" s="132"/>
      <c r="PQ87" s="132"/>
      <c r="PR87" s="132"/>
      <c r="PS87" s="132"/>
      <c r="PT87" s="132"/>
      <c r="PU87" s="132"/>
      <c r="PV87" s="132"/>
      <c r="PW87" s="132"/>
      <c r="PX87" s="132"/>
      <c r="PY87" s="132"/>
      <c r="PZ87" s="132"/>
      <c r="QA87" s="132"/>
      <c r="QB87" s="132"/>
      <c r="QC87" s="132"/>
      <c r="QD87" s="132"/>
      <c r="QE87" s="132"/>
      <c r="QF87" s="132"/>
      <c r="QG87" s="132"/>
      <c r="QH87" s="132"/>
      <c r="QI87" s="132"/>
      <c r="QJ87" s="132"/>
      <c r="QK87" s="132"/>
      <c r="QL87" s="132"/>
      <c r="QM87" s="132"/>
      <c r="QN87" s="132"/>
      <c r="QO87" s="132"/>
      <c r="QP87" s="132"/>
      <c r="QQ87" s="132"/>
      <c r="QR87" s="132"/>
      <c r="QS87" s="132"/>
      <c r="QT87" s="132"/>
      <c r="QU87" s="132"/>
      <c r="QV87" s="132"/>
      <c r="QW87" s="132"/>
      <c r="QX87" s="132"/>
      <c r="QY87" s="132"/>
      <c r="QZ87" s="132"/>
      <c r="RA87" s="132"/>
      <c r="RB87" s="132"/>
      <c r="RC87" s="132"/>
      <c r="RD87" s="132"/>
      <c r="RE87" s="132"/>
      <c r="RF87" s="132"/>
      <c r="RG87" s="132"/>
      <c r="RH87" s="132"/>
      <c r="RI87" s="132"/>
      <c r="RJ87" s="132"/>
      <c r="RK87" s="132"/>
      <c r="RL87" s="132"/>
      <c r="RM87" s="132"/>
      <c r="RN87" s="132"/>
      <c r="RO87" s="132"/>
      <c r="RP87" s="132"/>
      <c r="RQ87" s="132"/>
      <c r="RR87" s="132"/>
      <c r="RS87" s="132"/>
      <c r="RT87" s="132"/>
      <c r="RU87" s="132"/>
      <c r="RV87" s="132"/>
      <c r="RW87" s="132"/>
      <c r="RX87" s="132"/>
      <c r="RY87" s="132"/>
      <c r="RZ87" s="132"/>
      <c r="SA87" s="132"/>
      <c r="SB87" s="132"/>
      <c r="SC87" s="132"/>
      <c r="SD87" s="132"/>
      <c r="SE87" s="132"/>
      <c r="SF87" s="132"/>
      <c r="SG87" s="132"/>
      <c r="SH87" s="132"/>
      <c r="SI87" s="132"/>
      <c r="SJ87" s="132"/>
      <c r="SK87" s="132"/>
      <c r="SL87" s="132"/>
      <c r="SM87" s="132"/>
      <c r="SN87" s="132"/>
      <c r="SO87" s="132"/>
      <c r="SP87" s="132"/>
      <c r="SQ87" s="132"/>
      <c r="SR87" s="132"/>
      <c r="SS87" s="132"/>
      <c r="ST87" s="132"/>
      <c r="SU87" s="132"/>
      <c r="SV87" s="132"/>
      <c r="SW87" s="132"/>
      <c r="SX87" s="132"/>
      <c r="SY87" s="132"/>
      <c r="SZ87" s="132"/>
      <c r="TA87" s="184"/>
      <c r="TB87" s="185"/>
      <c r="TC87" s="11"/>
      <c r="TD87" s="11"/>
      <c r="TE87" s="11"/>
      <c r="TF87" s="11"/>
    </row>
    <row r="88" spans="1:526" ht="22.15" customHeight="1" thickBot="1" x14ac:dyDescent="0.3">
      <c r="A88" s="298"/>
      <c r="B88" s="25" t="s">
        <v>105</v>
      </c>
      <c r="BY88" s="184"/>
      <c r="BZ88" s="184"/>
      <c r="CA88" s="184"/>
      <c r="CB88" s="184"/>
      <c r="CC88" s="184"/>
      <c r="CD88" s="184"/>
      <c r="CE88" s="184"/>
      <c r="CF88" s="184"/>
      <c r="CG88" s="184"/>
      <c r="CH88" s="184"/>
      <c r="CI88" s="184"/>
      <c r="CJ88" s="184"/>
      <c r="CK88" s="184"/>
      <c r="CL88" s="184"/>
      <c r="CM88" s="184"/>
      <c r="CN88" s="184"/>
      <c r="CO88" s="184"/>
      <c r="CP88" s="184"/>
      <c r="CQ88" s="184"/>
      <c r="CR88" s="184"/>
      <c r="CS88" s="184"/>
      <c r="CT88" s="184"/>
      <c r="CU88" s="184"/>
      <c r="CV88" s="184"/>
      <c r="CW88" s="184"/>
      <c r="CX88" s="184"/>
      <c r="CY88" s="184"/>
      <c r="CZ88" s="184"/>
      <c r="DA88" s="184"/>
      <c r="DB88" s="184"/>
      <c r="DC88" s="184"/>
      <c r="DD88" s="184"/>
      <c r="DE88" s="184"/>
      <c r="DF88" s="184"/>
      <c r="DG88" s="184"/>
      <c r="DH88" s="184"/>
      <c r="DI88" s="184"/>
      <c r="DJ88" s="184"/>
      <c r="DK88" s="184"/>
      <c r="DL88" s="184"/>
      <c r="DM88" s="184"/>
      <c r="DN88" s="184"/>
      <c r="DO88" s="184"/>
      <c r="DP88" s="184"/>
      <c r="DQ88" s="184"/>
      <c r="DR88" s="184"/>
      <c r="DS88" s="184"/>
      <c r="DT88" s="184"/>
      <c r="DU88" s="184"/>
      <c r="DV88" s="184"/>
      <c r="DW88" s="184"/>
      <c r="DX88" s="184"/>
      <c r="DY88" s="184"/>
      <c r="DZ88" s="184"/>
      <c r="EA88" s="184"/>
      <c r="EB88" s="184"/>
      <c r="EC88" s="184"/>
      <c r="ED88" s="184"/>
      <c r="EE88" s="184"/>
      <c r="EF88" s="184"/>
      <c r="EG88" s="184"/>
      <c r="EH88" s="184"/>
      <c r="EI88" s="184"/>
      <c r="EJ88" s="184"/>
      <c r="EK88" s="184"/>
      <c r="EL88" s="184"/>
      <c r="EM88" s="184"/>
      <c r="EN88" s="184"/>
      <c r="EO88" s="184"/>
      <c r="EP88" s="184"/>
      <c r="EQ88" s="184"/>
      <c r="ER88" s="184"/>
      <c r="ES88" s="184"/>
      <c r="ET88" s="184"/>
      <c r="EU88" s="184"/>
      <c r="EV88" s="184"/>
      <c r="EW88" s="184"/>
      <c r="EX88" s="184"/>
      <c r="EY88" s="184"/>
      <c r="EZ88" s="184"/>
      <c r="FA88" s="184"/>
      <c r="FB88" s="184"/>
      <c r="FC88" s="184"/>
      <c r="FD88" s="184"/>
      <c r="FE88" s="184"/>
      <c r="FF88" s="184"/>
      <c r="FG88" s="184"/>
      <c r="FH88" s="184"/>
      <c r="FI88" s="184"/>
      <c r="FJ88" s="184"/>
      <c r="FK88" s="184"/>
      <c r="FL88" s="184"/>
      <c r="FM88" s="184"/>
      <c r="FN88" s="184"/>
      <c r="FO88" s="184"/>
      <c r="FP88" s="184"/>
      <c r="FQ88" s="184"/>
      <c r="FR88" s="184"/>
      <c r="FS88" s="184"/>
      <c r="FT88" s="184"/>
      <c r="FU88" s="184"/>
      <c r="FV88" s="184"/>
      <c r="FW88" s="184"/>
      <c r="FX88" s="184"/>
      <c r="FY88" s="184"/>
      <c r="FZ88" s="184"/>
      <c r="GA88" s="184"/>
      <c r="GB88" s="184"/>
      <c r="GC88" s="184"/>
      <c r="GD88" s="184"/>
      <c r="GE88" s="184"/>
      <c r="GF88" s="184"/>
      <c r="GG88" s="184"/>
      <c r="GH88" s="184"/>
      <c r="GI88" s="184"/>
      <c r="GJ88" s="184"/>
      <c r="GK88" s="184"/>
      <c r="GL88" s="184"/>
      <c r="GM88" s="184"/>
      <c r="GN88" s="184"/>
      <c r="GO88" s="184"/>
      <c r="GP88" s="184"/>
      <c r="GQ88" s="184"/>
      <c r="GR88" s="184"/>
      <c r="GS88" s="184"/>
      <c r="GT88" s="184"/>
      <c r="GU88" s="184"/>
      <c r="GV88" s="184"/>
      <c r="GW88" s="184"/>
      <c r="GX88" s="184"/>
      <c r="GY88" s="124">
        <f t="shared" si="668"/>
        <v>0.14050000000000001</v>
      </c>
      <c r="GZ88" s="115">
        <f t="shared" si="669"/>
        <v>0.15349541071428571</v>
      </c>
      <c r="HA88" s="115">
        <f t="shared" si="670"/>
        <v>0.16790765106568878</v>
      </c>
      <c r="HB88" s="115">
        <f t="shared" si="671"/>
        <v>0.18331904442666083</v>
      </c>
      <c r="HC88" s="115">
        <f t="shared" si="687"/>
        <v>0.19935467139751761</v>
      </c>
      <c r="HD88" s="115">
        <f t="shared" si="673"/>
        <v>0.2166426892048324</v>
      </c>
      <c r="HE88" s="115">
        <f t="shared" si="674"/>
        <v>0.2353432020092141</v>
      </c>
      <c r="HF88" s="115">
        <f t="shared" si="675"/>
        <v>0.25505677544932165</v>
      </c>
      <c r="HG88" s="115">
        <f t="shared" si="676"/>
        <v>0.27583239066968751</v>
      </c>
      <c r="HH88" s="115">
        <f t="shared" si="677"/>
        <v>0.29697738913303484</v>
      </c>
      <c r="HI88" s="115">
        <f t="shared" si="678"/>
        <v>0.3194037691593315</v>
      </c>
      <c r="HJ88" s="115">
        <f t="shared" si="679"/>
        <v>0.34269017321519196</v>
      </c>
      <c r="HK88" s="115">
        <f t="shared" si="680"/>
        <v>0.36728624217254702</v>
      </c>
      <c r="HL88" s="115">
        <f t="shared" si="681"/>
        <v>0.39272283715155293</v>
      </c>
      <c r="HM88" s="115">
        <f t="shared" si="682"/>
        <v>0.4186413483967294</v>
      </c>
      <c r="HN88" s="115">
        <f t="shared" si="688"/>
        <v>0.44516430350160602</v>
      </c>
      <c r="HO88" s="115">
        <f t="shared" si="689"/>
        <v>0.47180154377391648</v>
      </c>
      <c r="HP88" s="115">
        <f t="shared" si="690"/>
        <v>0.49977012867788351</v>
      </c>
      <c r="HQ88" s="115">
        <f t="shared" si="691"/>
        <v>0.52873554206564766</v>
      </c>
      <c r="HR88" s="115">
        <f t="shared" si="692"/>
        <v>0.55806974775310336</v>
      </c>
      <c r="HS88" s="115">
        <f t="shared" si="693"/>
        <v>0.58829561286534438</v>
      </c>
      <c r="HT88" s="115">
        <f t="shared" si="694"/>
        <v>0.61736583170566495</v>
      </c>
      <c r="HU88" s="115">
        <f t="shared" si="695"/>
        <v>0.64838994880135448</v>
      </c>
      <c r="HV88" s="115">
        <f t="shared" si="696"/>
        <v>0.67945839994117818</v>
      </c>
      <c r="HW88" s="115">
        <f t="shared" si="697"/>
        <v>0.71278668366268905</v>
      </c>
      <c r="HX88" s="115">
        <f t="shared" si="698"/>
        <v>0.74696390684333991</v>
      </c>
      <c r="HY88" s="115">
        <f t="shared" si="699"/>
        <v>0.78124953431619559</v>
      </c>
      <c r="HZ88" s="115">
        <f t="shared" si="700"/>
        <v>0.81624935648608865</v>
      </c>
      <c r="IA88" s="115">
        <f t="shared" si="701"/>
        <v>0.851190450173121</v>
      </c>
      <c r="IB88" s="115">
        <f t="shared" si="702"/>
        <v>0.88669158617649757</v>
      </c>
      <c r="IC88" s="115">
        <f t="shared" si="703"/>
        <v>0.9226928896086164</v>
      </c>
      <c r="ID88" s="115">
        <f t="shared" si="704"/>
        <v>0.9583702115541558</v>
      </c>
      <c r="IE88" s="115">
        <f t="shared" si="705"/>
        <v>0.99436612748230468</v>
      </c>
      <c r="IF88" s="115">
        <f t="shared" si="706"/>
        <v>1.0306058047907931</v>
      </c>
      <c r="IG88" s="115">
        <f t="shared" si="707"/>
        <v>1.0662242972344411</v>
      </c>
      <c r="IH88" s="115">
        <f t="shared" si="708"/>
        <v>1.098837681270268</v>
      </c>
      <c r="II88" s="115">
        <f t="shared" si="709"/>
        <v>1.1333551862719433</v>
      </c>
      <c r="IJ88" s="115">
        <f t="shared" si="710"/>
        <v>1.1643356897299235</v>
      </c>
      <c r="IK88" s="115">
        <f t="shared" si="711"/>
        <v>1.1980573168234954</v>
      </c>
      <c r="IL88" s="115">
        <f t="shared" si="712"/>
        <v>1.230594031322491</v>
      </c>
      <c r="IM88" s="115">
        <f t="shared" si="713"/>
        <v>1.25877805295653</v>
      </c>
      <c r="IN88" s="115">
        <f t="shared" si="714"/>
        <v>1.2898201531700975</v>
      </c>
      <c r="IO88" s="115">
        <f t="shared" si="715"/>
        <v>1.3151769703837655</v>
      </c>
      <c r="IP88" s="115">
        <f t="shared" si="716"/>
        <v>1.3434748261788181</v>
      </c>
      <c r="IQ88" s="115">
        <f t="shared" si="717"/>
        <v>1.3707845882486138</v>
      </c>
      <c r="IR88" s="115">
        <f t="shared" si="718"/>
        <v>1.3962440358625756</v>
      </c>
      <c r="IS88" s="115">
        <f t="shared" si="719"/>
        <v>1.4204905112874515</v>
      </c>
      <c r="IT88" s="115">
        <f t="shared" si="720"/>
        <v>1.4434197840759082</v>
      </c>
      <c r="IU88" s="115">
        <f t="shared" si="721"/>
        <v>1.4641996455827908</v>
      </c>
      <c r="IV88" s="169">
        <f t="shared" si="722"/>
        <v>1.4834503847325724</v>
      </c>
      <c r="IW88" s="136">
        <f t="shared" si="723"/>
        <v>0</v>
      </c>
      <c r="IX88" s="170">
        <f t="shared" si="724"/>
        <v>1.4638512217573703</v>
      </c>
      <c r="IY88" s="149">
        <f t="shared" si="725"/>
        <v>1.4767759282456547</v>
      </c>
      <c r="IZ88" s="149">
        <f t="shared" si="726"/>
        <v>1.4872269348401286</v>
      </c>
      <c r="JA88" s="149">
        <f t="shared" si="727"/>
        <v>1.5080184446477354</v>
      </c>
      <c r="JB88" s="149">
        <f t="shared" si="728"/>
        <v>1.5279256892956639</v>
      </c>
      <c r="JC88" s="149">
        <f t="shared" si="729"/>
        <v>1.5397896971590186</v>
      </c>
      <c r="JD88" s="149">
        <f t="shared" si="730"/>
        <v>1.5567703640010737</v>
      </c>
      <c r="JE88" s="149">
        <f t="shared" si="731"/>
        <v>1.5726897843305634</v>
      </c>
      <c r="JF88" s="149">
        <f t="shared" si="732"/>
        <v>1.5874948334423751</v>
      </c>
      <c r="JG88" s="149">
        <f t="shared" si="733"/>
        <v>1.6005638232576938</v>
      </c>
      <c r="JH88" s="149">
        <f t="shared" si="734"/>
        <v>1.6049855194787468</v>
      </c>
      <c r="JI88" s="149">
        <f t="shared" si="735"/>
        <v>1.6151835357682431</v>
      </c>
      <c r="JJ88" s="149">
        <f t="shared" si="736"/>
        <v>1.624065309288073</v>
      </c>
      <c r="JK88" s="149">
        <f t="shared" si="685"/>
        <v>1.639056681373809</v>
      </c>
      <c r="JL88" s="149">
        <f t="shared" si="737"/>
        <v>1.6532265262692467</v>
      </c>
      <c r="JM88" s="149">
        <f t="shared" si="738"/>
        <v>1.6665403195940414</v>
      </c>
      <c r="JN88" s="149">
        <f t="shared" si="739"/>
        <v>1.6789640008207636</v>
      </c>
      <c r="JO88" s="149">
        <f t="shared" si="740"/>
        <v>1.6904640476120993</v>
      </c>
      <c r="JP88" s="149">
        <f t="shared" si="741"/>
        <v>1.7005118899522849</v>
      </c>
      <c r="JQ88" s="149">
        <f t="shared" si="742"/>
        <v>1.7095731100983165</v>
      </c>
      <c r="JR88" s="149">
        <f t="shared" si="743"/>
        <v>1.7176172571045174</v>
      </c>
      <c r="JS88" s="149">
        <f t="shared" si="744"/>
        <v>1.724614726550094</v>
      </c>
      <c r="JT88" s="149">
        <f t="shared" si="745"/>
        <v>1.7300746508710168</v>
      </c>
      <c r="JU88" s="149">
        <f t="shared" si="746"/>
        <v>1.7443476482099647</v>
      </c>
      <c r="JV88" s="149">
        <f t="shared" si="747"/>
        <v>1.7580906710059778</v>
      </c>
      <c r="JW88" s="149">
        <f t="shared" si="748"/>
        <v>1.7712839906251225</v>
      </c>
      <c r="JX88" s="149">
        <f t="shared" si="749"/>
        <v>1.7839080310914897</v>
      </c>
      <c r="JY88" s="149">
        <f t="shared" si="750"/>
        <v>1.7955030540076808</v>
      </c>
      <c r="JZ88" s="149">
        <f t="shared" si="751"/>
        <v>1.8064898226952995</v>
      </c>
      <c r="KA88" s="149">
        <f t="shared" si="752"/>
        <v>1.8168499330037686</v>
      </c>
      <c r="KB88" s="149">
        <f t="shared" si="753"/>
        <v>1.8265652483816326</v>
      </c>
      <c r="KC88" s="149">
        <f t="shared" si="754"/>
        <v>1.8356179263640919</v>
      </c>
      <c r="KD88" s="149">
        <f t="shared" si="755"/>
        <v>1.8439904451167823</v>
      </c>
      <c r="KE88" s="149">
        <f t="shared" si="756"/>
        <v>1.8635352814665112</v>
      </c>
      <c r="KF88" s="149">
        <f t="shared" si="757"/>
        <v>1.8825708111023103</v>
      </c>
      <c r="KG88" s="149">
        <f t="shared" si="758"/>
        <v>1.9014999571699871</v>
      </c>
      <c r="KH88" s="149">
        <f t="shared" si="759"/>
        <v>1.9203145836279207</v>
      </c>
      <c r="KI88" s="149">
        <f t="shared" si="760"/>
        <v>1.9390064768802473</v>
      </c>
      <c r="KJ88" s="149">
        <f t="shared" si="761"/>
        <v>1.9575673493368078</v>
      </c>
      <c r="KK88" s="149">
        <f t="shared" si="762"/>
        <v>1.9759888430834802</v>
      </c>
      <c r="KL88" s="149">
        <f t="shared" si="763"/>
        <v>1.9938474099551347</v>
      </c>
      <c r="KM88" s="149">
        <f t="shared" si="764"/>
        <v>2.0115449559460856</v>
      </c>
      <c r="KN88" s="149">
        <f t="shared" si="765"/>
        <v>2.0290731123881076</v>
      </c>
      <c r="KO88" s="149">
        <f t="shared" si="766"/>
        <v>2.0464234617282977</v>
      </c>
      <c r="KP88" s="149">
        <f t="shared" si="767"/>
        <v>2.0635875416634013</v>
      </c>
      <c r="KQ88" s="149">
        <f t="shared" si="768"/>
        <v>2.0805568493690219</v>
      </c>
      <c r="KR88" s="149">
        <f t="shared" si="769"/>
        <v>2.0973228458217061</v>
      </c>
      <c r="KS88" s="149">
        <f t="shared" si="770"/>
        <v>2.1138769602118068</v>
      </c>
      <c r="KT88" s="149">
        <f t="shared" si="771"/>
        <v>2.1297999644471441</v>
      </c>
      <c r="KU88" s="173">
        <f t="shared" si="772"/>
        <v>2.1454905837725113</v>
      </c>
      <c r="KV88" s="136">
        <f t="shared" si="773"/>
        <v>0</v>
      </c>
      <c r="KW88" s="174">
        <f t="shared" si="774"/>
        <v>2.1412140821008765</v>
      </c>
      <c r="KX88" s="159">
        <f t="shared" si="775"/>
        <v>2.1559170615818175</v>
      </c>
      <c r="KY88" s="159">
        <f t="shared" si="776"/>
        <v>2.1703581453977518</v>
      </c>
      <c r="KZ88" s="159">
        <f t="shared" si="777"/>
        <v>2.184529025673525</v>
      </c>
      <c r="LA88" s="159">
        <f t="shared" si="778"/>
        <v>2.1984214050279709</v>
      </c>
      <c r="LB88" s="159">
        <f t="shared" si="779"/>
        <v>2.211633271903449</v>
      </c>
      <c r="LC88" s="159">
        <f t="shared" si="780"/>
        <v>2.2412742419613738</v>
      </c>
      <c r="LD88" s="159">
        <f t="shared" si="781"/>
        <v>2.2543623761048157</v>
      </c>
      <c r="LE88" s="159">
        <f t="shared" si="782"/>
        <v>2.2671415772951589</v>
      </c>
      <c r="LF88" s="159">
        <f t="shared" si="783"/>
        <v>2.2796037489433942</v>
      </c>
      <c r="LG88" s="159">
        <f t="shared" si="784"/>
        <v>2.2917408337451746</v>
      </c>
      <c r="LH88" s="159">
        <f t="shared" si="785"/>
        <v>2.3035448187610004</v>
      </c>
      <c r="LI88" s="159">
        <f t="shared" si="786"/>
        <v>2.3146226128718004</v>
      </c>
      <c r="LJ88" s="159">
        <f t="shared" si="787"/>
        <v>2.325350757169812</v>
      </c>
      <c r="LK88" s="159">
        <f t="shared" si="788"/>
        <v>2.3542590949919009</v>
      </c>
      <c r="LL88" s="159">
        <f t="shared" si="789"/>
        <v>2.3647588883285846</v>
      </c>
      <c r="LM88" s="159">
        <f t="shared" si="790"/>
        <v>2.3748893038404542</v>
      </c>
      <c r="LN88" s="159">
        <f t="shared" si="791"/>
        <v>2.3846427583122991</v>
      </c>
      <c r="LO88" s="159">
        <f t="shared" si="792"/>
        <v>2.3940117469793045</v>
      </c>
      <c r="LP88" s="159">
        <f t="shared" si="793"/>
        <v>2.4223095038087679</v>
      </c>
      <c r="LQ88" s="159">
        <f t="shared" si="794"/>
        <v>2.4310153908205385</v>
      </c>
      <c r="LR88" s="159">
        <f t="shared" si="795"/>
        <v>2.4393177404910493</v>
      </c>
      <c r="LS88" s="159">
        <f t="shared" si="796"/>
        <v>2.4472094509635824</v>
      </c>
      <c r="LT88" s="159">
        <f t="shared" si="797"/>
        <v>2.454683521925336</v>
      </c>
      <c r="LU88" s="159">
        <f t="shared" si="798"/>
        <v>2.4617330596463143</v>
      </c>
      <c r="LV88" s="159">
        <f t="shared" si="799"/>
        <v>2.4683512820045368</v>
      </c>
      <c r="LW88" s="159">
        <f t="shared" si="686"/>
        <v>2.4955031461065866</v>
      </c>
      <c r="LX88" s="159">
        <f t="shared" si="815"/>
        <v>2.1921182166175264</v>
      </c>
      <c r="LY88" s="159">
        <f t="shared" si="816"/>
        <v>2.1968846039276047</v>
      </c>
      <c r="LZ88" s="159">
        <f t="shared" si="817"/>
        <v>1.8901412935030988</v>
      </c>
      <c r="MA88" s="159">
        <f t="shared" si="818"/>
        <v>1.893545758522976</v>
      </c>
      <c r="MB88" s="159">
        <f t="shared" si="819"/>
        <v>1.8965992639742819</v>
      </c>
      <c r="MC88" s="159">
        <f t="shared" si="820"/>
        <v>1.8992974022129114</v>
      </c>
      <c r="MD88" s="159">
        <f t="shared" si="821"/>
        <v>1.9013807816027264</v>
      </c>
      <c r="ME88" s="159">
        <f t="shared" si="822"/>
        <v>1.6036649468393922</v>
      </c>
      <c r="MF88" s="159">
        <f t="shared" si="823"/>
        <v>1.6051167362248326</v>
      </c>
      <c r="MG88" s="159">
        <f t="shared" si="800"/>
        <v>1.2881816709865186</v>
      </c>
      <c r="MH88" s="159">
        <f t="shared" si="801"/>
        <v>1.2888483063119804</v>
      </c>
      <c r="MI88" s="159">
        <f t="shared" si="802"/>
        <v>1.2892623473412648</v>
      </c>
      <c r="MJ88" s="159">
        <f t="shared" si="803"/>
        <v>1.3017016038353926</v>
      </c>
      <c r="MK88" s="159">
        <f t="shared" si="804"/>
        <v>1.301862191115982</v>
      </c>
      <c r="ML88" s="159">
        <f t="shared" si="805"/>
        <v>0.97939712572032023</v>
      </c>
      <c r="MM88" s="159">
        <f t="shared" si="806"/>
        <v>0.97912536992444743</v>
      </c>
      <c r="MN88" s="159">
        <f t="shared" si="807"/>
        <v>0.66187440390966013</v>
      </c>
      <c r="MO88" s="159">
        <f t="shared" si="808"/>
        <v>0.66147571468451072</v>
      </c>
      <c r="MP88" s="159">
        <f t="shared" si="809"/>
        <v>0.66748651574403517</v>
      </c>
      <c r="MQ88" s="159">
        <f t="shared" si="810"/>
        <v>0.66694848633172832</v>
      </c>
      <c r="MR88" s="159">
        <f t="shared" si="811"/>
        <v>0.66627378596888731</v>
      </c>
      <c r="MS88" s="159">
        <f t="shared" si="812"/>
        <v>0.33904645178173293</v>
      </c>
      <c r="MT88" s="159">
        <f t="shared" si="813"/>
        <v>0.33863310993356072</v>
      </c>
      <c r="MU88" s="162">
        <f t="shared" si="814"/>
        <v>-6.845541933200597E-4</v>
      </c>
      <c r="MV88" s="184"/>
      <c r="MW88" s="184"/>
      <c r="MX88" s="184"/>
      <c r="MY88" s="184"/>
      <c r="MZ88" s="184"/>
      <c r="NA88" s="184"/>
      <c r="NB88" s="184"/>
      <c r="NC88" s="184"/>
      <c r="ND88" s="184"/>
      <c r="NE88" s="184"/>
      <c r="NF88" s="184"/>
      <c r="NG88" s="184"/>
      <c r="NH88" s="184"/>
      <c r="NI88" s="184"/>
      <c r="NJ88" s="184"/>
      <c r="NK88" s="184"/>
      <c r="NL88" s="184"/>
      <c r="NM88" s="23"/>
      <c r="NN88" s="23"/>
      <c r="NO88" s="23"/>
      <c r="NP88" s="23"/>
      <c r="NQ88" s="23"/>
      <c r="NR88" s="23"/>
      <c r="NS88" s="23"/>
      <c r="NT88" s="23"/>
      <c r="NU88" s="23"/>
      <c r="NV88" s="23"/>
      <c r="NW88" s="23"/>
      <c r="NX88" s="23"/>
      <c r="NY88" s="23"/>
      <c r="NZ88" s="23"/>
      <c r="OA88" s="23"/>
      <c r="OB88" s="23"/>
      <c r="OC88" s="23"/>
      <c r="OD88" s="23"/>
      <c r="OE88" s="23"/>
      <c r="OF88" s="23"/>
      <c r="OG88" s="23"/>
      <c r="OH88" s="23"/>
      <c r="OI88" s="23"/>
      <c r="OJ88" s="23"/>
      <c r="OK88" s="23"/>
      <c r="OL88" s="23"/>
      <c r="OM88" s="23"/>
      <c r="ON88" s="23"/>
      <c r="OO88" s="23"/>
      <c r="OP88" s="23"/>
      <c r="OQ88" s="23"/>
      <c r="OR88" s="23"/>
      <c r="OS88" s="23"/>
      <c r="OT88" s="23"/>
      <c r="OU88" s="23"/>
      <c r="OV88" s="23"/>
      <c r="OW88" s="23"/>
      <c r="OX88" s="23"/>
      <c r="OY88" s="23"/>
      <c r="OZ88" s="23"/>
      <c r="PA88" s="23"/>
      <c r="PB88" s="23"/>
      <c r="PC88" s="23"/>
      <c r="PD88" s="23"/>
      <c r="PE88" s="23"/>
      <c r="PF88" s="23"/>
      <c r="PG88" s="23"/>
      <c r="PH88" s="23"/>
      <c r="PI88" s="23"/>
      <c r="PJ88" s="23"/>
      <c r="PK88" s="23"/>
      <c r="PL88" s="23"/>
      <c r="PM88" s="23"/>
      <c r="PN88" s="23"/>
      <c r="PO88" s="23"/>
      <c r="PP88" s="23"/>
      <c r="PQ88" s="23"/>
      <c r="PR88" s="23"/>
      <c r="PS88" s="23"/>
      <c r="PT88" s="23"/>
      <c r="PU88" s="23"/>
      <c r="PV88" s="23"/>
      <c r="PW88" s="23"/>
      <c r="PX88" s="23"/>
      <c r="PY88" s="23"/>
      <c r="PZ88" s="23"/>
      <c r="QA88" s="23"/>
      <c r="QB88" s="23"/>
      <c r="QC88" s="23"/>
      <c r="QD88" s="23"/>
      <c r="QE88" s="23"/>
      <c r="QF88" s="23"/>
      <c r="QG88" s="23"/>
      <c r="QH88" s="23"/>
      <c r="QI88" s="23"/>
      <c r="QJ88" s="23"/>
      <c r="QK88" s="23"/>
      <c r="QL88" s="23"/>
      <c r="QM88" s="23"/>
      <c r="QN88" s="23"/>
      <c r="QO88" s="23"/>
      <c r="QP88" s="23"/>
      <c r="QQ88" s="23"/>
      <c r="QR88" s="23"/>
      <c r="QS88" s="23"/>
      <c r="QT88" s="23"/>
      <c r="QU88" s="23"/>
      <c r="QV88" s="23"/>
      <c r="QW88" s="23"/>
      <c r="QX88" s="23"/>
      <c r="QY88" s="23"/>
      <c r="QZ88" s="23"/>
      <c r="RA88" s="23"/>
      <c r="RB88" s="23"/>
      <c r="RC88" s="23"/>
      <c r="RD88" s="23"/>
      <c r="RE88" s="23"/>
      <c r="RF88" s="23"/>
      <c r="RG88" s="23"/>
      <c r="RH88" s="23"/>
      <c r="RI88" s="23"/>
      <c r="RJ88" s="23"/>
      <c r="RK88" s="23"/>
      <c r="RL88" s="23"/>
      <c r="RM88" s="23"/>
      <c r="RN88" s="23"/>
      <c r="RO88" s="23"/>
      <c r="RP88" s="23"/>
      <c r="RQ88" s="23"/>
      <c r="RR88" s="23"/>
      <c r="RS88" s="23"/>
      <c r="RT88" s="23"/>
      <c r="RU88" s="23"/>
      <c r="RV88" s="23"/>
      <c r="RW88" s="23"/>
      <c r="RX88" s="23"/>
      <c r="RY88" s="23"/>
      <c r="RZ88" s="23"/>
      <c r="SA88" s="23"/>
      <c r="SB88" s="23"/>
      <c r="SC88" s="23"/>
      <c r="SD88" s="23"/>
      <c r="SE88" s="23"/>
      <c r="SF88" s="23"/>
      <c r="SG88" s="23"/>
      <c r="SH88" s="23"/>
      <c r="SI88" s="23"/>
      <c r="SJ88" s="23"/>
      <c r="SK88" s="23"/>
      <c r="SL88" s="23"/>
      <c r="SM88" s="23"/>
      <c r="SN88" s="23"/>
      <c r="SO88" s="23"/>
      <c r="SP88" s="23"/>
      <c r="SQ88" s="23"/>
      <c r="SR88" s="23"/>
      <c r="SS88" s="23"/>
      <c r="ST88" s="23"/>
      <c r="SU88" s="23"/>
      <c r="SV88" s="23"/>
      <c r="SW88" s="23"/>
      <c r="SX88" s="23"/>
      <c r="SY88" s="23"/>
      <c r="SZ88" s="23"/>
      <c r="TA88" s="184"/>
      <c r="TB88" s="185"/>
      <c r="TC88" s="11"/>
      <c r="TD88" s="11"/>
      <c r="TE88" s="11"/>
      <c r="TF88" s="11"/>
    </row>
    <row r="89" spans="1:526" ht="22.15" customHeight="1" thickBot="1" x14ac:dyDescent="0.3">
      <c r="A89" s="298"/>
      <c r="B89" s="25" t="s">
        <v>13</v>
      </c>
      <c r="BY89" s="184"/>
      <c r="BZ89" s="184"/>
      <c r="CA89" s="184"/>
      <c r="CB89" s="184"/>
      <c r="CC89" s="184"/>
      <c r="CD89" s="184"/>
      <c r="CE89" s="184"/>
      <c r="CF89" s="184"/>
      <c r="CG89" s="184"/>
      <c r="CH89" s="184"/>
      <c r="CI89" s="184"/>
      <c r="CJ89" s="184"/>
      <c r="CK89" s="184"/>
      <c r="CL89" s="184"/>
      <c r="CM89" s="184"/>
      <c r="CN89" s="184"/>
      <c r="CO89" s="184"/>
      <c r="CP89" s="184"/>
      <c r="CQ89" s="184"/>
      <c r="CR89" s="184"/>
      <c r="CS89" s="184"/>
      <c r="CT89" s="184"/>
      <c r="CU89" s="184"/>
      <c r="CV89" s="184"/>
      <c r="CW89" s="184"/>
      <c r="CX89" s="184"/>
      <c r="CY89" s="184"/>
      <c r="CZ89" s="184"/>
      <c r="DA89" s="184"/>
      <c r="DB89" s="184"/>
      <c r="DC89" s="184"/>
      <c r="DD89" s="184"/>
      <c r="DE89" s="184"/>
      <c r="DF89" s="184"/>
      <c r="DG89" s="184"/>
      <c r="DH89" s="184"/>
      <c r="DI89" s="184"/>
      <c r="DJ89" s="184"/>
      <c r="DK89" s="184"/>
      <c r="DL89" s="184"/>
      <c r="DM89" s="184"/>
      <c r="DN89" s="184"/>
      <c r="DO89" s="184"/>
      <c r="DP89" s="184"/>
      <c r="DQ89" s="184"/>
      <c r="DR89" s="184"/>
      <c r="DS89" s="184"/>
      <c r="DT89" s="184"/>
      <c r="DU89" s="184"/>
      <c r="DV89" s="184"/>
      <c r="DW89" s="184"/>
      <c r="DX89" s="184"/>
      <c r="DY89" s="184"/>
      <c r="DZ89" s="184"/>
      <c r="EA89" s="184"/>
      <c r="EB89" s="184"/>
      <c r="EC89" s="184"/>
      <c r="ED89" s="184"/>
      <c r="EE89" s="184"/>
      <c r="EF89" s="184"/>
      <c r="EG89" s="184"/>
      <c r="EH89" s="184"/>
      <c r="EI89" s="184"/>
      <c r="EJ89" s="184"/>
      <c r="EK89" s="184"/>
      <c r="EL89" s="184"/>
      <c r="EM89" s="184"/>
      <c r="EN89" s="184"/>
      <c r="EO89" s="184"/>
      <c r="EP89" s="184"/>
      <c r="EQ89" s="184"/>
      <c r="ER89" s="184"/>
      <c r="ES89" s="184"/>
      <c r="ET89" s="184"/>
      <c r="EU89" s="184"/>
      <c r="EV89" s="184"/>
      <c r="EW89" s="184"/>
      <c r="EX89" s="184"/>
      <c r="EY89" s="184"/>
      <c r="EZ89" s="184"/>
      <c r="FA89" s="184"/>
      <c r="FB89" s="184"/>
      <c r="FC89" s="184"/>
      <c r="FD89" s="184"/>
      <c r="FE89" s="184"/>
      <c r="FF89" s="184"/>
      <c r="FG89" s="184"/>
      <c r="FH89" s="184"/>
      <c r="FI89" s="184"/>
      <c r="FJ89" s="184"/>
      <c r="FK89" s="184"/>
      <c r="FL89" s="184"/>
      <c r="FM89" s="184"/>
      <c r="FN89" s="184"/>
      <c r="FO89" s="184"/>
      <c r="FP89" s="184"/>
      <c r="FQ89" s="184"/>
      <c r="FR89" s="184"/>
      <c r="FS89" s="184"/>
      <c r="FT89" s="184"/>
      <c r="FU89" s="184"/>
      <c r="FV89" s="184"/>
      <c r="FW89" s="184"/>
      <c r="FX89" s="184"/>
      <c r="FY89" s="184"/>
      <c r="FZ89" s="184"/>
      <c r="GA89" s="184"/>
      <c r="GB89" s="184"/>
      <c r="GC89" s="184"/>
      <c r="GD89" s="184"/>
      <c r="GE89" s="184"/>
      <c r="GF89" s="184"/>
      <c r="GG89" s="184"/>
      <c r="GH89" s="184"/>
      <c r="GI89" s="184"/>
      <c r="GJ89" s="184"/>
      <c r="GK89" s="184"/>
      <c r="GL89" s="184"/>
      <c r="GM89" s="184"/>
      <c r="GN89" s="184"/>
      <c r="GO89" s="184"/>
      <c r="GP89" s="184"/>
      <c r="GQ89" s="184"/>
      <c r="GR89" s="184"/>
      <c r="GS89" s="184"/>
      <c r="GT89" s="184"/>
      <c r="GU89" s="184"/>
      <c r="GV89" s="184"/>
      <c r="GW89" s="184"/>
      <c r="GX89" s="184"/>
      <c r="GY89" s="141">
        <f t="shared" si="668"/>
        <v>0.56000000000000005</v>
      </c>
      <c r="GZ89" s="114">
        <f t="shared" si="669"/>
        <v>0.56000000000000005</v>
      </c>
      <c r="HA89" s="114">
        <f t="shared" si="670"/>
        <v>0.56999999999999995</v>
      </c>
      <c r="HB89" s="114">
        <f t="shared" si="671"/>
        <v>0.56999999999999995</v>
      </c>
      <c r="HC89" s="114">
        <f t="shared" si="687"/>
        <v>0.56999999999999995</v>
      </c>
      <c r="HD89" s="114">
        <f t="shared" si="673"/>
        <v>0.57999999999999996</v>
      </c>
      <c r="HE89" s="114">
        <f t="shared" si="674"/>
        <v>0.57999999999999996</v>
      </c>
      <c r="HF89" s="114">
        <f t="shared" si="675"/>
        <v>0.59</v>
      </c>
      <c r="HG89" s="114">
        <f t="shared" si="676"/>
        <v>0.59</v>
      </c>
      <c r="HH89" s="114">
        <f t="shared" si="677"/>
        <v>0.59</v>
      </c>
      <c r="HI89" s="114">
        <f t="shared" si="678"/>
        <v>0.6</v>
      </c>
      <c r="HJ89" s="114">
        <f t="shared" si="679"/>
        <v>0.6</v>
      </c>
      <c r="HK89" s="114">
        <f t="shared" si="680"/>
        <v>0.61</v>
      </c>
      <c r="HL89" s="114">
        <f t="shared" si="681"/>
        <v>0.61</v>
      </c>
      <c r="HM89" s="114">
        <f t="shared" si="682"/>
        <v>0.62</v>
      </c>
      <c r="HN89" s="114">
        <f t="shared" si="688"/>
        <v>0.62</v>
      </c>
      <c r="HO89" s="114">
        <f t="shared" si="689"/>
        <v>0.63</v>
      </c>
      <c r="HP89" s="114">
        <f t="shared" si="690"/>
        <v>0.63</v>
      </c>
      <c r="HQ89" s="114">
        <f t="shared" si="691"/>
        <v>0.64</v>
      </c>
      <c r="HR89" s="114">
        <f t="shared" si="692"/>
        <v>0.64</v>
      </c>
      <c r="HS89" s="114">
        <f t="shared" si="693"/>
        <v>0.65</v>
      </c>
      <c r="HT89" s="114">
        <f t="shared" si="694"/>
        <v>0.65</v>
      </c>
      <c r="HU89" s="114">
        <f t="shared" si="695"/>
        <v>0.66</v>
      </c>
      <c r="HV89" s="114">
        <f t="shared" si="696"/>
        <v>0.66</v>
      </c>
      <c r="HW89" s="114">
        <f t="shared" si="697"/>
        <v>0.66</v>
      </c>
      <c r="HX89" s="114">
        <f t="shared" si="698"/>
        <v>0.67</v>
      </c>
      <c r="HY89" s="114">
        <f t="shared" si="699"/>
        <v>0.67</v>
      </c>
      <c r="HZ89" s="114">
        <f t="shared" si="700"/>
        <v>0.68</v>
      </c>
      <c r="IA89" s="114">
        <f t="shared" si="701"/>
        <v>0.68</v>
      </c>
      <c r="IB89" s="114">
        <f t="shared" si="702"/>
        <v>0.68</v>
      </c>
      <c r="IC89" s="114">
        <f t="shared" si="703"/>
        <v>0.69</v>
      </c>
      <c r="ID89" s="114">
        <f t="shared" si="704"/>
        <v>0.69</v>
      </c>
      <c r="IE89" s="114">
        <f t="shared" si="705"/>
        <v>0.69</v>
      </c>
      <c r="IF89" s="114">
        <f t="shared" si="706"/>
        <v>0.7</v>
      </c>
      <c r="IG89" s="114">
        <f t="shared" si="707"/>
        <v>0.7</v>
      </c>
      <c r="IH89" s="114">
        <f t="shared" si="708"/>
        <v>0.71</v>
      </c>
      <c r="II89" s="114">
        <f t="shared" si="709"/>
        <v>0.71</v>
      </c>
      <c r="IJ89" s="114">
        <f t="shared" si="710"/>
        <v>0.71</v>
      </c>
      <c r="IK89" s="114">
        <f t="shared" si="711"/>
        <v>0.72</v>
      </c>
      <c r="IL89" s="114">
        <f t="shared" si="712"/>
        <v>0.72</v>
      </c>
      <c r="IM89" s="114">
        <f t="shared" si="713"/>
        <v>0.72</v>
      </c>
      <c r="IN89" s="114">
        <f t="shared" si="714"/>
        <v>0.73</v>
      </c>
      <c r="IO89" s="114">
        <f t="shared" si="715"/>
        <v>0.73</v>
      </c>
      <c r="IP89" s="114">
        <f t="shared" si="716"/>
        <v>0.73</v>
      </c>
      <c r="IQ89" s="114">
        <f t="shared" si="717"/>
        <v>0.74</v>
      </c>
      <c r="IR89" s="114">
        <f t="shared" si="718"/>
        <v>0.74</v>
      </c>
      <c r="IS89" s="114">
        <f t="shared" si="719"/>
        <v>0.74</v>
      </c>
      <c r="IT89" s="114">
        <f t="shared" si="720"/>
        <v>0.75</v>
      </c>
      <c r="IU89" s="114">
        <f t="shared" si="721"/>
        <v>0.75</v>
      </c>
      <c r="IV89" s="114">
        <f t="shared" si="722"/>
        <v>0.76</v>
      </c>
      <c r="IW89" s="172">
        <f t="shared" si="723"/>
        <v>0.76</v>
      </c>
      <c r="IX89" s="151">
        <f t="shared" si="724"/>
        <v>0.76</v>
      </c>
      <c r="IY89" s="151">
        <f t="shared" si="725"/>
        <v>0.77</v>
      </c>
      <c r="IZ89" s="151">
        <f t="shared" si="726"/>
        <v>0.77</v>
      </c>
      <c r="JA89" s="151">
        <f t="shared" si="727"/>
        <v>0.77</v>
      </c>
      <c r="JB89" s="151">
        <f t="shared" si="728"/>
        <v>0.78</v>
      </c>
      <c r="JC89" s="151">
        <f t="shared" si="729"/>
        <v>0.78</v>
      </c>
      <c r="JD89" s="151">
        <f t="shared" si="730"/>
        <v>0.78</v>
      </c>
      <c r="JE89" s="151">
        <f t="shared" si="731"/>
        <v>0.78</v>
      </c>
      <c r="JF89" s="151">
        <f t="shared" si="732"/>
        <v>0.79</v>
      </c>
      <c r="JG89" s="151">
        <f t="shared" si="733"/>
        <v>0.79</v>
      </c>
      <c r="JH89" s="151">
        <f t="shared" si="734"/>
        <v>0.79</v>
      </c>
      <c r="JI89" s="151">
        <f t="shared" si="735"/>
        <v>0.79</v>
      </c>
      <c r="JJ89" s="151">
        <f t="shared" si="736"/>
        <v>0.8</v>
      </c>
      <c r="JK89" s="151">
        <f t="shared" si="685"/>
        <v>0.8</v>
      </c>
      <c r="JL89" s="151">
        <f t="shared" si="737"/>
        <v>0.8</v>
      </c>
      <c r="JM89" s="151">
        <f t="shared" si="738"/>
        <v>0.8</v>
      </c>
      <c r="JN89" s="151">
        <f t="shared" si="739"/>
        <v>0.8</v>
      </c>
      <c r="JO89" s="151">
        <f t="shared" si="740"/>
        <v>0.81</v>
      </c>
      <c r="JP89" s="151">
        <f t="shared" si="741"/>
        <v>0.81</v>
      </c>
      <c r="JQ89" s="151">
        <f t="shared" si="742"/>
        <v>0.81</v>
      </c>
      <c r="JR89" s="151">
        <f t="shared" si="743"/>
        <v>0.81</v>
      </c>
      <c r="JS89" s="151">
        <f t="shared" si="744"/>
        <v>0.82</v>
      </c>
      <c r="JT89" s="151">
        <f t="shared" si="745"/>
        <v>0.82</v>
      </c>
      <c r="JU89" s="151">
        <f t="shared" si="746"/>
        <v>0.82</v>
      </c>
      <c r="JV89" s="151">
        <f t="shared" si="747"/>
        <v>0.82</v>
      </c>
      <c r="JW89" s="151">
        <f t="shared" si="748"/>
        <v>0.82</v>
      </c>
      <c r="JX89" s="151">
        <f t="shared" si="749"/>
        <v>0.83</v>
      </c>
      <c r="JY89" s="151">
        <f t="shared" si="750"/>
        <v>0.83</v>
      </c>
      <c r="JZ89" s="151">
        <f t="shared" si="751"/>
        <v>0.83</v>
      </c>
      <c r="KA89" s="151">
        <f t="shared" si="752"/>
        <v>0.83</v>
      </c>
      <c r="KB89" s="151">
        <f t="shared" si="753"/>
        <v>0.83</v>
      </c>
      <c r="KC89" s="151">
        <f t="shared" si="754"/>
        <v>0.83</v>
      </c>
      <c r="KD89" s="151">
        <f t="shared" si="755"/>
        <v>0.83</v>
      </c>
      <c r="KE89" s="151">
        <f t="shared" si="756"/>
        <v>0.84</v>
      </c>
      <c r="KF89" s="151">
        <f t="shared" si="757"/>
        <v>0.84</v>
      </c>
      <c r="KG89" s="151">
        <f t="shared" si="758"/>
        <v>0.84</v>
      </c>
      <c r="KH89" s="151">
        <f t="shared" si="759"/>
        <v>0.84</v>
      </c>
      <c r="KI89" s="151">
        <f t="shared" si="760"/>
        <v>0.84</v>
      </c>
      <c r="KJ89" s="151">
        <f t="shared" si="761"/>
        <v>0.84</v>
      </c>
      <c r="KK89" s="151">
        <f t="shared" si="762"/>
        <v>0.85</v>
      </c>
      <c r="KL89" s="151">
        <f t="shared" si="763"/>
        <v>0.85</v>
      </c>
      <c r="KM89" s="151">
        <f t="shared" si="764"/>
        <v>0.85</v>
      </c>
      <c r="KN89" s="151">
        <f t="shared" si="765"/>
        <v>0.85</v>
      </c>
      <c r="KO89" s="151">
        <f t="shared" si="766"/>
        <v>0.85</v>
      </c>
      <c r="KP89" s="151">
        <f t="shared" si="767"/>
        <v>0.85</v>
      </c>
      <c r="KQ89" s="151">
        <f t="shared" si="768"/>
        <v>0.85</v>
      </c>
      <c r="KR89" s="151">
        <f t="shared" si="769"/>
        <v>0.85</v>
      </c>
      <c r="KS89" s="151">
        <f t="shared" si="770"/>
        <v>0.86</v>
      </c>
      <c r="KT89" s="151">
        <f t="shared" si="771"/>
        <v>0.86</v>
      </c>
      <c r="KU89" s="151">
        <f t="shared" si="772"/>
        <v>0.86</v>
      </c>
      <c r="KV89" s="176">
        <f t="shared" si="773"/>
        <v>0.86</v>
      </c>
      <c r="KW89" s="163">
        <f t="shared" si="774"/>
        <v>0.86</v>
      </c>
      <c r="KX89" s="163">
        <f t="shared" si="775"/>
        <v>0.86</v>
      </c>
      <c r="KY89" s="163">
        <f t="shared" si="776"/>
        <v>0.86</v>
      </c>
      <c r="KZ89" s="163">
        <f t="shared" si="777"/>
        <v>0.86</v>
      </c>
      <c r="LA89" s="163">
        <f t="shared" si="778"/>
        <v>0.87</v>
      </c>
      <c r="LB89" s="163">
        <f t="shared" si="779"/>
        <v>0.87</v>
      </c>
      <c r="LC89" s="163">
        <f t="shared" si="780"/>
        <v>0.87</v>
      </c>
      <c r="LD89" s="163">
        <f t="shared" si="781"/>
        <v>0.87</v>
      </c>
      <c r="LE89" s="163">
        <f t="shared" si="782"/>
        <v>0.87</v>
      </c>
      <c r="LF89" s="163">
        <f t="shared" si="783"/>
        <v>0.87</v>
      </c>
      <c r="LG89" s="163">
        <f t="shared" si="784"/>
        <v>0.87</v>
      </c>
      <c r="LH89" s="163">
        <f t="shared" si="785"/>
        <v>0.88</v>
      </c>
      <c r="LI89" s="163">
        <f t="shared" si="786"/>
        <v>0.88</v>
      </c>
      <c r="LJ89" s="163">
        <f t="shared" si="787"/>
        <v>0.88</v>
      </c>
      <c r="LK89" s="163">
        <f t="shared" si="788"/>
        <v>0.88</v>
      </c>
      <c r="LL89" s="163">
        <f t="shared" si="789"/>
        <v>0.88</v>
      </c>
      <c r="LM89" s="163">
        <f t="shared" si="790"/>
        <v>0.88</v>
      </c>
      <c r="LN89" s="163">
        <f t="shared" si="791"/>
        <v>0.88</v>
      </c>
      <c r="LO89" s="163">
        <f t="shared" si="792"/>
        <v>0.89</v>
      </c>
      <c r="LP89" s="163">
        <f t="shared" si="793"/>
        <v>0.89</v>
      </c>
      <c r="LQ89" s="163">
        <f t="shared" si="794"/>
        <v>0.89</v>
      </c>
      <c r="LR89" s="163">
        <f t="shared" si="795"/>
        <v>0.89</v>
      </c>
      <c r="LS89" s="163">
        <f t="shared" si="796"/>
        <v>0.89</v>
      </c>
      <c r="LT89" s="163">
        <f t="shared" si="797"/>
        <v>0.89</v>
      </c>
      <c r="LU89" s="163">
        <f t="shared" si="798"/>
        <v>0.89</v>
      </c>
      <c r="LV89" s="163">
        <f t="shared" si="799"/>
        <v>0.9</v>
      </c>
      <c r="LW89" s="163">
        <f t="shared" si="686"/>
        <v>0.9</v>
      </c>
      <c r="LX89" s="163">
        <f t="shared" si="815"/>
        <v>0.9</v>
      </c>
      <c r="LY89" s="163">
        <f t="shared" si="816"/>
        <v>0.9</v>
      </c>
      <c r="LZ89" s="163">
        <f t="shared" si="817"/>
        <v>0.9</v>
      </c>
      <c r="MA89" s="163">
        <f t="shared" si="818"/>
        <v>0.9</v>
      </c>
      <c r="MB89" s="163">
        <f t="shared" si="819"/>
        <v>0.9</v>
      </c>
      <c r="MC89" s="163">
        <f t="shared" si="820"/>
        <v>0.91</v>
      </c>
      <c r="MD89" s="163">
        <f t="shared" si="821"/>
        <v>0.91</v>
      </c>
      <c r="ME89" s="163">
        <f t="shared" si="822"/>
        <v>0.91</v>
      </c>
      <c r="MF89" s="163">
        <f t="shared" si="823"/>
        <v>0.91</v>
      </c>
      <c r="MG89" s="163">
        <f t="shared" si="800"/>
        <v>0.91</v>
      </c>
      <c r="MH89" s="163">
        <f t="shared" si="801"/>
        <v>0.91</v>
      </c>
      <c r="MI89" s="163">
        <f t="shared" si="802"/>
        <v>0.91</v>
      </c>
      <c r="MJ89" s="163">
        <f t="shared" si="803"/>
        <v>0.91</v>
      </c>
      <c r="MK89" s="163">
        <f t="shared" si="804"/>
        <v>0.91</v>
      </c>
      <c r="ML89" s="163">
        <f t="shared" si="805"/>
        <v>0.91</v>
      </c>
      <c r="MM89" s="163">
        <f t="shared" si="806"/>
        <v>0.91</v>
      </c>
      <c r="MN89" s="163">
        <f t="shared" si="807"/>
        <v>0.92</v>
      </c>
      <c r="MO89" s="163">
        <f t="shared" si="808"/>
        <v>0.92</v>
      </c>
      <c r="MP89" s="163">
        <f t="shared" si="809"/>
        <v>0.92</v>
      </c>
      <c r="MQ89" s="163">
        <f t="shared" si="810"/>
        <v>0.92</v>
      </c>
      <c r="MR89" s="163">
        <f t="shared" si="811"/>
        <v>0.92</v>
      </c>
      <c r="MS89" s="163">
        <f t="shared" si="812"/>
        <v>0.92</v>
      </c>
      <c r="MT89" s="163">
        <f t="shared" si="813"/>
        <v>0.92</v>
      </c>
      <c r="MU89" s="117">
        <f t="shared" si="814"/>
        <v>0.92</v>
      </c>
      <c r="MV89" s="184"/>
      <c r="MW89" s="184"/>
      <c r="MX89" s="184"/>
      <c r="MY89" s="184"/>
      <c r="MZ89" s="184"/>
      <c r="NA89" s="184"/>
      <c r="NB89" s="184"/>
      <c r="NC89" s="184"/>
      <c r="ND89" s="184"/>
      <c r="NE89" s="184"/>
      <c r="NF89" s="184"/>
      <c r="NG89" s="184"/>
      <c r="NH89" s="184"/>
      <c r="NI89" s="184"/>
      <c r="NJ89" s="184"/>
      <c r="NK89" s="184"/>
      <c r="NL89" s="184"/>
      <c r="NM89" s="23"/>
      <c r="NN89" s="23"/>
      <c r="NO89" s="23"/>
      <c r="NP89" s="23"/>
      <c r="NQ89" s="23"/>
      <c r="NR89" s="23"/>
      <c r="NS89" s="23"/>
      <c r="NT89" s="23"/>
      <c r="NU89" s="23"/>
      <c r="NV89" s="23"/>
      <c r="NW89" s="23"/>
      <c r="NX89" s="23"/>
      <c r="NY89" s="23"/>
      <c r="NZ89" s="23"/>
      <c r="OA89" s="23"/>
      <c r="OB89" s="23"/>
      <c r="OC89" s="23"/>
      <c r="OD89" s="23"/>
      <c r="OE89" s="23"/>
      <c r="OF89" s="23"/>
      <c r="OG89" s="23"/>
      <c r="OH89" s="23"/>
      <c r="OI89" s="23"/>
      <c r="OJ89" s="23"/>
      <c r="OK89" s="23"/>
      <c r="OL89" s="23"/>
      <c r="OM89" s="23"/>
      <c r="ON89" s="23"/>
      <c r="OO89" s="23"/>
      <c r="OP89" s="23"/>
      <c r="OQ89" s="23"/>
      <c r="OR89" s="23"/>
      <c r="OS89" s="23"/>
      <c r="OT89" s="23"/>
      <c r="OU89" s="23"/>
      <c r="OV89" s="23"/>
      <c r="OW89" s="23"/>
      <c r="OX89" s="23"/>
      <c r="OY89" s="23"/>
      <c r="OZ89" s="23"/>
      <c r="PA89" s="23"/>
      <c r="PB89" s="23"/>
      <c r="PC89" s="23"/>
      <c r="PD89" s="23"/>
      <c r="PE89" s="23"/>
      <c r="PF89" s="23"/>
      <c r="PG89" s="23"/>
      <c r="PH89" s="23"/>
      <c r="PI89" s="23"/>
      <c r="PJ89" s="23"/>
      <c r="PK89" s="23"/>
      <c r="PL89" s="23"/>
      <c r="PM89" s="23"/>
      <c r="PN89" s="23"/>
      <c r="PO89" s="23"/>
      <c r="PP89" s="23"/>
      <c r="PQ89" s="23"/>
      <c r="PR89" s="23"/>
      <c r="PS89" s="23"/>
      <c r="PT89" s="23"/>
      <c r="PU89" s="23"/>
      <c r="PV89" s="23"/>
      <c r="PW89" s="23"/>
      <c r="PX89" s="23"/>
      <c r="PY89" s="23"/>
      <c r="PZ89" s="23"/>
      <c r="QA89" s="23"/>
      <c r="QB89" s="23"/>
      <c r="QC89" s="23"/>
      <c r="QD89" s="23"/>
      <c r="QE89" s="23"/>
      <c r="QF89" s="23"/>
      <c r="QG89" s="23"/>
      <c r="QH89" s="23"/>
      <c r="QI89" s="23"/>
      <c r="QJ89" s="23"/>
      <c r="QK89" s="23"/>
      <c r="QL89" s="23"/>
      <c r="QM89" s="23"/>
      <c r="QN89" s="23"/>
      <c r="QO89" s="23"/>
      <c r="QP89" s="23"/>
      <c r="QQ89" s="23"/>
      <c r="QR89" s="23"/>
      <c r="QS89" s="23"/>
      <c r="QT89" s="23"/>
      <c r="QU89" s="23"/>
      <c r="QV89" s="23"/>
      <c r="QW89" s="23"/>
      <c r="QX89" s="23"/>
      <c r="QY89" s="23"/>
      <c r="QZ89" s="23"/>
      <c r="RA89" s="23"/>
      <c r="RB89" s="23"/>
      <c r="RC89" s="23"/>
      <c r="RD89" s="23"/>
      <c r="RE89" s="23"/>
      <c r="RF89" s="23"/>
      <c r="RG89" s="23"/>
      <c r="RH89" s="23"/>
      <c r="RI89" s="23"/>
      <c r="RJ89" s="23"/>
      <c r="RK89" s="23"/>
      <c r="RL89" s="23"/>
      <c r="RM89" s="23"/>
      <c r="RN89" s="23"/>
      <c r="RO89" s="23"/>
      <c r="RP89" s="23"/>
      <c r="RQ89" s="23"/>
      <c r="RR89" s="23"/>
      <c r="RS89" s="23"/>
      <c r="RT89" s="23"/>
      <c r="RU89" s="23"/>
      <c r="RV89" s="23"/>
      <c r="RW89" s="23"/>
      <c r="RX89" s="23"/>
      <c r="RY89" s="23"/>
      <c r="RZ89" s="23"/>
      <c r="SA89" s="23"/>
      <c r="SB89" s="23"/>
      <c r="SC89" s="23"/>
      <c r="SD89" s="23"/>
      <c r="SE89" s="23"/>
      <c r="SF89" s="23"/>
      <c r="SG89" s="23"/>
      <c r="SH89" s="23"/>
      <c r="SI89" s="23"/>
      <c r="SJ89" s="23"/>
      <c r="SK89" s="23"/>
      <c r="SL89" s="23"/>
      <c r="SM89" s="23"/>
      <c r="SN89" s="23"/>
      <c r="SO89" s="23"/>
      <c r="SP89" s="23"/>
      <c r="SQ89" s="23"/>
      <c r="SR89" s="23"/>
      <c r="SS89" s="23"/>
      <c r="ST89" s="23"/>
      <c r="SU89" s="23"/>
      <c r="SV89" s="23"/>
      <c r="SW89" s="23"/>
      <c r="SX89" s="23"/>
      <c r="SY89" s="23"/>
      <c r="SZ89" s="23"/>
      <c r="TA89" s="184"/>
      <c r="TB89" s="185"/>
      <c r="TC89" s="11"/>
      <c r="TD89" s="11"/>
      <c r="TE89" s="11"/>
      <c r="TF89" s="11"/>
    </row>
    <row r="90" spans="1:526" ht="22.15" customHeight="1" x14ac:dyDescent="0.25">
      <c r="A90" s="298"/>
      <c r="B90" s="25" t="s">
        <v>3</v>
      </c>
      <c r="BY90" s="184"/>
      <c r="BZ90" s="184"/>
      <c r="CA90" s="184"/>
      <c r="CB90" s="184"/>
      <c r="CC90" s="184"/>
      <c r="CD90" s="184"/>
      <c r="CE90" s="184"/>
      <c r="CF90" s="184"/>
      <c r="CG90" s="184"/>
      <c r="CH90" s="184"/>
      <c r="CI90" s="184"/>
      <c r="CJ90" s="184"/>
      <c r="CK90" s="184"/>
      <c r="CL90" s="184"/>
      <c r="CM90" s="184"/>
      <c r="CN90" s="184"/>
      <c r="CO90" s="184"/>
      <c r="CP90" s="184"/>
      <c r="CQ90" s="184"/>
      <c r="CR90" s="184"/>
      <c r="CS90" s="184"/>
      <c r="CT90" s="184"/>
      <c r="CU90" s="184"/>
      <c r="CV90" s="184"/>
      <c r="CW90" s="184"/>
      <c r="CX90" s="184"/>
      <c r="CY90" s="184"/>
      <c r="CZ90" s="184"/>
      <c r="DA90" s="184"/>
      <c r="DB90" s="184"/>
      <c r="DC90" s="184"/>
      <c r="DD90" s="184"/>
      <c r="DE90" s="184"/>
      <c r="DF90" s="184"/>
      <c r="DG90" s="184"/>
      <c r="DH90" s="184"/>
      <c r="DI90" s="184"/>
      <c r="DJ90" s="184"/>
      <c r="DK90" s="184"/>
      <c r="DL90" s="184"/>
      <c r="DM90" s="184"/>
      <c r="DN90" s="184"/>
      <c r="DO90" s="184"/>
      <c r="DP90" s="184"/>
      <c r="DQ90" s="184"/>
      <c r="DR90" s="184"/>
      <c r="DS90" s="184"/>
      <c r="DT90" s="184"/>
      <c r="DU90" s="184"/>
      <c r="DV90" s="184"/>
      <c r="DW90" s="184"/>
      <c r="DX90" s="184"/>
      <c r="DY90" s="184"/>
      <c r="DZ90" s="184"/>
      <c r="EA90" s="184"/>
      <c r="EB90" s="184"/>
      <c r="EC90" s="184"/>
      <c r="ED90" s="184"/>
      <c r="EE90" s="184"/>
      <c r="EF90" s="184"/>
      <c r="EG90" s="184"/>
      <c r="EH90" s="184"/>
      <c r="EI90" s="184"/>
      <c r="EJ90" s="184"/>
      <c r="EK90" s="184"/>
      <c r="EL90" s="184"/>
      <c r="EM90" s="184"/>
      <c r="EN90" s="184"/>
      <c r="EO90" s="184"/>
      <c r="EP90" s="184"/>
      <c r="EQ90" s="184"/>
      <c r="ER90" s="184"/>
      <c r="ES90" s="184"/>
      <c r="ET90" s="184"/>
      <c r="EU90" s="184"/>
      <c r="EV90" s="184"/>
      <c r="EW90" s="184"/>
      <c r="EX90" s="184"/>
      <c r="EY90" s="184"/>
      <c r="EZ90" s="184"/>
      <c r="FA90" s="184"/>
      <c r="FB90" s="184"/>
      <c r="FC90" s="184"/>
      <c r="FD90" s="184"/>
      <c r="FE90" s="184"/>
      <c r="FF90" s="184"/>
      <c r="FG90" s="184"/>
      <c r="FH90" s="184"/>
      <c r="FI90" s="184"/>
      <c r="FJ90" s="184"/>
      <c r="FK90" s="184"/>
      <c r="FL90" s="184"/>
      <c r="FM90" s="184"/>
      <c r="FN90" s="184"/>
      <c r="FO90" s="184"/>
      <c r="FP90" s="184"/>
      <c r="FQ90" s="184"/>
      <c r="FR90" s="184"/>
      <c r="FS90" s="184"/>
      <c r="FT90" s="184"/>
      <c r="FU90" s="184"/>
      <c r="FV90" s="184"/>
      <c r="FW90" s="184"/>
      <c r="FX90" s="184"/>
      <c r="FY90" s="184"/>
      <c r="FZ90" s="184"/>
      <c r="GA90" s="184"/>
      <c r="GB90" s="184"/>
      <c r="GC90" s="184"/>
      <c r="GD90" s="184"/>
      <c r="GE90" s="184"/>
      <c r="GF90" s="184"/>
      <c r="GG90" s="184"/>
      <c r="GH90" s="184"/>
      <c r="GI90" s="184"/>
      <c r="GJ90" s="184"/>
      <c r="GK90" s="184"/>
      <c r="GL90" s="184"/>
      <c r="GM90" s="184"/>
      <c r="GN90" s="184"/>
      <c r="GO90" s="184"/>
      <c r="GP90" s="184"/>
      <c r="GQ90" s="184"/>
      <c r="GR90" s="184"/>
      <c r="GS90" s="184"/>
      <c r="GT90" s="184"/>
      <c r="GU90" s="184"/>
      <c r="GV90" s="184"/>
      <c r="GW90" s="184"/>
      <c r="GX90" s="184"/>
      <c r="GY90" s="125" t="str">
        <f t="shared" si="668"/>
        <v>Tank 1</v>
      </c>
      <c r="GZ90" s="111" t="str">
        <f t="shared" si="669"/>
        <v>Tank 1</v>
      </c>
      <c r="HA90" s="111" t="str">
        <f t="shared" si="670"/>
        <v>Tank 1</v>
      </c>
      <c r="HB90" s="111" t="str">
        <f t="shared" si="671"/>
        <v>Tank 1</v>
      </c>
      <c r="HC90" s="111" t="str">
        <f t="shared" si="687"/>
        <v>Tank 1</v>
      </c>
      <c r="HD90" s="111" t="str">
        <f t="shared" si="673"/>
        <v>Tank 1</v>
      </c>
      <c r="HE90" s="111" t="str">
        <f t="shared" si="674"/>
        <v>Tank 1</v>
      </c>
      <c r="HF90" s="111" t="str">
        <f t="shared" si="675"/>
        <v>Tank 1</v>
      </c>
      <c r="HG90" s="111" t="str">
        <f t="shared" si="676"/>
        <v>Tank 1</v>
      </c>
      <c r="HH90" s="111" t="str">
        <f t="shared" si="677"/>
        <v>Tank 1</v>
      </c>
      <c r="HI90" s="111" t="str">
        <f t="shared" si="678"/>
        <v>Tank 1</v>
      </c>
      <c r="HJ90" s="111" t="str">
        <f t="shared" si="679"/>
        <v>Tank 1</v>
      </c>
      <c r="HK90" s="111" t="str">
        <f t="shared" si="680"/>
        <v>Tank 1</v>
      </c>
      <c r="HL90" s="111" t="str">
        <f t="shared" si="681"/>
        <v>Tank 1</v>
      </c>
      <c r="HM90" s="111" t="str">
        <f t="shared" si="682"/>
        <v>Tank 1</v>
      </c>
      <c r="HN90" s="111" t="str">
        <f t="shared" si="688"/>
        <v>Tank 1</v>
      </c>
      <c r="HO90" s="111" t="str">
        <f t="shared" si="689"/>
        <v>Tank 1</v>
      </c>
      <c r="HP90" s="111" t="str">
        <f t="shared" si="690"/>
        <v>Tank 1</v>
      </c>
      <c r="HQ90" s="111" t="str">
        <f t="shared" si="691"/>
        <v>Tank 1</v>
      </c>
      <c r="HR90" s="111" t="str">
        <f t="shared" si="692"/>
        <v>Tank 1</v>
      </c>
      <c r="HS90" s="111" t="str">
        <f t="shared" si="693"/>
        <v>Tank 1</v>
      </c>
      <c r="HT90" s="111" t="str">
        <f t="shared" si="694"/>
        <v>Tank 1</v>
      </c>
      <c r="HU90" s="111" t="str">
        <f t="shared" si="695"/>
        <v>Tank 1</v>
      </c>
      <c r="HV90" s="111" t="str">
        <f t="shared" si="696"/>
        <v>Tank 1</v>
      </c>
      <c r="HW90" s="111" t="str">
        <f t="shared" si="697"/>
        <v>Tank 1</v>
      </c>
      <c r="HX90" s="111" t="str">
        <f t="shared" si="698"/>
        <v>Tank 1</v>
      </c>
      <c r="HY90" s="111" t="str">
        <f t="shared" si="699"/>
        <v>Tank 1</v>
      </c>
      <c r="HZ90" s="111" t="str">
        <f t="shared" si="700"/>
        <v>Tank 1</v>
      </c>
      <c r="IA90" s="111" t="str">
        <f t="shared" si="701"/>
        <v>Tank 1</v>
      </c>
      <c r="IB90" s="111" t="str">
        <f t="shared" si="702"/>
        <v>Tank 1</v>
      </c>
      <c r="IC90" s="111" t="str">
        <f t="shared" si="703"/>
        <v>Tank 1</v>
      </c>
      <c r="ID90" s="111" t="str">
        <f t="shared" si="704"/>
        <v>Tank 1</v>
      </c>
      <c r="IE90" s="111" t="str">
        <f t="shared" si="705"/>
        <v>Tank 1</v>
      </c>
      <c r="IF90" s="111" t="str">
        <f t="shared" si="706"/>
        <v>Tank 1</v>
      </c>
      <c r="IG90" s="111" t="str">
        <f t="shared" si="707"/>
        <v>Tank 1</v>
      </c>
      <c r="IH90" s="111" t="str">
        <f t="shared" si="708"/>
        <v>Tank 1</v>
      </c>
      <c r="II90" s="111" t="str">
        <f t="shared" si="709"/>
        <v>Tank 1</v>
      </c>
      <c r="IJ90" s="111" t="str">
        <f t="shared" si="710"/>
        <v>Tank 1</v>
      </c>
      <c r="IK90" s="111" t="str">
        <f t="shared" si="711"/>
        <v>Tank 1</v>
      </c>
      <c r="IL90" s="111" t="str">
        <f t="shared" si="712"/>
        <v>Tank 1</v>
      </c>
      <c r="IM90" s="111" t="str">
        <f t="shared" si="713"/>
        <v>Tank 1</v>
      </c>
      <c r="IN90" s="111" t="str">
        <f t="shared" si="714"/>
        <v>Tank 1</v>
      </c>
      <c r="IO90" s="111" t="str">
        <f t="shared" si="715"/>
        <v>Tank 1</v>
      </c>
      <c r="IP90" s="111" t="str">
        <f t="shared" si="716"/>
        <v>Tank 1</v>
      </c>
      <c r="IQ90" s="111" t="str">
        <f t="shared" si="717"/>
        <v>Tank 1</v>
      </c>
      <c r="IR90" s="111" t="str">
        <f t="shared" si="718"/>
        <v>Tank 1</v>
      </c>
      <c r="IS90" s="111" t="str">
        <f t="shared" si="719"/>
        <v>Tank 1</v>
      </c>
      <c r="IT90" s="111" t="str">
        <f t="shared" si="720"/>
        <v>Tank 1</v>
      </c>
      <c r="IU90" s="111" t="str">
        <f t="shared" si="721"/>
        <v>Tank 1</v>
      </c>
      <c r="IV90" s="111" t="str">
        <f t="shared" si="722"/>
        <v>Tank 1</v>
      </c>
      <c r="IW90" s="111" t="str">
        <f t="shared" si="723"/>
        <v>Tank 1</v>
      </c>
      <c r="IX90" s="152" t="str">
        <f t="shared" si="724"/>
        <v>Tank 2 + 3</v>
      </c>
      <c r="IY90" s="152" t="str">
        <f t="shared" si="725"/>
        <v>Tank 2 + 3</v>
      </c>
      <c r="IZ90" s="152" t="str">
        <f t="shared" si="726"/>
        <v>Tank 2 + 3</v>
      </c>
      <c r="JA90" s="152" t="str">
        <f t="shared" si="727"/>
        <v>Tank 2 + 3</v>
      </c>
      <c r="JB90" s="152" t="str">
        <f t="shared" si="728"/>
        <v>Tank 2 + 3</v>
      </c>
      <c r="JC90" s="152" t="str">
        <f t="shared" si="729"/>
        <v>Tank 2 + 3</v>
      </c>
      <c r="JD90" s="152" t="str">
        <f t="shared" si="730"/>
        <v>Tank 2 + 3</v>
      </c>
      <c r="JE90" s="152" t="str">
        <f t="shared" si="731"/>
        <v>Tank 2 + 3</v>
      </c>
      <c r="JF90" s="152" t="str">
        <f t="shared" si="732"/>
        <v>Tank 2 + 3</v>
      </c>
      <c r="JG90" s="152" t="str">
        <f t="shared" si="733"/>
        <v>Tank 2 + 3</v>
      </c>
      <c r="JH90" s="152" t="str">
        <f t="shared" si="734"/>
        <v>Tank 2 + 3</v>
      </c>
      <c r="JI90" s="152" t="str">
        <f t="shared" si="735"/>
        <v>Tank 2 + 3</v>
      </c>
      <c r="JJ90" s="152" t="str">
        <f t="shared" si="736"/>
        <v>Tank 2 + 3</v>
      </c>
      <c r="JK90" s="152" t="str">
        <f t="shared" si="685"/>
        <v>Tank 2 + 3</v>
      </c>
      <c r="JL90" s="152" t="str">
        <f t="shared" si="737"/>
        <v>Tank 2 + 3</v>
      </c>
      <c r="JM90" s="152" t="str">
        <f t="shared" si="738"/>
        <v>Tank 2 + 3</v>
      </c>
      <c r="JN90" s="152" t="str">
        <f t="shared" si="739"/>
        <v>Tank 2 + 3</v>
      </c>
      <c r="JO90" s="152" t="str">
        <f t="shared" si="740"/>
        <v>Tank 2 + 3</v>
      </c>
      <c r="JP90" s="152" t="str">
        <f t="shared" si="741"/>
        <v>Tank 2 + 3</v>
      </c>
      <c r="JQ90" s="152" t="str">
        <f t="shared" si="742"/>
        <v>Tank 2 + 3</v>
      </c>
      <c r="JR90" s="152" t="str">
        <f t="shared" si="743"/>
        <v>Tank 2 + 3</v>
      </c>
      <c r="JS90" s="152" t="str">
        <f t="shared" si="744"/>
        <v>Tank 2 + 3</v>
      </c>
      <c r="JT90" s="152" t="str">
        <f t="shared" si="745"/>
        <v>Tank 2 + 3</v>
      </c>
      <c r="JU90" s="152" t="str">
        <f t="shared" si="746"/>
        <v>Tank 2 + 3</v>
      </c>
      <c r="JV90" s="152" t="str">
        <f t="shared" si="747"/>
        <v>Tank 2 + 3</v>
      </c>
      <c r="JW90" s="152" t="str">
        <f t="shared" si="748"/>
        <v>Tank 2 + 3</v>
      </c>
      <c r="JX90" s="152" t="str">
        <f t="shared" si="749"/>
        <v>Tank 2 + 3</v>
      </c>
      <c r="JY90" s="152" t="str">
        <f t="shared" si="750"/>
        <v>Tank 2 + 3</v>
      </c>
      <c r="JZ90" s="152" t="str">
        <f t="shared" si="751"/>
        <v>Tank 2 + 3</v>
      </c>
      <c r="KA90" s="152" t="str">
        <f t="shared" si="752"/>
        <v>Tank 2 + 3</v>
      </c>
      <c r="KB90" s="152" t="str">
        <f t="shared" si="753"/>
        <v>Tank 2 + 3</v>
      </c>
      <c r="KC90" s="152" t="str">
        <f t="shared" si="754"/>
        <v>Tank 2 + 3</v>
      </c>
      <c r="KD90" s="152" t="str">
        <f t="shared" si="755"/>
        <v>Tank 2 + 3</v>
      </c>
      <c r="KE90" s="152" t="str">
        <f t="shared" si="756"/>
        <v>Tank 2 + 3</v>
      </c>
      <c r="KF90" s="152" t="str">
        <f t="shared" si="757"/>
        <v>Tank 2 + 3</v>
      </c>
      <c r="KG90" s="152" t="str">
        <f t="shared" si="758"/>
        <v>Tank 2 + 3</v>
      </c>
      <c r="KH90" s="152" t="str">
        <f t="shared" si="759"/>
        <v>Tank 2 + 3</v>
      </c>
      <c r="KI90" s="152" t="str">
        <f t="shared" si="760"/>
        <v>Tank 2 + 3</v>
      </c>
      <c r="KJ90" s="152" t="str">
        <f t="shared" si="761"/>
        <v>Tank 2 + 3</v>
      </c>
      <c r="KK90" s="152" t="str">
        <f t="shared" si="762"/>
        <v>Tank 2 + 3</v>
      </c>
      <c r="KL90" s="152" t="str">
        <f t="shared" si="763"/>
        <v>Tank 2 + 3</v>
      </c>
      <c r="KM90" s="152" t="str">
        <f t="shared" si="764"/>
        <v>Tank 2 + 3</v>
      </c>
      <c r="KN90" s="152" t="str">
        <f t="shared" si="765"/>
        <v>Tank 2 + 3</v>
      </c>
      <c r="KO90" s="152" t="str">
        <f t="shared" si="766"/>
        <v>Tank 2 + 3</v>
      </c>
      <c r="KP90" s="152" t="str">
        <f t="shared" si="767"/>
        <v>Tank 2 + 3</v>
      </c>
      <c r="KQ90" s="152" t="str">
        <f t="shared" si="768"/>
        <v>Tank 2 + 3</v>
      </c>
      <c r="KR90" s="152" t="str">
        <f t="shared" si="769"/>
        <v>Tank 2 + 3</v>
      </c>
      <c r="KS90" s="152" t="str">
        <f t="shared" si="770"/>
        <v>Tank 2 + 3</v>
      </c>
      <c r="KT90" s="152" t="str">
        <f t="shared" si="771"/>
        <v>Tank 2 + 3</v>
      </c>
      <c r="KU90" s="152" t="str">
        <f t="shared" si="772"/>
        <v>Tank 2 + 3</v>
      </c>
      <c r="KV90" s="152" t="str">
        <f t="shared" si="773"/>
        <v>Tank 2 + 3</v>
      </c>
      <c r="KW90" s="158" t="str">
        <f t="shared" si="774"/>
        <v xml:space="preserve">Tank 4 + 5 + 6 </v>
      </c>
      <c r="KX90" s="158" t="str">
        <f t="shared" si="775"/>
        <v xml:space="preserve">Tank 4 + 5 + 6 </v>
      </c>
      <c r="KY90" s="158" t="str">
        <f t="shared" si="776"/>
        <v xml:space="preserve">Tank 4 + 5 + 6 </v>
      </c>
      <c r="KZ90" s="158" t="str">
        <f t="shared" si="777"/>
        <v xml:space="preserve">Tank 4 + 5 + 6 </v>
      </c>
      <c r="LA90" s="158" t="str">
        <f t="shared" si="778"/>
        <v xml:space="preserve">Tank 4 + 5 + 6 </v>
      </c>
      <c r="LB90" s="158" t="str">
        <f t="shared" si="779"/>
        <v xml:space="preserve">Tank 4 + 5 + 6 </v>
      </c>
      <c r="LC90" s="158" t="str">
        <f t="shared" si="780"/>
        <v xml:space="preserve">Tank 4 + 5 + 6 </v>
      </c>
      <c r="LD90" s="158" t="str">
        <f t="shared" si="781"/>
        <v xml:space="preserve">Tank 4 + 5 + 6 </v>
      </c>
      <c r="LE90" s="158" t="str">
        <f t="shared" si="782"/>
        <v xml:space="preserve">Tank 4 + 5 + 6 </v>
      </c>
      <c r="LF90" s="158" t="str">
        <f t="shared" si="783"/>
        <v xml:space="preserve">Tank 4 + 5 + 6 </v>
      </c>
      <c r="LG90" s="158" t="str">
        <f t="shared" si="784"/>
        <v xml:space="preserve">Tank 4 + 5 + 6 </v>
      </c>
      <c r="LH90" s="158" t="str">
        <f t="shared" si="785"/>
        <v xml:space="preserve">Tank 4 + 5 + 6 </v>
      </c>
      <c r="LI90" s="158" t="str">
        <f t="shared" si="786"/>
        <v xml:space="preserve">Tank 4 + 5 + 6 </v>
      </c>
      <c r="LJ90" s="158" t="str">
        <f t="shared" si="787"/>
        <v xml:space="preserve">Tank 4 + 5 + 6 </v>
      </c>
      <c r="LK90" s="158" t="str">
        <f t="shared" si="788"/>
        <v xml:space="preserve">Tank 4 + 5 + 6 </v>
      </c>
      <c r="LL90" s="158" t="str">
        <f t="shared" si="789"/>
        <v xml:space="preserve">Tank 4 + 5 + 6 </v>
      </c>
      <c r="LM90" s="158" t="str">
        <f t="shared" si="790"/>
        <v xml:space="preserve">Tank 4 + 5 + 6 </v>
      </c>
      <c r="LN90" s="158" t="str">
        <f t="shared" si="791"/>
        <v xml:space="preserve">Tank 4 + 5 + 6 </v>
      </c>
      <c r="LO90" s="158" t="str">
        <f t="shared" si="792"/>
        <v xml:space="preserve">Tank 4 + 5 + 6 </v>
      </c>
      <c r="LP90" s="158" t="str">
        <f t="shared" si="793"/>
        <v xml:space="preserve">Tank 4 + 5 + 6 </v>
      </c>
      <c r="LQ90" s="158" t="str">
        <f t="shared" si="794"/>
        <v xml:space="preserve">Tank 4 + 5 + 6 </v>
      </c>
      <c r="LR90" s="158" t="str">
        <f t="shared" si="795"/>
        <v xml:space="preserve">Tank 4 + 5 + 6 </v>
      </c>
      <c r="LS90" s="158" t="str">
        <f t="shared" si="796"/>
        <v xml:space="preserve">Tank 4 + 5 + 6 </v>
      </c>
      <c r="LT90" s="158" t="str">
        <f t="shared" si="797"/>
        <v xml:space="preserve">Tank 4 + 5 + 6 </v>
      </c>
      <c r="LU90" s="158" t="str">
        <f t="shared" si="798"/>
        <v xml:space="preserve">Tank 4 + 5 + 6 </v>
      </c>
      <c r="LV90" s="158" t="str">
        <f t="shared" si="799"/>
        <v xml:space="preserve">Tank 4 + 5 + 6 </v>
      </c>
      <c r="LW90" s="158" t="str">
        <f t="shared" si="686"/>
        <v xml:space="preserve">Tank 4 + 5 + 6 </v>
      </c>
      <c r="LX90" s="158" t="str">
        <f t="shared" si="815"/>
        <v xml:space="preserve">Tank 4 + 5 + 6 </v>
      </c>
      <c r="LY90" s="158" t="str">
        <f t="shared" si="816"/>
        <v xml:space="preserve">Tank 4 + 5 + 6 </v>
      </c>
      <c r="LZ90" s="158" t="str">
        <f t="shared" si="817"/>
        <v xml:space="preserve">Tank 4 + 5 + 6 </v>
      </c>
      <c r="MA90" s="158" t="str">
        <f t="shared" si="818"/>
        <v xml:space="preserve">Tank 4 + 5 + 6 </v>
      </c>
      <c r="MB90" s="158" t="str">
        <f t="shared" si="819"/>
        <v xml:space="preserve">Tank 4 + 5 + 6 </v>
      </c>
      <c r="MC90" s="158" t="str">
        <f t="shared" si="820"/>
        <v xml:space="preserve">Tank 4 + 5 + 6 </v>
      </c>
      <c r="MD90" s="158" t="str">
        <f t="shared" si="821"/>
        <v xml:space="preserve">Tank 4 + 5 + 6 </v>
      </c>
      <c r="ME90" s="158" t="str">
        <f t="shared" si="822"/>
        <v xml:space="preserve">Tank 4 + 5 + 6 </v>
      </c>
      <c r="MF90" s="158" t="str">
        <f t="shared" si="823"/>
        <v xml:space="preserve">Tank 4 + 5 + 6 </v>
      </c>
      <c r="MG90" s="158" t="str">
        <f t="shared" si="800"/>
        <v xml:space="preserve">Tank 4 + 5 + 6 </v>
      </c>
      <c r="MH90" s="158" t="str">
        <f t="shared" si="801"/>
        <v xml:space="preserve">Tank 4 + 5 + 6 </v>
      </c>
      <c r="MI90" s="158" t="str">
        <f t="shared" si="802"/>
        <v xml:space="preserve">Tank 4 + 5 + 6 </v>
      </c>
      <c r="MJ90" s="158" t="str">
        <f t="shared" si="803"/>
        <v xml:space="preserve">Tank 4 + 5 + 6 </v>
      </c>
      <c r="MK90" s="158" t="str">
        <f t="shared" si="804"/>
        <v xml:space="preserve">Tank 4 + 5 + 6 </v>
      </c>
      <c r="ML90" s="158" t="str">
        <f t="shared" si="805"/>
        <v xml:space="preserve">Tank 4 + 5 + 6 </v>
      </c>
      <c r="MM90" s="158" t="str">
        <f t="shared" si="806"/>
        <v xml:space="preserve">Tank 4 + 5 + 6 </v>
      </c>
      <c r="MN90" s="158" t="str">
        <f t="shared" si="807"/>
        <v xml:space="preserve">Tank 4 + 5 + 6 </v>
      </c>
      <c r="MO90" s="158" t="str">
        <f t="shared" si="808"/>
        <v xml:space="preserve">Tank 4 + 5 + 6 </v>
      </c>
      <c r="MP90" s="158" t="str">
        <f t="shared" si="809"/>
        <v xml:space="preserve">Tank 4 + 5 + 6 </v>
      </c>
      <c r="MQ90" s="158" t="str">
        <f t="shared" si="810"/>
        <v xml:space="preserve">Tank 4 + 5 + 6 </v>
      </c>
      <c r="MR90" s="158" t="str">
        <f t="shared" si="811"/>
        <v xml:space="preserve">Tank 4 + 5 + 6 </v>
      </c>
      <c r="MS90" s="158" t="str">
        <f t="shared" si="812"/>
        <v xml:space="preserve">Tank 4 + 5 + 6 </v>
      </c>
      <c r="MT90" s="158" t="str">
        <f t="shared" si="813"/>
        <v xml:space="preserve">Tank 4 + 5 + 6 </v>
      </c>
      <c r="MU90" s="158" t="str">
        <f t="shared" si="814"/>
        <v xml:space="preserve">Tank 4 + 5 + 6 </v>
      </c>
      <c r="MV90" s="184"/>
      <c r="MW90" s="184"/>
      <c r="MX90" s="184"/>
      <c r="MY90" s="184"/>
      <c r="MZ90" s="184"/>
      <c r="NA90" s="184"/>
      <c r="NB90" s="184"/>
      <c r="NC90" s="184"/>
      <c r="ND90" s="184"/>
      <c r="NE90" s="184"/>
      <c r="NF90" s="184"/>
      <c r="NG90" s="184"/>
      <c r="NH90" s="184"/>
      <c r="NI90" s="184"/>
      <c r="NJ90" s="184"/>
      <c r="NK90" s="184"/>
      <c r="NL90" s="184"/>
      <c r="NM90" s="23"/>
      <c r="NN90" s="23"/>
      <c r="NO90" s="23"/>
      <c r="NP90" s="23"/>
      <c r="NQ90" s="23"/>
      <c r="NR90" s="23"/>
      <c r="NS90" s="23"/>
      <c r="NT90" s="23"/>
      <c r="NU90" s="23"/>
      <c r="NV90" s="23"/>
      <c r="NW90" s="23"/>
      <c r="NX90" s="23"/>
      <c r="NY90" s="23"/>
      <c r="NZ90" s="23"/>
      <c r="OA90" s="23"/>
      <c r="OB90" s="23"/>
      <c r="OC90" s="23"/>
      <c r="OD90" s="23"/>
      <c r="OE90" s="23"/>
      <c r="OF90" s="23"/>
      <c r="OG90" s="23"/>
      <c r="OH90" s="23"/>
      <c r="OI90" s="23"/>
      <c r="OJ90" s="23"/>
      <c r="OK90" s="23"/>
      <c r="OL90" s="23"/>
      <c r="OM90" s="23"/>
      <c r="ON90" s="23"/>
      <c r="OO90" s="23"/>
      <c r="OP90" s="23"/>
      <c r="OQ90" s="23"/>
      <c r="OR90" s="23"/>
      <c r="OS90" s="23"/>
      <c r="OT90" s="23"/>
      <c r="OU90" s="23"/>
      <c r="OV90" s="23"/>
      <c r="OW90" s="23"/>
      <c r="OX90" s="23"/>
      <c r="OY90" s="23"/>
      <c r="OZ90" s="23"/>
      <c r="PA90" s="23"/>
      <c r="PB90" s="23"/>
      <c r="PC90" s="23"/>
      <c r="PD90" s="23"/>
      <c r="PE90" s="23"/>
      <c r="PF90" s="23"/>
      <c r="PG90" s="23"/>
      <c r="PH90" s="23"/>
      <c r="PI90" s="23"/>
      <c r="PJ90" s="23"/>
      <c r="PK90" s="23"/>
      <c r="PL90" s="23"/>
      <c r="PM90" s="23"/>
      <c r="PN90" s="23"/>
      <c r="PO90" s="23"/>
      <c r="PP90" s="23"/>
      <c r="PQ90" s="23"/>
      <c r="PR90" s="23"/>
      <c r="PS90" s="23"/>
      <c r="PT90" s="23"/>
      <c r="PU90" s="23"/>
      <c r="PV90" s="23"/>
      <c r="PW90" s="23"/>
      <c r="PX90" s="23"/>
      <c r="PY90" s="23"/>
      <c r="PZ90" s="23"/>
      <c r="QA90" s="23"/>
      <c r="QB90" s="23"/>
      <c r="QC90" s="23"/>
      <c r="QD90" s="23"/>
      <c r="QE90" s="23"/>
      <c r="QF90" s="23"/>
      <c r="QG90" s="23"/>
      <c r="QH90" s="23"/>
      <c r="QI90" s="23"/>
      <c r="QJ90" s="23"/>
      <c r="QK90" s="23"/>
      <c r="QL90" s="23"/>
      <c r="QM90" s="23"/>
      <c r="QN90" s="23"/>
      <c r="QO90" s="23"/>
      <c r="QP90" s="23"/>
      <c r="QQ90" s="23"/>
      <c r="QR90" s="23"/>
      <c r="QS90" s="23"/>
      <c r="QT90" s="23"/>
      <c r="QU90" s="23"/>
      <c r="QV90" s="23"/>
      <c r="QW90" s="23"/>
      <c r="QX90" s="23"/>
      <c r="QY90" s="23"/>
      <c r="QZ90" s="23"/>
      <c r="RA90" s="23"/>
      <c r="RB90" s="23"/>
      <c r="RC90" s="23"/>
      <c r="RD90" s="23"/>
      <c r="RE90" s="23"/>
      <c r="RF90" s="23"/>
      <c r="RG90" s="23"/>
      <c r="RH90" s="23"/>
      <c r="RI90" s="23"/>
      <c r="RJ90" s="23"/>
      <c r="RK90" s="23"/>
      <c r="RL90" s="23"/>
      <c r="RM90" s="23"/>
      <c r="RN90" s="23"/>
      <c r="RO90" s="23"/>
      <c r="RP90" s="23"/>
      <c r="RQ90" s="23"/>
      <c r="RR90" s="23"/>
      <c r="RS90" s="23"/>
      <c r="RT90" s="23"/>
      <c r="RU90" s="23"/>
      <c r="RV90" s="23"/>
      <c r="RW90" s="23"/>
      <c r="RX90" s="23"/>
      <c r="RY90" s="23"/>
      <c r="RZ90" s="23"/>
      <c r="SA90" s="23"/>
      <c r="SB90" s="23"/>
      <c r="SC90" s="23"/>
      <c r="SD90" s="23"/>
      <c r="SE90" s="23"/>
      <c r="SF90" s="23"/>
      <c r="SG90" s="23"/>
      <c r="SH90" s="23"/>
      <c r="SI90" s="23"/>
      <c r="SJ90" s="23"/>
      <c r="SK90" s="23"/>
      <c r="SL90" s="23"/>
      <c r="SM90" s="23"/>
      <c r="SN90" s="23"/>
      <c r="SO90" s="23"/>
      <c r="SP90" s="23"/>
      <c r="SQ90" s="23"/>
      <c r="SR90" s="23"/>
      <c r="SS90" s="23"/>
      <c r="ST90" s="23"/>
      <c r="SU90" s="23"/>
      <c r="SV90" s="23"/>
      <c r="SW90" s="23"/>
      <c r="SX90" s="23"/>
      <c r="SY90" s="23"/>
      <c r="SZ90" s="23"/>
      <c r="TA90" s="184"/>
      <c r="TB90" s="185"/>
      <c r="TC90" s="11"/>
      <c r="TD90" s="11"/>
      <c r="TE90" s="11"/>
      <c r="TF90" s="11"/>
    </row>
    <row r="91" spans="1:526" ht="22.15" customHeight="1" thickBot="1" x14ac:dyDescent="0.3">
      <c r="A91" s="299"/>
      <c r="B91" s="26" t="s">
        <v>22</v>
      </c>
      <c r="BY91" s="184"/>
      <c r="BZ91" s="184"/>
      <c r="CA91" s="184"/>
      <c r="CB91" s="184"/>
      <c r="CC91" s="184"/>
      <c r="CD91" s="184"/>
      <c r="CE91" s="184"/>
      <c r="CF91" s="184"/>
      <c r="CG91" s="184"/>
      <c r="CH91" s="184"/>
      <c r="CI91" s="184"/>
      <c r="CJ91" s="184"/>
      <c r="CK91" s="184"/>
      <c r="CL91" s="184"/>
      <c r="CM91" s="184"/>
      <c r="CN91" s="184"/>
      <c r="CO91" s="184"/>
      <c r="CP91" s="184"/>
      <c r="CQ91" s="184"/>
      <c r="CR91" s="184"/>
      <c r="CS91" s="184"/>
      <c r="CT91" s="184"/>
      <c r="CU91" s="184"/>
      <c r="CV91" s="184"/>
      <c r="CW91" s="184"/>
      <c r="CX91" s="184"/>
      <c r="CY91" s="184"/>
      <c r="CZ91" s="184"/>
      <c r="DA91" s="184"/>
      <c r="DB91" s="184"/>
      <c r="DC91" s="184"/>
      <c r="DD91" s="184"/>
      <c r="DE91" s="184"/>
      <c r="DF91" s="184"/>
      <c r="DG91" s="184"/>
      <c r="DH91" s="184"/>
      <c r="DI91" s="184"/>
      <c r="DJ91" s="184"/>
      <c r="DK91" s="184"/>
      <c r="DL91" s="184"/>
      <c r="DM91" s="184"/>
      <c r="DN91" s="184"/>
      <c r="DO91" s="184"/>
      <c r="DP91" s="184"/>
      <c r="DQ91" s="184"/>
      <c r="DR91" s="184"/>
      <c r="DS91" s="184"/>
      <c r="DT91" s="184"/>
      <c r="DU91" s="184"/>
      <c r="DV91" s="184"/>
      <c r="DW91" s="184"/>
      <c r="DX91" s="184"/>
      <c r="DY91" s="184"/>
      <c r="DZ91" s="184"/>
      <c r="EA91" s="184"/>
      <c r="EB91" s="184"/>
      <c r="EC91" s="184"/>
      <c r="ED91" s="184"/>
      <c r="EE91" s="184"/>
      <c r="EF91" s="184"/>
      <c r="EG91" s="184"/>
      <c r="EH91" s="184"/>
      <c r="EI91" s="184"/>
      <c r="EJ91" s="184"/>
      <c r="EK91" s="184"/>
      <c r="EL91" s="184"/>
      <c r="EM91" s="184"/>
      <c r="EN91" s="184"/>
      <c r="EO91" s="184"/>
      <c r="EP91" s="184"/>
      <c r="EQ91" s="184"/>
      <c r="ER91" s="184"/>
      <c r="ES91" s="184"/>
      <c r="ET91" s="184"/>
      <c r="EU91" s="184"/>
      <c r="EV91" s="184"/>
      <c r="EW91" s="184"/>
      <c r="EX91" s="184"/>
      <c r="EY91" s="184"/>
      <c r="EZ91" s="184"/>
      <c r="FA91" s="184"/>
      <c r="FB91" s="184"/>
      <c r="FC91" s="184"/>
      <c r="FD91" s="184"/>
      <c r="FE91" s="184"/>
      <c r="FF91" s="184"/>
      <c r="FG91" s="184"/>
      <c r="FH91" s="184"/>
      <c r="FI91" s="184"/>
      <c r="FJ91" s="184"/>
      <c r="FK91" s="184"/>
      <c r="FL91" s="184"/>
      <c r="FM91" s="184"/>
      <c r="FN91" s="184"/>
      <c r="FO91" s="184"/>
      <c r="FP91" s="184"/>
      <c r="FQ91" s="184"/>
      <c r="FR91" s="184"/>
      <c r="FS91" s="184"/>
      <c r="FT91" s="184"/>
      <c r="FU91" s="184"/>
      <c r="FV91" s="184"/>
      <c r="FW91" s="184"/>
      <c r="FX91" s="184"/>
      <c r="FY91" s="184"/>
      <c r="FZ91" s="184"/>
      <c r="GA91" s="184"/>
      <c r="GB91" s="184"/>
      <c r="GC91" s="184"/>
      <c r="GD91" s="184"/>
      <c r="GE91" s="184"/>
      <c r="GF91" s="184"/>
      <c r="GG91" s="184"/>
      <c r="GH91" s="184"/>
      <c r="GI91" s="184"/>
      <c r="GJ91" s="184"/>
      <c r="GK91" s="184"/>
      <c r="GL91" s="184"/>
      <c r="GM91" s="184"/>
      <c r="GN91" s="184"/>
      <c r="GO91" s="184"/>
      <c r="GP91" s="184"/>
      <c r="GQ91" s="184"/>
      <c r="GR91" s="184"/>
      <c r="GS91" s="184"/>
      <c r="GT91" s="184"/>
      <c r="GU91" s="184"/>
      <c r="GV91" s="184"/>
      <c r="GW91" s="184"/>
      <c r="GX91" s="184"/>
      <c r="GY91" s="126">
        <f t="shared" si="668"/>
        <v>4.166666666666667</v>
      </c>
      <c r="GZ91" s="127">
        <f t="shared" si="669"/>
        <v>4.5764880952380951</v>
      </c>
      <c r="HA91" s="127">
        <f t="shared" si="670"/>
        <v>5.0241666985544224</v>
      </c>
      <c r="HB91" s="127">
        <f t="shared" si="671"/>
        <v>5.5050764092090345</v>
      </c>
      <c r="HC91" s="127">
        <f t="shared" si="687"/>
        <v>6.0300868541293902</v>
      </c>
      <c r="HD91" s="127">
        <f t="shared" si="673"/>
        <v>6.6009350763203054</v>
      </c>
      <c r="HE91" s="127">
        <f t="shared" si="674"/>
        <v>7.210269669399942</v>
      </c>
      <c r="HF91" s="127">
        <f t="shared" si="675"/>
        <v>7.8721226990531363</v>
      </c>
      <c r="HG91" s="127">
        <f t="shared" si="676"/>
        <v>8.5768778193310791</v>
      </c>
      <c r="HH91" s="127">
        <f t="shared" si="677"/>
        <v>9.3389116079570709</v>
      </c>
      <c r="HI91" s="127">
        <f t="shared" si="678"/>
        <v>10.159152963083063</v>
      </c>
      <c r="HJ91" s="127">
        <f t="shared" si="679"/>
        <v>11.026067349266151</v>
      </c>
      <c r="HK91" s="127">
        <f t="shared" si="680"/>
        <v>11.955932362387598</v>
      </c>
      <c r="HL91" s="127">
        <f t="shared" si="681"/>
        <v>12.935534820538635</v>
      </c>
      <c r="HM91" s="127">
        <f t="shared" si="682"/>
        <v>13.982676967158632</v>
      </c>
      <c r="HN91" s="127">
        <f t="shared" si="688"/>
        <v>15.080091582032725</v>
      </c>
      <c r="HO91" s="127">
        <f t="shared" si="689"/>
        <v>16.246609634088035</v>
      </c>
      <c r="HP91" s="127">
        <f t="shared" si="690"/>
        <v>17.462268647025983</v>
      </c>
      <c r="HQ91" s="127">
        <f t="shared" si="691"/>
        <v>18.749487307292473</v>
      </c>
      <c r="HR91" s="127">
        <f t="shared" si="692"/>
        <v>20.088903806807178</v>
      </c>
      <c r="HS91" s="127">
        <f t="shared" si="693"/>
        <v>21.502032633967268</v>
      </c>
      <c r="HT91" s="127">
        <f t="shared" si="694"/>
        <v>22.96747885809765</v>
      </c>
      <c r="HU91" s="127">
        <f t="shared" si="695"/>
        <v>24.50453321244726</v>
      </c>
      <c r="HV91" s="127">
        <f t="shared" si="696"/>
        <v>26.092872501581343</v>
      </c>
      <c r="HW91" s="127">
        <f t="shared" si="697"/>
        <v>27.756490796833685</v>
      </c>
      <c r="HX91" s="127">
        <f t="shared" si="698"/>
        <v>29.500944188125594</v>
      </c>
      <c r="HY91" s="127">
        <f t="shared" si="699"/>
        <v>31.300061471001431</v>
      </c>
      <c r="HZ91" s="127">
        <f t="shared" si="700"/>
        <v>33.180868149841011</v>
      </c>
      <c r="IA91" s="127">
        <f t="shared" si="701"/>
        <v>35.115117581399382</v>
      </c>
      <c r="IB91" s="127">
        <f t="shared" si="702"/>
        <v>37.131138449602076</v>
      </c>
      <c r="IC91" s="127">
        <f t="shared" si="703"/>
        <v>39.23013986431193</v>
      </c>
      <c r="ID91" s="127">
        <f t="shared" si="704"/>
        <v>41.380406371077548</v>
      </c>
      <c r="IE91" s="127">
        <f t="shared" si="705"/>
        <v>43.612549450978278</v>
      </c>
      <c r="IF91" s="127">
        <f t="shared" si="706"/>
        <v>45.927174901550487</v>
      </c>
      <c r="IG91" s="127">
        <f t="shared" si="707"/>
        <v>48.289143896487367</v>
      </c>
      <c r="IH91" s="127">
        <f t="shared" si="708"/>
        <v>50.731194887824017</v>
      </c>
      <c r="II91" s="127">
        <f t="shared" si="709"/>
        <v>53.209163674739131</v>
      </c>
      <c r="IJ91" s="127">
        <f t="shared" si="710"/>
        <v>55.763203531126614</v>
      </c>
      <c r="IK91" s="127">
        <f t="shared" si="711"/>
        <v>58.384859494322392</v>
      </c>
      <c r="IL91" s="127">
        <f t="shared" si="712"/>
        <v>61.04137060131405</v>
      </c>
      <c r="IM91" s="127">
        <f t="shared" si="713"/>
        <v>63.767885154839412</v>
      </c>
      <c r="IN91" s="127">
        <f t="shared" si="714"/>
        <v>66.554187470077267</v>
      </c>
      <c r="IO91" s="127">
        <f t="shared" si="715"/>
        <v>69.36587396538846</v>
      </c>
      <c r="IP91" s="127">
        <f t="shared" si="716"/>
        <v>72.229829364452598</v>
      </c>
      <c r="IQ91" s="127">
        <f t="shared" si="717"/>
        <v>75.152663829419623</v>
      </c>
      <c r="IR91" s="127">
        <f t="shared" si="718"/>
        <v>78.089711177996406</v>
      </c>
      <c r="IS91" s="127">
        <f t="shared" si="719"/>
        <v>81.078225530105684</v>
      </c>
      <c r="IT91" s="127">
        <f t="shared" si="720"/>
        <v>84.115372032395584</v>
      </c>
      <c r="IU91" s="127">
        <f t="shared" si="721"/>
        <v>87.154740808499469</v>
      </c>
      <c r="IV91" s="127">
        <f t="shared" si="722"/>
        <v>90.234208317066447</v>
      </c>
      <c r="IW91" s="127">
        <f t="shared" si="723"/>
        <v>93.306920568705493</v>
      </c>
      <c r="IX91" s="182">
        <f t="shared" si="724"/>
        <v>46.560153363784046</v>
      </c>
      <c r="IY91" s="182">
        <f t="shared" si="725"/>
        <v>48.07213308091324</v>
      </c>
      <c r="IZ91" s="182">
        <f t="shared" si="726"/>
        <v>49.574231161337615</v>
      </c>
      <c r="JA91" s="182">
        <f t="shared" si="727"/>
        <v>51.084635658798625</v>
      </c>
      <c r="JB91" s="182">
        <f t="shared" si="728"/>
        <v>52.614520981255644</v>
      </c>
      <c r="JC91" s="182">
        <f t="shared" si="729"/>
        <v>54.141691179993622</v>
      </c>
      <c r="JD91" s="182">
        <f t="shared" si="730"/>
        <v>55.678482260410362</v>
      </c>
      <c r="JE91" s="182">
        <f t="shared" si="731"/>
        <v>57.230341496745396</v>
      </c>
      <c r="JF91" s="182">
        <f t="shared" si="732"/>
        <v>58.796104942310194</v>
      </c>
      <c r="JG91" s="182">
        <f t="shared" si="733"/>
        <v>60.353085341542005</v>
      </c>
      <c r="JH91" s="182">
        <f t="shared" si="734"/>
        <v>61.920737634210916</v>
      </c>
      <c r="JI91" s="182">
        <f t="shared" si="735"/>
        <v>63.489918858814598</v>
      </c>
      <c r="JJ91" s="182">
        <f t="shared" si="736"/>
        <v>65.066719122118315</v>
      </c>
      <c r="JK91" s="182">
        <f t="shared" si="685"/>
        <v>66.62832038104915</v>
      </c>
      <c r="JL91" s="182">
        <f t="shared" si="737"/>
        <v>68.202414450051435</v>
      </c>
      <c r="JM91" s="182">
        <f t="shared" si="738"/>
        <v>69.788120586015125</v>
      </c>
      <c r="JN91" s="182">
        <f t="shared" si="739"/>
        <v>71.384523844420229</v>
      </c>
      <c r="JO91" s="182">
        <f t="shared" si="740"/>
        <v>72.990675630919668</v>
      </c>
      <c r="JP91" s="182">
        <f t="shared" si="741"/>
        <v>74.583854822468638</v>
      </c>
      <c r="JQ91" s="182">
        <f t="shared" si="742"/>
        <v>76.184184941992712</v>
      </c>
      <c r="JR91" s="182">
        <f t="shared" si="743"/>
        <v>77.790636644226339</v>
      </c>
      <c r="JS91" s="182">
        <f t="shared" si="744"/>
        <v>79.402151314461051</v>
      </c>
      <c r="JT91" s="182">
        <f t="shared" si="745"/>
        <v>80.996004254261095</v>
      </c>
      <c r="JU91" s="182">
        <f t="shared" si="746"/>
        <v>82.592218191759684</v>
      </c>
      <c r="JV91" s="182">
        <f t="shared" si="747"/>
        <v>84.199744779979795</v>
      </c>
      <c r="JW91" s="182">
        <f t="shared" si="748"/>
        <v>85.818022801604783</v>
      </c>
      <c r="JX91" s="182">
        <f t="shared" si="749"/>
        <v>87.446472112327925</v>
      </c>
      <c r="JY91" s="182">
        <f t="shared" si="750"/>
        <v>89.062651488476234</v>
      </c>
      <c r="JZ91" s="182">
        <f t="shared" si="751"/>
        <v>90.687240095145555</v>
      </c>
      <c r="KA91" s="182">
        <f t="shared" si="752"/>
        <v>92.319610416858183</v>
      </c>
      <c r="KB91" s="182">
        <f t="shared" si="753"/>
        <v>93.95911771510454</v>
      </c>
      <c r="KC91" s="182">
        <f t="shared" si="754"/>
        <v>95.605100331463134</v>
      </c>
      <c r="KD91" s="182">
        <f t="shared" si="755"/>
        <v>97.256880016707925</v>
      </c>
      <c r="KE91" s="182">
        <f t="shared" si="756"/>
        <v>98.91376228590822</v>
      </c>
      <c r="KF91" s="182">
        <f t="shared" si="757"/>
        <v>100.56468008025162</v>
      </c>
      <c r="KG91" s="182">
        <f t="shared" si="758"/>
        <v>102.23118049301006</v>
      </c>
      <c r="KH91" s="182">
        <f t="shared" si="759"/>
        <v>103.91312681969268</v>
      </c>
      <c r="KI91" s="182">
        <f t="shared" si="760"/>
        <v>105.61037455774766</v>
      </c>
      <c r="KJ91" s="182">
        <f t="shared" si="761"/>
        <v>107.32277134521972</v>
      </c>
      <c r="KK91" s="182">
        <f t="shared" si="762"/>
        <v>109.05015690306182</v>
      </c>
      <c r="KL91" s="182">
        <f t="shared" si="763"/>
        <v>110.76930055306305</v>
      </c>
      <c r="KM91" s="182">
        <f t="shared" si="764"/>
        <v>112.50251431465804</v>
      </c>
      <c r="KN91" s="182">
        <f t="shared" si="765"/>
        <v>114.24961218401506</v>
      </c>
      <c r="KO91" s="182">
        <f t="shared" si="766"/>
        <v>116.01040032473342</v>
      </c>
      <c r="KP91" s="182">
        <f t="shared" si="767"/>
        <v>117.78467703558228</v>
      </c>
      <c r="KQ91" s="182">
        <f t="shared" si="768"/>
        <v>119.57223272235758</v>
      </c>
      <c r="KR91" s="182">
        <f t="shared" si="769"/>
        <v>121.37284987394132</v>
      </c>
      <c r="KS91" s="182">
        <f t="shared" si="770"/>
        <v>123.18630304264609</v>
      </c>
      <c r="KT91" s="182">
        <f t="shared" si="771"/>
        <v>124.98826082436294</v>
      </c>
      <c r="KU91" s="182">
        <f t="shared" si="772"/>
        <v>126.80204395818626</v>
      </c>
      <c r="KV91" s="182">
        <f t="shared" si="773"/>
        <v>128.62740361423548</v>
      </c>
      <c r="KW91" s="183">
        <f t="shared" si="774"/>
        <v>85.580099204671342</v>
      </c>
      <c r="KX91" s="183">
        <f t="shared" si="775"/>
        <v>86.792152237593314</v>
      </c>
      <c r="KY91" s="183">
        <f t="shared" si="776"/>
        <v>88.011279213209733</v>
      </c>
      <c r="KZ91" s="183">
        <f t="shared" si="777"/>
        <v>89.237296800389089</v>
      </c>
      <c r="LA91" s="183">
        <f t="shared" si="778"/>
        <v>90.470016667817731</v>
      </c>
      <c r="LB91" s="183">
        <f t="shared" si="779"/>
        <v>91.692921720706849</v>
      </c>
      <c r="LC91" s="183">
        <f t="shared" si="780"/>
        <v>92.921817660090127</v>
      </c>
      <c r="LD91" s="183">
        <f t="shared" si="781"/>
        <v>94.16718363010925</v>
      </c>
      <c r="LE91" s="183">
        <f t="shared" si="782"/>
        <v>95.418416552826571</v>
      </c>
      <c r="LF91" s="183">
        <f t="shared" si="783"/>
        <v>96.67530741914311</v>
      </c>
      <c r="LG91" s="183">
        <f t="shared" si="784"/>
        <v>97.937642467742506</v>
      </c>
      <c r="LH91" s="183">
        <f t="shared" si="785"/>
        <v>99.205203219681337</v>
      </c>
      <c r="LI91" s="183">
        <f t="shared" si="786"/>
        <v>100.46105090589411</v>
      </c>
      <c r="LJ91" s="183">
        <f t="shared" si="787"/>
        <v>101.7213804536226</v>
      </c>
      <c r="LK91" s="183">
        <f t="shared" si="788"/>
        <v>102.98596216062559</v>
      </c>
      <c r="LL91" s="183">
        <f t="shared" si="789"/>
        <v>104.2662649174861</v>
      </c>
      <c r="LM91" s="183">
        <f t="shared" si="790"/>
        <v>105.5506357262424</v>
      </c>
      <c r="LN91" s="183">
        <f t="shared" si="791"/>
        <v>106.8388332577195</v>
      </c>
      <c r="LO91" s="183">
        <f t="shared" si="792"/>
        <v>108.13061187801738</v>
      </c>
      <c r="LP91" s="183">
        <f t="shared" si="793"/>
        <v>109.40874000942945</v>
      </c>
      <c r="LQ91" s="183">
        <f t="shared" si="794"/>
        <v>110.70197590257463</v>
      </c>
      <c r="LR91" s="183">
        <f t="shared" si="795"/>
        <v>111.99805971033285</v>
      </c>
      <c r="LS91" s="183">
        <f t="shared" si="796"/>
        <v>113.2967338409066</v>
      </c>
      <c r="LT91" s="183">
        <f t="shared" si="797"/>
        <v>114.59773678456285</v>
      </c>
      <c r="LU91" s="183">
        <f t="shared" si="798"/>
        <v>115.90080318485475</v>
      </c>
      <c r="LV91" s="183">
        <f t="shared" si="799"/>
        <v>117.20566391284602</v>
      </c>
      <c r="LW91" s="183">
        <f t="shared" si="686"/>
        <v>118.49492621588733</v>
      </c>
      <c r="LX91" s="183">
        <f t="shared" si="815"/>
        <v>104.98650462727618</v>
      </c>
      <c r="LY91" s="183">
        <f t="shared" si="816"/>
        <v>106.12969101099542</v>
      </c>
      <c r="LZ91" s="183">
        <f t="shared" si="817"/>
        <v>92.112148806193915</v>
      </c>
      <c r="MA91" s="183">
        <f t="shared" si="818"/>
        <v>93.094678393460001</v>
      </c>
      <c r="MB91" s="183">
        <f t="shared" si="819"/>
        <v>94.077344443168741</v>
      </c>
      <c r="MC91" s="183">
        <f t="shared" si="820"/>
        <v>95.059930040686254</v>
      </c>
      <c r="MD91" s="183">
        <f t="shared" si="821"/>
        <v>96.029332404178092</v>
      </c>
      <c r="ME91" s="183">
        <f t="shared" si="822"/>
        <v>80.993179133302633</v>
      </c>
      <c r="MF91" s="183">
        <f t="shared" si="823"/>
        <v>81.810231204119916</v>
      </c>
      <c r="MG91" s="183">
        <f t="shared" si="800"/>
        <v>66.264489248277698</v>
      </c>
      <c r="MH91" s="183">
        <f t="shared" si="801"/>
        <v>66.918395966354112</v>
      </c>
      <c r="MI91" s="183">
        <f t="shared" si="802"/>
        <v>67.571401852267556</v>
      </c>
      <c r="MJ91" s="183">
        <f t="shared" si="803"/>
        <v>68.223354498710307</v>
      </c>
      <c r="MK91" s="183">
        <f t="shared" si="804"/>
        <v>68.881597413544029</v>
      </c>
      <c r="ML91" s="183">
        <f t="shared" si="805"/>
        <v>52.318222527794894</v>
      </c>
      <c r="MM91" s="183">
        <f t="shared" si="806"/>
        <v>52.811508625914108</v>
      </c>
      <c r="MN91" s="183">
        <f t="shared" si="807"/>
        <v>35.699806036119753</v>
      </c>
      <c r="MO91" s="183">
        <f t="shared" si="808"/>
        <v>36.028089035104067</v>
      </c>
      <c r="MP91" s="183">
        <f t="shared" si="809"/>
        <v>36.355474713727411</v>
      </c>
      <c r="MQ91" s="183">
        <f t="shared" si="810"/>
        <v>36.685835331778243</v>
      </c>
      <c r="MR91" s="183">
        <f t="shared" si="811"/>
        <v>37.015210331604855</v>
      </c>
      <c r="MS91" s="183">
        <f t="shared" si="812"/>
        <v>18.835913987874051</v>
      </c>
      <c r="MT91" s="183">
        <f t="shared" si="813"/>
        <v>19.002980355418675</v>
      </c>
      <c r="MU91" s="183">
        <f t="shared" si="814"/>
        <v>-3.8414937896748588E-2</v>
      </c>
      <c r="MV91" s="184"/>
      <c r="MW91" s="184"/>
      <c r="MX91" s="184"/>
      <c r="MY91" s="184"/>
      <c r="MZ91" s="184"/>
      <c r="NA91" s="184"/>
      <c r="NB91" s="184"/>
      <c r="NC91" s="184"/>
      <c r="ND91" s="184"/>
      <c r="NE91" s="184"/>
      <c r="NF91" s="184"/>
      <c r="NG91" s="184"/>
      <c r="NH91" s="184"/>
      <c r="NI91" s="184"/>
      <c r="NJ91" s="184"/>
      <c r="NK91" s="184"/>
      <c r="NL91" s="184"/>
      <c r="NM91" s="23"/>
      <c r="NN91" s="23"/>
      <c r="NO91" s="23"/>
      <c r="NP91" s="23"/>
      <c r="NQ91" s="23"/>
      <c r="NR91" s="23"/>
      <c r="NS91" s="23"/>
      <c r="NT91" s="23"/>
      <c r="NU91" s="23"/>
      <c r="NV91" s="23"/>
      <c r="NW91" s="23"/>
      <c r="NX91" s="23"/>
      <c r="NY91" s="23"/>
      <c r="NZ91" s="23"/>
      <c r="OA91" s="23"/>
      <c r="OB91" s="23"/>
      <c r="OC91" s="23"/>
      <c r="OD91" s="23"/>
      <c r="OE91" s="23"/>
      <c r="OF91" s="23"/>
      <c r="OG91" s="23"/>
      <c r="OH91" s="23"/>
      <c r="OI91" s="23"/>
      <c r="OJ91" s="23"/>
      <c r="OK91" s="23"/>
      <c r="OL91" s="23"/>
      <c r="OM91" s="23"/>
      <c r="ON91" s="23"/>
      <c r="OO91" s="23"/>
      <c r="OP91" s="23"/>
      <c r="OQ91" s="23"/>
      <c r="OR91" s="23"/>
      <c r="OS91" s="23"/>
      <c r="OT91" s="23"/>
      <c r="OU91" s="23"/>
      <c r="OV91" s="23"/>
      <c r="OW91" s="23"/>
      <c r="OX91" s="23"/>
      <c r="OY91" s="23"/>
      <c r="OZ91" s="23"/>
      <c r="PA91" s="23"/>
      <c r="PB91" s="23"/>
      <c r="PC91" s="23"/>
      <c r="PD91" s="23"/>
      <c r="PE91" s="23"/>
      <c r="PF91" s="23"/>
      <c r="PG91" s="23"/>
      <c r="PH91" s="23"/>
      <c r="PI91" s="23"/>
      <c r="PJ91" s="23"/>
      <c r="PK91" s="23"/>
      <c r="PL91" s="23"/>
      <c r="PM91" s="23"/>
      <c r="PN91" s="23"/>
      <c r="PO91" s="23"/>
      <c r="PP91" s="23"/>
      <c r="PQ91" s="23"/>
      <c r="PR91" s="23"/>
      <c r="PS91" s="23"/>
      <c r="PT91" s="23"/>
      <c r="PU91" s="23"/>
      <c r="PV91" s="23"/>
      <c r="PW91" s="23"/>
      <c r="PX91" s="23"/>
      <c r="PY91" s="23"/>
      <c r="PZ91" s="23"/>
      <c r="QA91" s="23"/>
      <c r="QB91" s="23"/>
      <c r="QC91" s="23"/>
      <c r="QD91" s="23"/>
      <c r="QE91" s="23"/>
      <c r="QF91" s="23"/>
      <c r="QG91" s="23"/>
      <c r="QH91" s="23"/>
      <c r="QI91" s="23"/>
      <c r="QJ91" s="23"/>
      <c r="QK91" s="23"/>
      <c r="QL91" s="23"/>
      <c r="QM91" s="23"/>
      <c r="QN91" s="23"/>
      <c r="QO91" s="23"/>
      <c r="QP91" s="23"/>
      <c r="QQ91" s="23"/>
      <c r="QR91" s="23"/>
      <c r="QS91" s="23"/>
      <c r="QT91" s="23"/>
      <c r="QU91" s="23"/>
      <c r="QV91" s="23"/>
      <c r="QW91" s="23"/>
      <c r="QX91" s="23"/>
      <c r="QY91" s="23"/>
      <c r="QZ91" s="23"/>
      <c r="RA91" s="23"/>
      <c r="RB91" s="23"/>
      <c r="RC91" s="23"/>
      <c r="RD91" s="23"/>
      <c r="RE91" s="23"/>
      <c r="RF91" s="23"/>
      <c r="RG91" s="23"/>
      <c r="RH91" s="23"/>
      <c r="RI91" s="23"/>
      <c r="RJ91" s="23"/>
      <c r="RK91" s="23"/>
      <c r="RL91" s="23"/>
      <c r="RM91" s="23"/>
      <c r="RN91" s="23"/>
      <c r="RO91" s="23"/>
      <c r="RP91" s="23"/>
      <c r="RQ91" s="23"/>
      <c r="RR91" s="23"/>
      <c r="RS91" s="23"/>
      <c r="RT91" s="23"/>
      <c r="RU91" s="23"/>
      <c r="RV91" s="23"/>
      <c r="RW91" s="23"/>
      <c r="RX91" s="23"/>
      <c r="RY91" s="23"/>
      <c r="RZ91" s="23"/>
      <c r="SA91" s="23"/>
      <c r="SB91" s="23"/>
      <c r="SC91" s="23"/>
      <c r="SD91" s="23"/>
      <c r="SE91" s="23"/>
      <c r="SF91" s="23"/>
      <c r="SG91" s="23"/>
      <c r="SH91" s="23"/>
      <c r="SI91" s="23"/>
      <c r="SJ91" s="23"/>
      <c r="SK91" s="23"/>
      <c r="SL91" s="23"/>
      <c r="SM91" s="23"/>
      <c r="SN91" s="23"/>
      <c r="SO91" s="23"/>
      <c r="SP91" s="23"/>
      <c r="SQ91" s="23"/>
      <c r="SR91" s="23"/>
      <c r="SS91" s="23"/>
      <c r="ST91" s="23"/>
      <c r="SU91" s="23"/>
      <c r="SV91" s="23"/>
      <c r="SW91" s="23"/>
      <c r="SX91" s="23"/>
      <c r="SY91" s="23"/>
      <c r="SZ91" s="23"/>
      <c r="TA91" s="184"/>
      <c r="TB91" s="185"/>
      <c r="TC91" s="11"/>
      <c r="TD91" s="11"/>
      <c r="TE91" s="11"/>
      <c r="TF91" s="11"/>
    </row>
    <row r="92" spans="1:526" ht="22.15" customHeight="1" thickBot="1" x14ac:dyDescent="0.3">
      <c r="A92" s="297" t="s">
        <v>8</v>
      </c>
      <c r="B92" s="24" t="s">
        <v>14</v>
      </c>
      <c r="BY92" s="184"/>
      <c r="BZ92" s="184"/>
      <c r="CA92" s="184"/>
      <c r="CB92" s="184"/>
      <c r="CC92" s="184"/>
      <c r="CD92" s="184"/>
      <c r="CE92" s="184"/>
      <c r="CF92" s="184"/>
      <c r="CG92" s="184"/>
      <c r="CH92" s="184"/>
      <c r="CI92" s="184"/>
      <c r="CJ92" s="184"/>
      <c r="CK92" s="184"/>
      <c r="CL92" s="184"/>
      <c r="CM92" s="184"/>
      <c r="CN92" s="184"/>
      <c r="CO92" s="184"/>
      <c r="CP92" s="184"/>
      <c r="CQ92" s="184"/>
      <c r="CR92" s="184"/>
      <c r="CS92" s="184"/>
      <c r="CT92" s="184"/>
      <c r="CU92" s="184"/>
      <c r="CV92" s="184"/>
      <c r="CW92" s="184"/>
      <c r="CX92" s="184"/>
      <c r="CY92" s="184"/>
      <c r="CZ92" s="184"/>
      <c r="DA92" s="184"/>
      <c r="DB92" s="184"/>
      <c r="DC92" s="184"/>
      <c r="DD92" s="184"/>
      <c r="DE92" s="184"/>
      <c r="DF92" s="184"/>
      <c r="DG92" s="184"/>
      <c r="DH92" s="184"/>
      <c r="DI92" s="184"/>
      <c r="DJ92" s="184"/>
      <c r="DK92" s="184"/>
      <c r="DL92" s="184"/>
      <c r="DM92" s="184"/>
      <c r="DN92" s="184"/>
      <c r="DO92" s="184"/>
      <c r="DP92" s="184"/>
      <c r="DQ92" s="184"/>
      <c r="DR92" s="184"/>
      <c r="DS92" s="184"/>
      <c r="DT92" s="184"/>
      <c r="DU92" s="184"/>
      <c r="DV92" s="184"/>
      <c r="DW92" s="184"/>
      <c r="DX92" s="184"/>
      <c r="DY92" s="184"/>
      <c r="DZ92" s="184"/>
      <c r="EA92" s="184"/>
      <c r="EB92" s="184"/>
      <c r="EC92" s="184"/>
      <c r="ED92" s="184"/>
      <c r="EE92" s="184"/>
      <c r="EF92" s="184"/>
      <c r="EG92" s="184"/>
      <c r="EH92" s="184"/>
      <c r="EI92" s="184"/>
      <c r="EJ92" s="184"/>
      <c r="EK92" s="184"/>
      <c r="EL92" s="184"/>
      <c r="EM92" s="184"/>
      <c r="EN92" s="184"/>
      <c r="EO92" s="184"/>
      <c r="EP92" s="184"/>
      <c r="EQ92" s="184"/>
      <c r="ER92" s="184"/>
      <c r="ES92" s="184"/>
      <c r="ET92" s="184"/>
      <c r="EU92" s="184"/>
      <c r="EV92" s="184"/>
      <c r="EW92" s="184"/>
      <c r="EX92" s="184"/>
      <c r="EY92" s="184"/>
      <c r="EZ92" s="184"/>
      <c r="FA92" s="184"/>
      <c r="FB92" s="184"/>
      <c r="FC92" s="184"/>
      <c r="FD92" s="184"/>
      <c r="FE92" s="184"/>
      <c r="FF92" s="184"/>
      <c r="FG92" s="184"/>
      <c r="FH92" s="184"/>
      <c r="FI92" s="184"/>
      <c r="FJ92" s="184"/>
      <c r="FK92" s="184"/>
      <c r="FL92" s="184"/>
      <c r="FM92" s="184"/>
      <c r="FN92" s="184"/>
      <c r="FO92" s="184"/>
      <c r="FP92" s="184"/>
      <c r="FQ92" s="184"/>
      <c r="FR92" s="184"/>
      <c r="FS92" s="184"/>
      <c r="FT92" s="184"/>
      <c r="FU92" s="184"/>
      <c r="FV92" s="184"/>
      <c r="FW92" s="184"/>
      <c r="FX92" s="184"/>
      <c r="FY92" s="184"/>
      <c r="FZ92" s="184"/>
      <c r="GA92" s="184"/>
      <c r="GB92" s="184"/>
      <c r="GC92" s="184"/>
      <c r="GD92" s="184"/>
      <c r="GE92" s="184"/>
      <c r="GF92" s="184"/>
      <c r="GG92" s="184"/>
      <c r="GH92" s="184"/>
      <c r="GI92" s="184"/>
      <c r="GJ92" s="184"/>
      <c r="GK92" s="184"/>
      <c r="GL92" s="184"/>
      <c r="GM92" s="184"/>
      <c r="GN92" s="184"/>
      <c r="GO92" s="184"/>
      <c r="GP92" s="184"/>
      <c r="GQ92" s="184"/>
      <c r="GR92" s="184"/>
      <c r="GS92" s="184"/>
      <c r="GT92" s="184"/>
      <c r="GU92" s="184"/>
      <c r="GV92" s="184"/>
      <c r="GW92" s="184"/>
      <c r="GX92" s="184"/>
      <c r="GY92" s="184"/>
      <c r="GZ92" s="184"/>
      <c r="HA92" s="184"/>
      <c r="HB92" s="184"/>
      <c r="HC92" s="184"/>
      <c r="HD92" s="184"/>
      <c r="HE92" s="184"/>
      <c r="HF92" s="184"/>
      <c r="HG92" s="184"/>
      <c r="HH92" s="184"/>
      <c r="HI92" s="184"/>
      <c r="HJ92" s="184"/>
      <c r="HK92" s="184"/>
      <c r="HL92" s="184"/>
      <c r="HM92" s="184"/>
      <c r="HN92" s="184"/>
      <c r="HO92" s="184"/>
      <c r="HP92" s="184"/>
      <c r="HQ92" s="184"/>
      <c r="HR92" s="184"/>
      <c r="HS92" s="184"/>
      <c r="HT92" s="184"/>
      <c r="HU92" s="184"/>
      <c r="HV92" s="184"/>
      <c r="HW92" s="184"/>
      <c r="HX92" s="184"/>
      <c r="HY92" s="184"/>
      <c r="HZ92" s="184"/>
      <c r="IA92" s="184"/>
      <c r="IB92" s="184"/>
      <c r="IC92" s="184"/>
      <c r="ID92" s="184"/>
      <c r="IE92" s="184"/>
      <c r="IF92" s="184"/>
      <c r="IG92" s="184"/>
      <c r="IH92" s="184"/>
      <c r="II92" s="184"/>
      <c r="IJ92" s="184"/>
      <c r="IK92" s="184"/>
      <c r="IL92" s="184"/>
      <c r="IM92" s="184"/>
      <c r="IN92" s="184"/>
      <c r="IO92" s="184"/>
      <c r="IP92" s="184"/>
      <c r="IQ92" s="184"/>
      <c r="IR92" s="184"/>
      <c r="IS92" s="184"/>
      <c r="IT92" s="184"/>
      <c r="IU92" s="184"/>
      <c r="IV92" s="184"/>
      <c r="IW92" s="184"/>
      <c r="IX92" s="143">
        <f t="shared" ref="IX92:IX104" si="824">C27</f>
        <v>250</v>
      </c>
      <c r="IY92" s="142">
        <f t="shared" ref="IY92:IY104" si="825">D27</f>
        <v>249.5</v>
      </c>
      <c r="IZ92" s="109">
        <f t="shared" ref="IZ92:IZ104" si="826">E27</f>
        <v>249.001</v>
      </c>
      <c r="JA92" s="109">
        <f t="shared" ref="JA92:JA104" si="827">F27</f>
        <v>248.50299799999999</v>
      </c>
      <c r="JB92" s="109">
        <f t="shared" ref="JB92:LJ95" si="828">G27</f>
        <v>248.00599200399998</v>
      </c>
      <c r="JC92" s="109">
        <f t="shared" ref="JC92:JC104" si="829">H27</f>
        <v>247.50998001999199</v>
      </c>
      <c r="JD92" s="109">
        <f t="shared" ref="JD92:JD104" si="830">I27</f>
        <v>247.01496005995199</v>
      </c>
      <c r="JE92" s="109">
        <f t="shared" ref="JE92:JE104" si="831">J27</f>
        <v>246.52093013983207</v>
      </c>
      <c r="JF92" s="109">
        <f t="shared" ref="JF92:JF104" si="832">K27</f>
        <v>246.0278882795524</v>
      </c>
      <c r="JG92" s="109">
        <f t="shared" ref="JG92:JG104" si="833">L27</f>
        <v>245.53583250299329</v>
      </c>
      <c r="JH92" s="109">
        <f t="shared" ref="JH92:JH104" si="834">M27</f>
        <v>245.0447608379873</v>
      </c>
      <c r="JI92" s="109">
        <f t="shared" ref="JI92:JI104" si="835">N27</f>
        <v>244.55467131631133</v>
      </c>
      <c r="JJ92" s="109">
        <f t="shared" ref="JJ92:JJ104" si="836">O27</f>
        <v>244.06556197367871</v>
      </c>
      <c r="JK92" s="109">
        <f t="shared" ref="JK92:JK104" si="837">P27</f>
        <v>243.57743084973134</v>
      </c>
      <c r="JL92" s="109">
        <f t="shared" ref="JL92:JL104" si="838">Q27</f>
        <v>243.09027598803189</v>
      </c>
      <c r="JM92" s="109">
        <f t="shared" si="828"/>
        <v>242.60409543605581</v>
      </c>
      <c r="JN92" s="109">
        <f t="shared" si="828"/>
        <v>242.11888724518371</v>
      </c>
      <c r="JO92" s="109">
        <f t="shared" si="828"/>
        <v>241.63464947069335</v>
      </c>
      <c r="JP92" s="109">
        <f t="shared" si="828"/>
        <v>241.15138017175195</v>
      </c>
      <c r="JQ92" s="109">
        <f t="shared" si="828"/>
        <v>240.66907741140844</v>
      </c>
      <c r="JR92" s="109">
        <f t="shared" si="828"/>
        <v>240.18773925658562</v>
      </c>
      <c r="JS92" s="109">
        <f t="shared" si="828"/>
        <v>239.70736377807245</v>
      </c>
      <c r="JT92" s="109">
        <f t="shared" si="828"/>
        <v>239.22794905051632</v>
      </c>
      <c r="JU92" s="109">
        <f t="shared" si="828"/>
        <v>238.74949315241528</v>
      </c>
      <c r="JV92" s="109">
        <f t="shared" si="828"/>
        <v>238.27199416611046</v>
      </c>
      <c r="JW92" s="109">
        <f t="shared" si="828"/>
        <v>237.79545017777824</v>
      </c>
      <c r="JX92" s="109">
        <f t="shared" si="828"/>
        <v>237.31985927742267</v>
      </c>
      <c r="JY92" s="109">
        <f t="shared" si="828"/>
        <v>236.84521955886783</v>
      </c>
      <c r="JZ92" s="109">
        <f t="shared" si="828"/>
        <v>236.37152911975008</v>
      </c>
      <c r="KA92" s="109">
        <f t="shared" si="828"/>
        <v>235.89878606151058</v>
      </c>
      <c r="KB92" s="109">
        <f t="shared" si="828"/>
        <v>235.42698848938755</v>
      </c>
      <c r="KC92" s="109">
        <f t="shared" si="828"/>
        <v>234.95613451240877</v>
      </c>
      <c r="KD92" s="109">
        <f t="shared" si="828"/>
        <v>234.48622224338393</v>
      </c>
      <c r="KE92" s="109">
        <f t="shared" si="828"/>
        <v>234.01724979889715</v>
      </c>
      <c r="KF92" s="109">
        <f t="shared" si="828"/>
        <v>233.54921529929936</v>
      </c>
      <c r="KG92" s="109">
        <f t="shared" si="828"/>
        <v>233.08211686870075</v>
      </c>
      <c r="KH92" s="109">
        <f t="shared" si="828"/>
        <v>232.61595263496335</v>
      </c>
      <c r="KI92" s="109">
        <f t="shared" si="828"/>
        <v>232.15072072969343</v>
      </c>
      <c r="KJ92" s="109">
        <f t="shared" si="828"/>
        <v>231.68641928823405</v>
      </c>
      <c r="KK92" s="109">
        <f t="shared" si="828"/>
        <v>231.22304644965757</v>
      </c>
      <c r="KL92" s="109">
        <f t="shared" si="828"/>
        <v>230.76060035675826</v>
      </c>
      <c r="KM92" s="109">
        <f t="shared" si="828"/>
        <v>230.29907915604474</v>
      </c>
      <c r="KN92" s="109">
        <f t="shared" si="828"/>
        <v>229.83848099773266</v>
      </c>
      <c r="KO92" s="109">
        <f t="shared" si="828"/>
        <v>229.3788040357372</v>
      </c>
      <c r="KP92" s="109">
        <f t="shared" si="828"/>
        <v>228.92004642766574</v>
      </c>
      <c r="KQ92" s="109">
        <f t="shared" si="828"/>
        <v>228.46220633481042</v>
      </c>
      <c r="KR92" s="109">
        <f t="shared" si="828"/>
        <v>228.0052819221408</v>
      </c>
      <c r="KS92" s="109">
        <f t="shared" si="828"/>
        <v>227.54927135829652</v>
      </c>
      <c r="KT92" s="109">
        <f t="shared" si="828"/>
        <v>227.09417281557992</v>
      </c>
      <c r="KU92" s="109">
        <f t="shared" si="828"/>
        <v>226.63998446994876</v>
      </c>
      <c r="KV92" s="109">
        <f t="shared" si="828"/>
        <v>226.18670450100885</v>
      </c>
      <c r="KW92" s="144">
        <f t="shared" si="828"/>
        <v>225.73433109200684</v>
      </c>
      <c r="KX92" s="144">
        <f t="shared" si="828"/>
        <v>225.28286242982281</v>
      </c>
      <c r="KY92" s="144">
        <f t="shared" si="828"/>
        <v>224.83229670496317</v>
      </c>
      <c r="KZ92" s="144">
        <f t="shared" si="828"/>
        <v>224.38263211155325</v>
      </c>
      <c r="LA92" s="144">
        <f t="shared" si="828"/>
        <v>223.93386684733014</v>
      </c>
      <c r="LB92" s="144">
        <f t="shared" si="828"/>
        <v>223.48599911363547</v>
      </c>
      <c r="LC92" s="144">
        <f t="shared" si="828"/>
        <v>223.0390271154082</v>
      </c>
      <c r="LD92" s="144">
        <f t="shared" si="828"/>
        <v>222.59294906117739</v>
      </c>
      <c r="LE92" s="144">
        <f t="shared" si="828"/>
        <v>222.14776316305503</v>
      </c>
      <c r="LF92" s="144">
        <f t="shared" si="828"/>
        <v>221.70346763672893</v>
      </c>
      <c r="LG92" s="144">
        <f t="shared" si="828"/>
        <v>221.26006070145547</v>
      </c>
      <c r="LH92" s="144">
        <f t="shared" si="828"/>
        <v>220.81754058005257</v>
      </c>
      <c r="LI92" s="144">
        <f t="shared" si="828"/>
        <v>220.37590549889245</v>
      </c>
      <c r="LJ92" s="144">
        <f t="shared" si="828"/>
        <v>219.93515368789465</v>
      </c>
      <c r="LK92" s="144">
        <f t="shared" ref="LK92:NV95" si="839">BP27</f>
        <v>219.49528338051886</v>
      </c>
      <c r="LL92" s="144">
        <f t="shared" si="839"/>
        <v>219.05629281375781</v>
      </c>
      <c r="LM92" s="144">
        <f t="shared" si="839"/>
        <v>218.61818022813029</v>
      </c>
      <c r="LN92" s="144">
        <f t="shared" si="839"/>
        <v>218.18094386767402</v>
      </c>
      <c r="LO92" s="144">
        <f t="shared" si="839"/>
        <v>217.74458197993866</v>
      </c>
      <c r="LP92" s="144">
        <f t="shared" si="839"/>
        <v>217.30909281597877</v>
      </c>
      <c r="LQ92" s="144">
        <f t="shared" si="839"/>
        <v>216.87447463034681</v>
      </c>
      <c r="LR92" s="144">
        <f t="shared" si="839"/>
        <v>216.44072568108612</v>
      </c>
      <c r="LS92" s="144">
        <f t="shared" si="839"/>
        <v>216.00784422972396</v>
      </c>
      <c r="LT92" s="144">
        <f t="shared" si="839"/>
        <v>215.57582854126451</v>
      </c>
      <c r="LU92" s="144">
        <f t="shared" si="839"/>
        <v>215.14467688418199</v>
      </c>
      <c r="LV92" s="144">
        <f t="shared" si="839"/>
        <v>214.71438753041363</v>
      </c>
      <c r="LW92" s="144">
        <f t="shared" si="839"/>
        <v>214.28495875535282</v>
      </c>
      <c r="LX92" s="144">
        <f t="shared" si="839"/>
        <v>213.8563888378421</v>
      </c>
      <c r="LY92" s="144">
        <f t="shared" si="839"/>
        <v>213.42867606016642</v>
      </c>
      <c r="LZ92" s="144">
        <f t="shared" si="839"/>
        <v>213.0018187080461</v>
      </c>
      <c r="MA92" s="144">
        <f t="shared" si="839"/>
        <v>212.57581507063</v>
      </c>
      <c r="MB92" s="144">
        <f t="shared" si="839"/>
        <v>212.15066344048873</v>
      </c>
      <c r="MC92" s="144">
        <f t="shared" si="839"/>
        <v>211.72636211360776</v>
      </c>
      <c r="MD92" s="144">
        <f t="shared" si="839"/>
        <v>211.30290938938055</v>
      </c>
      <c r="ME92" s="144">
        <f t="shared" si="839"/>
        <v>210.8803035706018</v>
      </c>
      <c r="MF92" s="144">
        <f t="shared" si="839"/>
        <v>210.45854296346059</v>
      </c>
      <c r="MG92" s="144">
        <f t="shared" si="839"/>
        <v>210.03762587753366</v>
      </c>
      <c r="MH92" s="144">
        <f t="shared" si="839"/>
        <v>209.61755062577859</v>
      </c>
      <c r="MI92" s="144">
        <f t="shared" si="839"/>
        <v>209.19831552452703</v>
      </c>
      <c r="MJ92" s="144">
        <f t="shared" si="839"/>
        <v>208.77991889347797</v>
      </c>
      <c r="MK92" s="144">
        <f t="shared" si="839"/>
        <v>208.362359055691</v>
      </c>
      <c r="ML92" s="144">
        <f t="shared" si="839"/>
        <v>207.94563433757963</v>
      </c>
      <c r="MM92" s="144">
        <f t="shared" si="839"/>
        <v>207.52974306890448</v>
      </c>
      <c r="MN92" s="144">
        <f t="shared" si="839"/>
        <v>207.11468358276667</v>
      </c>
      <c r="MO92" s="144">
        <f t="shared" si="839"/>
        <v>206.70045421560113</v>
      </c>
      <c r="MP92" s="144">
        <f t="shared" si="839"/>
        <v>206.28705330716991</v>
      </c>
      <c r="MQ92" s="144">
        <f t="shared" si="839"/>
        <v>205.87447920055558</v>
      </c>
      <c r="MR92" s="144">
        <f t="shared" si="839"/>
        <v>205.46273024215446</v>
      </c>
      <c r="MS92" s="144">
        <f t="shared" si="839"/>
        <v>205.05180478167014</v>
      </c>
      <c r="MT92" s="144">
        <f t="shared" si="839"/>
        <v>204.64170117210679</v>
      </c>
      <c r="MU92" s="144">
        <f t="shared" si="839"/>
        <v>204.23241776976258</v>
      </c>
      <c r="MV92" s="154">
        <f t="shared" si="839"/>
        <v>203.82395293422306</v>
      </c>
      <c r="MW92" s="154">
        <f t="shared" si="839"/>
        <v>203.4163050283546</v>
      </c>
      <c r="MX92" s="154">
        <f t="shared" si="839"/>
        <v>203.00947241829789</v>
      </c>
      <c r="MY92" s="154">
        <f t="shared" si="839"/>
        <v>202.60345347346129</v>
      </c>
      <c r="MZ92" s="154">
        <f t="shared" si="839"/>
        <v>202.19824656651437</v>
      </c>
      <c r="NA92" s="154">
        <f t="shared" si="839"/>
        <v>201.79385007338135</v>
      </c>
      <c r="NB92" s="154">
        <f t="shared" si="839"/>
        <v>201.39026237323458</v>
      </c>
      <c r="NC92" s="154">
        <f t="shared" si="839"/>
        <v>200.9874818484881</v>
      </c>
      <c r="ND92" s="154">
        <f t="shared" si="839"/>
        <v>200.58550688479113</v>
      </c>
      <c r="NE92" s="154">
        <f t="shared" si="839"/>
        <v>200.18433587102155</v>
      </c>
      <c r="NF92" s="154">
        <f t="shared" si="839"/>
        <v>199.78396719927952</v>
      </c>
      <c r="NG92" s="154">
        <f t="shared" si="839"/>
        <v>199.38439926488095</v>
      </c>
      <c r="NH92" s="154">
        <f t="shared" si="839"/>
        <v>198.98563046635118</v>
      </c>
      <c r="NI92" s="154">
        <f t="shared" si="839"/>
        <v>198.58765920541848</v>
      </c>
      <c r="NJ92" s="154">
        <f t="shared" si="839"/>
        <v>198.19048388700764</v>
      </c>
      <c r="NK92" s="154">
        <f t="shared" si="839"/>
        <v>197.79410291923364</v>
      </c>
      <c r="NL92" s="154">
        <f t="shared" si="839"/>
        <v>197.39851471339517</v>
      </c>
      <c r="NM92" s="154">
        <f t="shared" si="839"/>
        <v>197.00371768396838</v>
      </c>
      <c r="NN92" s="154">
        <f t="shared" si="839"/>
        <v>196.60971024860044</v>
      </c>
      <c r="NO92" s="154">
        <f t="shared" si="839"/>
        <v>196.21649082810325</v>
      </c>
      <c r="NP92" s="154">
        <f t="shared" si="839"/>
        <v>195.82405784644703</v>
      </c>
      <c r="NQ92" s="154">
        <f t="shared" si="839"/>
        <v>195.43240973075413</v>
      </c>
      <c r="NR92" s="154">
        <f t="shared" si="839"/>
        <v>195.04154491129262</v>
      </c>
      <c r="NS92" s="154">
        <f t="shared" si="839"/>
        <v>194.65146182147004</v>
      </c>
      <c r="NT92" s="154">
        <f t="shared" si="839"/>
        <v>194.26215889782711</v>
      </c>
      <c r="NU92" s="154">
        <f t="shared" si="839"/>
        <v>193.87363458003145</v>
      </c>
      <c r="NV92" s="154">
        <f t="shared" si="839"/>
        <v>193.48588731087139</v>
      </c>
      <c r="NW92" s="179">
        <f t="shared" ref="NW92:OT101" si="840">EB27</f>
        <v>168.91317962239071</v>
      </c>
      <c r="NX92" s="154">
        <f t="shared" si="840"/>
        <v>168.57535326314593</v>
      </c>
      <c r="NY92" s="179">
        <f t="shared" si="840"/>
        <v>144.15600923331306</v>
      </c>
      <c r="NZ92" s="154">
        <f t="shared" si="840"/>
        <v>143.86769721484643</v>
      </c>
      <c r="OA92" s="154">
        <f t="shared" si="840"/>
        <v>143.57996182041674</v>
      </c>
      <c r="OB92" s="154">
        <f t="shared" si="840"/>
        <v>143.2928018967759</v>
      </c>
      <c r="OC92" s="154">
        <f t="shared" si="840"/>
        <v>143.00621629298234</v>
      </c>
      <c r="OD92" s="179">
        <f t="shared" si="840"/>
        <v>118.88583447823264</v>
      </c>
      <c r="OE92" s="154">
        <f t="shared" si="840"/>
        <v>118.64806280927617</v>
      </c>
      <c r="OF92" s="179">
        <f t="shared" si="840"/>
        <v>94.681154121802379</v>
      </c>
      <c r="OG92" s="154">
        <f t="shared" si="840"/>
        <v>94.491791813558777</v>
      </c>
      <c r="OH92" s="154">
        <f t="shared" si="840"/>
        <v>94.302808229931657</v>
      </c>
      <c r="OI92" s="154">
        <f t="shared" si="840"/>
        <v>94.11420261347179</v>
      </c>
      <c r="OJ92" s="154">
        <f t="shared" si="840"/>
        <v>93.925974208244853</v>
      </c>
      <c r="OK92" s="179">
        <f t="shared" si="840"/>
        <v>70.256628707767149</v>
      </c>
      <c r="OL92" s="154">
        <f t="shared" si="840"/>
        <v>70.116115450351614</v>
      </c>
      <c r="OM92" s="179">
        <f t="shared" si="840"/>
        <v>46.603844736000369</v>
      </c>
      <c r="ON92" s="154">
        <f t="shared" si="840"/>
        <v>46.510637046528366</v>
      </c>
      <c r="OO92" s="154">
        <f t="shared" si="840"/>
        <v>46.417615772435312</v>
      </c>
      <c r="OP92" s="154">
        <f t="shared" si="840"/>
        <v>46.324780540890444</v>
      </c>
      <c r="OQ92" s="154">
        <f t="shared" si="840"/>
        <v>46.232130979808666</v>
      </c>
      <c r="OR92" s="179">
        <f t="shared" si="840"/>
        <v>23.023601227944713</v>
      </c>
      <c r="OS92" s="154">
        <f t="shared" si="840"/>
        <v>22.977554025488825</v>
      </c>
      <c r="OT92" s="179">
        <f t="shared" si="840"/>
        <v>-4.5955108050979021E-2</v>
      </c>
      <c r="OU92" s="184"/>
      <c r="OV92" s="184"/>
      <c r="OW92" s="184"/>
      <c r="OX92" s="20"/>
      <c r="OY92" s="20"/>
      <c r="OZ92" s="20"/>
      <c r="PA92" s="20"/>
      <c r="PB92" s="20"/>
      <c r="PC92" s="20"/>
      <c r="PD92" s="20"/>
      <c r="PE92" s="20"/>
      <c r="PF92" s="20"/>
      <c r="PG92" s="20"/>
      <c r="PH92" s="20"/>
      <c r="PI92" s="20"/>
      <c r="PJ92" s="20"/>
      <c r="PK92" s="20"/>
      <c r="PL92" s="20"/>
      <c r="PM92" s="20"/>
      <c r="PN92" s="20"/>
      <c r="PO92" s="20"/>
      <c r="PP92" s="20"/>
      <c r="PQ92" s="20"/>
      <c r="PR92" s="20"/>
      <c r="PS92" s="20"/>
      <c r="PT92" s="20"/>
      <c r="PU92" s="20"/>
      <c r="PV92" s="20"/>
      <c r="PW92" s="20"/>
      <c r="PX92" s="20"/>
      <c r="PY92" s="20"/>
      <c r="PZ92" s="20"/>
      <c r="QA92" s="20"/>
      <c r="QB92" s="20"/>
      <c r="QC92" s="20"/>
      <c r="QD92" s="20"/>
      <c r="QE92" s="20"/>
      <c r="QF92" s="20"/>
      <c r="QG92" s="20"/>
      <c r="QH92" s="20"/>
      <c r="QI92" s="20"/>
      <c r="QJ92" s="20"/>
      <c r="QK92" s="20"/>
      <c r="QL92" s="20"/>
      <c r="QM92" s="20"/>
      <c r="QN92" s="20"/>
      <c r="QO92" s="20"/>
      <c r="QP92" s="20"/>
      <c r="QQ92" s="20"/>
      <c r="QR92" s="20"/>
      <c r="QS92" s="20"/>
      <c r="QT92" s="20"/>
      <c r="QU92" s="20"/>
      <c r="QV92" s="20"/>
      <c r="QW92" s="20"/>
      <c r="QX92" s="20"/>
      <c r="QY92" s="20"/>
      <c r="QZ92" s="20"/>
      <c r="RA92" s="20"/>
      <c r="RB92" s="20"/>
      <c r="RC92" s="20"/>
      <c r="RD92" s="20"/>
      <c r="RE92" s="20"/>
      <c r="RF92" s="20"/>
      <c r="RG92" s="20"/>
      <c r="RH92" s="20"/>
      <c r="RI92" s="20"/>
      <c r="RJ92" s="20"/>
      <c r="RK92" s="20"/>
      <c r="RL92" s="20"/>
      <c r="RM92" s="20"/>
      <c r="RN92" s="20"/>
      <c r="RO92" s="20"/>
      <c r="RP92" s="20"/>
      <c r="RQ92" s="20"/>
      <c r="RR92" s="20"/>
      <c r="RS92" s="20"/>
      <c r="RT92" s="20"/>
      <c r="RU92" s="20"/>
      <c r="RV92" s="20"/>
      <c r="RW92" s="20"/>
      <c r="RX92" s="20"/>
      <c r="RY92" s="20"/>
      <c r="RZ92" s="20"/>
      <c r="SA92" s="20"/>
      <c r="SB92" s="20"/>
      <c r="SC92" s="20"/>
      <c r="SD92" s="20"/>
      <c r="SE92" s="20"/>
      <c r="SF92" s="20"/>
      <c r="SG92" s="20"/>
      <c r="SH92" s="20"/>
      <c r="SI92" s="20"/>
      <c r="SJ92" s="20"/>
      <c r="SK92" s="20"/>
      <c r="SL92" s="20"/>
      <c r="SM92" s="20"/>
      <c r="SN92" s="20"/>
      <c r="SO92" s="20"/>
      <c r="SP92" s="20"/>
      <c r="SQ92" s="20"/>
      <c r="SR92" s="20"/>
      <c r="SS92" s="20"/>
      <c r="ST92" s="20"/>
      <c r="SU92" s="20"/>
      <c r="SV92" s="20"/>
      <c r="SW92" s="20"/>
      <c r="SX92" s="20"/>
      <c r="SY92" s="20"/>
      <c r="SZ92" s="20"/>
      <c r="TA92" s="184"/>
      <c r="TB92" s="185"/>
      <c r="TC92" s="11"/>
      <c r="TD92" s="11"/>
      <c r="TE92" s="11"/>
      <c r="TF92" s="11"/>
    </row>
    <row r="93" spans="1:526" ht="22.15" customHeight="1" thickBot="1" x14ac:dyDescent="0.3">
      <c r="A93" s="298"/>
      <c r="B93" s="25" t="s">
        <v>1</v>
      </c>
      <c r="BY93" s="184"/>
      <c r="BZ93" s="184"/>
      <c r="CA93" s="184"/>
      <c r="CB93" s="184"/>
      <c r="CC93" s="184"/>
      <c r="CD93" s="184"/>
      <c r="CE93" s="184"/>
      <c r="CF93" s="184"/>
      <c r="CG93" s="184"/>
      <c r="CH93" s="184"/>
      <c r="CI93" s="184"/>
      <c r="CJ93" s="184"/>
      <c r="CK93" s="184"/>
      <c r="CL93" s="184"/>
      <c r="CM93" s="184"/>
      <c r="CN93" s="184"/>
      <c r="CO93" s="184"/>
      <c r="CP93" s="184"/>
      <c r="CQ93" s="184"/>
      <c r="CR93" s="184"/>
      <c r="CS93" s="184"/>
      <c r="CT93" s="184"/>
      <c r="CU93" s="184"/>
      <c r="CV93" s="184"/>
      <c r="CW93" s="184"/>
      <c r="CX93" s="184"/>
      <c r="CY93" s="184"/>
      <c r="CZ93" s="184"/>
      <c r="DA93" s="184"/>
      <c r="DB93" s="184"/>
      <c r="DC93" s="184"/>
      <c r="DD93" s="184"/>
      <c r="DE93" s="184"/>
      <c r="DF93" s="184"/>
      <c r="DG93" s="184"/>
      <c r="DH93" s="184"/>
      <c r="DI93" s="184"/>
      <c r="DJ93" s="184"/>
      <c r="DK93" s="184"/>
      <c r="DL93" s="184"/>
      <c r="DM93" s="184"/>
      <c r="DN93" s="184"/>
      <c r="DO93" s="184"/>
      <c r="DP93" s="184"/>
      <c r="DQ93" s="184"/>
      <c r="DR93" s="184"/>
      <c r="DS93" s="184"/>
      <c r="DT93" s="184"/>
      <c r="DU93" s="184"/>
      <c r="DV93" s="184"/>
      <c r="DW93" s="184"/>
      <c r="DX93" s="184"/>
      <c r="DY93" s="184"/>
      <c r="DZ93" s="184"/>
      <c r="EA93" s="184"/>
      <c r="EB93" s="184"/>
      <c r="EC93" s="184"/>
      <c r="ED93" s="184"/>
      <c r="EE93" s="184"/>
      <c r="EF93" s="184"/>
      <c r="EG93" s="184"/>
      <c r="EH93" s="184"/>
      <c r="EI93" s="184"/>
      <c r="EJ93" s="184"/>
      <c r="EK93" s="184"/>
      <c r="EL93" s="184"/>
      <c r="EM93" s="184"/>
      <c r="EN93" s="184"/>
      <c r="EO93" s="184"/>
      <c r="EP93" s="184"/>
      <c r="EQ93" s="184"/>
      <c r="ER93" s="184"/>
      <c r="ES93" s="184"/>
      <c r="ET93" s="184"/>
      <c r="EU93" s="184"/>
      <c r="EV93" s="184"/>
      <c r="EW93" s="184"/>
      <c r="EX93" s="184"/>
      <c r="EY93" s="184"/>
      <c r="EZ93" s="184"/>
      <c r="FA93" s="184"/>
      <c r="FB93" s="184"/>
      <c r="FC93" s="184"/>
      <c r="FD93" s="184"/>
      <c r="FE93" s="184"/>
      <c r="FF93" s="184"/>
      <c r="FG93" s="184"/>
      <c r="FH93" s="184"/>
      <c r="FI93" s="184"/>
      <c r="FJ93" s="184"/>
      <c r="FK93" s="184"/>
      <c r="FL93" s="184"/>
      <c r="FM93" s="184"/>
      <c r="FN93" s="184"/>
      <c r="FO93" s="184"/>
      <c r="FP93" s="184"/>
      <c r="FQ93" s="184"/>
      <c r="FR93" s="184"/>
      <c r="FS93" s="184"/>
      <c r="FT93" s="184"/>
      <c r="FU93" s="184"/>
      <c r="FV93" s="184"/>
      <c r="FW93" s="184"/>
      <c r="FX93" s="184"/>
      <c r="FY93" s="184"/>
      <c r="FZ93" s="184"/>
      <c r="GA93" s="184"/>
      <c r="GB93" s="184"/>
      <c r="GC93" s="184"/>
      <c r="GD93" s="184"/>
      <c r="GE93" s="184"/>
      <c r="GF93" s="184"/>
      <c r="GG93" s="184"/>
      <c r="GH93" s="184"/>
      <c r="GI93" s="184"/>
      <c r="GJ93" s="184"/>
      <c r="GK93" s="184"/>
      <c r="GL93" s="184"/>
      <c r="GM93" s="184"/>
      <c r="GN93" s="184"/>
      <c r="GO93" s="184"/>
      <c r="GP93" s="184"/>
      <c r="GQ93" s="184"/>
      <c r="GR93" s="184"/>
      <c r="GS93" s="184"/>
      <c r="GT93" s="184"/>
      <c r="GU93" s="184"/>
      <c r="GV93" s="184"/>
      <c r="GW93" s="184"/>
      <c r="GX93" s="184"/>
      <c r="GY93" s="184"/>
      <c r="GZ93" s="184"/>
      <c r="HA93" s="184"/>
      <c r="HB93" s="184"/>
      <c r="HC93" s="184"/>
      <c r="HD93" s="184"/>
      <c r="HE93" s="184"/>
      <c r="HF93" s="184"/>
      <c r="HG93" s="184"/>
      <c r="HH93" s="184"/>
      <c r="HI93" s="184"/>
      <c r="HJ93" s="184"/>
      <c r="HK93" s="184"/>
      <c r="HL93" s="184"/>
      <c r="HM93" s="184"/>
      <c r="HN93" s="184"/>
      <c r="HO93" s="184"/>
      <c r="HP93" s="184"/>
      <c r="HQ93" s="184"/>
      <c r="HR93" s="184"/>
      <c r="HS93" s="184"/>
      <c r="HT93" s="184"/>
      <c r="HU93" s="184"/>
      <c r="HV93" s="184"/>
      <c r="HW93" s="184"/>
      <c r="HX93" s="184"/>
      <c r="HY93" s="184"/>
      <c r="HZ93" s="184"/>
      <c r="IA93" s="184"/>
      <c r="IB93" s="184"/>
      <c r="IC93" s="184"/>
      <c r="ID93" s="184"/>
      <c r="IE93" s="184"/>
      <c r="IF93" s="184"/>
      <c r="IG93" s="184"/>
      <c r="IH93" s="184"/>
      <c r="II93" s="184"/>
      <c r="IJ93" s="184"/>
      <c r="IK93" s="184"/>
      <c r="IL93" s="184"/>
      <c r="IM93" s="184"/>
      <c r="IN93" s="184"/>
      <c r="IO93" s="184"/>
      <c r="IP93" s="184"/>
      <c r="IQ93" s="184"/>
      <c r="IR93" s="184"/>
      <c r="IS93" s="184"/>
      <c r="IT93" s="184"/>
      <c r="IU93" s="184"/>
      <c r="IV93" s="184"/>
      <c r="IW93" s="184"/>
      <c r="IX93" s="128" t="str">
        <f t="shared" si="824"/>
        <v>-</v>
      </c>
      <c r="IY93" s="108" t="str">
        <f t="shared" si="825"/>
        <v>-</v>
      </c>
      <c r="IZ93" s="108" t="str">
        <f t="shared" si="826"/>
        <v>-</v>
      </c>
      <c r="JA93" s="108" t="str">
        <f t="shared" si="827"/>
        <v>-</v>
      </c>
      <c r="JB93" s="108" t="str">
        <f t="shared" si="828"/>
        <v>-</v>
      </c>
      <c r="JC93" s="108" t="str">
        <f t="shared" si="829"/>
        <v>-</v>
      </c>
      <c r="JD93" s="108" t="str">
        <f t="shared" si="830"/>
        <v>-</v>
      </c>
      <c r="JE93" s="108" t="str">
        <f t="shared" si="831"/>
        <v>-</v>
      </c>
      <c r="JF93" s="108" t="str">
        <f t="shared" si="832"/>
        <v>-</v>
      </c>
      <c r="JG93" s="108" t="str">
        <f t="shared" si="833"/>
        <v>-</v>
      </c>
      <c r="JH93" s="108" t="str">
        <f t="shared" si="834"/>
        <v>-</v>
      </c>
      <c r="JI93" s="108" t="str">
        <f t="shared" si="835"/>
        <v>-</v>
      </c>
      <c r="JJ93" s="108" t="str">
        <f t="shared" si="836"/>
        <v>-</v>
      </c>
      <c r="JK93" s="108" t="str">
        <f t="shared" si="837"/>
        <v>-</v>
      </c>
      <c r="JL93" s="108" t="str">
        <f t="shared" si="838"/>
        <v>-</v>
      </c>
      <c r="JM93" s="108" t="str">
        <f t="shared" si="828"/>
        <v>-</v>
      </c>
      <c r="JN93" s="108" t="str">
        <f t="shared" si="828"/>
        <v>-</v>
      </c>
      <c r="JO93" s="108" t="str">
        <f t="shared" si="828"/>
        <v>-</v>
      </c>
      <c r="JP93" s="108" t="str">
        <f t="shared" si="828"/>
        <v>-</v>
      </c>
      <c r="JQ93" s="108" t="str">
        <f t="shared" si="828"/>
        <v>-</v>
      </c>
      <c r="JR93" s="108" t="str">
        <f t="shared" si="828"/>
        <v>-</v>
      </c>
      <c r="JS93" s="108" t="str">
        <f t="shared" si="828"/>
        <v>-</v>
      </c>
      <c r="JT93" s="108" t="str">
        <f t="shared" si="828"/>
        <v>-</v>
      </c>
      <c r="JU93" s="108" t="str">
        <f t="shared" si="828"/>
        <v>-</v>
      </c>
      <c r="JV93" s="108" t="str">
        <f t="shared" si="828"/>
        <v>-</v>
      </c>
      <c r="JW93" s="108" t="str">
        <f t="shared" si="828"/>
        <v>-</v>
      </c>
      <c r="JX93" s="108" t="str">
        <f t="shared" si="828"/>
        <v>-</v>
      </c>
      <c r="JY93" s="108" t="str">
        <f t="shared" si="828"/>
        <v>-</v>
      </c>
      <c r="JZ93" s="108" t="str">
        <f t="shared" si="828"/>
        <v>-</v>
      </c>
      <c r="KA93" s="108" t="str">
        <f t="shared" si="828"/>
        <v>-</v>
      </c>
      <c r="KB93" s="108" t="str">
        <f t="shared" si="828"/>
        <v>-</v>
      </c>
      <c r="KC93" s="108" t="str">
        <f t="shared" si="828"/>
        <v>-</v>
      </c>
      <c r="KD93" s="108" t="str">
        <f t="shared" si="828"/>
        <v>-</v>
      </c>
      <c r="KE93" s="108" t="str">
        <f t="shared" si="828"/>
        <v>-</v>
      </c>
      <c r="KF93" s="108" t="str">
        <f t="shared" si="828"/>
        <v>-</v>
      </c>
      <c r="KG93" s="108" t="str">
        <f t="shared" si="828"/>
        <v>-</v>
      </c>
      <c r="KH93" s="108" t="str">
        <f t="shared" si="828"/>
        <v>-</v>
      </c>
      <c r="KI93" s="108" t="str">
        <f t="shared" si="828"/>
        <v>-</v>
      </c>
      <c r="KJ93" s="108" t="str">
        <f t="shared" si="828"/>
        <v>-</v>
      </c>
      <c r="KK93" s="108" t="str">
        <f t="shared" si="828"/>
        <v>-</v>
      </c>
      <c r="KL93" s="108" t="str">
        <f t="shared" si="828"/>
        <v>-</v>
      </c>
      <c r="KM93" s="108" t="str">
        <f t="shared" si="828"/>
        <v>-</v>
      </c>
      <c r="KN93" s="108" t="str">
        <f t="shared" si="828"/>
        <v>-</v>
      </c>
      <c r="KO93" s="108" t="str">
        <f t="shared" si="828"/>
        <v>-</v>
      </c>
      <c r="KP93" s="108" t="str">
        <f t="shared" si="828"/>
        <v>-</v>
      </c>
      <c r="KQ93" s="108" t="str">
        <f t="shared" si="828"/>
        <v>-</v>
      </c>
      <c r="KR93" s="108" t="str">
        <f t="shared" si="828"/>
        <v>-</v>
      </c>
      <c r="KS93" s="108" t="str">
        <f t="shared" si="828"/>
        <v>-</v>
      </c>
      <c r="KT93" s="108" t="str">
        <f t="shared" si="828"/>
        <v>-</v>
      </c>
      <c r="KU93" s="108" t="str">
        <f t="shared" si="828"/>
        <v>-</v>
      </c>
      <c r="KV93" s="108" t="str">
        <f t="shared" si="828"/>
        <v>-</v>
      </c>
      <c r="KW93" s="145" t="str">
        <f t="shared" si="828"/>
        <v>-</v>
      </c>
      <c r="KX93" s="145" t="str">
        <f t="shared" si="828"/>
        <v>-</v>
      </c>
      <c r="KY93" s="145" t="str">
        <f t="shared" si="828"/>
        <v>-</v>
      </c>
      <c r="KZ93" s="145" t="str">
        <f t="shared" si="828"/>
        <v>-</v>
      </c>
      <c r="LA93" s="145" t="str">
        <f t="shared" si="828"/>
        <v>-</v>
      </c>
      <c r="LB93" s="145" t="str">
        <f t="shared" si="828"/>
        <v>-</v>
      </c>
      <c r="LC93" s="145" t="str">
        <f t="shared" si="828"/>
        <v>-</v>
      </c>
      <c r="LD93" s="145" t="str">
        <f t="shared" si="828"/>
        <v>-</v>
      </c>
      <c r="LE93" s="145" t="str">
        <f t="shared" si="828"/>
        <v>-</v>
      </c>
      <c r="LF93" s="145" t="str">
        <f t="shared" si="828"/>
        <v>-</v>
      </c>
      <c r="LG93" s="145" t="str">
        <f t="shared" si="828"/>
        <v>-</v>
      </c>
      <c r="LH93" s="145" t="str">
        <f t="shared" si="828"/>
        <v>-</v>
      </c>
      <c r="LI93" s="145" t="str">
        <f t="shared" si="828"/>
        <v>-</v>
      </c>
      <c r="LJ93" s="145" t="str">
        <f t="shared" si="828"/>
        <v>-</v>
      </c>
      <c r="LK93" s="145" t="str">
        <f t="shared" si="839"/>
        <v>-</v>
      </c>
      <c r="LL93" s="145" t="str">
        <f t="shared" si="839"/>
        <v>-</v>
      </c>
      <c r="LM93" s="145" t="str">
        <f t="shared" si="839"/>
        <v>-</v>
      </c>
      <c r="LN93" s="145" t="str">
        <f t="shared" si="839"/>
        <v>-</v>
      </c>
      <c r="LO93" s="145" t="str">
        <f t="shared" si="839"/>
        <v>-</v>
      </c>
      <c r="LP93" s="145" t="str">
        <f t="shared" si="839"/>
        <v>-</v>
      </c>
      <c r="LQ93" s="145" t="str">
        <f t="shared" si="839"/>
        <v>-</v>
      </c>
      <c r="LR93" s="145" t="str">
        <f t="shared" si="839"/>
        <v>-</v>
      </c>
      <c r="LS93" s="145" t="str">
        <f t="shared" si="839"/>
        <v>-</v>
      </c>
      <c r="LT93" s="145" t="str">
        <f t="shared" si="839"/>
        <v>-</v>
      </c>
      <c r="LU93" s="145" t="str">
        <f t="shared" si="839"/>
        <v>-</v>
      </c>
      <c r="LV93" s="145" t="str">
        <f t="shared" si="839"/>
        <v>-</v>
      </c>
      <c r="LW93" s="145" t="str">
        <f t="shared" si="839"/>
        <v>-</v>
      </c>
      <c r="LX93" s="145" t="str">
        <f t="shared" si="839"/>
        <v>-</v>
      </c>
      <c r="LY93" s="145" t="str">
        <f t="shared" si="839"/>
        <v>-</v>
      </c>
      <c r="LZ93" s="145" t="str">
        <f t="shared" si="839"/>
        <v>-</v>
      </c>
      <c r="MA93" s="145" t="str">
        <f t="shared" si="839"/>
        <v>-</v>
      </c>
      <c r="MB93" s="145" t="str">
        <f t="shared" si="839"/>
        <v>-</v>
      </c>
      <c r="MC93" s="145" t="str">
        <f t="shared" si="839"/>
        <v>-</v>
      </c>
      <c r="MD93" s="145" t="str">
        <f t="shared" si="839"/>
        <v>-</v>
      </c>
      <c r="ME93" s="145" t="str">
        <f t="shared" si="839"/>
        <v>-</v>
      </c>
      <c r="MF93" s="145" t="str">
        <f t="shared" si="839"/>
        <v>-</v>
      </c>
      <c r="MG93" s="145" t="str">
        <f t="shared" si="839"/>
        <v>-</v>
      </c>
      <c r="MH93" s="145" t="str">
        <f t="shared" si="839"/>
        <v>-</v>
      </c>
      <c r="MI93" s="145" t="str">
        <f t="shared" si="839"/>
        <v>-</v>
      </c>
      <c r="MJ93" s="145" t="str">
        <f t="shared" si="839"/>
        <v>-</v>
      </c>
      <c r="MK93" s="145" t="str">
        <f t="shared" si="839"/>
        <v>-</v>
      </c>
      <c r="ML93" s="145" t="str">
        <f t="shared" si="839"/>
        <v>-</v>
      </c>
      <c r="MM93" s="145" t="str">
        <f t="shared" si="839"/>
        <v>-</v>
      </c>
      <c r="MN93" s="145" t="str">
        <f t="shared" si="839"/>
        <v>-</v>
      </c>
      <c r="MO93" s="145" t="str">
        <f t="shared" si="839"/>
        <v>-</v>
      </c>
      <c r="MP93" s="145" t="str">
        <f t="shared" si="839"/>
        <v>-</v>
      </c>
      <c r="MQ93" s="145" t="str">
        <f t="shared" si="839"/>
        <v>-</v>
      </c>
      <c r="MR93" s="145" t="str">
        <f t="shared" si="839"/>
        <v>-</v>
      </c>
      <c r="MS93" s="145" t="str">
        <f t="shared" si="839"/>
        <v>-</v>
      </c>
      <c r="MT93" s="145" t="str">
        <f t="shared" si="839"/>
        <v>-</v>
      </c>
      <c r="MU93" s="145" t="str">
        <f t="shared" si="839"/>
        <v>-</v>
      </c>
      <c r="MV93" s="155" t="str">
        <f t="shared" si="839"/>
        <v>-</v>
      </c>
      <c r="MW93" s="155" t="str">
        <f t="shared" si="839"/>
        <v>-</v>
      </c>
      <c r="MX93" s="155" t="str">
        <f t="shared" si="839"/>
        <v>-</v>
      </c>
      <c r="MY93" s="155" t="str">
        <f t="shared" si="839"/>
        <v>-</v>
      </c>
      <c r="MZ93" s="155" t="str">
        <f t="shared" si="839"/>
        <v>-</v>
      </c>
      <c r="NA93" s="155" t="str">
        <f t="shared" si="839"/>
        <v>-</v>
      </c>
      <c r="NB93" s="155" t="str">
        <f t="shared" si="839"/>
        <v>-</v>
      </c>
      <c r="NC93" s="155" t="str">
        <f t="shared" si="839"/>
        <v>-</v>
      </c>
      <c r="ND93" s="155" t="str">
        <f t="shared" si="839"/>
        <v>-</v>
      </c>
      <c r="NE93" s="155" t="str">
        <f t="shared" si="839"/>
        <v>-</v>
      </c>
      <c r="NF93" s="155" t="str">
        <f t="shared" si="839"/>
        <v>-</v>
      </c>
      <c r="NG93" s="155" t="str">
        <f t="shared" si="839"/>
        <v>-</v>
      </c>
      <c r="NH93" s="155" t="str">
        <f t="shared" si="839"/>
        <v>-</v>
      </c>
      <c r="NI93" s="155" t="str">
        <f t="shared" si="839"/>
        <v>-</v>
      </c>
      <c r="NJ93" s="155" t="str">
        <f t="shared" si="839"/>
        <v>-</v>
      </c>
      <c r="NK93" s="155" t="str">
        <f t="shared" si="839"/>
        <v>-</v>
      </c>
      <c r="NL93" s="155" t="str">
        <f t="shared" si="839"/>
        <v>-</v>
      </c>
      <c r="NM93" s="155" t="str">
        <f t="shared" si="839"/>
        <v>-</v>
      </c>
      <c r="NN93" s="155" t="str">
        <f t="shared" si="839"/>
        <v>-</v>
      </c>
      <c r="NO93" s="155" t="str">
        <f t="shared" si="839"/>
        <v>-</v>
      </c>
      <c r="NP93" s="155" t="str">
        <f t="shared" si="839"/>
        <v>-</v>
      </c>
      <c r="NQ93" s="155" t="str">
        <f t="shared" si="839"/>
        <v>-</v>
      </c>
      <c r="NR93" s="155" t="str">
        <f t="shared" si="839"/>
        <v>-</v>
      </c>
      <c r="NS93" s="155" t="str">
        <f t="shared" si="839"/>
        <v>-</v>
      </c>
      <c r="NT93" s="155" t="str">
        <f t="shared" si="839"/>
        <v>-</v>
      </c>
      <c r="NU93" s="155" t="str">
        <f t="shared" si="839"/>
        <v>-</v>
      </c>
      <c r="NV93" s="177" t="str">
        <f t="shared" si="839"/>
        <v>-</v>
      </c>
      <c r="NW93" s="181" t="str">
        <f t="shared" si="840"/>
        <v>Harvest</v>
      </c>
      <c r="NX93" s="177" t="str">
        <f t="shared" si="840"/>
        <v>-</v>
      </c>
      <c r="NY93" s="181" t="str">
        <f t="shared" si="840"/>
        <v>Harvest</v>
      </c>
      <c r="NZ93" s="155" t="str">
        <f t="shared" si="840"/>
        <v>-</v>
      </c>
      <c r="OA93" s="155" t="str">
        <f t="shared" si="840"/>
        <v>-</v>
      </c>
      <c r="OB93" s="155" t="str">
        <f t="shared" si="840"/>
        <v>-</v>
      </c>
      <c r="OC93" s="177" t="str">
        <f t="shared" si="840"/>
        <v>-</v>
      </c>
      <c r="OD93" s="181" t="str">
        <f t="shared" si="840"/>
        <v>Harvest</v>
      </c>
      <c r="OE93" s="177" t="str">
        <f t="shared" si="840"/>
        <v>-</v>
      </c>
      <c r="OF93" s="181" t="str">
        <f t="shared" si="840"/>
        <v>Harvest</v>
      </c>
      <c r="OG93" s="155" t="str">
        <f t="shared" si="840"/>
        <v>-</v>
      </c>
      <c r="OH93" s="155" t="str">
        <f t="shared" si="840"/>
        <v>-</v>
      </c>
      <c r="OI93" s="155" t="str">
        <f t="shared" si="840"/>
        <v>-</v>
      </c>
      <c r="OJ93" s="177" t="str">
        <f t="shared" si="840"/>
        <v>-</v>
      </c>
      <c r="OK93" s="181" t="str">
        <f t="shared" si="840"/>
        <v>Harvest</v>
      </c>
      <c r="OL93" s="177" t="str">
        <f t="shared" si="840"/>
        <v>-</v>
      </c>
      <c r="OM93" s="181" t="str">
        <f t="shared" si="840"/>
        <v>Harvest</v>
      </c>
      <c r="ON93" s="155" t="str">
        <f t="shared" si="840"/>
        <v>-</v>
      </c>
      <c r="OO93" s="155" t="str">
        <f t="shared" si="840"/>
        <v>-</v>
      </c>
      <c r="OP93" s="155" t="str">
        <f t="shared" si="840"/>
        <v>-</v>
      </c>
      <c r="OQ93" s="177" t="str">
        <f t="shared" si="840"/>
        <v>-</v>
      </c>
      <c r="OR93" s="181" t="str">
        <f t="shared" si="840"/>
        <v>Harvest</v>
      </c>
      <c r="OS93" s="177" t="str">
        <f t="shared" si="840"/>
        <v>-</v>
      </c>
      <c r="OT93" s="181" t="str">
        <f t="shared" si="840"/>
        <v>Harvest</v>
      </c>
      <c r="OU93" s="184"/>
      <c r="OV93" s="184"/>
      <c r="OW93" s="184"/>
      <c r="OX93" s="23"/>
      <c r="OY93" s="23"/>
      <c r="OZ93" s="23"/>
      <c r="PA93" s="23"/>
      <c r="PB93" s="23"/>
      <c r="PC93" s="23"/>
      <c r="PD93" s="23"/>
      <c r="PE93" s="23"/>
      <c r="PF93" s="23"/>
      <c r="PG93" s="23"/>
      <c r="PH93" s="23"/>
      <c r="PI93" s="23"/>
      <c r="PJ93" s="23"/>
      <c r="PK93" s="23"/>
      <c r="PL93" s="23"/>
      <c r="PM93" s="23"/>
      <c r="PN93" s="23"/>
      <c r="PO93" s="23"/>
      <c r="PP93" s="23"/>
      <c r="PQ93" s="23"/>
      <c r="PR93" s="23"/>
      <c r="PS93" s="23"/>
      <c r="PT93" s="23"/>
      <c r="PU93" s="23"/>
      <c r="PV93" s="23"/>
      <c r="PW93" s="23"/>
      <c r="PX93" s="23"/>
      <c r="PY93" s="23"/>
      <c r="PZ93" s="23"/>
      <c r="QA93" s="23"/>
      <c r="QB93" s="23"/>
      <c r="QC93" s="23"/>
      <c r="QD93" s="23"/>
      <c r="QE93" s="23"/>
      <c r="QF93" s="23"/>
      <c r="QG93" s="23"/>
      <c r="QH93" s="23"/>
      <c r="QI93" s="23"/>
      <c r="QJ93" s="23"/>
      <c r="QK93" s="23"/>
      <c r="QL93" s="23"/>
      <c r="QM93" s="23"/>
      <c r="QN93" s="23"/>
      <c r="QO93" s="23"/>
      <c r="QP93" s="23"/>
      <c r="QQ93" s="23"/>
      <c r="QR93" s="23"/>
      <c r="QS93" s="23"/>
      <c r="QT93" s="23"/>
      <c r="QU93" s="23"/>
      <c r="QV93" s="23"/>
      <c r="QW93" s="23"/>
      <c r="QX93" s="23"/>
      <c r="QY93" s="23"/>
      <c r="QZ93" s="23"/>
      <c r="RA93" s="23"/>
      <c r="RB93" s="23"/>
      <c r="RC93" s="23"/>
      <c r="RD93" s="23"/>
      <c r="RE93" s="23"/>
      <c r="RF93" s="23"/>
      <c r="RG93" s="23"/>
      <c r="RH93" s="23"/>
      <c r="RI93" s="23"/>
      <c r="RJ93" s="23"/>
      <c r="RK93" s="23"/>
      <c r="RL93" s="23"/>
      <c r="RM93" s="23"/>
      <c r="RN93" s="23"/>
      <c r="RO93" s="23"/>
      <c r="RP93" s="23"/>
      <c r="RQ93" s="23"/>
      <c r="RR93" s="23"/>
      <c r="RS93" s="23"/>
      <c r="RT93" s="23"/>
      <c r="RU93" s="23"/>
      <c r="RV93" s="23"/>
      <c r="RW93" s="23"/>
      <c r="RX93" s="23"/>
      <c r="RY93" s="23"/>
      <c r="RZ93" s="23"/>
      <c r="SA93" s="23"/>
      <c r="SB93" s="23"/>
      <c r="SC93" s="23"/>
      <c r="SD93" s="23"/>
      <c r="SE93" s="23"/>
      <c r="SF93" s="23"/>
      <c r="SG93" s="23"/>
      <c r="SH93" s="23"/>
      <c r="SI93" s="23"/>
      <c r="SJ93" s="23"/>
      <c r="SK93" s="23"/>
      <c r="SL93" s="23"/>
      <c r="SM93" s="23"/>
      <c r="SN93" s="23"/>
      <c r="SO93" s="23"/>
      <c r="SP93" s="23"/>
      <c r="SQ93" s="23"/>
      <c r="SR93" s="23"/>
      <c r="SS93" s="23"/>
      <c r="ST93" s="23"/>
      <c r="SU93" s="23"/>
      <c r="SV93" s="23"/>
      <c r="SW93" s="23"/>
      <c r="SX93" s="23"/>
      <c r="SY93" s="23"/>
      <c r="SZ93" s="23"/>
      <c r="TA93" s="184"/>
      <c r="TB93" s="185"/>
      <c r="TC93" s="11"/>
      <c r="TD93" s="11"/>
      <c r="TE93" s="11"/>
      <c r="TF93" s="11"/>
    </row>
    <row r="94" spans="1:526" ht="22.15" customHeight="1" thickBot="1" x14ac:dyDescent="0.3">
      <c r="A94" s="298"/>
      <c r="B94" s="25" t="s">
        <v>27</v>
      </c>
      <c r="BY94" s="184"/>
      <c r="BZ94" s="184"/>
      <c r="CA94" s="184"/>
      <c r="CB94" s="184"/>
      <c r="CC94" s="184"/>
      <c r="CD94" s="184"/>
      <c r="CE94" s="184"/>
      <c r="CF94" s="184"/>
      <c r="CG94" s="184"/>
      <c r="CH94" s="184"/>
      <c r="CI94" s="184"/>
      <c r="CJ94" s="184"/>
      <c r="CK94" s="184"/>
      <c r="CL94" s="184"/>
      <c r="CM94" s="184"/>
      <c r="CN94" s="184"/>
      <c r="CO94" s="184"/>
      <c r="CP94" s="184"/>
      <c r="CQ94" s="184"/>
      <c r="CR94" s="184"/>
      <c r="CS94" s="184"/>
      <c r="CT94" s="184"/>
      <c r="CU94" s="184"/>
      <c r="CV94" s="184"/>
      <c r="CW94" s="184"/>
      <c r="CX94" s="184"/>
      <c r="CY94" s="184"/>
      <c r="CZ94" s="184"/>
      <c r="DA94" s="184"/>
      <c r="DB94" s="184"/>
      <c r="DC94" s="184"/>
      <c r="DD94" s="184"/>
      <c r="DE94" s="184"/>
      <c r="DF94" s="184"/>
      <c r="DG94" s="184"/>
      <c r="DH94" s="184"/>
      <c r="DI94" s="184"/>
      <c r="DJ94" s="184"/>
      <c r="DK94" s="184"/>
      <c r="DL94" s="184"/>
      <c r="DM94" s="184"/>
      <c r="DN94" s="184"/>
      <c r="DO94" s="184"/>
      <c r="DP94" s="184"/>
      <c r="DQ94" s="184"/>
      <c r="DR94" s="184"/>
      <c r="DS94" s="184"/>
      <c r="DT94" s="184"/>
      <c r="DU94" s="184"/>
      <c r="DV94" s="184"/>
      <c r="DW94" s="184"/>
      <c r="DX94" s="184"/>
      <c r="DY94" s="184"/>
      <c r="DZ94" s="184"/>
      <c r="EA94" s="184"/>
      <c r="EB94" s="184"/>
      <c r="EC94" s="184"/>
      <c r="ED94" s="184"/>
      <c r="EE94" s="184"/>
      <c r="EF94" s="184"/>
      <c r="EG94" s="184"/>
      <c r="EH94" s="184"/>
      <c r="EI94" s="184"/>
      <c r="EJ94" s="184"/>
      <c r="EK94" s="184"/>
      <c r="EL94" s="184"/>
      <c r="EM94" s="184"/>
      <c r="EN94" s="184"/>
      <c r="EO94" s="184"/>
      <c r="EP94" s="184"/>
      <c r="EQ94" s="184"/>
      <c r="ER94" s="184"/>
      <c r="ES94" s="184"/>
      <c r="ET94" s="184"/>
      <c r="EU94" s="184"/>
      <c r="EV94" s="184"/>
      <c r="EW94" s="184"/>
      <c r="EX94" s="184"/>
      <c r="EY94" s="184"/>
      <c r="EZ94" s="184"/>
      <c r="FA94" s="184"/>
      <c r="FB94" s="184"/>
      <c r="FC94" s="184"/>
      <c r="FD94" s="184"/>
      <c r="FE94" s="184"/>
      <c r="FF94" s="184"/>
      <c r="FG94" s="184"/>
      <c r="FH94" s="184"/>
      <c r="FI94" s="184"/>
      <c r="FJ94" s="184"/>
      <c r="FK94" s="184"/>
      <c r="FL94" s="184"/>
      <c r="FM94" s="184"/>
      <c r="FN94" s="184"/>
      <c r="FO94" s="184"/>
      <c r="FP94" s="184"/>
      <c r="FQ94" s="184"/>
      <c r="FR94" s="184"/>
      <c r="FS94" s="184"/>
      <c r="FT94" s="184"/>
      <c r="FU94" s="184"/>
      <c r="FV94" s="184"/>
      <c r="FW94" s="184"/>
      <c r="FX94" s="184"/>
      <c r="FY94" s="184"/>
      <c r="FZ94" s="184"/>
      <c r="GA94" s="184"/>
      <c r="GB94" s="184"/>
      <c r="GC94" s="184"/>
      <c r="GD94" s="184"/>
      <c r="GE94" s="184"/>
      <c r="GF94" s="184"/>
      <c r="GG94" s="184"/>
      <c r="GH94" s="184"/>
      <c r="GI94" s="184"/>
      <c r="GJ94" s="184"/>
      <c r="GK94" s="184"/>
      <c r="GL94" s="184"/>
      <c r="GM94" s="184"/>
      <c r="GN94" s="184"/>
      <c r="GO94" s="184"/>
      <c r="GP94" s="184"/>
      <c r="GQ94" s="184"/>
      <c r="GR94" s="184"/>
      <c r="GS94" s="184"/>
      <c r="GT94" s="184"/>
      <c r="GU94" s="184"/>
      <c r="GV94" s="184"/>
      <c r="GW94" s="184"/>
      <c r="GX94" s="184"/>
      <c r="GY94" s="184"/>
      <c r="GZ94" s="184"/>
      <c r="HA94" s="184"/>
      <c r="HB94" s="184"/>
      <c r="HC94" s="184"/>
      <c r="HD94" s="184"/>
      <c r="HE94" s="184"/>
      <c r="HF94" s="184"/>
      <c r="HG94" s="184"/>
      <c r="HH94" s="184"/>
      <c r="HI94" s="184"/>
      <c r="HJ94" s="184"/>
      <c r="HK94" s="184"/>
      <c r="HL94" s="184"/>
      <c r="HM94" s="184"/>
      <c r="HN94" s="184"/>
      <c r="HO94" s="184"/>
      <c r="HP94" s="184"/>
      <c r="HQ94" s="184"/>
      <c r="HR94" s="184"/>
      <c r="HS94" s="184"/>
      <c r="HT94" s="184"/>
      <c r="HU94" s="184"/>
      <c r="HV94" s="184"/>
      <c r="HW94" s="184"/>
      <c r="HX94" s="184"/>
      <c r="HY94" s="184"/>
      <c r="HZ94" s="184"/>
      <c r="IA94" s="184"/>
      <c r="IB94" s="184"/>
      <c r="IC94" s="184"/>
      <c r="ID94" s="184"/>
      <c r="IE94" s="184"/>
      <c r="IF94" s="184"/>
      <c r="IG94" s="184"/>
      <c r="IH94" s="184"/>
      <c r="II94" s="184"/>
      <c r="IJ94" s="184"/>
      <c r="IK94" s="184"/>
      <c r="IL94" s="184"/>
      <c r="IM94" s="184"/>
      <c r="IN94" s="184"/>
      <c r="IO94" s="184"/>
      <c r="IP94" s="184"/>
      <c r="IQ94" s="184"/>
      <c r="IR94" s="184"/>
      <c r="IS94" s="184"/>
      <c r="IT94" s="184"/>
      <c r="IU94" s="184"/>
      <c r="IV94" s="184"/>
      <c r="IW94" s="184"/>
      <c r="IX94" s="121">
        <f t="shared" si="824"/>
        <v>0</v>
      </c>
      <c r="IY94" s="108">
        <f t="shared" si="825"/>
        <v>0</v>
      </c>
      <c r="IZ94" s="108">
        <f t="shared" si="826"/>
        <v>0</v>
      </c>
      <c r="JA94" s="108">
        <f t="shared" si="827"/>
        <v>0</v>
      </c>
      <c r="JB94" s="108">
        <f t="shared" si="828"/>
        <v>0</v>
      </c>
      <c r="JC94" s="108">
        <f t="shared" si="829"/>
        <v>0</v>
      </c>
      <c r="JD94" s="108">
        <f t="shared" si="830"/>
        <v>0</v>
      </c>
      <c r="JE94" s="108">
        <f t="shared" si="831"/>
        <v>0</v>
      </c>
      <c r="JF94" s="108">
        <f t="shared" si="832"/>
        <v>0</v>
      </c>
      <c r="JG94" s="108">
        <f t="shared" si="833"/>
        <v>0</v>
      </c>
      <c r="JH94" s="108">
        <f t="shared" si="834"/>
        <v>0</v>
      </c>
      <c r="JI94" s="108">
        <f t="shared" si="835"/>
        <v>0</v>
      </c>
      <c r="JJ94" s="108">
        <f t="shared" si="836"/>
        <v>0</v>
      </c>
      <c r="JK94" s="108">
        <f t="shared" si="837"/>
        <v>0</v>
      </c>
      <c r="JL94" s="108">
        <f t="shared" si="838"/>
        <v>0</v>
      </c>
      <c r="JM94" s="108">
        <f t="shared" si="828"/>
        <v>0</v>
      </c>
      <c r="JN94" s="108">
        <f t="shared" si="828"/>
        <v>0</v>
      </c>
      <c r="JO94" s="108">
        <f t="shared" si="828"/>
        <v>0</v>
      </c>
      <c r="JP94" s="108">
        <f t="shared" si="828"/>
        <v>0</v>
      </c>
      <c r="JQ94" s="108">
        <f t="shared" si="828"/>
        <v>0</v>
      </c>
      <c r="JR94" s="108">
        <f t="shared" si="828"/>
        <v>0</v>
      </c>
      <c r="JS94" s="108">
        <f t="shared" si="828"/>
        <v>0</v>
      </c>
      <c r="JT94" s="108">
        <f t="shared" si="828"/>
        <v>0</v>
      </c>
      <c r="JU94" s="108">
        <f t="shared" si="828"/>
        <v>0</v>
      </c>
      <c r="JV94" s="108">
        <f t="shared" si="828"/>
        <v>0</v>
      </c>
      <c r="JW94" s="108">
        <f t="shared" si="828"/>
        <v>0</v>
      </c>
      <c r="JX94" s="108">
        <f t="shared" si="828"/>
        <v>0</v>
      </c>
      <c r="JY94" s="108">
        <f t="shared" si="828"/>
        <v>0</v>
      </c>
      <c r="JZ94" s="108">
        <f t="shared" si="828"/>
        <v>0</v>
      </c>
      <c r="KA94" s="108">
        <f t="shared" si="828"/>
        <v>0</v>
      </c>
      <c r="KB94" s="108">
        <f t="shared" si="828"/>
        <v>0</v>
      </c>
      <c r="KC94" s="108">
        <f t="shared" si="828"/>
        <v>0</v>
      </c>
      <c r="KD94" s="108">
        <f t="shared" si="828"/>
        <v>0</v>
      </c>
      <c r="KE94" s="108">
        <f t="shared" si="828"/>
        <v>0</v>
      </c>
      <c r="KF94" s="108">
        <f t="shared" si="828"/>
        <v>0</v>
      </c>
      <c r="KG94" s="108">
        <f t="shared" si="828"/>
        <v>0</v>
      </c>
      <c r="KH94" s="108">
        <f t="shared" si="828"/>
        <v>0</v>
      </c>
      <c r="KI94" s="108">
        <f t="shared" si="828"/>
        <v>0</v>
      </c>
      <c r="KJ94" s="108">
        <f t="shared" si="828"/>
        <v>0</v>
      </c>
      <c r="KK94" s="108">
        <f t="shared" si="828"/>
        <v>0</v>
      </c>
      <c r="KL94" s="108">
        <f t="shared" si="828"/>
        <v>0</v>
      </c>
      <c r="KM94" s="108">
        <f t="shared" si="828"/>
        <v>0</v>
      </c>
      <c r="KN94" s="108">
        <f t="shared" si="828"/>
        <v>0</v>
      </c>
      <c r="KO94" s="108">
        <f t="shared" si="828"/>
        <v>0</v>
      </c>
      <c r="KP94" s="108">
        <f t="shared" si="828"/>
        <v>0</v>
      </c>
      <c r="KQ94" s="108">
        <f t="shared" si="828"/>
        <v>0</v>
      </c>
      <c r="KR94" s="108">
        <f t="shared" si="828"/>
        <v>0</v>
      </c>
      <c r="KS94" s="108">
        <f t="shared" si="828"/>
        <v>0</v>
      </c>
      <c r="KT94" s="108">
        <f t="shared" si="828"/>
        <v>0</v>
      </c>
      <c r="KU94" s="108">
        <f t="shared" si="828"/>
        <v>0</v>
      </c>
      <c r="KV94" s="108">
        <f t="shared" si="828"/>
        <v>0</v>
      </c>
      <c r="KW94" s="145">
        <f t="shared" si="828"/>
        <v>0</v>
      </c>
      <c r="KX94" s="145">
        <f t="shared" si="828"/>
        <v>0</v>
      </c>
      <c r="KY94" s="145">
        <f t="shared" si="828"/>
        <v>0</v>
      </c>
      <c r="KZ94" s="145">
        <f t="shared" si="828"/>
        <v>0</v>
      </c>
      <c r="LA94" s="145">
        <f t="shared" si="828"/>
        <v>0</v>
      </c>
      <c r="LB94" s="145">
        <f t="shared" si="828"/>
        <v>0</v>
      </c>
      <c r="LC94" s="145">
        <f t="shared" si="828"/>
        <v>0</v>
      </c>
      <c r="LD94" s="145">
        <f t="shared" si="828"/>
        <v>0</v>
      </c>
      <c r="LE94" s="145">
        <f t="shared" si="828"/>
        <v>0</v>
      </c>
      <c r="LF94" s="145">
        <f t="shared" si="828"/>
        <v>0</v>
      </c>
      <c r="LG94" s="145">
        <f t="shared" si="828"/>
        <v>0</v>
      </c>
      <c r="LH94" s="145">
        <f t="shared" si="828"/>
        <v>0</v>
      </c>
      <c r="LI94" s="145">
        <f t="shared" si="828"/>
        <v>0</v>
      </c>
      <c r="LJ94" s="145">
        <f t="shared" si="828"/>
        <v>0</v>
      </c>
      <c r="LK94" s="145">
        <f t="shared" si="839"/>
        <v>0</v>
      </c>
      <c r="LL94" s="145">
        <f t="shared" si="839"/>
        <v>0</v>
      </c>
      <c r="LM94" s="145">
        <f t="shared" si="839"/>
        <v>0</v>
      </c>
      <c r="LN94" s="145">
        <f t="shared" si="839"/>
        <v>0</v>
      </c>
      <c r="LO94" s="145">
        <f t="shared" si="839"/>
        <v>0</v>
      </c>
      <c r="LP94" s="145">
        <f t="shared" si="839"/>
        <v>0</v>
      </c>
      <c r="LQ94" s="145">
        <f t="shared" si="839"/>
        <v>0</v>
      </c>
      <c r="LR94" s="145">
        <f t="shared" si="839"/>
        <v>0</v>
      </c>
      <c r="LS94" s="145">
        <f t="shared" si="839"/>
        <v>0</v>
      </c>
      <c r="LT94" s="146">
        <f t="shared" si="839"/>
        <v>0</v>
      </c>
      <c r="LU94" s="146">
        <f t="shared" si="839"/>
        <v>0</v>
      </c>
      <c r="LV94" s="146">
        <f t="shared" si="839"/>
        <v>0</v>
      </c>
      <c r="LW94" s="146">
        <f t="shared" si="839"/>
        <v>0</v>
      </c>
      <c r="LX94" s="146">
        <f t="shared" si="839"/>
        <v>0</v>
      </c>
      <c r="LY94" s="146">
        <f t="shared" si="839"/>
        <v>0</v>
      </c>
      <c r="LZ94" s="146">
        <f t="shared" si="839"/>
        <v>0</v>
      </c>
      <c r="MA94" s="146">
        <f t="shared" si="839"/>
        <v>0</v>
      </c>
      <c r="MB94" s="146">
        <f t="shared" si="839"/>
        <v>0</v>
      </c>
      <c r="MC94" s="146">
        <f t="shared" si="839"/>
        <v>0</v>
      </c>
      <c r="MD94" s="146">
        <f t="shared" si="839"/>
        <v>0</v>
      </c>
      <c r="ME94" s="146">
        <f t="shared" si="839"/>
        <v>0</v>
      </c>
      <c r="MF94" s="146">
        <f t="shared" si="839"/>
        <v>0</v>
      </c>
      <c r="MG94" s="146">
        <f t="shared" si="839"/>
        <v>0</v>
      </c>
      <c r="MH94" s="146">
        <f t="shared" si="839"/>
        <v>0</v>
      </c>
      <c r="MI94" s="146">
        <f t="shared" si="839"/>
        <v>0</v>
      </c>
      <c r="MJ94" s="146">
        <f t="shared" si="839"/>
        <v>0</v>
      </c>
      <c r="MK94" s="146">
        <f t="shared" si="839"/>
        <v>0</v>
      </c>
      <c r="ML94" s="146">
        <f t="shared" si="839"/>
        <v>0</v>
      </c>
      <c r="MM94" s="146">
        <f t="shared" si="839"/>
        <v>0</v>
      </c>
      <c r="MN94" s="146">
        <f t="shared" si="839"/>
        <v>0</v>
      </c>
      <c r="MO94" s="146">
        <f t="shared" si="839"/>
        <v>0</v>
      </c>
      <c r="MP94" s="146">
        <f t="shared" si="839"/>
        <v>0</v>
      </c>
      <c r="MQ94" s="146">
        <f t="shared" si="839"/>
        <v>0</v>
      </c>
      <c r="MR94" s="146">
        <f t="shared" si="839"/>
        <v>0</v>
      </c>
      <c r="MS94" s="146">
        <f t="shared" si="839"/>
        <v>0</v>
      </c>
      <c r="MT94" s="146">
        <f t="shared" si="839"/>
        <v>0</v>
      </c>
      <c r="MU94" s="146">
        <f t="shared" si="839"/>
        <v>0</v>
      </c>
      <c r="MV94" s="156">
        <f t="shared" si="839"/>
        <v>0</v>
      </c>
      <c r="MW94" s="156">
        <f t="shared" si="839"/>
        <v>0</v>
      </c>
      <c r="MX94" s="156">
        <f t="shared" si="839"/>
        <v>0</v>
      </c>
      <c r="MY94" s="156">
        <f t="shared" si="839"/>
        <v>0</v>
      </c>
      <c r="MZ94" s="156">
        <f t="shared" si="839"/>
        <v>0</v>
      </c>
      <c r="NA94" s="156">
        <f t="shared" si="839"/>
        <v>0</v>
      </c>
      <c r="NB94" s="156">
        <f t="shared" si="839"/>
        <v>0</v>
      </c>
      <c r="NC94" s="156">
        <f t="shared" si="839"/>
        <v>0</v>
      </c>
      <c r="ND94" s="156">
        <f t="shared" si="839"/>
        <v>0</v>
      </c>
      <c r="NE94" s="156">
        <f t="shared" si="839"/>
        <v>0</v>
      </c>
      <c r="NF94" s="156">
        <f t="shared" si="839"/>
        <v>0</v>
      </c>
      <c r="NG94" s="156">
        <f t="shared" si="839"/>
        <v>0</v>
      </c>
      <c r="NH94" s="156">
        <f t="shared" si="839"/>
        <v>0</v>
      </c>
      <c r="NI94" s="156">
        <f t="shared" si="839"/>
        <v>0</v>
      </c>
      <c r="NJ94" s="156">
        <f t="shared" si="839"/>
        <v>0</v>
      </c>
      <c r="NK94" s="156">
        <f t="shared" si="839"/>
        <v>0</v>
      </c>
      <c r="NL94" s="156">
        <f t="shared" si="839"/>
        <v>0</v>
      </c>
      <c r="NM94" s="156">
        <f t="shared" si="839"/>
        <v>0</v>
      </c>
      <c r="NN94" s="156">
        <f t="shared" si="839"/>
        <v>0</v>
      </c>
      <c r="NO94" s="156">
        <f t="shared" si="839"/>
        <v>0</v>
      </c>
      <c r="NP94" s="156">
        <f t="shared" si="839"/>
        <v>0</v>
      </c>
      <c r="NQ94" s="156">
        <f t="shared" si="839"/>
        <v>0</v>
      </c>
      <c r="NR94" s="156">
        <f t="shared" si="839"/>
        <v>0</v>
      </c>
      <c r="NS94" s="156">
        <f t="shared" si="839"/>
        <v>0</v>
      </c>
      <c r="NT94" s="156">
        <f t="shared" si="839"/>
        <v>0</v>
      </c>
      <c r="NU94" s="156">
        <f t="shared" si="839"/>
        <v>0</v>
      </c>
      <c r="NV94" s="156">
        <f t="shared" si="839"/>
        <v>0</v>
      </c>
      <c r="NW94" s="179">
        <f t="shared" si="840"/>
        <v>0</v>
      </c>
      <c r="NX94" s="156">
        <f t="shared" si="840"/>
        <v>0</v>
      </c>
      <c r="NY94" s="179">
        <f t="shared" si="840"/>
        <v>0</v>
      </c>
      <c r="NZ94" s="156">
        <f t="shared" si="840"/>
        <v>0</v>
      </c>
      <c r="OA94" s="156">
        <f t="shared" si="840"/>
        <v>0</v>
      </c>
      <c r="OB94" s="156">
        <f t="shared" si="840"/>
        <v>0</v>
      </c>
      <c r="OC94" s="156">
        <f t="shared" si="840"/>
        <v>0</v>
      </c>
      <c r="OD94" s="179">
        <f t="shared" si="840"/>
        <v>0</v>
      </c>
      <c r="OE94" s="156">
        <f t="shared" si="840"/>
        <v>0</v>
      </c>
      <c r="OF94" s="179">
        <f t="shared" si="840"/>
        <v>0</v>
      </c>
      <c r="OG94" s="156">
        <f t="shared" si="840"/>
        <v>0</v>
      </c>
      <c r="OH94" s="156">
        <f t="shared" si="840"/>
        <v>0</v>
      </c>
      <c r="OI94" s="156">
        <f t="shared" si="840"/>
        <v>0</v>
      </c>
      <c r="OJ94" s="156">
        <f t="shared" si="840"/>
        <v>0</v>
      </c>
      <c r="OK94" s="179">
        <f t="shared" si="840"/>
        <v>0</v>
      </c>
      <c r="OL94" s="156">
        <f t="shared" si="840"/>
        <v>0</v>
      </c>
      <c r="OM94" s="179">
        <f t="shared" si="840"/>
        <v>0</v>
      </c>
      <c r="ON94" s="156">
        <f t="shared" si="840"/>
        <v>0</v>
      </c>
      <c r="OO94" s="156">
        <f t="shared" si="840"/>
        <v>0</v>
      </c>
      <c r="OP94" s="156">
        <f t="shared" si="840"/>
        <v>0</v>
      </c>
      <c r="OQ94" s="156">
        <f t="shared" si="840"/>
        <v>0</v>
      </c>
      <c r="OR94" s="179">
        <f t="shared" si="840"/>
        <v>0</v>
      </c>
      <c r="OS94" s="156">
        <f t="shared" si="840"/>
        <v>0</v>
      </c>
      <c r="OT94" s="179">
        <f t="shared" si="840"/>
        <v>0</v>
      </c>
      <c r="OU94" s="184"/>
      <c r="OV94" s="184"/>
      <c r="OW94" s="184"/>
      <c r="OX94" s="20"/>
      <c r="OY94" s="20"/>
      <c r="OZ94" s="20"/>
      <c r="PA94" s="20"/>
      <c r="PB94" s="20"/>
      <c r="PC94" s="20"/>
      <c r="PD94" s="20"/>
      <c r="PE94" s="20"/>
      <c r="PF94" s="20"/>
      <c r="PG94" s="20"/>
      <c r="PH94" s="20"/>
      <c r="PI94" s="20"/>
      <c r="PJ94" s="20"/>
      <c r="PK94" s="20"/>
      <c r="PL94" s="20"/>
      <c r="PM94" s="20"/>
      <c r="PN94" s="20"/>
      <c r="PO94" s="20"/>
      <c r="PP94" s="20"/>
      <c r="PQ94" s="20"/>
      <c r="PR94" s="20"/>
      <c r="PS94" s="20"/>
      <c r="PT94" s="20"/>
      <c r="PU94" s="20"/>
      <c r="PV94" s="20"/>
      <c r="PW94" s="20"/>
      <c r="PX94" s="20"/>
      <c r="PY94" s="20"/>
      <c r="PZ94" s="20"/>
      <c r="QA94" s="20"/>
      <c r="QB94" s="20"/>
      <c r="QC94" s="20"/>
      <c r="QD94" s="20"/>
      <c r="QE94" s="20"/>
      <c r="QF94" s="20"/>
      <c r="QG94" s="20"/>
      <c r="QH94" s="20"/>
      <c r="QI94" s="20"/>
      <c r="QJ94" s="20"/>
      <c r="QK94" s="20"/>
      <c r="QL94" s="20"/>
      <c r="QM94" s="20"/>
      <c r="QN94" s="20"/>
      <c r="QO94" s="20"/>
      <c r="QP94" s="20"/>
      <c r="QQ94" s="20"/>
      <c r="QR94" s="20"/>
      <c r="QS94" s="20"/>
      <c r="QT94" s="20"/>
      <c r="QU94" s="20"/>
      <c r="QV94" s="20"/>
      <c r="QW94" s="20"/>
      <c r="QX94" s="20"/>
      <c r="QY94" s="20"/>
      <c r="QZ94" s="20"/>
      <c r="RA94" s="20"/>
      <c r="RB94" s="20"/>
      <c r="RC94" s="20"/>
      <c r="RD94" s="20"/>
      <c r="RE94" s="20"/>
      <c r="RF94" s="20"/>
      <c r="RG94" s="20"/>
      <c r="RH94" s="20"/>
      <c r="RI94" s="20"/>
      <c r="RJ94" s="20"/>
      <c r="RK94" s="20"/>
      <c r="RL94" s="20"/>
      <c r="RM94" s="20"/>
      <c r="RN94" s="20"/>
      <c r="RO94" s="20"/>
      <c r="RP94" s="20"/>
      <c r="RQ94" s="20"/>
      <c r="RR94" s="20"/>
      <c r="RS94" s="20"/>
      <c r="RT94" s="20"/>
      <c r="RU94" s="20"/>
      <c r="RV94" s="20"/>
      <c r="RW94" s="20"/>
      <c r="RX94" s="20"/>
      <c r="RY94" s="20"/>
      <c r="RZ94" s="20"/>
      <c r="SA94" s="20"/>
      <c r="SB94" s="20"/>
      <c r="SC94" s="20"/>
      <c r="SD94" s="20"/>
      <c r="SE94" s="20"/>
      <c r="SF94" s="20"/>
      <c r="SG94" s="20"/>
      <c r="SH94" s="20"/>
      <c r="SI94" s="20"/>
      <c r="SJ94" s="20"/>
      <c r="SK94" s="20"/>
      <c r="SL94" s="20"/>
      <c r="SM94" s="20"/>
      <c r="SN94" s="20"/>
      <c r="SO94" s="20"/>
      <c r="SP94" s="20"/>
      <c r="SQ94" s="20"/>
      <c r="SR94" s="20"/>
      <c r="SS94" s="20"/>
      <c r="ST94" s="20"/>
      <c r="SU94" s="20"/>
      <c r="SV94" s="20"/>
      <c r="SW94" s="20"/>
      <c r="SX94" s="20"/>
      <c r="SY94" s="20"/>
      <c r="SZ94" s="20"/>
      <c r="TA94" s="184"/>
      <c r="TB94" s="185"/>
      <c r="TC94" s="11"/>
      <c r="TD94" s="11"/>
      <c r="TE94" s="11"/>
      <c r="TF94" s="11"/>
    </row>
    <row r="95" spans="1:526" ht="22.15" customHeight="1" thickBot="1" x14ac:dyDescent="0.3">
      <c r="A95" s="298"/>
      <c r="B95" s="25" t="s">
        <v>25</v>
      </c>
      <c r="BY95" s="184"/>
      <c r="BZ95" s="184"/>
      <c r="CA95" s="184"/>
      <c r="CB95" s="184"/>
      <c r="CC95" s="184"/>
      <c r="CD95" s="184"/>
      <c r="CE95" s="184"/>
      <c r="CF95" s="184"/>
      <c r="CG95" s="184"/>
      <c r="CH95" s="184"/>
      <c r="CI95" s="184"/>
      <c r="CJ95" s="184"/>
      <c r="CK95" s="184"/>
      <c r="CL95" s="184"/>
      <c r="CM95" s="184"/>
      <c r="CN95" s="184"/>
      <c r="CO95" s="184"/>
      <c r="CP95" s="184"/>
      <c r="CQ95" s="184"/>
      <c r="CR95" s="184"/>
      <c r="CS95" s="184"/>
      <c r="CT95" s="184"/>
      <c r="CU95" s="184"/>
      <c r="CV95" s="184"/>
      <c r="CW95" s="184"/>
      <c r="CX95" s="184"/>
      <c r="CY95" s="184"/>
      <c r="CZ95" s="184"/>
      <c r="DA95" s="184"/>
      <c r="DB95" s="184"/>
      <c r="DC95" s="184"/>
      <c r="DD95" s="184"/>
      <c r="DE95" s="184"/>
      <c r="DF95" s="184"/>
      <c r="DG95" s="184"/>
      <c r="DH95" s="184"/>
      <c r="DI95" s="184"/>
      <c r="DJ95" s="184"/>
      <c r="DK95" s="184"/>
      <c r="DL95" s="184"/>
      <c r="DM95" s="184"/>
      <c r="DN95" s="184"/>
      <c r="DO95" s="184"/>
      <c r="DP95" s="184"/>
      <c r="DQ95" s="184"/>
      <c r="DR95" s="184"/>
      <c r="DS95" s="184"/>
      <c r="DT95" s="184"/>
      <c r="DU95" s="184"/>
      <c r="DV95" s="184"/>
      <c r="DW95" s="184"/>
      <c r="DX95" s="184"/>
      <c r="DY95" s="184"/>
      <c r="DZ95" s="184"/>
      <c r="EA95" s="184"/>
      <c r="EB95" s="184"/>
      <c r="EC95" s="184"/>
      <c r="ED95" s="184"/>
      <c r="EE95" s="184"/>
      <c r="EF95" s="184"/>
      <c r="EG95" s="184"/>
      <c r="EH95" s="184"/>
      <c r="EI95" s="184"/>
      <c r="EJ95" s="184"/>
      <c r="EK95" s="184"/>
      <c r="EL95" s="184"/>
      <c r="EM95" s="184"/>
      <c r="EN95" s="184"/>
      <c r="EO95" s="184"/>
      <c r="EP95" s="184"/>
      <c r="EQ95" s="184"/>
      <c r="ER95" s="184"/>
      <c r="ES95" s="184"/>
      <c r="ET95" s="184"/>
      <c r="EU95" s="184"/>
      <c r="EV95" s="184"/>
      <c r="EW95" s="184"/>
      <c r="EX95" s="184"/>
      <c r="EY95" s="184"/>
      <c r="EZ95" s="184"/>
      <c r="FA95" s="184"/>
      <c r="FB95" s="184"/>
      <c r="FC95" s="184"/>
      <c r="FD95" s="184"/>
      <c r="FE95" s="184"/>
      <c r="FF95" s="184"/>
      <c r="FG95" s="184"/>
      <c r="FH95" s="184"/>
      <c r="FI95" s="184"/>
      <c r="FJ95" s="184"/>
      <c r="FK95" s="184"/>
      <c r="FL95" s="184"/>
      <c r="FM95" s="184"/>
      <c r="FN95" s="184"/>
      <c r="FO95" s="184"/>
      <c r="FP95" s="184"/>
      <c r="FQ95" s="184"/>
      <c r="FR95" s="184"/>
      <c r="FS95" s="184"/>
      <c r="FT95" s="184"/>
      <c r="FU95" s="184"/>
      <c r="FV95" s="184"/>
      <c r="FW95" s="184"/>
      <c r="FX95" s="184"/>
      <c r="FY95" s="184"/>
      <c r="FZ95" s="184"/>
      <c r="GA95" s="184"/>
      <c r="GB95" s="184"/>
      <c r="GC95" s="184"/>
      <c r="GD95" s="184"/>
      <c r="GE95" s="184"/>
      <c r="GF95" s="184"/>
      <c r="GG95" s="184"/>
      <c r="GH95" s="184"/>
      <c r="GI95" s="184"/>
      <c r="GJ95" s="184"/>
      <c r="GK95" s="184"/>
      <c r="GL95" s="184"/>
      <c r="GM95" s="184"/>
      <c r="GN95" s="184"/>
      <c r="GO95" s="184"/>
      <c r="GP95" s="184"/>
      <c r="GQ95" s="184"/>
      <c r="GR95" s="184"/>
      <c r="GS95" s="184"/>
      <c r="GT95" s="184"/>
      <c r="GU95" s="184"/>
      <c r="GV95" s="184"/>
      <c r="GW95" s="184"/>
      <c r="GX95" s="184"/>
      <c r="GY95" s="184"/>
      <c r="GZ95" s="184"/>
      <c r="HA95" s="184"/>
      <c r="HB95" s="184"/>
      <c r="HC95" s="184"/>
      <c r="HD95" s="184"/>
      <c r="HE95" s="184"/>
      <c r="HF95" s="184"/>
      <c r="HG95" s="184"/>
      <c r="HH95" s="184"/>
      <c r="HI95" s="184"/>
      <c r="HJ95" s="184"/>
      <c r="HK95" s="184"/>
      <c r="HL95" s="184"/>
      <c r="HM95" s="184"/>
      <c r="HN95" s="184"/>
      <c r="HO95" s="184"/>
      <c r="HP95" s="184"/>
      <c r="HQ95" s="184"/>
      <c r="HR95" s="184"/>
      <c r="HS95" s="184"/>
      <c r="HT95" s="184"/>
      <c r="HU95" s="184"/>
      <c r="HV95" s="184"/>
      <c r="HW95" s="184"/>
      <c r="HX95" s="184"/>
      <c r="HY95" s="184"/>
      <c r="HZ95" s="184"/>
      <c r="IA95" s="184"/>
      <c r="IB95" s="184"/>
      <c r="IC95" s="184"/>
      <c r="ID95" s="184"/>
      <c r="IE95" s="184"/>
      <c r="IF95" s="184"/>
      <c r="IG95" s="184"/>
      <c r="IH95" s="184"/>
      <c r="II95" s="184"/>
      <c r="IJ95" s="184"/>
      <c r="IK95" s="184"/>
      <c r="IL95" s="184"/>
      <c r="IM95" s="184"/>
      <c r="IN95" s="184"/>
      <c r="IO95" s="184"/>
      <c r="IP95" s="184"/>
      <c r="IQ95" s="184"/>
      <c r="IR95" s="184"/>
      <c r="IS95" s="184"/>
      <c r="IT95" s="184"/>
      <c r="IU95" s="184"/>
      <c r="IV95" s="184"/>
      <c r="IW95" s="184"/>
      <c r="IX95" s="138">
        <f t="shared" si="824"/>
        <v>0</v>
      </c>
      <c r="IY95" s="108">
        <f t="shared" si="825"/>
        <v>0</v>
      </c>
      <c r="IZ95" s="108">
        <f t="shared" si="826"/>
        <v>0</v>
      </c>
      <c r="JA95" s="108">
        <f t="shared" si="827"/>
        <v>0</v>
      </c>
      <c r="JB95" s="108">
        <f t="shared" si="828"/>
        <v>0</v>
      </c>
      <c r="JC95" s="108">
        <f t="shared" si="829"/>
        <v>0</v>
      </c>
      <c r="JD95" s="108">
        <f t="shared" si="830"/>
        <v>0</v>
      </c>
      <c r="JE95" s="108">
        <f t="shared" si="831"/>
        <v>0</v>
      </c>
      <c r="JF95" s="108">
        <f t="shared" si="832"/>
        <v>0</v>
      </c>
      <c r="JG95" s="108">
        <f t="shared" si="833"/>
        <v>0</v>
      </c>
      <c r="JH95" s="108">
        <f t="shared" si="834"/>
        <v>0</v>
      </c>
      <c r="JI95" s="108">
        <f t="shared" si="835"/>
        <v>0</v>
      </c>
      <c r="JJ95" s="108">
        <f t="shared" si="836"/>
        <v>0</v>
      </c>
      <c r="JK95" s="108">
        <f t="shared" si="837"/>
        <v>0</v>
      </c>
      <c r="JL95" s="108">
        <f t="shared" si="838"/>
        <v>0</v>
      </c>
      <c r="JM95" s="108">
        <f t="shared" si="828"/>
        <v>0</v>
      </c>
      <c r="JN95" s="108">
        <f t="shared" si="828"/>
        <v>0</v>
      </c>
      <c r="JO95" s="108">
        <f t="shared" si="828"/>
        <v>0</v>
      </c>
      <c r="JP95" s="108">
        <f t="shared" si="828"/>
        <v>0</v>
      </c>
      <c r="JQ95" s="108">
        <f t="shared" si="828"/>
        <v>0</v>
      </c>
      <c r="JR95" s="108">
        <f t="shared" si="828"/>
        <v>0</v>
      </c>
      <c r="JS95" s="108">
        <f t="shared" si="828"/>
        <v>0</v>
      </c>
      <c r="JT95" s="108">
        <f t="shared" si="828"/>
        <v>0</v>
      </c>
      <c r="JU95" s="108">
        <f t="shared" si="828"/>
        <v>0</v>
      </c>
      <c r="JV95" s="108">
        <f t="shared" si="828"/>
        <v>0</v>
      </c>
      <c r="JW95" s="108">
        <f t="shared" si="828"/>
        <v>0</v>
      </c>
      <c r="JX95" s="108">
        <f t="shared" si="828"/>
        <v>0</v>
      </c>
      <c r="JY95" s="108">
        <f t="shared" si="828"/>
        <v>0</v>
      </c>
      <c r="JZ95" s="108">
        <f t="shared" si="828"/>
        <v>0</v>
      </c>
      <c r="KA95" s="108">
        <f t="shared" si="828"/>
        <v>0</v>
      </c>
      <c r="KB95" s="108">
        <f t="shared" si="828"/>
        <v>0</v>
      </c>
      <c r="KC95" s="108">
        <f t="shared" si="828"/>
        <v>0</v>
      </c>
      <c r="KD95" s="108">
        <f t="shared" si="828"/>
        <v>0</v>
      </c>
      <c r="KE95" s="108">
        <f t="shared" si="828"/>
        <v>0</v>
      </c>
      <c r="KF95" s="108">
        <f t="shared" si="828"/>
        <v>0</v>
      </c>
      <c r="KG95" s="108">
        <f t="shared" si="828"/>
        <v>0</v>
      </c>
      <c r="KH95" s="108">
        <f t="shared" si="828"/>
        <v>0</v>
      </c>
      <c r="KI95" s="108">
        <f t="shared" si="828"/>
        <v>0</v>
      </c>
      <c r="KJ95" s="108">
        <f t="shared" si="828"/>
        <v>0</v>
      </c>
      <c r="KK95" s="108">
        <f t="shared" si="828"/>
        <v>0</v>
      </c>
      <c r="KL95" s="108">
        <f t="shared" si="828"/>
        <v>0</v>
      </c>
      <c r="KM95" s="108">
        <f t="shared" si="828"/>
        <v>0</v>
      </c>
      <c r="KN95" s="108">
        <f t="shared" si="828"/>
        <v>0</v>
      </c>
      <c r="KO95" s="108">
        <f t="shared" si="828"/>
        <v>0</v>
      </c>
      <c r="KP95" s="108">
        <f t="shared" si="828"/>
        <v>0</v>
      </c>
      <c r="KQ95" s="108">
        <f t="shared" si="828"/>
        <v>0</v>
      </c>
      <c r="KR95" s="108">
        <f t="shared" si="828"/>
        <v>0</v>
      </c>
      <c r="KS95" s="108">
        <f t="shared" si="828"/>
        <v>0</v>
      </c>
      <c r="KT95" s="108">
        <f t="shared" si="828"/>
        <v>0</v>
      </c>
      <c r="KU95" s="108">
        <f t="shared" si="828"/>
        <v>0</v>
      </c>
      <c r="KV95" s="108">
        <f t="shared" si="828"/>
        <v>0</v>
      </c>
      <c r="KW95" s="145">
        <f t="shared" si="828"/>
        <v>0</v>
      </c>
      <c r="KX95" s="145">
        <f t="shared" si="828"/>
        <v>0</v>
      </c>
      <c r="KY95" s="145">
        <f t="shared" si="828"/>
        <v>0</v>
      </c>
      <c r="KZ95" s="145">
        <f t="shared" si="828"/>
        <v>0</v>
      </c>
      <c r="LA95" s="145">
        <f t="shared" si="828"/>
        <v>0</v>
      </c>
      <c r="LB95" s="145">
        <f t="shared" si="828"/>
        <v>0</v>
      </c>
      <c r="LC95" s="145">
        <f t="shared" si="828"/>
        <v>0</v>
      </c>
      <c r="LD95" s="145">
        <f t="shared" si="828"/>
        <v>0</v>
      </c>
      <c r="LE95" s="145">
        <f t="shared" si="828"/>
        <v>0</v>
      </c>
      <c r="LF95" s="145">
        <f t="shared" si="828"/>
        <v>0</v>
      </c>
      <c r="LG95" s="145">
        <f t="shared" si="828"/>
        <v>0</v>
      </c>
      <c r="LH95" s="145">
        <f t="shared" si="828"/>
        <v>0</v>
      </c>
      <c r="LI95" s="145">
        <f t="shared" si="828"/>
        <v>0</v>
      </c>
      <c r="LJ95" s="145">
        <f t="shared" ref="LJ95:LJ104" si="841">BO30</f>
        <v>0</v>
      </c>
      <c r="LK95" s="145">
        <f t="shared" si="839"/>
        <v>0</v>
      </c>
      <c r="LL95" s="145">
        <f t="shared" si="839"/>
        <v>0</v>
      </c>
      <c r="LM95" s="145">
        <f t="shared" si="839"/>
        <v>0</v>
      </c>
      <c r="LN95" s="145">
        <f t="shared" si="839"/>
        <v>0</v>
      </c>
      <c r="LO95" s="145">
        <f t="shared" si="839"/>
        <v>0</v>
      </c>
      <c r="LP95" s="145">
        <f t="shared" si="839"/>
        <v>0</v>
      </c>
      <c r="LQ95" s="145">
        <f t="shared" si="839"/>
        <v>0</v>
      </c>
      <c r="LR95" s="145">
        <f t="shared" si="839"/>
        <v>0</v>
      </c>
      <c r="LS95" s="145">
        <f t="shared" si="839"/>
        <v>0</v>
      </c>
      <c r="LT95" s="146">
        <f t="shared" si="839"/>
        <v>0</v>
      </c>
      <c r="LU95" s="146">
        <f t="shared" si="839"/>
        <v>0</v>
      </c>
      <c r="LV95" s="146">
        <f t="shared" si="839"/>
        <v>0</v>
      </c>
      <c r="LW95" s="146">
        <f t="shared" si="839"/>
        <v>0</v>
      </c>
      <c r="LX95" s="146">
        <f t="shared" si="839"/>
        <v>0</v>
      </c>
      <c r="LY95" s="146">
        <f t="shared" si="839"/>
        <v>0</v>
      </c>
      <c r="LZ95" s="146">
        <f t="shared" si="839"/>
        <v>0</v>
      </c>
      <c r="MA95" s="146">
        <f t="shared" si="839"/>
        <v>0</v>
      </c>
      <c r="MB95" s="146">
        <f t="shared" si="839"/>
        <v>0</v>
      </c>
      <c r="MC95" s="146">
        <f t="shared" si="839"/>
        <v>0</v>
      </c>
      <c r="MD95" s="146">
        <f t="shared" si="839"/>
        <v>0</v>
      </c>
      <c r="ME95" s="146">
        <f t="shared" si="839"/>
        <v>0</v>
      </c>
      <c r="MF95" s="146">
        <f t="shared" si="839"/>
        <v>0</v>
      </c>
      <c r="MG95" s="146">
        <f t="shared" si="839"/>
        <v>0</v>
      </c>
      <c r="MH95" s="146">
        <f t="shared" si="839"/>
        <v>0</v>
      </c>
      <c r="MI95" s="146">
        <f t="shared" si="839"/>
        <v>0</v>
      </c>
      <c r="MJ95" s="146">
        <f t="shared" si="839"/>
        <v>0</v>
      </c>
      <c r="MK95" s="146">
        <f t="shared" si="839"/>
        <v>0</v>
      </c>
      <c r="ML95" s="146">
        <f t="shared" si="839"/>
        <v>0</v>
      </c>
      <c r="MM95" s="146">
        <f t="shared" si="839"/>
        <v>0</v>
      </c>
      <c r="MN95" s="146">
        <f t="shared" si="839"/>
        <v>0</v>
      </c>
      <c r="MO95" s="146">
        <f t="shared" si="839"/>
        <v>0</v>
      </c>
      <c r="MP95" s="146">
        <f t="shared" si="839"/>
        <v>0</v>
      </c>
      <c r="MQ95" s="146">
        <f t="shared" si="839"/>
        <v>0</v>
      </c>
      <c r="MR95" s="146">
        <f t="shared" si="839"/>
        <v>0</v>
      </c>
      <c r="MS95" s="146">
        <f t="shared" si="839"/>
        <v>0</v>
      </c>
      <c r="MT95" s="146">
        <f t="shared" si="839"/>
        <v>0</v>
      </c>
      <c r="MU95" s="146">
        <f t="shared" si="839"/>
        <v>0</v>
      </c>
      <c r="MV95" s="156">
        <f t="shared" si="839"/>
        <v>0</v>
      </c>
      <c r="MW95" s="156">
        <f t="shared" si="839"/>
        <v>0</v>
      </c>
      <c r="MX95" s="156">
        <f t="shared" si="839"/>
        <v>0</v>
      </c>
      <c r="MY95" s="156">
        <f t="shared" si="839"/>
        <v>0</v>
      </c>
      <c r="MZ95" s="156">
        <f t="shared" si="839"/>
        <v>0</v>
      </c>
      <c r="NA95" s="156">
        <f t="shared" si="839"/>
        <v>0</v>
      </c>
      <c r="NB95" s="156">
        <f t="shared" si="839"/>
        <v>0</v>
      </c>
      <c r="NC95" s="156">
        <f t="shared" si="839"/>
        <v>0</v>
      </c>
      <c r="ND95" s="156">
        <f t="shared" si="839"/>
        <v>0</v>
      </c>
      <c r="NE95" s="156">
        <f t="shared" si="839"/>
        <v>0</v>
      </c>
      <c r="NF95" s="156">
        <f t="shared" si="839"/>
        <v>0</v>
      </c>
      <c r="NG95" s="156">
        <f t="shared" si="839"/>
        <v>0</v>
      </c>
      <c r="NH95" s="156">
        <f t="shared" si="839"/>
        <v>0</v>
      </c>
      <c r="NI95" s="156">
        <f t="shared" si="839"/>
        <v>0</v>
      </c>
      <c r="NJ95" s="156">
        <f t="shared" si="839"/>
        <v>0</v>
      </c>
      <c r="NK95" s="156">
        <f t="shared" si="839"/>
        <v>0</v>
      </c>
      <c r="NL95" s="156">
        <f t="shared" si="839"/>
        <v>0</v>
      </c>
      <c r="NM95" s="156">
        <f t="shared" si="839"/>
        <v>0</v>
      </c>
      <c r="NN95" s="156">
        <f t="shared" si="839"/>
        <v>0</v>
      </c>
      <c r="NO95" s="156">
        <f t="shared" si="839"/>
        <v>0</v>
      </c>
      <c r="NP95" s="156">
        <f t="shared" si="839"/>
        <v>0</v>
      </c>
      <c r="NQ95" s="156">
        <f t="shared" si="839"/>
        <v>0</v>
      </c>
      <c r="NR95" s="156">
        <f t="shared" si="839"/>
        <v>0</v>
      </c>
      <c r="NS95" s="156">
        <f t="shared" si="839"/>
        <v>0</v>
      </c>
      <c r="NT95" s="156">
        <f t="shared" si="839"/>
        <v>0</v>
      </c>
      <c r="NU95" s="156">
        <f t="shared" si="839"/>
        <v>0</v>
      </c>
      <c r="NV95" s="178">
        <f t="shared" ref="NV95:NV104" si="842">EA30</f>
        <v>0</v>
      </c>
      <c r="NW95" s="181">
        <f t="shared" si="840"/>
        <v>24.185735913858924</v>
      </c>
      <c r="NX95" s="177">
        <f t="shared" si="840"/>
        <v>0</v>
      </c>
      <c r="NY95" s="181">
        <f t="shared" si="840"/>
        <v>24.082193323306559</v>
      </c>
      <c r="NZ95" s="155">
        <f t="shared" si="840"/>
        <v>0</v>
      </c>
      <c r="OA95" s="156">
        <f t="shared" si="840"/>
        <v>0</v>
      </c>
      <c r="OB95" s="156">
        <f t="shared" si="840"/>
        <v>0</v>
      </c>
      <c r="OC95" s="178">
        <f t="shared" si="840"/>
        <v>0</v>
      </c>
      <c r="OD95" s="181">
        <f t="shared" si="840"/>
        <v>23.834369382163725</v>
      </c>
      <c r="OE95" s="177">
        <f t="shared" si="840"/>
        <v>0</v>
      </c>
      <c r="OF95" s="181">
        <f t="shared" si="840"/>
        <v>23.729612561855234</v>
      </c>
      <c r="OG95" s="155">
        <f t="shared" si="840"/>
        <v>0</v>
      </c>
      <c r="OH95" s="156">
        <f t="shared" si="840"/>
        <v>0</v>
      </c>
      <c r="OI95" s="156">
        <f t="shared" si="840"/>
        <v>0</v>
      </c>
      <c r="OJ95" s="178">
        <f t="shared" si="840"/>
        <v>0</v>
      </c>
      <c r="OK95" s="181">
        <f t="shared" si="840"/>
        <v>23.481493552061213</v>
      </c>
      <c r="OL95" s="177">
        <f t="shared" si="840"/>
        <v>0</v>
      </c>
      <c r="OM95" s="181">
        <f t="shared" si="840"/>
        <v>23.372038483450538</v>
      </c>
      <c r="ON95" s="155">
        <f t="shared" si="840"/>
        <v>0</v>
      </c>
      <c r="OO95" s="156">
        <f t="shared" si="840"/>
        <v>0</v>
      </c>
      <c r="OP95" s="156">
        <f t="shared" si="840"/>
        <v>0</v>
      </c>
      <c r="OQ95" s="178">
        <f t="shared" si="840"/>
        <v>0</v>
      </c>
      <c r="OR95" s="181">
        <f t="shared" si="840"/>
        <v>23.116065489904333</v>
      </c>
      <c r="OS95" s="177">
        <f t="shared" si="840"/>
        <v>0</v>
      </c>
      <c r="OT95" s="181">
        <f t="shared" si="840"/>
        <v>22.977554025488825</v>
      </c>
      <c r="OU95" s="184"/>
      <c r="OV95" s="184"/>
      <c r="OW95" s="184"/>
      <c r="OX95" s="20"/>
      <c r="OY95" s="20"/>
      <c r="OZ95" s="20"/>
      <c r="PA95" s="20"/>
      <c r="PB95" s="20"/>
      <c r="PC95" s="20"/>
      <c r="PD95" s="20"/>
      <c r="PE95" s="20"/>
      <c r="PF95" s="20"/>
      <c r="PG95" s="20"/>
      <c r="PH95" s="20"/>
      <c r="PI95" s="20"/>
      <c r="PJ95" s="20"/>
      <c r="PK95" s="20"/>
      <c r="PL95" s="20"/>
      <c r="PM95" s="20"/>
      <c r="PN95" s="20"/>
      <c r="PO95" s="20"/>
      <c r="PP95" s="20"/>
      <c r="PQ95" s="20"/>
      <c r="PR95" s="20"/>
      <c r="PS95" s="20"/>
      <c r="PT95" s="20"/>
      <c r="PU95" s="20"/>
      <c r="PV95" s="20"/>
      <c r="PW95" s="20"/>
      <c r="PX95" s="20"/>
      <c r="PY95" s="20"/>
      <c r="PZ95" s="20"/>
      <c r="QA95" s="20"/>
      <c r="QB95" s="20"/>
      <c r="QC95" s="20"/>
      <c r="QD95" s="20"/>
      <c r="QE95" s="20"/>
      <c r="QF95" s="20"/>
      <c r="QG95" s="20"/>
      <c r="QH95" s="20"/>
      <c r="QI95" s="20"/>
      <c r="QJ95" s="20"/>
      <c r="QK95" s="20"/>
      <c r="QL95" s="20"/>
      <c r="QM95" s="20"/>
      <c r="QN95" s="20"/>
      <c r="QO95" s="20"/>
      <c r="QP95" s="20"/>
      <c r="QQ95" s="20"/>
      <c r="QR95" s="20"/>
      <c r="QS95" s="20"/>
      <c r="QT95" s="20"/>
      <c r="QU95" s="20"/>
      <c r="QV95" s="20"/>
      <c r="QW95" s="20"/>
      <c r="QX95" s="20"/>
      <c r="QY95" s="20"/>
      <c r="QZ95" s="20"/>
      <c r="RA95" s="20"/>
      <c r="RB95" s="20"/>
      <c r="RC95" s="20"/>
      <c r="RD95" s="20"/>
      <c r="RE95" s="20"/>
      <c r="RF95" s="20"/>
      <c r="RG95" s="20"/>
      <c r="RH95" s="20"/>
      <c r="RI95" s="20"/>
      <c r="RJ95" s="20"/>
      <c r="RK95" s="20"/>
      <c r="RL95" s="20"/>
      <c r="RM95" s="20"/>
      <c r="RN95" s="20"/>
      <c r="RO95" s="20"/>
      <c r="RP95" s="20"/>
      <c r="RQ95" s="20"/>
      <c r="RR95" s="20"/>
      <c r="RS95" s="20"/>
      <c r="RT95" s="20"/>
      <c r="RU95" s="20"/>
      <c r="RV95" s="20"/>
      <c r="RW95" s="20"/>
      <c r="RX95" s="20"/>
      <c r="RY95" s="20"/>
      <c r="RZ95" s="20"/>
      <c r="SA95" s="20"/>
      <c r="SB95" s="20"/>
      <c r="SC95" s="20"/>
      <c r="SD95" s="20"/>
      <c r="SE95" s="20"/>
      <c r="SF95" s="20"/>
      <c r="SG95" s="20"/>
      <c r="SH95" s="20"/>
      <c r="SI95" s="20"/>
      <c r="SJ95" s="20"/>
      <c r="SK95" s="20"/>
      <c r="SL95" s="20"/>
      <c r="SM95" s="20"/>
      <c r="SN95" s="20"/>
      <c r="SO95" s="20"/>
      <c r="SP95" s="20"/>
      <c r="SQ95" s="20"/>
      <c r="SR95" s="20"/>
      <c r="SS95" s="20"/>
      <c r="ST95" s="20"/>
      <c r="SU95" s="20"/>
      <c r="SV95" s="20"/>
      <c r="SW95" s="20"/>
      <c r="SX95" s="20"/>
      <c r="SY95" s="20"/>
      <c r="SZ95" s="20"/>
      <c r="TA95" s="184"/>
      <c r="TB95" s="185"/>
      <c r="TC95" s="11"/>
      <c r="TD95" s="11"/>
      <c r="TE95" s="11"/>
      <c r="TF95" s="11"/>
    </row>
    <row r="96" spans="1:526" ht="22.15" customHeight="1" thickBot="1" x14ac:dyDescent="0.3">
      <c r="A96" s="298"/>
      <c r="B96" s="25" t="s">
        <v>2</v>
      </c>
      <c r="BY96" s="184"/>
      <c r="BZ96" s="184"/>
      <c r="CA96" s="184"/>
      <c r="CB96" s="184"/>
      <c r="CC96" s="184"/>
      <c r="CD96" s="184"/>
      <c r="CE96" s="184"/>
      <c r="CF96" s="184"/>
      <c r="CG96" s="184"/>
      <c r="CH96" s="184"/>
      <c r="CI96" s="184"/>
      <c r="CJ96" s="184"/>
      <c r="CK96" s="184"/>
      <c r="CL96" s="184"/>
      <c r="CM96" s="184"/>
      <c r="CN96" s="184"/>
      <c r="CO96" s="184"/>
      <c r="CP96" s="184"/>
      <c r="CQ96" s="184"/>
      <c r="CR96" s="184"/>
      <c r="CS96" s="184"/>
      <c r="CT96" s="184"/>
      <c r="CU96" s="184"/>
      <c r="CV96" s="184"/>
      <c r="CW96" s="184"/>
      <c r="CX96" s="184"/>
      <c r="CY96" s="184"/>
      <c r="CZ96" s="184"/>
      <c r="DA96" s="184"/>
      <c r="DB96" s="184"/>
      <c r="DC96" s="184"/>
      <c r="DD96" s="184"/>
      <c r="DE96" s="184"/>
      <c r="DF96" s="184"/>
      <c r="DG96" s="184"/>
      <c r="DH96" s="184"/>
      <c r="DI96" s="184"/>
      <c r="DJ96" s="184"/>
      <c r="DK96" s="184"/>
      <c r="DL96" s="184"/>
      <c r="DM96" s="184"/>
      <c r="DN96" s="184"/>
      <c r="DO96" s="184"/>
      <c r="DP96" s="184"/>
      <c r="DQ96" s="184"/>
      <c r="DR96" s="184"/>
      <c r="DS96" s="184"/>
      <c r="DT96" s="184"/>
      <c r="DU96" s="184"/>
      <c r="DV96" s="184"/>
      <c r="DW96" s="184"/>
      <c r="DX96" s="184"/>
      <c r="DY96" s="184"/>
      <c r="DZ96" s="184"/>
      <c r="EA96" s="184"/>
      <c r="EB96" s="184"/>
      <c r="EC96" s="184"/>
      <c r="ED96" s="184"/>
      <c r="EE96" s="184"/>
      <c r="EF96" s="184"/>
      <c r="EG96" s="184"/>
      <c r="EH96" s="184"/>
      <c r="EI96" s="184"/>
      <c r="EJ96" s="184"/>
      <c r="EK96" s="184"/>
      <c r="EL96" s="184"/>
      <c r="EM96" s="184"/>
      <c r="EN96" s="184"/>
      <c r="EO96" s="184"/>
      <c r="EP96" s="184"/>
      <c r="EQ96" s="184"/>
      <c r="ER96" s="184"/>
      <c r="ES96" s="184"/>
      <c r="ET96" s="184"/>
      <c r="EU96" s="184"/>
      <c r="EV96" s="184"/>
      <c r="EW96" s="184"/>
      <c r="EX96" s="184"/>
      <c r="EY96" s="184"/>
      <c r="EZ96" s="184"/>
      <c r="FA96" s="184"/>
      <c r="FB96" s="184"/>
      <c r="FC96" s="184"/>
      <c r="FD96" s="184"/>
      <c r="FE96" s="184"/>
      <c r="FF96" s="184"/>
      <c r="FG96" s="184"/>
      <c r="FH96" s="184"/>
      <c r="FI96" s="184"/>
      <c r="FJ96" s="184"/>
      <c r="FK96" s="184"/>
      <c r="FL96" s="184"/>
      <c r="FM96" s="184"/>
      <c r="FN96" s="184"/>
      <c r="FO96" s="184"/>
      <c r="FP96" s="184"/>
      <c r="FQ96" s="184"/>
      <c r="FR96" s="184"/>
      <c r="FS96" s="184"/>
      <c r="FT96" s="184"/>
      <c r="FU96" s="184"/>
      <c r="FV96" s="184"/>
      <c r="FW96" s="184"/>
      <c r="FX96" s="184"/>
      <c r="FY96" s="184"/>
      <c r="FZ96" s="184"/>
      <c r="GA96" s="184"/>
      <c r="GB96" s="184"/>
      <c r="GC96" s="184"/>
      <c r="GD96" s="184"/>
      <c r="GE96" s="184"/>
      <c r="GF96" s="184"/>
      <c r="GG96" s="184"/>
      <c r="GH96" s="184"/>
      <c r="GI96" s="184"/>
      <c r="GJ96" s="184"/>
      <c r="GK96" s="184"/>
      <c r="GL96" s="184"/>
      <c r="GM96" s="184"/>
      <c r="GN96" s="184"/>
      <c r="GO96" s="184"/>
      <c r="GP96" s="184"/>
      <c r="GQ96" s="184"/>
      <c r="GR96" s="184"/>
      <c r="GS96" s="184"/>
      <c r="GT96" s="184"/>
      <c r="GU96" s="184"/>
      <c r="GV96" s="184"/>
      <c r="GW96" s="184"/>
      <c r="GX96" s="184"/>
      <c r="GY96" s="184"/>
      <c r="GZ96" s="184"/>
      <c r="HA96" s="184"/>
      <c r="HB96" s="184"/>
      <c r="HC96" s="184"/>
      <c r="HD96" s="184"/>
      <c r="HE96" s="184"/>
      <c r="HF96" s="184"/>
      <c r="HG96" s="184"/>
      <c r="HH96" s="184"/>
      <c r="HI96" s="184"/>
      <c r="HJ96" s="184"/>
      <c r="HK96" s="184"/>
      <c r="HL96" s="184"/>
      <c r="HM96" s="184"/>
      <c r="HN96" s="184"/>
      <c r="HO96" s="184"/>
      <c r="HP96" s="184"/>
      <c r="HQ96" s="184"/>
      <c r="HR96" s="184"/>
      <c r="HS96" s="184"/>
      <c r="HT96" s="184"/>
      <c r="HU96" s="184"/>
      <c r="HV96" s="184"/>
      <c r="HW96" s="184"/>
      <c r="HX96" s="184"/>
      <c r="HY96" s="184"/>
      <c r="HZ96" s="184"/>
      <c r="IA96" s="184"/>
      <c r="IB96" s="184"/>
      <c r="IC96" s="184"/>
      <c r="ID96" s="184"/>
      <c r="IE96" s="184"/>
      <c r="IF96" s="184"/>
      <c r="IG96" s="184"/>
      <c r="IH96" s="184"/>
      <c r="II96" s="184"/>
      <c r="IJ96" s="184"/>
      <c r="IK96" s="184"/>
      <c r="IL96" s="184"/>
      <c r="IM96" s="184"/>
      <c r="IN96" s="184"/>
      <c r="IO96" s="184"/>
      <c r="IP96" s="184"/>
      <c r="IQ96" s="184"/>
      <c r="IR96" s="184"/>
      <c r="IS96" s="184"/>
      <c r="IT96" s="184"/>
      <c r="IU96" s="184"/>
      <c r="IV96" s="184"/>
      <c r="IW96" s="184"/>
      <c r="IX96" s="140">
        <f t="shared" si="824"/>
        <v>2E-3</v>
      </c>
      <c r="IY96" s="112">
        <f t="shared" si="825"/>
        <v>2E-3</v>
      </c>
      <c r="IZ96" s="113">
        <f t="shared" si="826"/>
        <v>2E-3</v>
      </c>
      <c r="JA96" s="113">
        <f t="shared" si="827"/>
        <v>2E-3</v>
      </c>
      <c r="JB96" s="113">
        <f t="shared" ref="JB96:JB104" si="843">G31</f>
        <v>2E-3</v>
      </c>
      <c r="JC96" s="113">
        <f t="shared" si="829"/>
        <v>2E-3</v>
      </c>
      <c r="JD96" s="113">
        <f t="shared" si="830"/>
        <v>2E-3</v>
      </c>
      <c r="JE96" s="113">
        <f t="shared" si="831"/>
        <v>2E-3</v>
      </c>
      <c r="JF96" s="113">
        <f t="shared" si="832"/>
        <v>2E-3</v>
      </c>
      <c r="JG96" s="113">
        <f t="shared" si="833"/>
        <v>2E-3</v>
      </c>
      <c r="JH96" s="113">
        <f t="shared" si="834"/>
        <v>2E-3</v>
      </c>
      <c r="JI96" s="113">
        <f t="shared" si="835"/>
        <v>2E-3</v>
      </c>
      <c r="JJ96" s="113">
        <f t="shared" si="836"/>
        <v>2E-3</v>
      </c>
      <c r="JK96" s="113">
        <f t="shared" si="837"/>
        <v>2E-3</v>
      </c>
      <c r="JL96" s="113">
        <f t="shared" si="838"/>
        <v>2E-3</v>
      </c>
      <c r="JM96" s="113">
        <f t="shared" ref="JM96:JM104" si="844">R31</f>
        <v>2E-3</v>
      </c>
      <c r="JN96" s="113">
        <f t="shared" ref="JN96:JN104" si="845">S31</f>
        <v>2E-3</v>
      </c>
      <c r="JO96" s="113">
        <f t="shared" ref="JO96:JO104" si="846">T31</f>
        <v>2E-3</v>
      </c>
      <c r="JP96" s="113">
        <f t="shared" ref="JP96:JP104" si="847">U31</f>
        <v>2E-3</v>
      </c>
      <c r="JQ96" s="113">
        <f t="shared" ref="JQ96:JQ104" si="848">V31</f>
        <v>2E-3</v>
      </c>
      <c r="JR96" s="113">
        <f t="shared" ref="JR96:JR104" si="849">W31</f>
        <v>2E-3</v>
      </c>
      <c r="JS96" s="113">
        <f t="shared" ref="JS96:JS104" si="850">X31</f>
        <v>2E-3</v>
      </c>
      <c r="JT96" s="113">
        <f t="shared" ref="JT96:JT104" si="851">Y31</f>
        <v>2E-3</v>
      </c>
      <c r="JU96" s="113">
        <f t="shared" ref="JU96:JU104" si="852">Z31</f>
        <v>2E-3</v>
      </c>
      <c r="JV96" s="113">
        <f t="shared" ref="JV96:JV104" si="853">AA31</f>
        <v>2E-3</v>
      </c>
      <c r="JW96" s="113">
        <f t="shared" ref="JW96:JW104" si="854">AB31</f>
        <v>2E-3</v>
      </c>
      <c r="JX96" s="113">
        <f t="shared" ref="JX96:JX104" si="855">AC31</f>
        <v>2E-3</v>
      </c>
      <c r="JY96" s="113">
        <f t="shared" ref="JY96:JY104" si="856">AD31</f>
        <v>2E-3</v>
      </c>
      <c r="JZ96" s="113">
        <f t="shared" ref="JZ96:JZ104" si="857">AE31</f>
        <v>2E-3</v>
      </c>
      <c r="KA96" s="113">
        <f t="shared" ref="KA96:KA104" si="858">AF31</f>
        <v>2E-3</v>
      </c>
      <c r="KB96" s="113">
        <f t="shared" ref="KB96:KB104" si="859">AG31</f>
        <v>2E-3</v>
      </c>
      <c r="KC96" s="113">
        <f t="shared" ref="KC96:KC104" si="860">AH31</f>
        <v>2E-3</v>
      </c>
      <c r="KD96" s="113">
        <f t="shared" ref="KD96:KD104" si="861">AI31</f>
        <v>2E-3</v>
      </c>
      <c r="KE96" s="113">
        <f t="shared" ref="KE96:KE104" si="862">AJ31</f>
        <v>2E-3</v>
      </c>
      <c r="KF96" s="113">
        <f t="shared" ref="KF96:KF104" si="863">AK31</f>
        <v>2E-3</v>
      </c>
      <c r="KG96" s="113">
        <f t="shared" ref="KG96:KG104" si="864">AL31</f>
        <v>2E-3</v>
      </c>
      <c r="KH96" s="113">
        <f t="shared" ref="KH96:KH104" si="865">AM31</f>
        <v>2E-3</v>
      </c>
      <c r="KI96" s="113">
        <f t="shared" ref="KI96:KI104" si="866">AN31</f>
        <v>2E-3</v>
      </c>
      <c r="KJ96" s="113">
        <f t="shared" ref="KJ96:KJ104" si="867">AO31</f>
        <v>2E-3</v>
      </c>
      <c r="KK96" s="113">
        <f t="shared" ref="KK96:KK104" si="868">AP31</f>
        <v>2E-3</v>
      </c>
      <c r="KL96" s="113">
        <f t="shared" ref="KL96:KL104" si="869">AQ31</f>
        <v>2E-3</v>
      </c>
      <c r="KM96" s="113">
        <f t="shared" ref="KM96:KM104" si="870">AR31</f>
        <v>2E-3</v>
      </c>
      <c r="KN96" s="113">
        <f t="shared" ref="KN96:KN104" si="871">AS31</f>
        <v>2E-3</v>
      </c>
      <c r="KO96" s="113">
        <f t="shared" ref="KO96:KO104" si="872">AT31</f>
        <v>2E-3</v>
      </c>
      <c r="KP96" s="113">
        <f t="shared" ref="KP96:KP104" si="873">AU31</f>
        <v>2E-3</v>
      </c>
      <c r="KQ96" s="113">
        <f t="shared" ref="KQ96:KQ104" si="874">AV31</f>
        <v>2E-3</v>
      </c>
      <c r="KR96" s="113">
        <f t="shared" ref="KR96:KR104" si="875">AW31</f>
        <v>2E-3</v>
      </c>
      <c r="KS96" s="113">
        <f t="shared" ref="KS96:KS104" si="876">AX31</f>
        <v>2E-3</v>
      </c>
      <c r="KT96" s="113">
        <f t="shared" ref="KT96:KT104" si="877">AY31</f>
        <v>2E-3</v>
      </c>
      <c r="KU96" s="113">
        <f t="shared" ref="KU96:KU104" si="878">AZ31</f>
        <v>2E-3</v>
      </c>
      <c r="KV96" s="113">
        <f t="shared" ref="KV96:KV104" si="879">BA31</f>
        <v>2E-3</v>
      </c>
      <c r="KW96" s="147">
        <f t="shared" ref="KW96:KW104" si="880">BB31</f>
        <v>2E-3</v>
      </c>
      <c r="KX96" s="147">
        <f t="shared" ref="KX96:KX104" si="881">BC31</f>
        <v>2E-3</v>
      </c>
      <c r="KY96" s="147">
        <f t="shared" ref="KY96:KY104" si="882">BD31</f>
        <v>2E-3</v>
      </c>
      <c r="KZ96" s="147">
        <f t="shared" ref="KZ96:KZ104" si="883">BE31</f>
        <v>2E-3</v>
      </c>
      <c r="LA96" s="147">
        <f t="shared" ref="LA96:LA104" si="884">BF31</f>
        <v>2E-3</v>
      </c>
      <c r="LB96" s="147">
        <f t="shared" ref="LB96:LB104" si="885">BG31</f>
        <v>2E-3</v>
      </c>
      <c r="LC96" s="147">
        <f t="shared" ref="LC96:LC104" si="886">BH31</f>
        <v>2E-3</v>
      </c>
      <c r="LD96" s="147">
        <f t="shared" ref="LD96:LD104" si="887">BI31</f>
        <v>2E-3</v>
      </c>
      <c r="LE96" s="147">
        <f t="shared" ref="LE96:LE104" si="888">BJ31</f>
        <v>2E-3</v>
      </c>
      <c r="LF96" s="147">
        <f t="shared" ref="LF96:LF104" si="889">BK31</f>
        <v>2E-3</v>
      </c>
      <c r="LG96" s="147">
        <f t="shared" ref="LG96:LG104" si="890">BL31</f>
        <v>2E-3</v>
      </c>
      <c r="LH96" s="147">
        <f t="shared" ref="LH96:LH104" si="891">BM31</f>
        <v>2E-3</v>
      </c>
      <c r="LI96" s="147">
        <f t="shared" ref="LI96:LI104" si="892">BN31</f>
        <v>2E-3</v>
      </c>
      <c r="LJ96" s="147">
        <f t="shared" si="841"/>
        <v>2E-3</v>
      </c>
      <c r="LK96" s="147">
        <f t="shared" ref="LK96:LK104" si="893">BP31</f>
        <v>2E-3</v>
      </c>
      <c r="LL96" s="147">
        <f t="shared" ref="LL96:LL104" si="894">BQ31</f>
        <v>2E-3</v>
      </c>
      <c r="LM96" s="147">
        <f t="shared" ref="LM96:LM104" si="895">BR31</f>
        <v>2E-3</v>
      </c>
      <c r="LN96" s="147">
        <f t="shared" ref="LN96:LN104" si="896">BS31</f>
        <v>2E-3</v>
      </c>
      <c r="LO96" s="147">
        <f t="shared" ref="LO96:LO104" si="897">BT31</f>
        <v>2E-3</v>
      </c>
      <c r="LP96" s="147">
        <f t="shared" ref="LP96:LP104" si="898">BU31</f>
        <v>2E-3</v>
      </c>
      <c r="LQ96" s="147">
        <f t="shared" ref="LQ96:LQ104" si="899">BV31</f>
        <v>2E-3</v>
      </c>
      <c r="LR96" s="147">
        <f t="shared" ref="LR96:LR104" si="900">BW31</f>
        <v>2E-3</v>
      </c>
      <c r="LS96" s="147">
        <f t="shared" ref="LS96:LS104" si="901">BX31</f>
        <v>2E-3</v>
      </c>
      <c r="LT96" s="147">
        <f t="shared" ref="LT96:LT104" si="902">BY31</f>
        <v>2E-3</v>
      </c>
      <c r="LU96" s="147">
        <f t="shared" ref="LU96:LU104" si="903">BZ31</f>
        <v>2E-3</v>
      </c>
      <c r="LV96" s="147">
        <f t="shared" ref="LV96:LV104" si="904">CA31</f>
        <v>2E-3</v>
      </c>
      <c r="LW96" s="147">
        <f t="shared" ref="LW96:LW104" si="905">CB31</f>
        <v>2E-3</v>
      </c>
      <c r="LX96" s="147">
        <f t="shared" ref="LX96:LX104" si="906">CC31</f>
        <v>2E-3</v>
      </c>
      <c r="LY96" s="147">
        <f t="shared" ref="LY96:LY104" si="907">CD31</f>
        <v>2E-3</v>
      </c>
      <c r="LZ96" s="147">
        <f t="shared" ref="LZ96:LZ104" si="908">CE31</f>
        <v>2E-3</v>
      </c>
      <c r="MA96" s="147">
        <f t="shared" ref="MA96:MA104" si="909">CF31</f>
        <v>2E-3</v>
      </c>
      <c r="MB96" s="147">
        <f t="shared" ref="MB96:MB104" si="910">CG31</f>
        <v>2E-3</v>
      </c>
      <c r="MC96" s="147">
        <f t="shared" ref="MC96:MC104" si="911">CH31</f>
        <v>2E-3</v>
      </c>
      <c r="MD96" s="147">
        <f t="shared" ref="MD96:MD104" si="912">CI31</f>
        <v>2E-3</v>
      </c>
      <c r="ME96" s="147">
        <f t="shared" ref="ME96:ME104" si="913">CJ31</f>
        <v>2E-3</v>
      </c>
      <c r="MF96" s="147">
        <f t="shared" ref="MF96:MF104" si="914">CK31</f>
        <v>2E-3</v>
      </c>
      <c r="MG96" s="147">
        <f t="shared" ref="MG96:MG104" si="915">CL31</f>
        <v>2E-3</v>
      </c>
      <c r="MH96" s="147">
        <f t="shared" ref="MH96:MH104" si="916">CM31</f>
        <v>2E-3</v>
      </c>
      <c r="MI96" s="147">
        <f t="shared" ref="MI96:MI104" si="917">CN31</f>
        <v>2E-3</v>
      </c>
      <c r="MJ96" s="147">
        <f t="shared" ref="MJ96:MJ104" si="918">CO31</f>
        <v>2E-3</v>
      </c>
      <c r="MK96" s="147">
        <f t="shared" ref="MK96:MK104" si="919">CP31</f>
        <v>2E-3</v>
      </c>
      <c r="ML96" s="147">
        <f t="shared" ref="ML96:ML104" si="920">CQ31</f>
        <v>2E-3</v>
      </c>
      <c r="MM96" s="147">
        <f t="shared" ref="MM96:MM104" si="921">CR31</f>
        <v>2E-3</v>
      </c>
      <c r="MN96" s="147">
        <f t="shared" ref="MN96:MN104" si="922">CS31</f>
        <v>2E-3</v>
      </c>
      <c r="MO96" s="147">
        <f t="shared" ref="MO96:MO104" si="923">CT31</f>
        <v>2E-3</v>
      </c>
      <c r="MP96" s="147">
        <f t="shared" ref="MP96:MP104" si="924">CU31</f>
        <v>2E-3</v>
      </c>
      <c r="MQ96" s="147">
        <f t="shared" ref="MQ96:MQ104" si="925">CV31</f>
        <v>2E-3</v>
      </c>
      <c r="MR96" s="147">
        <f t="shared" ref="MR96:MR104" si="926">CW31</f>
        <v>2E-3</v>
      </c>
      <c r="MS96" s="147">
        <f t="shared" ref="MS96:MS104" si="927">CX31</f>
        <v>2E-3</v>
      </c>
      <c r="MT96" s="147">
        <f t="shared" ref="MT96:MT104" si="928">CY31</f>
        <v>2E-3</v>
      </c>
      <c r="MU96" s="147">
        <f t="shared" ref="MU96:MU104" si="929">CZ31</f>
        <v>2E-3</v>
      </c>
      <c r="MV96" s="157">
        <f t="shared" ref="MV96:MV104" si="930">DA31</f>
        <v>2E-3</v>
      </c>
      <c r="MW96" s="157">
        <f t="shared" ref="MW96:MW104" si="931">DB31</f>
        <v>2E-3</v>
      </c>
      <c r="MX96" s="157">
        <f t="shared" ref="MX96:MX104" si="932">DC31</f>
        <v>2E-3</v>
      </c>
      <c r="MY96" s="157">
        <f t="shared" ref="MY96:MY104" si="933">DD31</f>
        <v>2E-3</v>
      </c>
      <c r="MZ96" s="157">
        <f t="shared" ref="MZ96:MZ104" si="934">DE31</f>
        <v>2E-3</v>
      </c>
      <c r="NA96" s="157">
        <f t="shared" ref="NA96:NA104" si="935">DF31</f>
        <v>2E-3</v>
      </c>
      <c r="NB96" s="157">
        <f t="shared" ref="NB96:NB104" si="936">DG31</f>
        <v>2E-3</v>
      </c>
      <c r="NC96" s="157">
        <f t="shared" ref="NC96:NC104" si="937">DH31</f>
        <v>2E-3</v>
      </c>
      <c r="ND96" s="157">
        <f t="shared" ref="ND96:ND104" si="938">DI31</f>
        <v>2E-3</v>
      </c>
      <c r="NE96" s="157">
        <f t="shared" ref="NE96:NE104" si="939">DJ31</f>
        <v>2E-3</v>
      </c>
      <c r="NF96" s="157">
        <f t="shared" ref="NF96:NF104" si="940">DK31</f>
        <v>2E-3</v>
      </c>
      <c r="NG96" s="157">
        <f t="shared" ref="NG96:NG104" si="941">DL31</f>
        <v>2E-3</v>
      </c>
      <c r="NH96" s="157">
        <f t="shared" ref="NH96:NH104" si="942">DM31</f>
        <v>2E-3</v>
      </c>
      <c r="NI96" s="157">
        <f t="shared" ref="NI96:NI104" si="943">DN31</f>
        <v>2E-3</v>
      </c>
      <c r="NJ96" s="157">
        <f t="shared" ref="NJ96:NJ104" si="944">DO31</f>
        <v>2E-3</v>
      </c>
      <c r="NK96" s="157">
        <f t="shared" ref="NK96:NK104" si="945">DP31</f>
        <v>2E-3</v>
      </c>
      <c r="NL96" s="157">
        <f t="shared" ref="NL96:NL104" si="946">DQ31</f>
        <v>2E-3</v>
      </c>
      <c r="NM96" s="157">
        <f t="shared" ref="NM96:NM104" si="947">DR31</f>
        <v>2E-3</v>
      </c>
      <c r="NN96" s="157">
        <f t="shared" ref="NN96:NN104" si="948">DS31</f>
        <v>2E-3</v>
      </c>
      <c r="NO96" s="157">
        <f t="shared" ref="NO96:NO104" si="949">DT31</f>
        <v>2E-3</v>
      </c>
      <c r="NP96" s="157">
        <f t="shared" ref="NP96:NP104" si="950">DU31</f>
        <v>2E-3</v>
      </c>
      <c r="NQ96" s="157">
        <f t="shared" ref="NQ96:NQ104" si="951">DV31</f>
        <v>2E-3</v>
      </c>
      <c r="NR96" s="157">
        <f t="shared" ref="NR96:NR104" si="952">DW31</f>
        <v>2E-3</v>
      </c>
      <c r="NS96" s="157">
        <f t="shared" ref="NS96:NS104" si="953">DX31</f>
        <v>2E-3</v>
      </c>
      <c r="NT96" s="157">
        <f t="shared" ref="NT96:NT104" si="954">DY31</f>
        <v>2E-3</v>
      </c>
      <c r="NU96" s="157">
        <f t="shared" ref="NU96:NU104" si="955">DZ31</f>
        <v>2E-3</v>
      </c>
      <c r="NV96" s="157">
        <f t="shared" si="842"/>
        <v>2E-3</v>
      </c>
      <c r="NW96" s="180">
        <f t="shared" si="840"/>
        <v>2E-3</v>
      </c>
      <c r="NX96" s="157">
        <f t="shared" si="840"/>
        <v>2E-3</v>
      </c>
      <c r="NY96" s="180">
        <f t="shared" si="840"/>
        <v>2E-3</v>
      </c>
      <c r="NZ96" s="157">
        <f t="shared" si="840"/>
        <v>2E-3</v>
      </c>
      <c r="OA96" s="157">
        <f t="shared" si="840"/>
        <v>2E-3</v>
      </c>
      <c r="OB96" s="157">
        <f t="shared" si="840"/>
        <v>2E-3</v>
      </c>
      <c r="OC96" s="157">
        <f t="shared" si="840"/>
        <v>2E-3</v>
      </c>
      <c r="OD96" s="180">
        <f t="shared" si="840"/>
        <v>2E-3</v>
      </c>
      <c r="OE96" s="157">
        <f t="shared" si="840"/>
        <v>2E-3</v>
      </c>
      <c r="OF96" s="180">
        <f t="shared" si="840"/>
        <v>2E-3</v>
      </c>
      <c r="OG96" s="157">
        <f t="shared" si="840"/>
        <v>2E-3</v>
      </c>
      <c r="OH96" s="157">
        <f t="shared" si="840"/>
        <v>2E-3</v>
      </c>
      <c r="OI96" s="157">
        <f t="shared" si="840"/>
        <v>2E-3</v>
      </c>
      <c r="OJ96" s="157">
        <f t="shared" si="840"/>
        <v>2E-3</v>
      </c>
      <c r="OK96" s="180">
        <f t="shared" si="840"/>
        <v>2E-3</v>
      </c>
      <c r="OL96" s="157">
        <f t="shared" si="840"/>
        <v>2E-3</v>
      </c>
      <c r="OM96" s="180">
        <f t="shared" si="840"/>
        <v>2E-3</v>
      </c>
      <c r="ON96" s="157">
        <f t="shared" si="840"/>
        <v>2E-3</v>
      </c>
      <c r="OO96" s="157">
        <f t="shared" si="840"/>
        <v>2E-3</v>
      </c>
      <c r="OP96" s="157">
        <f t="shared" si="840"/>
        <v>2E-3</v>
      </c>
      <c r="OQ96" s="157">
        <f t="shared" si="840"/>
        <v>2E-3</v>
      </c>
      <c r="OR96" s="180">
        <f t="shared" si="840"/>
        <v>2E-3</v>
      </c>
      <c r="OS96" s="157">
        <f t="shared" si="840"/>
        <v>2E-3</v>
      </c>
      <c r="OT96" s="180">
        <f t="shared" si="840"/>
        <v>2E-3</v>
      </c>
      <c r="OU96" s="184"/>
      <c r="OV96" s="184"/>
      <c r="OW96" s="184"/>
      <c r="OX96" s="132"/>
      <c r="OY96" s="132"/>
      <c r="OZ96" s="132"/>
      <c r="PA96" s="132"/>
      <c r="PB96" s="132"/>
      <c r="PC96" s="132"/>
      <c r="PD96" s="132"/>
      <c r="PE96" s="132"/>
      <c r="PF96" s="132"/>
      <c r="PG96" s="132"/>
      <c r="PH96" s="132"/>
      <c r="PI96" s="132"/>
      <c r="PJ96" s="132"/>
      <c r="PK96" s="132"/>
      <c r="PL96" s="132"/>
      <c r="PM96" s="132"/>
      <c r="PN96" s="132"/>
      <c r="PO96" s="132"/>
      <c r="PP96" s="132"/>
      <c r="PQ96" s="132"/>
      <c r="PR96" s="132"/>
      <c r="PS96" s="132"/>
      <c r="PT96" s="132"/>
      <c r="PU96" s="132"/>
      <c r="PV96" s="132"/>
      <c r="PW96" s="132"/>
      <c r="PX96" s="132"/>
      <c r="PY96" s="132"/>
      <c r="PZ96" s="132"/>
      <c r="QA96" s="132"/>
      <c r="QB96" s="132"/>
      <c r="QC96" s="132"/>
      <c r="QD96" s="132"/>
      <c r="QE96" s="132"/>
      <c r="QF96" s="132"/>
      <c r="QG96" s="132"/>
      <c r="QH96" s="132"/>
      <c r="QI96" s="132"/>
      <c r="QJ96" s="132"/>
      <c r="QK96" s="132"/>
      <c r="QL96" s="132"/>
      <c r="QM96" s="132"/>
      <c r="QN96" s="132"/>
      <c r="QO96" s="132"/>
      <c r="QP96" s="132"/>
      <c r="QQ96" s="132"/>
      <c r="QR96" s="132"/>
      <c r="QS96" s="132"/>
      <c r="QT96" s="132"/>
      <c r="QU96" s="132"/>
      <c r="QV96" s="132"/>
      <c r="QW96" s="132"/>
      <c r="QX96" s="132"/>
      <c r="QY96" s="132"/>
      <c r="QZ96" s="132"/>
      <c r="RA96" s="132"/>
      <c r="RB96" s="132"/>
      <c r="RC96" s="132"/>
      <c r="RD96" s="132"/>
      <c r="RE96" s="132"/>
      <c r="RF96" s="132"/>
      <c r="RG96" s="132"/>
      <c r="RH96" s="132"/>
      <c r="RI96" s="132"/>
      <c r="RJ96" s="132"/>
      <c r="RK96" s="132"/>
      <c r="RL96" s="132"/>
      <c r="RM96" s="132"/>
      <c r="RN96" s="132"/>
      <c r="RO96" s="132"/>
      <c r="RP96" s="132"/>
      <c r="RQ96" s="132"/>
      <c r="RR96" s="132"/>
      <c r="RS96" s="132"/>
      <c r="RT96" s="132"/>
      <c r="RU96" s="132"/>
      <c r="RV96" s="132"/>
      <c r="RW96" s="132"/>
      <c r="RX96" s="132"/>
      <c r="RY96" s="132"/>
      <c r="RZ96" s="132"/>
      <c r="SA96" s="132"/>
      <c r="SB96" s="132"/>
      <c r="SC96" s="132"/>
      <c r="SD96" s="132"/>
      <c r="SE96" s="132"/>
      <c r="SF96" s="132"/>
      <c r="SG96" s="132"/>
      <c r="SH96" s="132"/>
      <c r="SI96" s="132"/>
      <c r="SJ96" s="132"/>
      <c r="SK96" s="132"/>
      <c r="SL96" s="132"/>
      <c r="SM96" s="132"/>
      <c r="SN96" s="132"/>
      <c r="SO96" s="132"/>
      <c r="SP96" s="132"/>
      <c r="SQ96" s="132"/>
      <c r="SR96" s="132"/>
      <c r="SS96" s="132"/>
      <c r="ST96" s="132"/>
      <c r="SU96" s="132"/>
      <c r="SV96" s="132"/>
      <c r="SW96" s="132"/>
      <c r="SX96" s="132"/>
      <c r="SY96" s="132"/>
      <c r="SZ96" s="132"/>
      <c r="TA96" s="184"/>
      <c r="TB96" s="185"/>
      <c r="TC96" s="11"/>
      <c r="TD96" s="11"/>
      <c r="TE96" s="11"/>
      <c r="TF96" s="11"/>
    </row>
    <row r="97" spans="1:526" ht="22.15" customHeight="1" x14ac:dyDescent="0.25">
      <c r="A97" s="298"/>
      <c r="B97" s="25" t="s">
        <v>15</v>
      </c>
      <c r="BY97" s="184"/>
      <c r="BZ97" s="184"/>
      <c r="CA97" s="184"/>
      <c r="CB97" s="184"/>
      <c r="CC97" s="184"/>
      <c r="CD97" s="184"/>
      <c r="CE97" s="184"/>
      <c r="CF97" s="184"/>
      <c r="CG97" s="184"/>
      <c r="CH97" s="184"/>
      <c r="CI97" s="184"/>
      <c r="CJ97" s="184"/>
      <c r="CK97" s="184"/>
      <c r="CL97" s="184"/>
      <c r="CM97" s="184"/>
      <c r="CN97" s="184"/>
      <c r="CO97" s="184"/>
      <c r="CP97" s="184"/>
      <c r="CQ97" s="184"/>
      <c r="CR97" s="184"/>
      <c r="CS97" s="184"/>
      <c r="CT97" s="184"/>
      <c r="CU97" s="184"/>
      <c r="CV97" s="184"/>
      <c r="CW97" s="184"/>
      <c r="CX97" s="184"/>
      <c r="CY97" s="184"/>
      <c r="CZ97" s="184"/>
      <c r="DA97" s="184"/>
      <c r="DB97" s="184"/>
      <c r="DC97" s="184"/>
      <c r="DD97" s="184"/>
      <c r="DE97" s="184"/>
      <c r="DF97" s="184"/>
      <c r="DG97" s="184"/>
      <c r="DH97" s="184"/>
      <c r="DI97" s="184"/>
      <c r="DJ97" s="184"/>
      <c r="DK97" s="184"/>
      <c r="DL97" s="184"/>
      <c r="DM97" s="184"/>
      <c r="DN97" s="184"/>
      <c r="DO97" s="184"/>
      <c r="DP97" s="184"/>
      <c r="DQ97" s="184"/>
      <c r="DR97" s="184"/>
      <c r="DS97" s="184"/>
      <c r="DT97" s="184"/>
      <c r="DU97" s="184"/>
      <c r="DV97" s="184"/>
      <c r="DW97" s="184"/>
      <c r="DX97" s="184"/>
      <c r="DY97" s="184"/>
      <c r="DZ97" s="184"/>
      <c r="EA97" s="184"/>
      <c r="EB97" s="184"/>
      <c r="EC97" s="184"/>
      <c r="ED97" s="184"/>
      <c r="EE97" s="184"/>
      <c r="EF97" s="184"/>
      <c r="EG97" s="184"/>
      <c r="EH97" s="184"/>
      <c r="EI97" s="184"/>
      <c r="EJ97" s="184"/>
      <c r="EK97" s="184"/>
      <c r="EL97" s="184"/>
      <c r="EM97" s="184"/>
      <c r="EN97" s="184"/>
      <c r="EO97" s="184"/>
      <c r="EP97" s="184"/>
      <c r="EQ97" s="184"/>
      <c r="ER97" s="184"/>
      <c r="ES97" s="184"/>
      <c r="ET97" s="184"/>
      <c r="EU97" s="184"/>
      <c r="EV97" s="184"/>
      <c r="EW97" s="184"/>
      <c r="EX97" s="184"/>
      <c r="EY97" s="184"/>
      <c r="EZ97" s="184"/>
      <c r="FA97" s="184"/>
      <c r="FB97" s="184"/>
      <c r="FC97" s="184"/>
      <c r="FD97" s="184"/>
      <c r="FE97" s="184"/>
      <c r="FF97" s="184"/>
      <c r="FG97" s="184"/>
      <c r="FH97" s="184"/>
      <c r="FI97" s="184"/>
      <c r="FJ97" s="184"/>
      <c r="FK97" s="184"/>
      <c r="FL97" s="184"/>
      <c r="FM97" s="184"/>
      <c r="FN97" s="184"/>
      <c r="FO97" s="184"/>
      <c r="FP97" s="184"/>
      <c r="FQ97" s="184"/>
      <c r="FR97" s="184"/>
      <c r="FS97" s="184"/>
      <c r="FT97" s="184"/>
      <c r="FU97" s="184"/>
      <c r="FV97" s="184"/>
      <c r="FW97" s="184"/>
      <c r="FX97" s="184"/>
      <c r="FY97" s="184"/>
      <c r="FZ97" s="184"/>
      <c r="GA97" s="184"/>
      <c r="GB97" s="184"/>
      <c r="GC97" s="184"/>
      <c r="GD97" s="184"/>
      <c r="GE97" s="184"/>
      <c r="GF97" s="184"/>
      <c r="GG97" s="184"/>
      <c r="GH97" s="184"/>
      <c r="GI97" s="184"/>
      <c r="GJ97" s="184"/>
      <c r="GK97" s="184"/>
      <c r="GL97" s="184"/>
      <c r="GM97" s="184"/>
      <c r="GN97" s="184"/>
      <c r="GO97" s="184"/>
      <c r="GP97" s="184"/>
      <c r="GQ97" s="184"/>
      <c r="GR97" s="184"/>
      <c r="GS97" s="184"/>
      <c r="GT97" s="184"/>
      <c r="GU97" s="184"/>
      <c r="GV97" s="184"/>
      <c r="GW97" s="184"/>
      <c r="GX97" s="184"/>
      <c r="GY97" s="184"/>
      <c r="GZ97" s="184"/>
      <c r="HA97" s="184"/>
      <c r="HB97" s="184"/>
      <c r="HC97" s="184"/>
      <c r="HD97" s="184"/>
      <c r="HE97" s="184"/>
      <c r="HF97" s="184"/>
      <c r="HG97" s="184"/>
      <c r="HH97" s="184"/>
      <c r="HI97" s="184"/>
      <c r="HJ97" s="184"/>
      <c r="HK97" s="184"/>
      <c r="HL97" s="184"/>
      <c r="HM97" s="184"/>
      <c r="HN97" s="184"/>
      <c r="HO97" s="184"/>
      <c r="HP97" s="184"/>
      <c r="HQ97" s="184"/>
      <c r="HR97" s="184"/>
      <c r="HS97" s="184"/>
      <c r="HT97" s="184"/>
      <c r="HU97" s="184"/>
      <c r="HV97" s="184"/>
      <c r="HW97" s="184"/>
      <c r="HX97" s="184"/>
      <c r="HY97" s="184"/>
      <c r="HZ97" s="184"/>
      <c r="IA97" s="184"/>
      <c r="IB97" s="184"/>
      <c r="IC97" s="184"/>
      <c r="ID97" s="184"/>
      <c r="IE97" s="184"/>
      <c r="IF97" s="184"/>
      <c r="IG97" s="184"/>
      <c r="IH97" s="184"/>
      <c r="II97" s="184"/>
      <c r="IJ97" s="184"/>
      <c r="IK97" s="184"/>
      <c r="IL97" s="184"/>
      <c r="IM97" s="184"/>
      <c r="IN97" s="184"/>
      <c r="IO97" s="184"/>
      <c r="IP97" s="184"/>
      <c r="IQ97" s="184"/>
      <c r="IR97" s="184"/>
      <c r="IS97" s="184"/>
      <c r="IT97" s="184"/>
      <c r="IU97" s="184"/>
      <c r="IV97" s="184"/>
      <c r="IW97" s="184"/>
      <c r="IX97" s="139">
        <f t="shared" si="824"/>
        <v>0.5</v>
      </c>
      <c r="IY97" s="110">
        <f t="shared" si="825"/>
        <v>0.499</v>
      </c>
      <c r="IZ97" s="110">
        <f t="shared" si="826"/>
        <v>0.498002</v>
      </c>
      <c r="JA97" s="110">
        <f t="shared" si="827"/>
        <v>0.49700599600000001</v>
      </c>
      <c r="JB97" s="110">
        <f t="shared" si="843"/>
        <v>0.49601198400799995</v>
      </c>
      <c r="JC97" s="110">
        <f t="shared" si="829"/>
        <v>0.495019960039984</v>
      </c>
      <c r="JD97" s="110">
        <f t="shared" si="830"/>
        <v>0.49402992011990399</v>
      </c>
      <c r="JE97" s="110">
        <f t="shared" si="831"/>
        <v>0.49304186027966418</v>
      </c>
      <c r="JF97" s="110">
        <f t="shared" si="832"/>
        <v>0.49205577655910482</v>
      </c>
      <c r="JG97" s="110">
        <f t="shared" si="833"/>
        <v>0.49107166500598659</v>
      </c>
      <c r="JH97" s="110">
        <f t="shared" si="834"/>
        <v>0.49008952167597458</v>
      </c>
      <c r="JI97" s="110">
        <f t="shared" si="835"/>
        <v>0.48910934263262268</v>
      </c>
      <c r="JJ97" s="110">
        <f t="shared" si="836"/>
        <v>0.48813112394735741</v>
      </c>
      <c r="JK97" s="110">
        <f t="shared" si="837"/>
        <v>0.4871548616994627</v>
      </c>
      <c r="JL97" s="110">
        <f t="shared" si="838"/>
        <v>0.4861805519760638</v>
      </c>
      <c r="JM97" s="110">
        <f t="shared" si="844"/>
        <v>0.48520819087211164</v>
      </c>
      <c r="JN97" s="110">
        <f t="shared" si="845"/>
        <v>0.48423777449036742</v>
      </c>
      <c r="JO97" s="110">
        <f t="shared" si="846"/>
        <v>0.4832692989413867</v>
      </c>
      <c r="JP97" s="110">
        <f t="shared" si="847"/>
        <v>0.48230276034350389</v>
      </c>
      <c r="JQ97" s="110">
        <f t="shared" si="848"/>
        <v>0.48133815482281689</v>
      </c>
      <c r="JR97" s="110">
        <f t="shared" si="849"/>
        <v>0.48037547851317125</v>
      </c>
      <c r="JS97" s="110">
        <f t="shared" si="850"/>
        <v>0.47941472755614489</v>
      </c>
      <c r="JT97" s="110">
        <f t="shared" si="851"/>
        <v>0.47845589810103262</v>
      </c>
      <c r="JU97" s="110">
        <f t="shared" si="852"/>
        <v>0.47749898630483056</v>
      </c>
      <c r="JV97" s="110">
        <f t="shared" si="853"/>
        <v>0.47654398833222095</v>
      </c>
      <c r="JW97" s="110">
        <f t="shared" si="854"/>
        <v>0.47559090035555646</v>
      </c>
      <c r="JX97" s="110">
        <f t="shared" si="855"/>
        <v>0.47463971855484532</v>
      </c>
      <c r="JY97" s="110">
        <f t="shared" si="856"/>
        <v>0.47369043911773567</v>
      </c>
      <c r="JZ97" s="110">
        <f t="shared" si="857"/>
        <v>0.47274305823950019</v>
      </c>
      <c r="KA97" s="110">
        <f t="shared" si="858"/>
        <v>0.47179757212302115</v>
      </c>
      <c r="KB97" s="110">
        <f t="shared" si="859"/>
        <v>0.47085397697877512</v>
      </c>
      <c r="KC97" s="110">
        <f t="shared" si="860"/>
        <v>0.46991226902481753</v>
      </c>
      <c r="KD97" s="110">
        <f t="shared" si="861"/>
        <v>0.46897244448676789</v>
      </c>
      <c r="KE97" s="110">
        <f t="shared" si="862"/>
        <v>0.46803449959779431</v>
      </c>
      <c r="KF97" s="110">
        <f t="shared" si="863"/>
        <v>0.46709843059859874</v>
      </c>
      <c r="KG97" s="110">
        <f t="shared" si="864"/>
        <v>0.46616423373740151</v>
      </c>
      <c r="KH97" s="110">
        <f t="shared" si="865"/>
        <v>0.46523190526992669</v>
      </c>
      <c r="KI97" s="110">
        <f t="shared" si="866"/>
        <v>0.4643014414593869</v>
      </c>
      <c r="KJ97" s="110">
        <f t="shared" si="867"/>
        <v>0.4633728385764681</v>
      </c>
      <c r="KK97" s="110">
        <f t="shared" si="868"/>
        <v>0.46244609289931515</v>
      </c>
      <c r="KL97" s="110">
        <f t="shared" si="869"/>
        <v>0.46152120071351654</v>
      </c>
      <c r="KM97" s="110">
        <f t="shared" si="870"/>
        <v>0.4605981583120895</v>
      </c>
      <c r="KN97" s="110">
        <f t="shared" si="871"/>
        <v>0.45967696199546532</v>
      </c>
      <c r="KO97" s="110">
        <f t="shared" si="872"/>
        <v>0.45875760807147442</v>
      </c>
      <c r="KP97" s="110">
        <f t="shared" si="873"/>
        <v>0.4578400928553315</v>
      </c>
      <c r="KQ97" s="110">
        <f t="shared" si="874"/>
        <v>0.45692441266962086</v>
      </c>
      <c r="KR97" s="110">
        <f t="shared" si="875"/>
        <v>0.45601056384428162</v>
      </c>
      <c r="KS97" s="110">
        <f t="shared" si="876"/>
        <v>0.45509854271659306</v>
      </c>
      <c r="KT97" s="110">
        <f t="shared" si="877"/>
        <v>0.45418834563115984</v>
      </c>
      <c r="KU97" s="110">
        <f t="shared" si="878"/>
        <v>0.45327996893989753</v>
      </c>
      <c r="KV97" s="110">
        <f t="shared" si="879"/>
        <v>0.45237340900201772</v>
      </c>
      <c r="KW97" s="148">
        <f t="shared" si="880"/>
        <v>0.45146866218401371</v>
      </c>
      <c r="KX97" s="148">
        <f t="shared" si="881"/>
        <v>0.45056572485964563</v>
      </c>
      <c r="KY97" s="148">
        <f t="shared" si="882"/>
        <v>0.44966459340992637</v>
      </c>
      <c r="KZ97" s="148">
        <f t="shared" si="883"/>
        <v>0.44876526422310653</v>
      </c>
      <c r="LA97" s="148">
        <f t="shared" si="884"/>
        <v>0.44786773369466026</v>
      </c>
      <c r="LB97" s="148">
        <f t="shared" si="885"/>
        <v>0.44697199822727096</v>
      </c>
      <c r="LC97" s="148">
        <f t="shared" si="886"/>
        <v>0.44607805423081642</v>
      </c>
      <c r="LD97" s="148">
        <f t="shared" si="887"/>
        <v>0.44518589812235482</v>
      </c>
      <c r="LE97" s="148">
        <f t="shared" si="888"/>
        <v>0.44429552632611008</v>
      </c>
      <c r="LF97" s="148">
        <f t="shared" si="889"/>
        <v>0.44340693527345787</v>
      </c>
      <c r="LG97" s="148">
        <f t="shared" si="890"/>
        <v>0.44252012140291097</v>
      </c>
      <c r="LH97" s="148">
        <f t="shared" si="891"/>
        <v>0.44163508116010514</v>
      </c>
      <c r="LI97" s="148">
        <f t="shared" si="892"/>
        <v>0.44075181099778493</v>
      </c>
      <c r="LJ97" s="148">
        <f t="shared" si="841"/>
        <v>0.4398703073757893</v>
      </c>
      <c r="LK97" s="148">
        <f t="shared" si="893"/>
        <v>0.4389905667610377</v>
      </c>
      <c r="LL97" s="148">
        <f t="shared" si="894"/>
        <v>0.43811258562751565</v>
      </c>
      <c r="LM97" s="148">
        <f t="shared" si="895"/>
        <v>0.43723636045626058</v>
      </c>
      <c r="LN97" s="148">
        <f t="shared" si="896"/>
        <v>0.43636188773534806</v>
      </c>
      <c r="LO97" s="148">
        <f t="shared" si="897"/>
        <v>0.4354891639598773</v>
      </c>
      <c r="LP97" s="148">
        <f t="shared" si="898"/>
        <v>0.43461818563195753</v>
      </c>
      <c r="LQ97" s="148">
        <f t="shared" si="899"/>
        <v>0.43374894926069363</v>
      </c>
      <c r="LR97" s="148">
        <f t="shared" si="900"/>
        <v>0.43288145136217226</v>
      </c>
      <c r="LS97" s="148">
        <f t="shared" si="901"/>
        <v>0.43201568845944793</v>
      </c>
      <c r="LT97" s="148">
        <f t="shared" si="902"/>
        <v>0.43115165708252906</v>
      </c>
      <c r="LU97" s="148">
        <f t="shared" si="903"/>
        <v>0.43028935376836397</v>
      </c>
      <c r="LV97" s="148">
        <f t="shared" si="904"/>
        <v>0.42942877506082727</v>
      </c>
      <c r="LW97" s="148">
        <f t="shared" si="905"/>
        <v>0.42856991751070567</v>
      </c>
      <c r="LX97" s="148">
        <f t="shared" si="906"/>
        <v>0.42771277767568422</v>
      </c>
      <c r="LY97" s="148">
        <f t="shared" si="907"/>
        <v>0.42685735212033288</v>
      </c>
      <c r="LZ97" s="148">
        <f t="shared" si="908"/>
        <v>0.42600363741609221</v>
      </c>
      <c r="MA97" s="148">
        <f t="shared" si="909"/>
        <v>0.42515163014126001</v>
      </c>
      <c r="MB97" s="148">
        <f t="shared" si="910"/>
        <v>0.42430132688097749</v>
      </c>
      <c r="MC97" s="148">
        <f t="shared" si="911"/>
        <v>0.42345272422721553</v>
      </c>
      <c r="MD97" s="148">
        <f t="shared" si="912"/>
        <v>0.42260581877876108</v>
      </c>
      <c r="ME97" s="148">
        <f t="shared" si="913"/>
        <v>0.42176060714120361</v>
      </c>
      <c r="MF97" s="148">
        <f t="shared" si="914"/>
        <v>0.42091708592692118</v>
      </c>
      <c r="MG97" s="148">
        <f t="shared" si="915"/>
        <v>0.42007525175506732</v>
      </c>
      <c r="MH97" s="148">
        <f t="shared" si="916"/>
        <v>0.41923510125155722</v>
      </c>
      <c r="MI97" s="148">
        <f t="shared" si="917"/>
        <v>0.41839663104905406</v>
      </c>
      <c r="MJ97" s="148">
        <f t="shared" si="918"/>
        <v>0.41755983778695593</v>
      </c>
      <c r="MK97" s="148">
        <f t="shared" si="919"/>
        <v>0.41672471811138201</v>
      </c>
      <c r="ML97" s="148">
        <f t="shared" si="920"/>
        <v>0.4158912686751593</v>
      </c>
      <c r="MM97" s="148">
        <f t="shared" si="921"/>
        <v>0.41505948613780896</v>
      </c>
      <c r="MN97" s="148">
        <f t="shared" si="922"/>
        <v>0.41422936716553338</v>
      </c>
      <c r="MO97" s="148">
        <f t="shared" si="923"/>
        <v>0.41340090843120225</v>
      </c>
      <c r="MP97" s="148">
        <f t="shared" si="924"/>
        <v>0.41257410661433985</v>
      </c>
      <c r="MQ97" s="148">
        <f t="shared" si="925"/>
        <v>0.4117489584011112</v>
      </c>
      <c r="MR97" s="148">
        <f t="shared" si="926"/>
        <v>0.41092546048430895</v>
      </c>
      <c r="MS97" s="148">
        <f t="shared" si="927"/>
        <v>0.4101036095633403</v>
      </c>
      <c r="MT97" s="148">
        <f t="shared" si="928"/>
        <v>0.40928340234421362</v>
      </c>
      <c r="MU97" s="148">
        <f t="shared" si="929"/>
        <v>0.40846483553952517</v>
      </c>
      <c r="MV97" s="158">
        <f t="shared" si="930"/>
        <v>0.40764790586844613</v>
      </c>
      <c r="MW97" s="158">
        <f t="shared" si="931"/>
        <v>0.40683261005670923</v>
      </c>
      <c r="MX97" s="158">
        <f t="shared" si="932"/>
        <v>0.40601894483659579</v>
      </c>
      <c r="MY97" s="158">
        <f t="shared" si="933"/>
        <v>0.40520690694692257</v>
      </c>
      <c r="MZ97" s="158">
        <f t="shared" si="934"/>
        <v>0.40439649313302872</v>
      </c>
      <c r="NA97" s="158">
        <f t="shared" si="935"/>
        <v>0.40358770014676271</v>
      </c>
      <c r="NB97" s="158">
        <f t="shared" si="936"/>
        <v>0.40278052474646914</v>
      </c>
      <c r="NC97" s="158">
        <f t="shared" si="937"/>
        <v>0.40197496369697622</v>
      </c>
      <c r="ND97" s="158">
        <f t="shared" si="938"/>
        <v>0.40117101376958225</v>
      </c>
      <c r="NE97" s="158">
        <f t="shared" si="939"/>
        <v>0.4003686717420431</v>
      </c>
      <c r="NF97" s="158">
        <f t="shared" si="940"/>
        <v>0.39956793439855903</v>
      </c>
      <c r="NG97" s="158">
        <f t="shared" si="941"/>
        <v>0.39876879852976194</v>
      </c>
      <c r="NH97" s="158">
        <f t="shared" si="942"/>
        <v>0.39797126093270235</v>
      </c>
      <c r="NI97" s="158">
        <f t="shared" si="943"/>
        <v>0.39717531841083697</v>
      </c>
      <c r="NJ97" s="158">
        <f t="shared" si="944"/>
        <v>0.39638096777401532</v>
      </c>
      <c r="NK97" s="158">
        <f t="shared" si="945"/>
        <v>0.39558820583846727</v>
      </c>
      <c r="NL97" s="158">
        <f t="shared" si="946"/>
        <v>0.39479702942679035</v>
      </c>
      <c r="NM97" s="158">
        <f t="shared" si="947"/>
        <v>0.39400743536793675</v>
      </c>
      <c r="NN97" s="158">
        <f t="shared" si="948"/>
        <v>0.39321942049720088</v>
      </c>
      <c r="NO97" s="158">
        <f t="shared" si="949"/>
        <v>0.39243298165620649</v>
      </c>
      <c r="NP97" s="158">
        <f t="shared" si="950"/>
        <v>0.39164811569289409</v>
      </c>
      <c r="NQ97" s="158">
        <f t="shared" si="951"/>
        <v>0.39086481946150825</v>
      </c>
      <c r="NR97" s="158">
        <f t="shared" si="952"/>
        <v>0.39008308982258527</v>
      </c>
      <c r="NS97" s="158">
        <f t="shared" si="953"/>
        <v>0.38930292364294006</v>
      </c>
      <c r="NT97" s="158">
        <f t="shared" si="954"/>
        <v>0.38852431779565422</v>
      </c>
      <c r="NU97" s="158">
        <f t="shared" si="955"/>
        <v>0.38774726916006291</v>
      </c>
      <c r="NV97" s="158">
        <f t="shared" si="842"/>
        <v>0.38697177462174281</v>
      </c>
      <c r="NW97" s="158">
        <f t="shared" si="840"/>
        <v>0.33782635924478144</v>
      </c>
      <c r="NX97" s="158">
        <f t="shared" si="840"/>
        <v>0.33715070652629187</v>
      </c>
      <c r="NY97" s="158">
        <f t="shared" si="840"/>
        <v>0.28831201846662613</v>
      </c>
      <c r="NZ97" s="158">
        <f t="shared" si="840"/>
        <v>0.28773539442969287</v>
      </c>
      <c r="OA97" s="158">
        <f t="shared" si="840"/>
        <v>0.28715992364083348</v>
      </c>
      <c r="OB97" s="158">
        <f t="shared" si="840"/>
        <v>0.2865856037935518</v>
      </c>
      <c r="OC97" s="158">
        <f t="shared" si="840"/>
        <v>0.2860124325859647</v>
      </c>
      <c r="OD97" s="158">
        <f t="shared" si="840"/>
        <v>0.23777166895646529</v>
      </c>
      <c r="OE97" s="158">
        <f t="shared" si="840"/>
        <v>0.23729612561855234</v>
      </c>
      <c r="OF97" s="158">
        <f t="shared" si="840"/>
        <v>0.18936230824360475</v>
      </c>
      <c r="OG97" s="158">
        <f t="shared" si="840"/>
        <v>0.18898358362711756</v>
      </c>
      <c r="OH97" s="158">
        <f t="shared" si="840"/>
        <v>0.18860561645986332</v>
      </c>
      <c r="OI97" s="158">
        <f t="shared" si="840"/>
        <v>0.18822840522694359</v>
      </c>
      <c r="OJ97" s="158">
        <f t="shared" si="840"/>
        <v>0.18785194841648972</v>
      </c>
      <c r="OK97" s="158">
        <f t="shared" si="840"/>
        <v>0.1405132574155343</v>
      </c>
      <c r="OL97" s="158">
        <f t="shared" si="840"/>
        <v>0.14023223090070322</v>
      </c>
      <c r="OM97" s="158">
        <f t="shared" si="840"/>
        <v>9.320768947200074E-2</v>
      </c>
      <c r="ON97" s="158">
        <f t="shared" si="840"/>
        <v>9.302127409305673E-2</v>
      </c>
      <c r="OO97" s="158">
        <f t="shared" si="840"/>
        <v>9.2835231544870625E-2</v>
      </c>
      <c r="OP97" s="158">
        <f t="shared" si="840"/>
        <v>9.2649561081780893E-2</v>
      </c>
      <c r="OQ97" s="158">
        <f t="shared" si="840"/>
        <v>9.2464261959617336E-2</v>
      </c>
      <c r="OR97" s="158">
        <f t="shared" si="840"/>
        <v>4.6047202455889426E-2</v>
      </c>
      <c r="OS97" s="158">
        <f t="shared" si="840"/>
        <v>4.5955108050977654E-2</v>
      </c>
      <c r="OT97" s="158">
        <f t="shared" si="840"/>
        <v>-9.1910216101958044E-5</v>
      </c>
      <c r="OU97" s="184"/>
      <c r="OV97" s="184"/>
      <c r="OW97" s="184"/>
      <c r="OX97" s="23"/>
      <c r="OY97" s="23"/>
      <c r="OZ97" s="23"/>
      <c r="PA97" s="23"/>
      <c r="PB97" s="23"/>
      <c r="PC97" s="23"/>
      <c r="PD97" s="23"/>
      <c r="PE97" s="23"/>
      <c r="PF97" s="23"/>
      <c r="PG97" s="23"/>
      <c r="PH97" s="23"/>
      <c r="PI97" s="23"/>
      <c r="PJ97" s="23"/>
      <c r="PK97" s="23"/>
      <c r="PL97" s="23"/>
      <c r="PM97" s="23"/>
      <c r="PN97" s="23"/>
      <c r="PO97" s="23"/>
      <c r="PP97" s="23"/>
      <c r="PQ97" s="23"/>
      <c r="PR97" s="23"/>
      <c r="PS97" s="23"/>
      <c r="PT97" s="23"/>
      <c r="PU97" s="23"/>
      <c r="PV97" s="23"/>
      <c r="PW97" s="23"/>
      <c r="PX97" s="23"/>
      <c r="PY97" s="23"/>
      <c r="PZ97" s="23"/>
      <c r="QA97" s="23"/>
      <c r="QB97" s="23"/>
      <c r="QC97" s="23"/>
      <c r="QD97" s="23"/>
      <c r="QE97" s="23"/>
      <c r="QF97" s="23"/>
      <c r="QG97" s="23"/>
      <c r="QH97" s="23"/>
      <c r="QI97" s="23"/>
      <c r="QJ97" s="23"/>
      <c r="QK97" s="23"/>
      <c r="QL97" s="23"/>
      <c r="QM97" s="23"/>
      <c r="QN97" s="23"/>
      <c r="QO97" s="23"/>
      <c r="QP97" s="23"/>
      <c r="QQ97" s="23"/>
      <c r="QR97" s="23"/>
      <c r="QS97" s="23"/>
      <c r="QT97" s="23"/>
      <c r="QU97" s="23"/>
      <c r="QV97" s="23"/>
      <c r="QW97" s="23"/>
      <c r="QX97" s="23"/>
      <c r="QY97" s="23"/>
      <c r="QZ97" s="23"/>
      <c r="RA97" s="23"/>
      <c r="RB97" s="23"/>
      <c r="RC97" s="23"/>
      <c r="RD97" s="23"/>
      <c r="RE97" s="23"/>
      <c r="RF97" s="23"/>
      <c r="RG97" s="23"/>
      <c r="RH97" s="23"/>
      <c r="RI97" s="23"/>
      <c r="RJ97" s="23"/>
      <c r="RK97" s="23"/>
      <c r="RL97" s="23"/>
      <c r="RM97" s="23"/>
      <c r="RN97" s="23"/>
      <c r="RO97" s="23"/>
      <c r="RP97" s="23"/>
      <c r="RQ97" s="23"/>
      <c r="RR97" s="23"/>
      <c r="RS97" s="23"/>
      <c r="RT97" s="23"/>
      <c r="RU97" s="23"/>
      <c r="RV97" s="23"/>
      <c r="RW97" s="23"/>
      <c r="RX97" s="23"/>
      <c r="RY97" s="23"/>
      <c r="RZ97" s="23"/>
      <c r="SA97" s="23"/>
      <c r="SB97" s="23"/>
      <c r="SC97" s="23"/>
      <c r="SD97" s="23"/>
      <c r="SE97" s="23"/>
      <c r="SF97" s="23"/>
      <c r="SG97" s="23"/>
      <c r="SH97" s="23"/>
      <c r="SI97" s="23"/>
      <c r="SJ97" s="23"/>
      <c r="SK97" s="23"/>
      <c r="SL97" s="23"/>
      <c r="SM97" s="23"/>
      <c r="SN97" s="23"/>
      <c r="SO97" s="23"/>
      <c r="SP97" s="23"/>
      <c r="SQ97" s="23"/>
      <c r="SR97" s="23"/>
      <c r="SS97" s="23"/>
      <c r="ST97" s="23"/>
      <c r="SU97" s="23"/>
      <c r="SV97" s="23"/>
      <c r="SW97" s="23"/>
      <c r="SX97" s="23"/>
      <c r="SY97" s="23"/>
      <c r="SZ97" s="23"/>
      <c r="TA97" s="184"/>
      <c r="TB97" s="185"/>
      <c r="TC97" s="11"/>
      <c r="TD97" s="11"/>
      <c r="TE97" s="11"/>
      <c r="TF97" s="11"/>
    </row>
    <row r="98" spans="1:526" ht="22.15" customHeight="1" x14ac:dyDescent="0.25">
      <c r="A98" s="298"/>
      <c r="B98" s="25" t="s">
        <v>10</v>
      </c>
      <c r="BY98" s="184"/>
      <c r="BZ98" s="184"/>
      <c r="CA98" s="184"/>
      <c r="CB98" s="184"/>
      <c r="CC98" s="184"/>
      <c r="CD98" s="184"/>
      <c r="CE98" s="184"/>
      <c r="CF98" s="184"/>
      <c r="CG98" s="184"/>
      <c r="CH98" s="184"/>
      <c r="CI98" s="184"/>
      <c r="CJ98" s="184"/>
      <c r="CK98" s="184"/>
      <c r="CL98" s="184"/>
      <c r="CM98" s="184"/>
      <c r="CN98" s="184"/>
      <c r="CO98" s="184"/>
      <c r="CP98" s="184"/>
      <c r="CQ98" s="184"/>
      <c r="CR98" s="184"/>
      <c r="CS98" s="184"/>
      <c r="CT98" s="184"/>
      <c r="CU98" s="184"/>
      <c r="CV98" s="184"/>
      <c r="CW98" s="184"/>
      <c r="CX98" s="184"/>
      <c r="CY98" s="184"/>
      <c r="CZ98" s="184"/>
      <c r="DA98" s="184"/>
      <c r="DB98" s="184"/>
      <c r="DC98" s="184"/>
      <c r="DD98" s="184"/>
      <c r="DE98" s="184"/>
      <c r="DF98" s="184"/>
      <c r="DG98" s="184"/>
      <c r="DH98" s="184"/>
      <c r="DI98" s="184"/>
      <c r="DJ98" s="184"/>
      <c r="DK98" s="184"/>
      <c r="DL98" s="184"/>
      <c r="DM98" s="184"/>
      <c r="DN98" s="184"/>
      <c r="DO98" s="184"/>
      <c r="DP98" s="184"/>
      <c r="DQ98" s="184"/>
      <c r="DR98" s="184"/>
      <c r="DS98" s="184"/>
      <c r="DT98" s="184"/>
      <c r="DU98" s="184"/>
      <c r="DV98" s="184"/>
      <c r="DW98" s="184"/>
      <c r="DX98" s="184"/>
      <c r="DY98" s="184"/>
      <c r="DZ98" s="184"/>
      <c r="EA98" s="184"/>
      <c r="EB98" s="184"/>
      <c r="EC98" s="184"/>
      <c r="ED98" s="184"/>
      <c r="EE98" s="184"/>
      <c r="EF98" s="184"/>
      <c r="EG98" s="184"/>
      <c r="EH98" s="184"/>
      <c r="EI98" s="184"/>
      <c r="EJ98" s="184"/>
      <c r="EK98" s="184"/>
      <c r="EL98" s="184"/>
      <c r="EM98" s="184"/>
      <c r="EN98" s="184"/>
      <c r="EO98" s="184"/>
      <c r="EP98" s="184"/>
      <c r="EQ98" s="184"/>
      <c r="ER98" s="184"/>
      <c r="ES98" s="184"/>
      <c r="ET98" s="184"/>
      <c r="EU98" s="184"/>
      <c r="EV98" s="184"/>
      <c r="EW98" s="184"/>
      <c r="EX98" s="184"/>
      <c r="EY98" s="184"/>
      <c r="EZ98" s="184"/>
      <c r="FA98" s="184"/>
      <c r="FB98" s="184"/>
      <c r="FC98" s="184"/>
      <c r="FD98" s="184"/>
      <c r="FE98" s="184"/>
      <c r="FF98" s="184"/>
      <c r="FG98" s="184"/>
      <c r="FH98" s="184"/>
      <c r="FI98" s="184"/>
      <c r="FJ98" s="184"/>
      <c r="FK98" s="184"/>
      <c r="FL98" s="184"/>
      <c r="FM98" s="184"/>
      <c r="FN98" s="184"/>
      <c r="FO98" s="184"/>
      <c r="FP98" s="184"/>
      <c r="FQ98" s="184"/>
      <c r="FR98" s="184"/>
      <c r="FS98" s="184"/>
      <c r="FT98" s="184"/>
      <c r="FU98" s="184"/>
      <c r="FV98" s="184"/>
      <c r="FW98" s="184"/>
      <c r="FX98" s="184"/>
      <c r="FY98" s="184"/>
      <c r="FZ98" s="184"/>
      <c r="GA98" s="184"/>
      <c r="GB98" s="184"/>
      <c r="GC98" s="184"/>
      <c r="GD98" s="184"/>
      <c r="GE98" s="184"/>
      <c r="GF98" s="184"/>
      <c r="GG98" s="184"/>
      <c r="GH98" s="184"/>
      <c r="GI98" s="184"/>
      <c r="GJ98" s="184"/>
      <c r="GK98" s="184"/>
      <c r="GL98" s="184"/>
      <c r="GM98" s="184"/>
      <c r="GN98" s="184"/>
      <c r="GO98" s="184"/>
      <c r="GP98" s="184"/>
      <c r="GQ98" s="184"/>
      <c r="GR98" s="184"/>
      <c r="GS98" s="184"/>
      <c r="GT98" s="184"/>
      <c r="GU98" s="184"/>
      <c r="GV98" s="184"/>
      <c r="GW98" s="184"/>
      <c r="GX98" s="184"/>
      <c r="GY98" s="184"/>
      <c r="GZ98" s="184"/>
      <c r="HA98" s="184"/>
      <c r="HB98" s="184"/>
      <c r="HC98" s="184"/>
      <c r="HD98" s="184"/>
      <c r="HE98" s="184"/>
      <c r="HF98" s="184"/>
      <c r="HG98" s="184"/>
      <c r="HH98" s="184"/>
      <c r="HI98" s="184"/>
      <c r="HJ98" s="184"/>
      <c r="HK98" s="184"/>
      <c r="HL98" s="184"/>
      <c r="HM98" s="184"/>
      <c r="HN98" s="184"/>
      <c r="HO98" s="184"/>
      <c r="HP98" s="184"/>
      <c r="HQ98" s="184"/>
      <c r="HR98" s="184"/>
      <c r="HS98" s="184"/>
      <c r="HT98" s="184"/>
      <c r="HU98" s="184"/>
      <c r="HV98" s="184"/>
      <c r="HW98" s="184"/>
      <c r="HX98" s="184"/>
      <c r="HY98" s="184"/>
      <c r="HZ98" s="184"/>
      <c r="IA98" s="184"/>
      <c r="IB98" s="184"/>
      <c r="IC98" s="184"/>
      <c r="ID98" s="184"/>
      <c r="IE98" s="184"/>
      <c r="IF98" s="184"/>
      <c r="IG98" s="184"/>
      <c r="IH98" s="184"/>
      <c r="II98" s="184"/>
      <c r="IJ98" s="184"/>
      <c r="IK98" s="184"/>
      <c r="IL98" s="184"/>
      <c r="IM98" s="184"/>
      <c r="IN98" s="184"/>
      <c r="IO98" s="184"/>
      <c r="IP98" s="184"/>
      <c r="IQ98" s="184"/>
      <c r="IR98" s="184"/>
      <c r="IS98" s="184"/>
      <c r="IT98" s="184"/>
      <c r="IU98" s="184"/>
      <c r="IV98" s="184"/>
      <c r="IW98" s="184"/>
      <c r="IX98" s="122">
        <f t="shared" si="824"/>
        <v>0.01</v>
      </c>
      <c r="IY98" s="115">
        <f t="shared" si="825"/>
        <v>1.1005582593758946E-2</v>
      </c>
      <c r="IZ98" s="115">
        <f t="shared" si="826"/>
        <v>1.2106377159660616E-2</v>
      </c>
      <c r="JA98" s="115">
        <f t="shared" si="827"/>
        <v>1.329177463494996E-2</v>
      </c>
      <c r="JB98" s="115">
        <f t="shared" si="843"/>
        <v>1.4588567329531619E-2</v>
      </c>
      <c r="JC98" s="115">
        <f t="shared" si="829"/>
        <v>1.6001621613287186E-2</v>
      </c>
      <c r="JD98" s="115">
        <f t="shared" si="830"/>
        <v>1.7513764350912106E-2</v>
      </c>
      <c r="JE98" s="115">
        <f t="shared" si="831"/>
        <v>1.9159726586917943E-2</v>
      </c>
      <c r="JF98" s="115">
        <f t="shared" si="832"/>
        <v>2.0916842913967924E-2</v>
      </c>
      <c r="JG98" s="115">
        <f t="shared" si="833"/>
        <v>2.2820893014488763E-2</v>
      </c>
      <c r="JH98" s="115">
        <f t="shared" si="834"/>
        <v>2.4875013679153523E-2</v>
      </c>
      <c r="JI98" s="115">
        <f t="shared" si="835"/>
        <v>2.7051785083274507E-2</v>
      </c>
      <c r="JJ98" s="115">
        <f t="shared" si="836"/>
        <v>2.9391936164292577E-2</v>
      </c>
      <c r="JK98" s="115">
        <f t="shared" si="837"/>
        <v>3.1863875340368962E-2</v>
      </c>
      <c r="JL98" s="115">
        <f t="shared" si="838"/>
        <v>3.4512306780663762E-2</v>
      </c>
      <c r="JM98" s="115">
        <f t="shared" si="844"/>
        <v>3.7295557327491485E-2</v>
      </c>
      <c r="JN98" s="115">
        <f t="shared" si="845"/>
        <v>4.026107129173058E-2</v>
      </c>
      <c r="JO98" s="115">
        <f t="shared" si="846"/>
        <v>4.3360342612975861E-2</v>
      </c>
      <c r="JP98" s="115">
        <f t="shared" si="847"/>
        <v>4.664991913528866E-2</v>
      </c>
      <c r="JQ98" s="115">
        <f t="shared" si="848"/>
        <v>5.0082638009534913E-2</v>
      </c>
      <c r="JR98" s="115">
        <f t="shared" si="849"/>
        <v>5.3713064706430995E-2</v>
      </c>
      <c r="JS98" s="115">
        <f t="shared" si="850"/>
        <v>5.7488794243371416E-2</v>
      </c>
      <c r="JT98" s="115">
        <f t="shared" si="851"/>
        <v>6.1459039321378257E-2</v>
      </c>
      <c r="JU98" s="115">
        <f t="shared" si="852"/>
        <v>6.5573850206895934E-2</v>
      </c>
      <c r="JV98" s="115">
        <f t="shared" si="853"/>
        <v>6.9894468866911849E-2</v>
      </c>
      <c r="JW98" s="115">
        <f t="shared" si="854"/>
        <v>7.4436102539565979E-2</v>
      </c>
      <c r="JX98" s="115">
        <f t="shared" si="855"/>
        <v>7.9133861530936309E-2</v>
      </c>
      <c r="JY98" s="115">
        <f t="shared" si="856"/>
        <v>8.405709402530856E-2</v>
      </c>
      <c r="JZ98" s="115">
        <f t="shared" si="857"/>
        <v>8.9135398951392567E-2</v>
      </c>
      <c r="KA98" s="115">
        <f t="shared" si="858"/>
        <v>9.4441702908772407E-2</v>
      </c>
      <c r="KB98" s="115">
        <f t="shared" si="859"/>
        <v>9.9980397615493405E-2</v>
      </c>
      <c r="KC98" s="115">
        <f t="shared" si="860"/>
        <v>0.10567182625033895</v>
      </c>
      <c r="KD98" s="115">
        <f t="shared" si="861"/>
        <v>0.11159516930349321</v>
      </c>
      <c r="KE98" s="115">
        <f t="shared" si="862"/>
        <v>0.11775330649604171</v>
      </c>
      <c r="KF98" s="115">
        <f t="shared" si="863"/>
        <v>0.12405730544100586</v>
      </c>
      <c r="KG98" s="115">
        <f t="shared" si="864"/>
        <v>0.13059224509206371</v>
      </c>
      <c r="KH98" s="115">
        <f t="shared" si="865"/>
        <v>0.13724552354731717</v>
      </c>
      <c r="KI98" s="115">
        <f t="shared" si="866"/>
        <v>0.14412155178115069</v>
      </c>
      <c r="KJ98" s="115">
        <f t="shared" si="867"/>
        <v>0.15119969398384345</v>
      </c>
      <c r="KK98" s="115">
        <f t="shared" si="868"/>
        <v>0.15839607220451735</v>
      </c>
      <c r="KL98" s="115">
        <f t="shared" si="869"/>
        <v>0.16580270216732043</v>
      </c>
      <c r="KM98" s="115">
        <f t="shared" si="870"/>
        <v>0.17339414742075068</v>
      </c>
      <c r="KN98" s="115">
        <f t="shared" si="871"/>
        <v>0.18108161957284974</v>
      </c>
      <c r="KO98" s="115">
        <f t="shared" si="872"/>
        <v>0.18893592980770582</v>
      </c>
      <c r="KP98" s="115">
        <f t="shared" si="873"/>
        <v>0.19697531518673633</v>
      </c>
      <c r="KQ98" s="115">
        <f t="shared" si="874"/>
        <v>0.20508349043138344</v>
      </c>
      <c r="KR98" s="115">
        <f t="shared" si="875"/>
        <v>0.21335880865547383</v>
      </c>
      <c r="KS98" s="115">
        <f t="shared" si="876"/>
        <v>0.22179470370603419</v>
      </c>
      <c r="KT98" s="115">
        <f t="shared" si="877"/>
        <v>0.2302694245156435</v>
      </c>
      <c r="KU98" s="115">
        <f t="shared" si="878"/>
        <v>0.23888337760373704</v>
      </c>
      <c r="KV98" s="115">
        <f t="shared" si="879"/>
        <v>0.24751301127415998</v>
      </c>
      <c r="KW98" s="149">
        <f t="shared" si="880"/>
        <v>0.24751301127415998</v>
      </c>
      <c r="KX98" s="149">
        <f t="shared" si="881"/>
        <v>0.25606279623273898</v>
      </c>
      <c r="KY98" s="149">
        <f t="shared" si="882"/>
        <v>0.26459311346923547</v>
      </c>
      <c r="KZ98" s="149">
        <f t="shared" si="883"/>
        <v>0.27320101477409309</v>
      </c>
      <c r="LA98" s="149">
        <f t="shared" si="884"/>
        <v>0.28194674644970757</v>
      </c>
      <c r="LB98" s="149">
        <f t="shared" si="885"/>
        <v>0.29071185521092607</v>
      </c>
      <c r="LC98" s="149">
        <f t="shared" si="886"/>
        <v>0.29956272485855329</v>
      </c>
      <c r="LD98" s="149">
        <f t="shared" si="887"/>
        <v>0.3085291339449367</v>
      </c>
      <c r="LE98" s="149">
        <f t="shared" si="888"/>
        <v>0.31760538538029337</v>
      </c>
      <c r="LF98" s="149">
        <f t="shared" si="889"/>
        <v>0.32666923608303633</v>
      </c>
      <c r="LG98" s="149">
        <f t="shared" si="890"/>
        <v>0.33582601815025315</v>
      </c>
      <c r="LH98" s="149">
        <f t="shared" si="891"/>
        <v>0.34502649758005638</v>
      </c>
      <c r="LI98" s="149">
        <f t="shared" si="892"/>
        <v>0.35430399149027836</v>
      </c>
      <c r="LJ98" s="149">
        <f t="shared" si="841"/>
        <v>0.36353435599804113</v>
      </c>
      <c r="LK98" s="149">
        <f t="shared" si="893"/>
        <v>0.3728685923431812</v>
      </c>
      <c r="LL98" s="149">
        <f t="shared" si="894"/>
        <v>0.38230239189895809</v>
      </c>
      <c r="LM98" s="149">
        <f t="shared" si="895"/>
        <v>0.39183122155676026</v>
      </c>
      <c r="LN98" s="149">
        <f t="shared" si="896"/>
        <v>0.4014503246911697</v>
      </c>
      <c r="LO98" s="149">
        <f t="shared" si="897"/>
        <v>0.41103491518888063</v>
      </c>
      <c r="LP98" s="149">
        <f t="shared" si="898"/>
        <v>0.42069579669088308</v>
      </c>
      <c r="LQ98" s="149">
        <f t="shared" si="899"/>
        <v>0.43042762008844304</v>
      </c>
      <c r="LR98" s="149">
        <f t="shared" si="900"/>
        <v>0.44022482958104225</v>
      </c>
      <c r="LS98" s="149">
        <f t="shared" si="901"/>
        <v>0.44996146066689308</v>
      </c>
      <c r="LT98" s="149">
        <f t="shared" si="902"/>
        <v>0.45974849082461178</v>
      </c>
      <c r="LU98" s="149">
        <f t="shared" si="903"/>
        <v>0.46963603840576573</v>
      </c>
      <c r="LV98" s="149">
        <f t="shared" si="904"/>
        <v>0.47962145688694802</v>
      </c>
      <c r="LW98" s="149">
        <f t="shared" si="905"/>
        <v>0.48970197042433439</v>
      </c>
      <c r="LX98" s="149">
        <f t="shared" si="906"/>
        <v>0.49975211106370188</v>
      </c>
      <c r="LY98" s="149">
        <f t="shared" si="907"/>
        <v>0.50988784695218992</v>
      </c>
      <c r="LZ98" s="149">
        <f t="shared" si="908"/>
        <v>0.5201060402778851</v>
      </c>
      <c r="MA98" s="149">
        <f t="shared" si="909"/>
        <v>0.53040342910440241</v>
      </c>
      <c r="MB98" s="149">
        <f t="shared" si="910"/>
        <v>0.54077662797381754</v>
      </c>
      <c r="MC98" s="149">
        <f t="shared" si="911"/>
        <v>0.55122212867109288</v>
      </c>
      <c r="MD98" s="149">
        <f t="shared" si="912"/>
        <v>0.56173630115220363</v>
      </c>
      <c r="ME98" s="149">
        <f t="shared" si="913"/>
        <v>0.57225646043277623</v>
      </c>
      <c r="MF98" s="149">
        <f t="shared" si="914"/>
        <v>0.58290537824787225</v>
      </c>
      <c r="MG98" s="149">
        <f t="shared" si="915"/>
        <v>0.59368292544087975</v>
      </c>
      <c r="MH98" s="149">
        <f t="shared" si="916"/>
        <v>0.6045889244052246</v>
      </c>
      <c r="MI98" s="149">
        <f t="shared" si="917"/>
        <v>0.61562314826174713</v>
      </c>
      <c r="MJ98" s="149">
        <f t="shared" si="918"/>
        <v>0.62678532005006016</v>
      </c>
      <c r="MK98" s="149">
        <f t="shared" si="919"/>
        <v>0.63794229085373333</v>
      </c>
      <c r="ML98" s="149">
        <f t="shared" si="920"/>
        <v>0.64922265671817514</v>
      </c>
      <c r="MM98" s="149">
        <f t="shared" si="921"/>
        <v>0.66062595459050899</v>
      </c>
      <c r="MN98" s="149">
        <f t="shared" si="922"/>
        <v>0.67215166970065821</v>
      </c>
      <c r="MO98" s="149">
        <f t="shared" si="923"/>
        <v>0.68379923488349403</v>
      </c>
      <c r="MP98" s="149">
        <f t="shared" si="924"/>
        <v>0.69556802991980082</v>
      </c>
      <c r="MQ98" s="149">
        <f t="shared" si="925"/>
        <v>0.70745738089685739</v>
      </c>
      <c r="MR98" s="149">
        <f t="shared" si="926"/>
        <v>0.71946655958943639</v>
      </c>
      <c r="MS98" s="149">
        <f t="shared" si="927"/>
        <v>0.73145375701000881</v>
      </c>
      <c r="MT98" s="149">
        <f t="shared" si="928"/>
        <v>0.74355545266823475</v>
      </c>
      <c r="MU98" s="149">
        <f t="shared" si="929"/>
        <v>0.75577073425771846</v>
      </c>
      <c r="MV98" s="159">
        <f t="shared" si="930"/>
        <v>0.75577073425771846</v>
      </c>
      <c r="MW98" s="159">
        <f t="shared" si="931"/>
        <v>0.76801057813871565</v>
      </c>
      <c r="MX98" s="159">
        <f t="shared" si="932"/>
        <v>0.78035916598687038</v>
      </c>
      <c r="MY98" s="159">
        <f t="shared" si="933"/>
        <v>0.7928153814107648</v>
      </c>
      <c r="MZ98" s="159">
        <f t="shared" si="934"/>
        <v>0.80537805231907722</v>
      </c>
      <c r="NA98" s="159">
        <f t="shared" si="935"/>
        <v>0.81790034253895094</v>
      </c>
      <c r="NB98" s="159">
        <f t="shared" si="936"/>
        <v>0.83052313362689922</v>
      </c>
      <c r="NC98" s="159">
        <f t="shared" si="937"/>
        <v>0.84334073433475221</v>
      </c>
      <c r="ND98" s="159">
        <f t="shared" si="938"/>
        <v>0.85625902121500952</v>
      </c>
      <c r="NE98" s="159">
        <f t="shared" si="939"/>
        <v>0.86927657250153445</v>
      </c>
      <c r="NF98" s="159">
        <f t="shared" si="940"/>
        <v>0.88239191018813767</v>
      </c>
      <c r="NG98" s="159">
        <f t="shared" si="941"/>
        <v>0.8956034998415201</v>
      </c>
      <c r="NH98" s="159">
        <f t="shared" si="942"/>
        <v>0.9087585430506151</v>
      </c>
      <c r="NI98" s="159">
        <f t="shared" si="943"/>
        <v>0.92200333872269546</v>
      </c>
      <c r="NJ98" s="159">
        <f t="shared" si="944"/>
        <v>0.93533618897066662</v>
      </c>
      <c r="NK98" s="159">
        <f t="shared" si="945"/>
        <v>0.94886184209501467</v>
      </c>
      <c r="NL98" s="159">
        <f t="shared" si="946"/>
        <v>0.96247504487602809</v>
      </c>
      <c r="NM98" s="159">
        <f t="shared" si="947"/>
        <v>0.97617396323655636</v>
      </c>
      <c r="NN98" s="159">
        <f t="shared" si="948"/>
        <v>0.98995670729755714</v>
      </c>
      <c r="NO98" s="159">
        <f t="shared" si="949"/>
        <v>1.0036655491382722</v>
      </c>
      <c r="NP98" s="159">
        <f t="shared" si="950"/>
        <v>1.0175642299317702</v>
      </c>
      <c r="NQ98" s="159">
        <f t="shared" si="951"/>
        <v>1.0315408163688777</v>
      </c>
      <c r="NR98" s="159">
        <f t="shared" si="952"/>
        <v>1.0455932401806174</v>
      </c>
      <c r="NS98" s="159">
        <f t="shared" si="953"/>
        <v>1.0597193788423986</v>
      </c>
      <c r="NT98" s="159">
        <f t="shared" si="954"/>
        <v>1.0739170557785458</v>
      </c>
      <c r="NU98" s="159">
        <f t="shared" si="955"/>
        <v>1.0881840406000842</v>
      </c>
      <c r="NV98" s="159">
        <f t="shared" si="842"/>
        <v>1.102358782611909</v>
      </c>
      <c r="NW98" s="159">
        <f t="shared" si="840"/>
        <v>1.1187742054915824</v>
      </c>
      <c r="NX98" s="159">
        <f t="shared" si="840"/>
        <v>1.1332228592253859</v>
      </c>
      <c r="NY98" s="159">
        <f t="shared" si="840"/>
        <v>1.1501557842295889</v>
      </c>
      <c r="NZ98" s="159">
        <f t="shared" si="840"/>
        <v>1.1647536198343733</v>
      </c>
      <c r="OA98" s="159">
        <f t="shared" si="840"/>
        <v>1.1794070554880456</v>
      </c>
      <c r="OB98" s="159">
        <f t="shared" si="840"/>
        <v>1.1941135340245252</v>
      </c>
      <c r="OC98" s="159">
        <f t="shared" si="840"/>
        <v>1.2087082842146553</v>
      </c>
      <c r="OD98" s="159">
        <f t="shared" si="840"/>
        <v>1.2262833758099052</v>
      </c>
      <c r="OE98" s="159">
        <f t="shared" si="840"/>
        <v>1.2411362872744927</v>
      </c>
      <c r="OF98" s="159">
        <f t="shared" si="840"/>
        <v>1.2597658082352627</v>
      </c>
      <c r="OG98" s="159">
        <f t="shared" si="840"/>
        <v>1.274746837027948</v>
      </c>
      <c r="OH98" s="159">
        <f t="shared" si="840"/>
        <v>1.2897656561565338</v>
      </c>
      <c r="OI98" s="159">
        <f t="shared" si="840"/>
        <v>1.3048194075662316</v>
      </c>
      <c r="OJ98" s="159">
        <f t="shared" si="840"/>
        <v>1.3200488617715675</v>
      </c>
      <c r="OK98" s="159">
        <f t="shared" si="840"/>
        <v>1.3404116064513016</v>
      </c>
      <c r="OL98" s="159">
        <f t="shared" si="840"/>
        <v>1.3557612956176492</v>
      </c>
      <c r="OM98" s="159">
        <f t="shared" si="840"/>
        <v>1.3788487029134848</v>
      </c>
      <c r="ON98" s="159">
        <f t="shared" si="840"/>
        <v>1.3943167494848983</v>
      </c>
      <c r="OO98" s="159">
        <f t="shared" si="840"/>
        <v>1.4098064580811625</v>
      </c>
      <c r="OP98" s="159">
        <f t="shared" si="840"/>
        <v>1.4254682445589308</v>
      </c>
      <c r="OQ98" s="159">
        <f t="shared" si="840"/>
        <v>1.4411487678555732</v>
      </c>
      <c r="OR98" s="159">
        <f t="shared" si="840"/>
        <v>1.4726039094623389</v>
      </c>
      <c r="OS98" s="159">
        <f t="shared" si="840"/>
        <v>1.4886425509786578</v>
      </c>
      <c r="OT98" s="159">
        <f t="shared" si="840"/>
        <v>1.5046616392989716</v>
      </c>
      <c r="OU98" s="184"/>
      <c r="OV98" s="184"/>
      <c r="OW98" s="184"/>
      <c r="OX98" s="131"/>
      <c r="OY98" s="131"/>
      <c r="OZ98" s="131"/>
      <c r="PA98" s="131"/>
      <c r="PB98" s="131"/>
      <c r="PC98" s="131"/>
      <c r="PD98" s="131"/>
      <c r="PE98" s="131"/>
      <c r="PF98" s="131"/>
      <c r="PG98" s="131"/>
      <c r="PH98" s="131"/>
      <c r="PI98" s="131"/>
      <c r="PJ98" s="131"/>
      <c r="PK98" s="131"/>
      <c r="PL98" s="131"/>
      <c r="PM98" s="131"/>
      <c r="PN98" s="131"/>
      <c r="PO98" s="131"/>
      <c r="PP98" s="131"/>
      <c r="PQ98" s="131"/>
      <c r="PR98" s="131"/>
      <c r="PS98" s="131"/>
      <c r="PT98" s="131"/>
      <c r="PU98" s="131"/>
      <c r="PV98" s="131"/>
      <c r="PW98" s="131"/>
      <c r="PX98" s="131"/>
      <c r="PY98" s="131"/>
      <c r="PZ98" s="131"/>
      <c r="QA98" s="131"/>
      <c r="QB98" s="131"/>
      <c r="QC98" s="131"/>
      <c r="QD98" s="131"/>
      <c r="QE98" s="131"/>
      <c r="QF98" s="131"/>
      <c r="QG98" s="131"/>
      <c r="QH98" s="131"/>
      <c r="QI98" s="131"/>
      <c r="QJ98" s="131"/>
      <c r="QK98" s="131"/>
      <c r="QL98" s="131"/>
      <c r="QM98" s="131"/>
      <c r="QN98" s="131"/>
      <c r="QO98" s="131"/>
      <c r="QP98" s="131"/>
      <c r="QQ98" s="131"/>
      <c r="QR98" s="131"/>
      <c r="QS98" s="131"/>
      <c r="QT98" s="131"/>
      <c r="QU98" s="131"/>
      <c r="QV98" s="131"/>
      <c r="QW98" s="131"/>
      <c r="QX98" s="131"/>
      <c r="QY98" s="131"/>
      <c r="QZ98" s="131"/>
      <c r="RA98" s="131"/>
      <c r="RB98" s="131"/>
      <c r="RC98" s="131"/>
      <c r="RD98" s="131"/>
      <c r="RE98" s="131"/>
      <c r="RF98" s="131"/>
      <c r="RG98" s="131"/>
      <c r="RH98" s="131"/>
      <c r="RI98" s="131"/>
      <c r="RJ98" s="131"/>
      <c r="RK98" s="131"/>
      <c r="RL98" s="131"/>
      <c r="RM98" s="131"/>
      <c r="RN98" s="131"/>
      <c r="RO98" s="131"/>
      <c r="RP98" s="131"/>
      <c r="RQ98" s="131"/>
      <c r="RR98" s="131"/>
      <c r="RS98" s="131"/>
      <c r="RT98" s="131"/>
      <c r="RU98" s="131"/>
      <c r="RV98" s="131"/>
      <c r="RW98" s="131"/>
      <c r="RX98" s="131"/>
      <c r="RY98" s="131"/>
      <c r="RZ98" s="131"/>
      <c r="SA98" s="131"/>
      <c r="SB98" s="131"/>
      <c r="SC98" s="131"/>
      <c r="SD98" s="131"/>
      <c r="SE98" s="131"/>
      <c r="SF98" s="131"/>
      <c r="SG98" s="131"/>
      <c r="SH98" s="131"/>
      <c r="SI98" s="131"/>
      <c r="SJ98" s="131"/>
      <c r="SK98" s="131"/>
      <c r="SL98" s="131"/>
      <c r="SM98" s="131"/>
      <c r="SN98" s="131"/>
      <c r="SO98" s="131"/>
      <c r="SP98" s="131"/>
      <c r="SQ98" s="131"/>
      <c r="SR98" s="131"/>
      <c r="SS98" s="131"/>
      <c r="ST98" s="131"/>
      <c r="SU98" s="131"/>
      <c r="SV98" s="131"/>
      <c r="SW98" s="131"/>
      <c r="SX98" s="131"/>
      <c r="SY98" s="131"/>
      <c r="SZ98" s="131"/>
      <c r="TA98" s="184"/>
      <c r="TB98" s="185"/>
      <c r="TC98" s="11"/>
      <c r="TD98" s="11"/>
      <c r="TE98" s="11"/>
      <c r="TF98" s="11"/>
    </row>
    <row r="99" spans="1:526" ht="22.15" customHeight="1" thickBot="1" x14ac:dyDescent="0.3">
      <c r="A99" s="298"/>
      <c r="B99" s="25" t="s">
        <v>11</v>
      </c>
      <c r="BY99" s="184"/>
      <c r="BZ99" s="184"/>
      <c r="CA99" s="184"/>
      <c r="CB99" s="184"/>
      <c r="CC99" s="184"/>
      <c r="CD99" s="184"/>
      <c r="CE99" s="184"/>
      <c r="CF99" s="184"/>
      <c r="CG99" s="184"/>
      <c r="CH99" s="184"/>
      <c r="CI99" s="184"/>
      <c r="CJ99" s="184"/>
      <c r="CK99" s="184"/>
      <c r="CL99" s="184"/>
      <c r="CM99" s="184"/>
      <c r="CN99" s="184"/>
      <c r="CO99" s="184"/>
      <c r="CP99" s="184"/>
      <c r="CQ99" s="184"/>
      <c r="CR99" s="184"/>
      <c r="CS99" s="184"/>
      <c r="CT99" s="184"/>
      <c r="CU99" s="184"/>
      <c r="CV99" s="184"/>
      <c r="CW99" s="184"/>
      <c r="CX99" s="184"/>
      <c r="CY99" s="184"/>
      <c r="CZ99" s="184"/>
      <c r="DA99" s="184"/>
      <c r="DB99" s="184"/>
      <c r="DC99" s="184"/>
      <c r="DD99" s="184"/>
      <c r="DE99" s="184"/>
      <c r="DF99" s="184"/>
      <c r="DG99" s="184"/>
      <c r="DH99" s="184"/>
      <c r="DI99" s="184"/>
      <c r="DJ99" s="184"/>
      <c r="DK99" s="184"/>
      <c r="DL99" s="184"/>
      <c r="DM99" s="184"/>
      <c r="DN99" s="184"/>
      <c r="DO99" s="184"/>
      <c r="DP99" s="184"/>
      <c r="DQ99" s="184"/>
      <c r="DR99" s="184"/>
      <c r="DS99" s="184"/>
      <c r="DT99" s="184"/>
      <c r="DU99" s="184"/>
      <c r="DV99" s="184"/>
      <c r="DW99" s="184"/>
      <c r="DX99" s="184"/>
      <c r="DY99" s="184"/>
      <c r="DZ99" s="184"/>
      <c r="EA99" s="184"/>
      <c r="EB99" s="184"/>
      <c r="EC99" s="184"/>
      <c r="ED99" s="184"/>
      <c r="EE99" s="184"/>
      <c r="EF99" s="184"/>
      <c r="EG99" s="184"/>
      <c r="EH99" s="184"/>
      <c r="EI99" s="184"/>
      <c r="EJ99" s="184"/>
      <c r="EK99" s="184"/>
      <c r="EL99" s="184"/>
      <c r="EM99" s="184"/>
      <c r="EN99" s="184"/>
      <c r="EO99" s="184"/>
      <c r="EP99" s="184"/>
      <c r="EQ99" s="184"/>
      <c r="ER99" s="184"/>
      <c r="ES99" s="184"/>
      <c r="ET99" s="184"/>
      <c r="EU99" s="184"/>
      <c r="EV99" s="184"/>
      <c r="EW99" s="184"/>
      <c r="EX99" s="184"/>
      <c r="EY99" s="184"/>
      <c r="EZ99" s="184"/>
      <c r="FA99" s="184"/>
      <c r="FB99" s="184"/>
      <c r="FC99" s="184"/>
      <c r="FD99" s="184"/>
      <c r="FE99" s="184"/>
      <c r="FF99" s="184"/>
      <c r="FG99" s="184"/>
      <c r="FH99" s="184"/>
      <c r="FI99" s="184"/>
      <c r="FJ99" s="184"/>
      <c r="FK99" s="184"/>
      <c r="FL99" s="184"/>
      <c r="FM99" s="184"/>
      <c r="FN99" s="184"/>
      <c r="FO99" s="184"/>
      <c r="FP99" s="184"/>
      <c r="FQ99" s="184"/>
      <c r="FR99" s="184"/>
      <c r="FS99" s="184"/>
      <c r="FT99" s="184"/>
      <c r="FU99" s="184"/>
      <c r="FV99" s="184"/>
      <c r="FW99" s="184"/>
      <c r="FX99" s="184"/>
      <c r="FY99" s="184"/>
      <c r="FZ99" s="184"/>
      <c r="GA99" s="184"/>
      <c r="GB99" s="184"/>
      <c r="GC99" s="184"/>
      <c r="GD99" s="184"/>
      <c r="GE99" s="184"/>
      <c r="GF99" s="184"/>
      <c r="GG99" s="184"/>
      <c r="GH99" s="184"/>
      <c r="GI99" s="184"/>
      <c r="GJ99" s="184"/>
      <c r="GK99" s="184"/>
      <c r="GL99" s="184"/>
      <c r="GM99" s="184"/>
      <c r="GN99" s="184"/>
      <c r="GO99" s="184"/>
      <c r="GP99" s="184"/>
      <c r="GQ99" s="184"/>
      <c r="GR99" s="184"/>
      <c r="GS99" s="184"/>
      <c r="GT99" s="184"/>
      <c r="GU99" s="184"/>
      <c r="GV99" s="184"/>
      <c r="GW99" s="184"/>
      <c r="GX99" s="184"/>
      <c r="GY99" s="184"/>
      <c r="GZ99" s="184"/>
      <c r="HA99" s="184"/>
      <c r="HB99" s="184"/>
      <c r="HC99" s="184"/>
      <c r="HD99" s="184"/>
      <c r="HE99" s="184"/>
      <c r="HF99" s="184"/>
      <c r="HG99" s="184"/>
      <c r="HH99" s="184"/>
      <c r="HI99" s="184"/>
      <c r="HJ99" s="184"/>
      <c r="HK99" s="184"/>
      <c r="HL99" s="184"/>
      <c r="HM99" s="184"/>
      <c r="HN99" s="184"/>
      <c r="HO99" s="184"/>
      <c r="HP99" s="184"/>
      <c r="HQ99" s="184"/>
      <c r="HR99" s="184"/>
      <c r="HS99" s="184"/>
      <c r="HT99" s="184"/>
      <c r="HU99" s="184"/>
      <c r="HV99" s="184"/>
      <c r="HW99" s="184"/>
      <c r="HX99" s="184"/>
      <c r="HY99" s="184"/>
      <c r="HZ99" s="184"/>
      <c r="IA99" s="184"/>
      <c r="IB99" s="184"/>
      <c r="IC99" s="184"/>
      <c r="ID99" s="184"/>
      <c r="IE99" s="184"/>
      <c r="IF99" s="184"/>
      <c r="IG99" s="184"/>
      <c r="IH99" s="184"/>
      <c r="II99" s="184"/>
      <c r="IJ99" s="184"/>
      <c r="IK99" s="184"/>
      <c r="IL99" s="184"/>
      <c r="IM99" s="184"/>
      <c r="IN99" s="184"/>
      <c r="IO99" s="184"/>
      <c r="IP99" s="184"/>
      <c r="IQ99" s="184"/>
      <c r="IR99" s="184"/>
      <c r="IS99" s="184"/>
      <c r="IT99" s="184"/>
      <c r="IU99" s="184"/>
      <c r="IV99" s="184"/>
      <c r="IW99" s="184"/>
      <c r="IX99" s="123">
        <f t="shared" si="824"/>
        <v>2.5</v>
      </c>
      <c r="IY99" s="110">
        <f t="shared" si="825"/>
        <v>2.7458928571428571</v>
      </c>
      <c r="IZ99" s="110">
        <f t="shared" si="826"/>
        <v>3.0145000191326532</v>
      </c>
      <c r="JA99" s="110">
        <f t="shared" si="827"/>
        <v>3.3030458455254204</v>
      </c>
      <c r="JB99" s="110">
        <f t="shared" si="843"/>
        <v>3.6180521124776339</v>
      </c>
      <c r="JC99" s="110">
        <f t="shared" si="829"/>
        <v>3.9605610457921832</v>
      </c>
      <c r="JD99" s="110">
        <f t="shared" si="830"/>
        <v>4.326161801639965</v>
      </c>
      <c r="JE99" s="110">
        <f t="shared" si="831"/>
        <v>4.7232736194318816</v>
      </c>
      <c r="JF99" s="110">
        <f t="shared" si="832"/>
        <v>5.1461266915986474</v>
      </c>
      <c r="JG99" s="110">
        <f t="shared" si="833"/>
        <v>5.603346964774242</v>
      </c>
      <c r="JH99" s="110">
        <f t="shared" si="834"/>
        <v>6.0954917778498379</v>
      </c>
      <c r="JI99" s="110">
        <f t="shared" si="835"/>
        <v>6.615640409559691</v>
      </c>
      <c r="JJ99" s="110">
        <f t="shared" si="836"/>
        <v>7.1735594174325588</v>
      </c>
      <c r="JK99" s="110">
        <f t="shared" si="837"/>
        <v>7.7613208923231802</v>
      </c>
      <c r="JL99" s="110">
        <f t="shared" si="838"/>
        <v>8.3896061802951785</v>
      </c>
      <c r="JM99" s="110">
        <f t="shared" si="844"/>
        <v>9.0480549492196349</v>
      </c>
      <c r="JN99" s="110">
        <f t="shared" si="845"/>
        <v>9.7479657804528195</v>
      </c>
      <c r="JO99" s="110">
        <f t="shared" si="846"/>
        <v>10.477361188215589</v>
      </c>
      <c r="JP99" s="110">
        <f t="shared" si="847"/>
        <v>11.249692384375482</v>
      </c>
      <c r="JQ99" s="110">
        <f t="shared" si="848"/>
        <v>12.053342284084305</v>
      </c>
      <c r="JR99" s="110">
        <f t="shared" si="849"/>
        <v>12.90121958038036</v>
      </c>
      <c r="JS99" s="110">
        <f t="shared" si="850"/>
        <v>13.78048731485859</v>
      </c>
      <c r="JT99" s="110">
        <f t="shared" si="851"/>
        <v>14.702719927468356</v>
      </c>
      <c r="JU99" s="110">
        <f t="shared" si="852"/>
        <v>15.655723500948806</v>
      </c>
      <c r="JV99" s="110">
        <f t="shared" si="853"/>
        <v>16.653894478100209</v>
      </c>
      <c r="JW99" s="110">
        <f t="shared" si="854"/>
        <v>17.700566512875355</v>
      </c>
      <c r="JX99" s="110">
        <f t="shared" si="855"/>
        <v>18.780036882600857</v>
      </c>
      <c r="JY99" s="110">
        <f t="shared" si="856"/>
        <v>19.908520889904604</v>
      </c>
      <c r="JZ99" s="110">
        <f t="shared" si="857"/>
        <v>21.06907054883963</v>
      </c>
      <c r="KA99" s="110">
        <f t="shared" si="858"/>
        <v>22.278683069761243</v>
      </c>
      <c r="KB99" s="110">
        <f t="shared" si="859"/>
        <v>23.538083918587155</v>
      </c>
      <c r="KC99" s="110">
        <f t="shared" si="860"/>
        <v>24.828243822646527</v>
      </c>
      <c r="KD99" s="110">
        <f t="shared" si="861"/>
        <v>26.167529670586966</v>
      </c>
      <c r="KE99" s="110">
        <f t="shared" si="862"/>
        <v>27.556304940930293</v>
      </c>
      <c r="KF99" s="110">
        <f t="shared" si="863"/>
        <v>28.973486337892421</v>
      </c>
      <c r="KG99" s="110">
        <f t="shared" si="864"/>
        <v>30.438716932694408</v>
      </c>
      <c r="KH99" s="110">
        <f t="shared" si="865"/>
        <v>31.925498204843478</v>
      </c>
      <c r="KI99" s="110">
        <f t="shared" si="866"/>
        <v>33.457922118675967</v>
      </c>
      <c r="KJ99" s="110">
        <f t="shared" si="867"/>
        <v>35.030915696593432</v>
      </c>
      <c r="KK99" s="110">
        <f t="shared" si="868"/>
        <v>36.624822360788428</v>
      </c>
      <c r="KL99" s="110">
        <f t="shared" si="869"/>
        <v>38.260731092903647</v>
      </c>
      <c r="KM99" s="110">
        <f t="shared" si="870"/>
        <v>39.932512482046356</v>
      </c>
      <c r="KN99" s="110">
        <f t="shared" si="871"/>
        <v>41.619524379233077</v>
      </c>
      <c r="KO99" s="110">
        <f t="shared" si="872"/>
        <v>43.337897618671555</v>
      </c>
      <c r="KP99" s="110">
        <f t="shared" si="873"/>
        <v>45.091598297651771</v>
      </c>
      <c r="KQ99" s="110">
        <f t="shared" si="874"/>
        <v>46.85382670679784</v>
      </c>
      <c r="KR99" s="110">
        <f t="shared" si="875"/>
        <v>48.646935318063406</v>
      </c>
      <c r="KS99" s="110">
        <f t="shared" si="876"/>
        <v>50.469223219437346</v>
      </c>
      <c r="KT99" s="110">
        <f t="shared" si="877"/>
        <v>52.292844485099678</v>
      </c>
      <c r="KU99" s="110">
        <f t="shared" si="878"/>
        <v>54.140524990239868</v>
      </c>
      <c r="KV99" s="110">
        <f t="shared" si="879"/>
        <v>55.984152341223293</v>
      </c>
      <c r="KW99" s="148">
        <f t="shared" si="880"/>
        <v>55.872184036540851</v>
      </c>
      <c r="KX99" s="148">
        <f t="shared" si="881"/>
        <v>57.686559697095888</v>
      </c>
      <c r="KY99" s="148">
        <f t="shared" si="882"/>
        <v>59.489077393605136</v>
      </c>
      <c r="KZ99" s="148">
        <f t="shared" si="883"/>
        <v>61.30156279055835</v>
      </c>
      <c r="LA99" s="148">
        <f t="shared" si="884"/>
        <v>63.137425177506771</v>
      </c>
      <c r="LB99" s="148">
        <f t="shared" si="885"/>
        <v>64.970029415992343</v>
      </c>
      <c r="LC99" s="148">
        <f t="shared" si="886"/>
        <v>66.814178712492435</v>
      </c>
      <c r="LD99" s="148">
        <f t="shared" si="887"/>
        <v>68.676409796094475</v>
      </c>
      <c r="LE99" s="148">
        <f t="shared" si="888"/>
        <v>70.555325930772227</v>
      </c>
      <c r="LF99" s="148">
        <f t="shared" si="889"/>
        <v>72.423702409850407</v>
      </c>
      <c r="LG99" s="148">
        <f t="shared" si="890"/>
        <v>74.304885161053093</v>
      </c>
      <c r="LH99" s="148">
        <f t="shared" si="891"/>
        <v>76.187902630577511</v>
      </c>
      <c r="LI99" s="148">
        <f t="shared" si="892"/>
        <v>78.080062946541972</v>
      </c>
      <c r="LJ99" s="148">
        <f t="shared" si="841"/>
        <v>79.953984457258983</v>
      </c>
      <c r="LK99" s="148">
        <f t="shared" si="893"/>
        <v>81.842897340061725</v>
      </c>
      <c r="LL99" s="148">
        <f t="shared" si="894"/>
        <v>83.745744703218151</v>
      </c>
      <c r="LM99" s="148">
        <f t="shared" si="895"/>
        <v>85.661428613304267</v>
      </c>
      <c r="LN99" s="148">
        <f t="shared" si="896"/>
        <v>87.588810757103602</v>
      </c>
      <c r="LO99" s="148">
        <f t="shared" si="897"/>
        <v>89.50062578696236</v>
      </c>
      <c r="LP99" s="148">
        <f t="shared" si="898"/>
        <v>91.421021930391248</v>
      </c>
      <c r="LQ99" s="148">
        <f t="shared" si="899"/>
        <v>93.348763973071598</v>
      </c>
      <c r="LR99" s="148">
        <f t="shared" si="900"/>
        <v>95.282581577353255</v>
      </c>
      <c r="LS99" s="148">
        <f t="shared" si="901"/>
        <v>97.195205105113303</v>
      </c>
      <c r="LT99" s="148">
        <f t="shared" si="902"/>
        <v>99.110661830111624</v>
      </c>
      <c r="LU99" s="148">
        <f t="shared" si="903"/>
        <v>101.03969373597575</v>
      </c>
      <c r="LV99" s="148">
        <f t="shared" si="904"/>
        <v>102.98162736192573</v>
      </c>
      <c r="LW99" s="148">
        <f t="shared" si="905"/>
        <v>104.9357665347935</v>
      </c>
      <c r="LX99" s="148">
        <f t="shared" si="906"/>
        <v>106.87518178617148</v>
      </c>
      <c r="LY99" s="148">
        <f t="shared" si="907"/>
        <v>108.82468811417466</v>
      </c>
      <c r="LZ99" s="148">
        <f t="shared" si="908"/>
        <v>110.78353250022981</v>
      </c>
      <c r="MA99" s="148">
        <f t="shared" si="909"/>
        <v>112.75094125812545</v>
      </c>
      <c r="MB99" s="148">
        <f t="shared" si="910"/>
        <v>114.72612039775575</v>
      </c>
      <c r="MC99" s="148">
        <f t="shared" si="911"/>
        <v>116.7082560200495</v>
      </c>
      <c r="MD99" s="148">
        <f t="shared" si="912"/>
        <v>118.69651474308986</v>
      </c>
      <c r="ME99" s="148">
        <f t="shared" si="913"/>
        <v>120.67761609630193</v>
      </c>
      <c r="MF99" s="148">
        <f t="shared" si="914"/>
        <v>122.67741659161207</v>
      </c>
      <c r="MG99" s="148">
        <f t="shared" si="915"/>
        <v>124.69575218363121</v>
      </c>
      <c r="MH99" s="148">
        <f t="shared" si="916"/>
        <v>126.73244946929719</v>
      </c>
      <c r="MI99" s="148">
        <f t="shared" si="917"/>
        <v>128.78732561426366</v>
      </c>
      <c r="MJ99" s="148">
        <f t="shared" si="918"/>
        <v>130.86018828367418</v>
      </c>
      <c r="MK99" s="148">
        <f t="shared" si="919"/>
        <v>132.92316066367565</v>
      </c>
      <c r="ML99" s="148">
        <f t="shared" si="920"/>
        <v>135.00301717758964</v>
      </c>
      <c r="MM99" s="148">
        <f t="shared" si="921"/>
        <v>137.09953462081808</v>
      </c>
      <c r="MN99" s="148">
        <f t="shared" si="922"/>
        <v>139.21248038968011</v>
      </c>
      <c r="MO99" s="148">
        <f t="shared" si="923"/>
        <v>141.34161244269873</v>
      </c>
      <c r="MP99" s="148">
        <f t="shared" si="924"/>
        <v>143.4866792668291</v>
      </c>
      <c r="MQ99" s="148">
        <f t="shared" si="925"/>
        <v>145.64741984872958</v>
      </c>
      <c r="MR99" s="148">
        <f t="shared" si="926"/>
        <v>147.82356365117531</v>
      </c>
      <c r="MS99" s="148">
        <f t="shared" si="927"/>
        <v>149.98591298923552</v>
      </c>
      <c r="MT99" s="148">
        <f t="shared" si="928"/>
        <v>152.1624527498235</v>
      </c>
      <c r="MU99" s="148">
        <f t="shared" si="929"/>
        <v>154.35288433708257</v>
      </c>
      <c r="MV99" s="158">
        <f t="shared" si="930"/>
        <v>154.0441785684084</v>
      </c>
      <c r="MW99" s="158">
        <f t="shared" si="931"/>
        <v>156.22587402766794</v>
      </c>
      <c r="MX99" s="158">
        <f t="shared" si="932"/>
        <v>158.4203025837775</v>
      </c>
      <c r="MY99" s="158">
        <f t="shared" si="933"/>
        <v>160.62713424070034</v>
      </c>
      <c r="MZ99" s="158">
        <f t="shared" si="934"/>
        <v>162.8460300020719</v>
      </c>
      <c r="NA99" s="158">
        <f t="shared" si="935"/>
        <v>165.0472590972723</v>
      </c>
      <c r="NB99" s="158">
        <f t="shared" si="936"/>
        <v>167.25927178816221</v>
      </c>
      <c r="NC99" s="158">
        <f t="shared" si="937"/>
        <v>169.50093053419664</v>
      </c>
      <c r="ND99" s="158">
        <f t="shared" si="938"/>
        <v>171.75314979508781</v>
      </c>
      <c r="NE99" s="158">
        <f t="shared" si="939"/>
        <v>174.01555335445758</v>
      </c>
      <c r="NF99" s="158">
        <f t="shared" si="940"/>
        <v>176.28775644193649</v>
      </c>
      <c r="NG99" s="158">
        <f t="shared" si="941"/>
        <v>178.56936579542639</v>
      </c>
      <c r="NH99" s="158">
        <f t="shared" si="942"/>
        <v>180.82989163060938</v>
      </c>
      <c r="NI99" s="158">
        <f t="shared" si="943"/>
        <v>183.09848481652065</v>
      </c>
      <c r="NJ99" s="158">
        <f t="shared" si="944"/>
        <v>185.37473188912605</v>
      </c>
      <c r="NK99" s="158">
        <f t="shared" si="945"/>
        <v>187.67927685147495</v>
      </c>
      <c r="NL99" s="158">
        <f t="shared" si="946"/>
        <v>189.99114430723631</v>
      </c>
      <c r="NM99" s="158">
        <f t="shared" si="947"/>
        <v>192.30989986389508</v>
      </c>
      <c r="NN99" s="158">
        <f t="shared" si="948"/>
        <v>194.63510138043125</v>
      </c>
      <c r="NO99" s="158">
        <f t="shared" si="949"/>
        <v>196.93573201697299</v>
      </c>
      <c r="NP99" s="158">
        <f t="shared" si="950"/>
        <v>199.2635566246343</v>
      </c>
      <c r="NQ99" s="158">
        <f t="shared" si="951"/>
        <v>201.59650747859911</v>
      </c>
      <c r="NR99" s="158">
        <f t="shared" si="952"/>
        <v>203.93412091363186</v>
      </c>
      <c r="NS99" s="158">
        <f t="shared" si="953"/>
        <v>206.27592621221311</v>
      </c>
      <c r="NT99" s="158">
        <f t="shared" si="954"/>
        <v>208.62144573273852</v>
      </c>
      <c r="NU99" s="158">
        <f t="shared" si="955"/>
        <v>210.97019504312283</v>
      </c>
      <c r="NV99" s="158">
        <f t="shared" si="842"/>
        <v>213.29086718859719</v>
      </c>
      <c r="NW99" s="158">
        <f t="shared" si="840"/>
        <v>188.9757083290971</v>
      </c>
      <c r="NX99" s="158">
        <f t="shared" si="840"/>
        <v>191.03344381979173</v>
      </c>
      <c r="NY99" s="158">
        <f t="shared" si="840"/>
        <v>165.80186785114904</v>
      </c>
      <c r="NZ99" s="158">
        <f t="shared" si="840"/>
        <v>167.57042110822798</v>
      </c>
      <c r="OA99" s="158">
        <f t="shared" si="840"/>
        <v>169.33921999770371</v>
      </c>
      <c r="OB99" s="158">
        <f t="shared" si="840"/>
        <v>171.10787407323525</v>
      </c>
      <c r="OC99" s="158">
        <f t="shared" si="840"/>
        <v>172.85279832752056</v>
      </c>
      <c r="OD99" s="158">
        <f t="shared" si="840"/>
        <v>145.78772243994473</v>
      </c>
      <c r="OE99" s="158">
        <f t="shared" si="840"/>
        <v>147.25841616741585</v>
      </c>
      <c r="OF99" s="158">
        <f t="shared" si="840"/>
        <v>119.27608064689986</v>
      </c>
      <c r="OG99" s="158">
        <f t="shared" si="840"/>
        <v>120.4531127394374</v>
      </c>
      <c r="OH99" s="158">
        <f t="shared" si="840"/>
        <v>121.62852333408158</v>
      </c>
      <c r="OI99" s="158">
        <f t="shared" si="840"/>
        <v>122.80203809767855</v>
      </c>
      <c r="OJ99" s="158">
        <f t="shared" si="840"/>
        <v>123.98687534437923</v>
      </c>
      <c r="OK99" s="158">
        <f t="shared" si="840"/>
        <v>94.1728005500308</v>
      </c>
      <c r="OL99" s="158">
        <f t="shared" si="840"/>
        <v>95.060715526645382</v>
      </c>
      <c r="OM99" s="158">
        <f t="shared" si="840"/>
        <v>64.259650865015544</v>
      </c>
      <c r="ON99" s="158">
        <f t="shared" si="840"/>
        <v>64.850560263187319</v>
      </c>
      <c r="OO99" s="158">
        <f t="shared" si="840"/>
        <v>65.439854484709329</v>
      </c>
      <c r="OP99" s="158">
        <f t="shared" si="840"/>
        <v>66.034503597200825</v>
      </c>
      <c r="OQ99" s="158">
        <f t="shared" si="840"/>
        <v>66.627378596888732</v>
      </c>
      <c r="OR99" s="158">
        <f t="shared" si="840"/>
        <v>33.90464517817329</v>
      </c>
      <c r="OS99" s="158">
        <f t="shared" si="840"/>
        <v>34.205364639753611</v>
      </c>
      <c r="OT99" s="160">
        <f t="shared" si="840"/>
        <v>-6.9146888214147453E-2</v>
      </c>
      <c r="OU99" s="184"/>
      <c r="OV99" s="184"/>
      <c r="OW99" s="184"/>
      <c r="OX99" s="23"/>
      <c r="OY99" s="23"/>
      <c r="OZ99" s="23"/>
      <c r="PA99" s="23"/>
      <c r="PB99" s="23"/>
      <c r="PC99" s="23"/>
      <c r="PD99" s="23"/>
      <c r="PE99" s="23"/>
      <c r="PF99" s="23"/>
      <c r="PG99" s="23"/>
      <c r="PH99" s="23"/>
      <c r="PI99" s="23"/>
      <c r="PJ99" s="23"/>
      <c r="PK99" s="23"/>
      <c r="PL99" s="23"/>
      <c r="PM99" s="23"/>
      <c r="PN99" s="23"/>
      <c r="PO99" s="23"/>
      <c r="PP99" s="23"/>
      <c r="PQ99" s="23"/>
      <c r="PR99" s="23"/>
      <c r="PS99" s="23"/>
      <c r="PT99" s="23"/>
      <c r="PU99" s="23"/>
      <c r="PV99" s="23"/>
      <c r="PW99" s="23"/>
      <c r="PX99" s="23"/>
      <c r="PY99" s="23"/>
      <c r="PZ99" s="23"/>
      <c r="QA99" s="23"/>
      <c r="QB99" s="23"/>
      <c r="QC99" s="23"/>
      <c r="QD99" s="23"/>
      <c r="QE99" s="23"/>
      <c r="QF99" s="23"/>
      <c r="QG99" s="23"/>
      <c r="QH99" s="23"/>
      <c r="QI99" s="23"/>
      <c r="QJ99" s="23"/>
      <c r="QK99" s="23"/>
      <c r="QL99" s="23"/>
      <c r="QM99" s="23"/>
      <c r="QN99" s="23"/>
      <c r="QO99" s="23"/>
      <c r="QP99" s="23"/>
      <c r="QQ99" s="23"/>
      <c r="QR99" s="23"/>
      <c r="QS99" s="23"/>
      <c r="QT99" s="23"/>
      <c r="QU99" s="23"/>
      <c r="QV99" s="23"/>
      <c r="QW99" s="23"/>
      <c r="QX99" s="23"/>
      <c r="QY99" s="23"/>
      <c r="QZ99" s="23"/>
      <c r="RA99" s="23"/>
      <c r="RB99" s="23"/>
      <c r="RC99" s="23"/>
      <c r="RD99" s="23"/>
      <c r="RE99" s="23"/>
      <c r="RF99" s="23"/>
      <c r="RG99" s="23"/>
      <c r="RH99" s="23"/>
      <c r="RI99" s="23"/>
      <c r="RJ99" s="23"/>
      <c r="RK99" s="23"/>
      <c r="RL99" s="23"/>
      <c r="RM99" s="23"/>
      <c r="RN99" s="23"/>
      <c r="RO99" s="23"/>
      <c r="RP99" s="23"/>
      <c r="RQ99" s="23"/>
      <c r="RR99" s="23"/>
      <c r="RS99" s="23"/>
      <c r="RT99" s="23"/>
      <c r="RU99" s="23"/>
      <c r="RV99" s="23"/>
      <c r="RW99" s="23"/>
      <c r="RX99" s="23"/>
      <c r="RY99" s="23"/>
      <c r="RZ99" s="23"/>
      <c r="SA99" s="23"/>
      <c r="SB99" s="23"/>
      <c r="SC99" s="23"/>
      <c r="SD99" s="23"/>
      <c r="SE99" s="23"/>
      <c r="SF99" s="23"/>
      <c r="SG99" s="23"/>
      <c r="SH99" s="23"/>
      <c r="SI99" s="23"/>
      <c r="SJ99" s="23"/>
      <c r="SK99" s="23"/>
      <c r="SL99" s="23"/>
      <c r="SM99" s="23"/>
      <c r="SN99" s="23"/>
      <c r="SO99" s="23"/>
      <c r="SP99" s="23"/>
      <c r="SQ99" s="23"/>
      <c r="SR99" s="23"/>
      <c r="SS99" s="23"/>
      <c r="ST99" s="23"/>
      <c r="SU99" s="23"/>
      <c r="SV99" s="23"/>
      <c r="SW99" s="23"/>
      <c r="SX99" s="23"/>
      <c r="SY99" s="23"/>
      <c r="SZ99" s="23"/>
      <c r="TA99" s="184"/>
      <c r="TB99" s="185"/>
      <c r="TC99" s="11"/>
      <c r="TD99" s="11"/>
      <c r="TE99" s="11"/>
      <c r="TF99" s="11"/>
    </row>
    <row r="100" spans="1:526" ht="22.15" customHeight="1" thickBot="1" x14ac:dyDescent="0.3">
      <c r="A100" s="298"/>
      <c r="B100" s="25" t="s">
        <v>12</v>
      </c>
      <c r="BY100" s="184"/>
      <c r="BZ100" s="184"/>
      <c r="CA100" s="184"/>
      <c r="CB100" s="184"/>
      <c r="CC100" s="184"/>
      <c r="CD100" s="184"/>
      <c r="CE100" s="184"/>
      <c r="CF100" s="184"/>
      <c r="CG100" s="184"/>
      <c r="CH100" s="184"/>
      <c r="CI100" s="184"/>
      <c r="CJ100" s="184"/>
      <c r="CK100" s="184"/>
      <c r="CL100" s="184"/>
      <c r="CM100" s="184"/>
      <c r="CN100" s="184"/>
      <c r="CO100" s="184"/>
      <c r="CP100" s="184"/>
      <c r="CQ100" s="184"/>
      <c r="CR100" s="184"/>
      <c r="CS100" s="184"/>
      <c r="CT100" s="184"/>
      <c r="CU100" s="184"/>
      <c r="CV100" s="184"/>
      <c r="CW100" s="184"/>
      <c r="CX100" s="184"/>
      <c r="CY100" s="184"/>
      <c r="CZ100" s="184"/>
      <c r="DA100" s="184"/>
      <c r="DB100" s="184"/>
      <c r="DC100" s="184"/>
      <c r="DD100" s="184"/>
      <c r="DE100" s="184"/>
      <c r="DF100" s="184"/>
      <c r="DG100" s="184"/>
      <c r="DH100" s="184"/>
      <c r="DI100" s="184"/>
      <c r="DJ100" s="184"/>
      <c r="DK100" s="184"/>
      <c r="DL100" s="184"/>
      <c r="DM100" s="184"/>
      <c r="DN100" s="184"/>
      <c r="DO100" s="184"/>
      <c r="DP100" s="184"/>
      <c r="DQ100" s="184"/>
      <c r="DR100" s="184"/>
      <c r="DS100" s="184"/>
      <c r="DT100" s="184"/>
      <c r="DU100" s="184"/>
      <c r="DV100" s="184"/>
      <c r="DW100" s="184"/>
      <c r="DX100" s="184"/>
      <c r="DY100" s="184"/>
      <c r="DZ100" s="184"/>
      <c r="EA100" s="184"/>
      <c r="EB100" s="184"/>
      <c r="EC100" s="184"/>
      <c r="ED100" s="184"/>
      <c r="EE100" s="184"/>
      <c r="EF100" s="184"/>
      <c r="EG100" s="184"/>
      <c r="EH100" s="184"/>
      <c r="EI100" s="184"/>
      <c r="EJ100" s="184"/>
      <c r="EK100" s="184"/>
      <c r="EL100" s="184"/>
      <c r="EM100" s="184"/>
      <c r="EN100" s="184"/>
      <c r="EO100" s="184"/>
      <c r="EP100" s="184"/>
      <c r="EQ100" s="184"/>
      <c r="ER100" s="184"/>
      <c r="ES100" s="184"/>
      <c r="ET100" s="184"/>
      <c r="EU100" s="184"/>
      <c r="EV100" s="184"/>
      <c r="EW100" s="184"/>
      <c r="EX100" s="184"/>
      <c r="EY100" s="184"/>
      <c r="EZ100" s="184"/>
      <c r="FA100" s="184"/>
      <c r="FB100" s="184"/>
      <c r="FC100" s="184"/>
      <c r="FD100" s="184"/>
      <c r="FE100" s="184"/>
      <c r="FF100" s="184"/>
      <c r="FG100" s="184"/>
      <c r="FH100" s="184"/>
      <c r="FI100" s="184"/>
      <c r="FJ100" s="184"/>
      <c r="FK100" s="184"/>
      <c r="FL100" s="184"/>
      <c r="FM100" s="184"/>
      <c r="FN100" s="184"/>
      <c r="FO100" s="184"/>
      <c r="FP100" s="184"/>
      <c r="FQ100" s="184"/>
      <c r="FR100" s="184"/>
      <c r="FS100" s="184"/>
      <c r="FT100" s="184"/>
      <c r="FU100" s="184"/>
      <c r="FV100" s="184"/>
      <c r="FW100" s="184"/>
      <c r="FX100" s="184"/>
      <c r="FY100" s="184"/>
      <c r="FZ100" s="184"/>
      <c r="GA100" s="184"/>
      <c r="GB100" s="184"/>
      <c r="GC100" s="184"/>
      <c r="GD100" s="184"/>
      <c r="GE100" s="184"/>
      <c r="GF100" s="184"/>
      <c r="GG100" s="184"/>
      <c r="GH100" s="184"/>
      <c r="GI100" s="184"/>
      <c r="GJ100" s="184"/>
      <c r="GK100" s="184"/>
      <c r="GL100" s="184"/>
      <c r="GM100" s="184"/>
      <c r="GN100" s="184"/>
      <c r="GO100" s="184"/>
      <c r="GP100" s="184"/>
      <c r="GQ100" s="184"/>
      <c r="GR100" s="184"/>
      <c r="GS100" s="184"/>
      <c r="GT100" s="184"/>
      <c r="GU100" s="184"/>
      <c r="GV100" s="184"/>
      <c r="GW100" s="184"/>
      <c r="GX100" s="184"/>
      <c r="GY100" s="184"/>
      <c r="GZ100" s="184"/>
      <c r="HA100" s="184"/>
      <c r="HB100" s="184"/>
      <c r="HC100" s="184"/>
      <c r="HD100" s="184"/>
      <c r="HE100" s="184"/>
      <c r="HF100" s="184"/>
      <c r="HG100" s="184"/>
      <c r="HH100" s="184"/>
      <c r="HI100" s="184"/>
      <c r="HJ100" s="184"/>
      <c r="HK100" s="184"/>
      <c r="HL100" s="184"/>
      <c r="HM100" s="184"/>
      <c r="HN100" s="184"/>
      <c r="HO100" s="184"/>
      <c r="HP100" s="184"/>
      <c r="HQ100" s="184"/>
      <c r="HR100" s="184"/>
      <c r="HS100" s="184"/>
      <c r="HT100" s="184"/>
      <c r="HU100" s="184"/>
      <c r="HV100" s="184"/>
      <c r="HW100" s="184"/>
      <c r="HX100" s="184"/>
      <c r="HY100" s="184"/>
      <c r="HZ100" s="184"/>
      <c r="IA100" s="184"/>
      <c r="IB100" s="184"/>
      <c r="IC100" s="184"/>
      <c r="ID100" s="184"/>
      <c r="IE100" s="184"/>
      <c r="IF100" s="184"/>
      <c r="IG100" s="184"/>
      <c r="IH100" s="184"/>
      <c r="II100" s="184"/>
      <c r="IJ100" s="184"/>
      <c r="IK100" s="184"/>
      <c r="IL100" s="184"/>
      <c r="IM100" s="184"/>
      <c r="IN100" s="184"/>
      <c r="IO100" s="184"/>
      <c r="IP100" s="184"/>
      <c r="IQ100" s="184"/>
      <c r="IR100" s="184"/>
      <c r="IS100" s="184"/>
      <c r="IT100" s="184"/>
      <c r="IU100" s="184"/>
      <c r="IV100" s="184"/>
      <c r="IW100" s="184"/>
      <c r="IX100" s="137">
        <f t="shared" si="824"/>
        <v>5.62E-2</v>
      </c>
      <c r="IY100" s="116">
        <f t="shared" si="825"/>
        <v>5.5899999999999998E-2</v>
      </c>
      <c r="IZ100" s="116">
        <f t="shared" si="826"/>
        <v>5.57E-2</v>
      </c>
      <c r="JA100" s="116">
        <f t="shared" si="827"/>
        <v>5.5500000000000001E-2</v>
      </c>
      <c r="JB100" s="116">
        <f t="shared" si="843"/>
        <v>5.5099999999999996E-2</v>
      </c>
      <c r="JC100" s="116">
        <f t="shared" si="829"/>
        <v>5.4699999999999999E-2</v>
      </c>
      <c r="JD100" s="116">
        <f t="shared" si="830"/>
        <v>5.4400000000000004E-2</v>
      </c>
      <c r="JE100" s="116">
        <f t="shared" si="831"/>
        <v>5.4000000000000006E-2</v>
      </c>
      <c r="JF100" s="116">
        <f t="shared" si="832"/>
        <v>5.3600000000000002E-2</v>
      </c>
      <c r="JG100" s="116">
        <f t="shared" si="833"/>
        <v>5.2999999999999999E-2</v>
      </c>
      <c r="JH100" s="116">
        <f t="shared" si="834"/>
        <v>5.2400000000000002E-2</v>
      </c>
      <c r="JI100" s="116">
        <f t="shared" si="835"/>
        <v>5.1799999999999999E-2</v>
      </c>
      <c r="JJ100" s="116">
        <f t="shared" si="836"/>
        <v>5.1200000000000002E-2</v>
      </c>
      <c r="JK100" s="116">
        <f t="shared" si="837"/>
        <v>5.0599999999999999E-2</v>
      </c>
      <c r="JL100" s="116">
        <f t="shared" si="838"/>
        <v>4.99E-2</v>
      </c>
      <c r="JM100" s="116">
        <f t="shared" si="844"/>
        <v>4.9200000000000001E-2</v>
      </c>
      <c r="JN100" s="116">
        <f t="shared" si="845"/>
        <v>4.8399999999999999E-2</v>
      </c>
      <c r="JO100" s="116">
        <f t="shared" si="846"/>
        <v>4.7699999999999992E-2</v>
      </c>
      <c r="JP100" s="116">
        <f t="shared" si="847"/>
        <v>4.7E-2</v>
      </c>
      <c r="JQ100" s="116">
        <f t="shared" si="848"/>
        <v>4.6300000000000001E-2</v>
      </c>
      <c r="JR100" s="116">
        <f t="shared" si="849"/>
        <v>4.5599999999999995E-2</v>
      </c>
      <c r="JS100" s="116">
        <f t="shared" si="850"/>
        <v>4.4800000000000006E-2</v>
      </c>
      <c r="JT100" s="116">
        <f t="shared" si="851"/>
        <v>4.41E-2</v>
      </c>
      <c r="JU100" s="116">
        <f t="shared" si="852"/>
        <v>4.3400000000000001E-2</v>
      </c>
      <c r="JV100" s="116">
        <f t="shared" si="853"/>
        <v>4.2800000000000005E-2</v>
      </c>
      <c r="JW100" s="116">
        <f t="shared" si="854"/>
        <v>4.2199999999999994E-2</v>
      </c>
      <c r="JX100" s="116">
        <f t="shared" si="855"/>
        <v>4.1599999999999998E-2</v>
      </c>
      <c r="JY100" s="116">
        <f t="shared" si="856"/>
        <v>4.0999999999999995E-2</v>
      </c>
      <c r="JZ100" s="116">
        <f t="shared" si="857"/>
        <v>4.0399999999999998E-2</v>
      </c>
      <c r="KA100" s="116">
        <f t="shared" si="858"/>
        <v>3.9800000000000002E-2</v>
      </c>
      <c r="KB100" s="116">
        <f t="shared" si="859"/>
        <v>3.9199999999999999E-2</v>
      </c>
      <c r="KC100" s="116">
        <f t="shared" si="860"/>
        <v>3.8599999999999995E-2</v>
      </c>
      <c r="KD100" s="116">
        <f t="shared" si="861"/>
        <v>3.7999999999999999E-2</v>
      </c>
      <c r="KE100" s="116">
        <f t="shared" si="862"/>
        <v>3.7400000000000003E-2</v>
      </c>
      <c r="KF100" s="116">
        <f t="shared" si="863"/>
        <v>3.6799999999999999E-2</v>
      </c>
      <c r="KG100" s="116">
        <f t="shared" si="864"/>
        <v>3.61E-2</v>
      </c>
      <c r="KH100" s="116">
        <f t="shared" si="865"/>
        <v>3.5499999999999997E-2</v>
      </c>
      <c r="KI100" s="116">
        <f t="shared" si="866"/>
        <v>3.4799999999999998E-2</v>
      </c>
      <c r="KJ100" s="116">
        <f t="shared" si="867"/>
        <v>3.4200000000000001E-2</v>
      </c>
      <c r="KK100" s="116">
        <f t="shared" si="868"/>
        <v>3.3599999999999998E-2</v>
      </c>
      <c r="KL100" s="116">
        <f t="shared" si="869"/>
        <v>3.2899999999999999E-2</v>
      </c>
      <c r="KM100" s="116">
        <f t="shared" si="870"/>
        <v>3.2300000000000002E-2</v>
      </c>
      <c r="KN100" s="116">
        <f t="shared" si="871"/>
        <v>3.1600000000000003E-2</v>
      </c>
      <c r="KO100" s="116">
        <f t="shared" si="872"/>
        <v>3.1E-2</v>
      </c>
      <c r="KP100" s="116">
        <f t="shared" si="873"/>
        <v>3.04E-2</v>
      </c>
      <c r="KQ100" s="116">
        <f t="shared" si="874"/>
        <v>2.98E-2</v>
      </c>
      <c r="KR100" s="116">
        <f t="shared" si="875"/>
        <v>2.92E-2</v>
      </c>
      <c r="KS100" s="116">
        <f t="shared" si="876"/>
        <v>2.86E-2</v>
      </c>
      <c r="KT100" s="116">
        <f t="shared" si="877"/>
        <v>2.7999999999999997E-2</v>
      </c>
      <c r="KU100" s="116">
        <f t="shared" si="878"/>
        <v>2.7400000000000001E-2</v>
      </c>
      <c r="KV100" s="171">
        <f t="shared" si="879"/>
        <v>2.6800000000000001E-2</v>
      </c>
      <c r="KW100" s="199">
        <f t="shared" si="880"/>
        <v>2.6200000000000001E-2</v>
      </c>
      <c r="KX100" s="150">
        <f t="shared" si="881"/>
        <v>2.5600000000000001E-2</v>
      </c>
      <c r="KY100" s="150">
        <f t="shared" si="882"/>
        <v>2.5000000000000001E-2</v>
      </c>
      <c r="KZ100" s="150">
        <f t="shared" si="883"/>
        <v>2.46E-2</v>
      </c>
      <c r="LA100" s="150">
        <f t="shared" si="884"/>
        <v>2.4199999999999999E-2</v>
      </c>
      <c r="LB100" s="150">
        <f t="shared" si="885"/>
        <v>2.3700000000000002E-2</v>
      </c>
      <c r="LC100" s="150">
        <f t="shared" si="886"/>
        <v>2.3300000000000001E-2</v>
      </c>
      <c r="LD100" s="150">
        <f t="shared" si="887"/>
        <v>2.29E-2</v>
      </c>
      <c r="LE100" s="150">
        <f t="shared" si="888"/>
        <v>2.2499999999999999E-2</v>
      </c>
      <c r="LF100" s="150">
        <f t="shared" si="889"/>
        <v>2.2099999999999998E-2</v>
      </c>
      <c r="LG100" s="150">
        <f t="shared" si="890"/>
        <v>2.1600000000000001E-2</v>
      </c>
      <c r="LH100" s="150">
        <f t="shared" si="891"/>
        <v>2.12E-2</v>
      </c>
      <c r="LI100" s="150">
        <f t="shared" si="892"/>
        <v>2.0799999999999999E-2</v>
      </c>
      <c r="LJ100" s="150">
        <f t="shared" si="841"/>
        <v>2.0499999999999997E-2</v>
      </c>
      <c r="LK100" s="150">
        <f t="shared" si="893"/>
        <v>2.0199999999999999E-2</v>
      </c>
      <c r="LL100" s="150">
        <f t="shared" si="894"/>
        <v>1.9900000000000001E-2</v>
      </c>
      <c r="LM100" s="150">
        <f t="shared" si="895"/>
        <v>1.9599999999999999E-2</v>
      </c>
      <c r="LN100" s="150">
        <f t="shared" si="896"/>
        <v>1.9299999999999998E-2</v>
      </c>
      <c r="LO100" s="150">
        <f t="shared" si="897"/>
        <v>1.9E-2</v>
      </c>
      <c r="LP100" s="150">
        <f t="shared" si="898"/>
        <v>1.8700000000000001E-2</v>
      </c>
      <c r="LQ100" s="150">
        <f t="shared" si="899"/>
        <v>1.84E-2</v>
      </c>
      <c r="LR100" s="150">
        <f t="shared" si="900"/>
        <v>1.8100000000000002E-2</v>
      </c>
      <c r="LS100" s="150">
        <f t="shared" si="901"/>
        <v>1.78E-2</v>
      </c>
      <c r="LT100" s="150">
        <f t="shared" si="902"/>
        <v>1.7600000000000001E-2</v>
      </c>
      <c r="LU100" s="150">
        <f t="shared" si="903"/>
        <v>1.7399999999999999E-2</v>
      </c>
      <c r="LV100" s="150">
        <f t="shared" si="904"/>
        <v>1.72E-2</v>
      </c>
      <c r="LW100" s="150">
        <f t="shared" si="905"/>
        <v>1.7000000000000001E-2</v>
      </c>
      <c r="LX100" s="150">
        <f t="shared" si="906"/>
        <v>1.6799999999999999E-2</v>
      </c>
      <c r="LY100" s="150">
        <f t="shared" si="907"/>
        <v>1.66E-2</v>
      </c>
      <c r="LZ100" s="150">
        <f t="shared" si="908"/>
        <v>1.6399999999999998E-2</v>
      </c>
      <c r="MA100" s="150">
        <f t="shared" si="909"/>
        <v>1.6200000000000003E-2</v>
      </c>
      <c r="MB100" s="150">
        <f t="shared" si="910"/>
        <v>1.6E-2</v>
      </c>
      <c r="MC100" s="150">
        <f t="shared" si="911"/>
        <v>1.5800000000000002E-2</v>
      </c>
      <c r="MD100" s="150">
        <f t="shared" si="912"/>
        <v>1.5700000000000002E-2</v>
      </c>
      <c r="ME100" s="150">
        <f t="shared" si="913"/>
        <v>1.5600000000000001E-2</v>
      </c>
      <c r="MF100" s="150">
        <f t="shared" si="914"/>
        <v>1.55E-2</v>
      </c>
      <c r="MG100" s="150">
        <f t="shared" si="915"/>
        <v>1.54E-2</v>
      </c>
      <c r="MH100" s="150">
        <f t="shared" si="916"/>
        <v>1.5300000000000001E-2</v>
      </c>
      <c r="MI100" s="150">
        <f t="shared" si="917"/>
        <v>1.52E-2</v>
      </c>
      <c r="MJ100" s="150">
        <f t="shared" si="918"/>
        <v>1.5100000000000001E-2</v>
      </c>
      <c r="MK100" s="150">
        <f t="shared" si="919"/>
        <v>1.4999999999999999E-2</v>
      </c>
      <c r="ML100" s="150">
        <f t="shared" si="920"/>
        <v>1.49E-2</v>
      </c>
      <c r="MM100" s="150">
        <f t="shared" si="921"/>
        <v>1.4800000000000001E-2</v>
      </c>
      <c r="MN100" s="150">
        <f t="shared" si="922"/>
        <v>1.47E-2</v>
      </c>
      <c r="MO100" s="150">
        <f t="shared" si="923"/>
        <v>1.46E-2</v>
      </c>
      <c r="MP100" s="150">
        <f t="shared" si="924"/>
        <v>1.4499999999999999E-2</v>
      </c>
      <c r="MQ100" s="150">
        <f t="shared" si="925"/>
        <v>1.44E-2</v>
      </c>
      <c r="MR100" s="150">
        <f t="shared" si="926"/>
        <v>1.43E-2</v>
      </c>
      <c r="MS100" s="150">
        <f t="shared" si="927"/>
        <v>1.4199999999999999E-2</v>
      </c>
      <c r="MT100" s="150">
        <f t="shared" si="928"/>
        <v>1.41E-2</v>
      </c>
      <c r="MU100" s="175">
        <f t="shared" si="929"/>
        <v>1.3999999999999999E-2</v>
      </c>
      <c r="MV100" s="161">
        <f t="shared" si="930"/>
        <v>1.3899999999999999E-2</v>
      </c>
      <c r="MW100" s="161">
        <f t="shared" si="931"/>
        <v>1.38E-2</v>
      </c>
      <c r="MX100" s="161">
        <f t="shared" si="932"/>
        <v>1.37E-2</v>
      </c>
      <c r="MY100" s="161">
        <f t="shared" si="933"/>
        <v>1.3600000000000001E-2</v>
      </c>
      <c r="MZ100" s="161">
        <f t="shared" si="934"/>
        <v>1.3500000000000002E-2</v>
      </c>
      <c r="NA100" s="161">
        <f t="shared" si="935"/>
        <v>1.34E-2</v>
      </c>
      <c r="NB100" s="161">
        <f t="shared" si="936"/>
        <v>1.34E-2</v>
      </c>
      <c r="NC100" s="161">
        <f t="shared" si="937"/>
        <v>1.3300000000000001E-2</v>
      </c>
      <c r="ND100" s="161">
        <f t="shared" si="938"/>
        <v>1.32E-2</v>
      </c>
      <c r="NE100" s="161">
        <f t="shared" si="939"/>
        <v>1.3100000000000001E-2</v>
      </c>
      <c r="NF100" s="161">
        <f t="shared" si="940"/>
        <v>1.3000000000000001E-2</v>
      </c>
      <c r="NG100" s="161">
        <f t="shared" si="941"/>
        <v>1.29E-2</v>
      </c>
      <c r="NH100" s="161">
        <f t="shared" si="942"/>
        <v>1.2800000000000001E-2</v>
      </c>
      <c r="NI100" s="161">
        <f t="shared" si="943"/>
        <v>1.2699999999999999E-2</v>
      </c>
      <c r="NJ100" s="161">
        <f t="shared" si="944"/>
        <v>1.2699999999999999E-2</v>
      </c>
      <c r="NK100" s="161">
        <f t="shared" si="945"/>
        <v>1.26E-2</v>
      </c>
      <c r="NL100" s="161">
        <f t="shared" si="946"/>
        <v>1.2500000000000001E-2</v>
      </c>
      <c r="NM100" s="161">
        <f t="shared" si="947"/>
        <v>1.24E-2</v>
      </c>
      <c r="NN100" s="161">
        <f t="shared" si="948"/>
        <v>1.23E-2</v>
      </c>
      <c r="NO100" s="161">
        <f t="shared" si="949"/>
        <v>1.23E-2</v>
      </c>
      <c r="NP100" s="161">
        <f t="shared" si="950"/>
        <v>1.2199999999999999E-2</v>
      </c>
      <c r="NQ100" s="161">
        <f t="shared" si="951"/>
        <v>1.21E-2</v>
      </c>
      <c r="NR100" s="161">
        <f t="shared" si="952"/>
        <v>1.2E-2</v>
      </c>
      <c r="NS100" s="161">
        <f t="shared" si="953"/>
        <v>1.1899999999999999E-2</v>
      </c>
      <c r="NT100" s="161">
        <f t="shared" si="954"/>
        <v>1.18E-2</v>
      </c>
      <c r="NU100" s="161">
        <f t="shared" si="955"/>
        <v>1.1699999999999999E-2</v>
      </c>
      <c r="NV100" s="161">
        <f t="shared" si="842"/>
        <v>1.1699999999999999E-2</v>
      </c>
      <c r="NW100" s="161">
        <f t="shared" si="840"/>
        <v>1.1599999999999999E-2</v>
      </c>
      <c r="NX100" s="161">
        <f t="shared" si="840"/>
        <v>1.15E-2</v>
      </c>
      <c r="NY100" s="161">
        <f t="shared" si="840"/>
        <v>1.1399999999999999E-2</v>
      </c>
      <c r="NZ100" s="161">
        <f t="shared" si="840"/>
        <v>1.1299999999999999E-2</v>
      </c>
      <c r="OA100" s="161">
        <f t="shared" si="840"/>
        <v>1.1200000000000002E-2</v>
      </c>
      <c r="OB100" s="161">
        <f t="shared" si="840"/>
        <v>1.11E-2</v>
      </c>
      <c r="OC100" s="161">
        <f t="shared" si="840"/>
        <v>1.1000000000000001E-2</v>
      </c>
      <c r="OD100" s="161">
        <f t="shared" si="840"/>
        <v>1.1000000000000001E-2</v>
      </c>
      <c r="OE100" s="161">
        <f t="shared" si="840"/>
        <v>1.09E-2</v>
      </c>
      <c r="OF100" s="161">
        <f t="shared" si="840"/>
        <v>1.0800000000000001E-2</v>
      </c>
      <c r="OG100" s="161">
        <f t="shared" si="840"/>
        <v>1.0700000000000001E-2</v>
      </c>
      <c r="OH100" s="161">
        <f t="shared" si="840"/>
        <v>1.06E-2</v>
      </c>
      <c r="OI100" s="161">
        <f t="shared" si="840"/>
        <v>1.06E-2</v>
      </c>
      <c r="OJ100" s="161">
        <f t="shared" si="840"/>
        <v>1.0500000000000001E-2</v>
      </c>
      <c r="OK100" s="161">
        <f t="shared" si="840"/>
        <v>1.04E-2</v>
      </c>
      <c r="OL100" s="161">
        <f t="shared" si="840"/>
        <v>1.03E-2</v>
      </c>
      <c r="OM100" s="161">
        <f t="shared" si="840"/>
        <v>1.03E-2</v>
      </c>
      <c r="ON100" s="161">
        <f t="shared" si="840"/>
        <v>1.0200000000000001E-2</v>
      </c>
      <c r="OO100" s="161">
        <f t="shared" si="840"/>
        <v>1.0200000000000001E-2</v>
      </c>
      <c r="OP100" s="161">
        <f t="shared" si="840"/>
        <v>1.01E-2</v>
      </c>
      <c r="OQ100" s="161">
        <f t="shared" si="840"/>
        <v>0.01</v>
      </c>
      <c r="OR100" s="161">
        <f t="shared" si="840"/>
        <v>0.01</v>
      </c>
      <c r="OS100" s="161">
        <f t="shared" si="840"/>
        <v>9.8999999999999991E-3</v>
      </c>
      <c r="OT100" s="118">
        <f t="shared" si="840"/>
        <v>9.8999999999999991E-3</v>
      </c>
      <c r="OU100" s="184"/>
      <c r="OV100" s="184"/>
      <c r="OW100" s="184"/>
      <c r="OX100" s="132"/>
      <c r="OY100" s="132"/>
      <c r="OZ100" s="132"/>
      <c r="PA100" s="132"/>
      <c r="PB100" s="132"/>
      <c r="PC100" s="132"/>
      <c r="PD100" s="132"/>
      <c r="PE100" s="132"/>
      <c r="PF100" s="132"/>
      <c r="PG100" s="132"/>
      <c r="PH100" s="132"/>
      <c r="PI100" s="132"/>
      <c r="PJ100" s="132"/>
      <c r="PK100" s="132"/>
      <c r="PL100" s="132"/>
      <c r="PM100" s="132"/>
      <c r="PN100" s="132"/>
      <c r="PO100" s="132"/>
      <c r="PP100" s="132"/>
      <c r="PQ100" s="132"/>
      <c r="PR100" s="132"/>
      <c r="PS100" s="132"/>
      <c r="PT100" s="132"/>
      <c r="PU100" s="132"/>
      <c r="PV100" s="132"/>
      <c r="PW100" s="132"/>
      <c r="PX100" s="132"/>
      <c r="PY100" s="132"/>
      <c r="PZ100" s="132"/>
      <c r="QA100" s="132"/>
      <c r="QB100" s="132"/>
      <c r="QC100" s="132"/>
      <c r="QD100" s="132"/>
      <c r="QE100" s="132"/>
      <c r="QF100" s="132"/>
      <c r="QG100" s="132"/>
      <c r="QH100" s="132"/>
      <c r="QI100" s="132"/>
      <c r="QJ100" s="132"/>
      <c r="QK100" s="132"/>
      <c r="QL100" s="132"/>
      <c r="QM100" s="132"/>
      <c r="QN100" s="132"/>
      <c r="QO100" s="132"/>
      <c r="QP100" s="132"/>
      <c r="QQ100" s="132"/>
      <c r="QR100" s="132"/>
      <c r="QS100" s="132"/>
      <c r="QT100" s="132"/>
      <c r="QU100" s="132"/>
      <c r="QV100" s="132"/>
      <c r="QW100" s="132"/>
      <c r="QX100" s="132"/>
      <c r="QY100" s="132"/>
      <c r="QZ100" s="132"/>
      <c r="RA100" s="132"/>
      <c r="RB100" s="132"/>
      <c r="RC100" s="132"/>
      <c r="RD100" s="132"/>
      <c r="RE100" s="132"/>
      <c r="RF100" s="132"/>
      <c r="RG100" s="132"/>
      <c r="RH100" s="132"/>
      <c r="RI100" s="132"/>
      <c r="RJ100" s="132"/>
      <c r="RK100" s="132"/>
      <c r="RL100" s="132"/>
      <c r="RM100" s="132"/>
      <c r="RN100" s="132"/>
      <c r="RO100" s="132"/>
      <c r="RP100" s="132"/>
      <c r="RQ100" s="132"/>
      <c r="RR100" s="132"/>
      <c r="RS100" s="132"/>
      <c r="RT100" s="132"/>
      <c r="RU100" s="132"/>
      <c r="RV100" s="132"/>
      <c r="RW100" s="132"/>
      <c r="RX100" s="132"/>
      <c r="RY100" s="132"/>
      <c r="RZ100" s="132"/>
      <c r="SA100" s="132"/>
      <c r="SB100" s="132"/>
      <c r="SC100" s="132"/>
      <c r="SD100" s="132"/>
      <c r="SE100" s="132"/>
      <c r="SF100" s="132"/>
      <c r="SG100" s="132"/>
      <c r="SH100" s="132"/>
      <c r="SI100" s="132"/>
      <c r="SJ100" s="132"/>
      <c r="SK100" s="132"/>
      <c r="SL100" s="132"/>
      <c r="SM100" s="132"/>
      <c r="SN100" s="132"/>
      <c r="SO100" s="132"/>
      <c r="SP100" s="132"/>
      <c r="SQ100" s="132"/>
      <c r="SR100" s="132"/>
      <c r="SS100" s="132"/>
      <c r="ST100" s="132"/>
      <c r="SU100" s="132"/>
      <c r="SV100" s="132"/>
      <c r="SW100" s="132"/>
      <c r="SX100" s="132"/>
      <c r="SY100" s="132"/>
      <c r="SZ100" s="132"/>
      <c r="TA100" s="184"/>
      <c r="TB100" s="185"/>
      <c r="TC100" s="11"/>
      <c r="TD100" s="11"/>
      <c r="TE100" s="11"/>
      <c r="TF100" s="11"/>
    </row>
    <row r="101" spans="1:526" ht="22.15" customHeight="1" thickBot="1" x14ac:dyDescent="0.3">
      <c r="A101" s="298"/>
      <c r="B101" s="25" t="s">
        <v>105</v>
      </c>
      <c r="BY101" s="184"/>
      <c r="BZ101" s="184"/>
      <c r="CA101" s="184"/>
      <c r="CB101" s="184"/>
      <c r="CC101" s="184"/>
      <c r="CD101" s="184"/>
      <c r="CE101" s="184"/>
      <c r="CF101" s="184"/>
      <c r="CG101" s="184"/>
      <c r="CH101" s="184"/>
      <c r="CI101" s="184"/>
      <c r="CJ101" s="184"/>
      <c r="CK101" s="184"/>
      <c r="CL101" s="184"/>
      <c r="CM101" s="184"/>
      <c r="CN101" s="184"/>
      <c r="CO101" s="184"/>
      <c r="CP101" s="184"/>
      <c r="CQ101" s="184"/>
      <c r="CR101" s="184"/>
      <c r="CS101" s="184"/>
      <c r="CT101" s="184"/>
      <c r="CU101" s="184"/>
      <c r="CV101" s="184"/>
      <c r="CW101" s="184"/>
      <c r="CX101" s="184"/>
      <c r="CY101" s="184"/>
      <c r="CZ101" s="184"/>
      <c r="DA101" s="184"/>
      <c r="DB101" s="184"/>
      <c r="DC101" s="184"/>
      <c r="DD101" s="184"/>
      <c r="DE101" s="184"/>
      <c r="DF101" s="184"/>
      <c r="DG101" s="184"/>
      <c r="DH101" s="184"/>
      <c r="DI101" s="184"/>
      <c r="DJ101" s="184"/>
      <c r="DK101" s="184"/>
      <c r="DL101" s="184"/>
      <c r="DM101" s="184"/>
      <c r="DN101" s="184"/>
      <c r="DO101" s="184"/>
      <c r="DP101" s="184"/>
      <c r="DQ101" s="184"/>
      <c r="DR101" s="184"/>
      <c r="DS101" s="184"/>
      <c r="DT101" s="184"/>
      <c r="DU101" s="184"/>
      <c r="DV101" s="184"/>
      <c r="DW101" s="184"/>
      <c r="DX101" s="184"/>
      <c r="DY101" s="184"/>
      <c r="DZ101" s="184"/>
      <c r="EA101" s="184"/>
      <c r="EB101" s="184"/>
      <c r="EC101" s="184"/>
      <c r="ED101" s="184"/>
      <c r="EE101" s="184"/>
      <c r="EF101" s="184"/>
      <c r="EG101" s="184"/>
      <c r="EH101" s="184"/>
      <c r="EI101" s="184"/>
      <c r="EJ101" s="184"/>
      <c r="EK101" s="184"/>
      <c r="EL101" s="184"/>
      <c r="EM101" s="184"/>
      <c r="EN101" s="184"/>
      <c r="EO101" s="184"/>
      <c r="EP101" s="184"/>
      <c r="EQ101" s="184"/>
      <c r="ER101" s="184"/>
      <c r="ES101" s="184"/>
      <c r="ET101" s="184"/>
      <c r="EU101" s="184"/>
      <c r="EV101" s="184"/>
      <c r="EW101" s="184"/>
      <c r="EX101" s="184"/>
      <c r="EY101" s="184"/>
      <c r="EZ101" s="184"/>
      <c r="FA101" s="184"/>
      <c r="FB101" s="184"/>
      <c r="FC101" s="184"/>
      <c r="FD101" s="184"/>
      <c r="FE101" s="184"/>
      <c r="FF101" s="184"/>
      <c r="FG101" s="184"/>
      <c r="FH101" s="184"/>
      <c r="FI101" s="184"/>
      <c r="FJ101" s="184"/>
      <c r="FK101" s="184"/>
      <c r="FL101" s="184"/>
      <c r="FM101" s="184"/>
      <c r="FN101" s="184"/>
      <c r="FO101" s="184"/>
      <c r="FP101" s="184"/>
      <c r="FQ101" s="184"/>
      <c r="FR101" s="184"/>
      <c r="FS101" s="184"/>
      <c r="FT101" s="184"/>
      <c r="FU101" s="184"/>
      <c r="FV101" s="184"/>
      <c r="FW101" s="184"/>
      <c r="FX101" s="184"/>
      <c r="FY101" s="184"/>
      <c r="FZ101" s="184"/>
      <c r="GA101" s="184"/>
      <c r="GB101" s="184"/>
      <c r="GC101" s="184"/>
      <c r="GD101" s="184"/>
      <c r="GE101" s="184"/>
      <c r="GF101" s="184"/>
      <c r="GG101" s="184"/>
      <c r="GH101" s="184"/>
      <c r="GI101" s="184"/>
      <c r="GJ101" s="184"/>
      <c r="GK101" s="184"/>
      <c r="GL101" s="184"/>
      <c r="GM101" s="184"/>
      <c r="GN101" s="184"/>
      <c r="GO101" s="184"/>
      <c r="GP101" s="184"/>
      <c r="GQ101" s="184"/>
      <c r="GR101" s="184"/>
      <c r="GS101" s="184"/>
      <c r="GT101" s="184"/>
      <c r="GU101" s="184"/>
      <c r="GV101" s="184"/>
      <c r="GW101" s="184"/>
      <c r="GX101" s="184"/>
      <c r="GY101" s="184"/>
      <c r="GZ101" s="184"/>
      <c r="HA101" s="184"/>
      <c r="HB101" s="184"/>
      <c r="HC101" s="184"/>
      <c r="HD101" s="184"/>
      <c r="HE101" s="184"/>
      <c r="HF101" s="184"/>
      <c r="HG101" s="184"/>
      <c r="HH101" s="184"/>
      <c r="HI101" s="184"/>
      <c r="HJ101" s="184"/>
      <c r="HK101" s="184"/>
      <c r="HL101" s="184"/>
      <c r="HM101" s="184"/>
      <c r="HN101" s="184"/>
      <c r="HO101" s="184"/>
      <c r="HP101" s="184"/>
      <c r="HQ101" s="184"/>
      <c r="HR101" s="184"/>
      <c r="HS101" s="184"/>
      <c r="HT101" s="184"/>
      <c r="HU101" s="184"/>
      <c r="HV101" s="184"/>
      <c r="HW101" s="184"/>
      <c r="HX101" s="184"/>
      <c r="HY101" s="184"/>
      <c r="HZ101" s="184"/>
      <c r="IA101" s="184"/>
      <c r="IB101" s="184"/>
      <c r="IC101" s="184"/>
      <c r="ID101" s="184"/>
      <c r="IE101" s="184"/>
      <c r="IF101" s="184"/>
      <c r="IG101" s="184"/>
      <c r="IH101" s="184"/>
      <c r="II101" s="184"/>
      <c r="IJ101" s="184"/>
      <c r="IK101" s="184"/>
      <c r="IL101" s="184"/>
      <c r="IM101" s="184"/>
      <c r="IN101" s="184"/>
      <c r="IO101" s="184"/>
      <c r="IP101" s="184"/>
      <c r="IQ101" s="184"/>
      <c r="IR101" s="184"/>
      <c r="IS101" s="184"/>
      <c r="IT101" s="184"/>
      <c r="IU101" s="184"/>
      <c r="IV101" s="184"/>
      <c r="IW101" s="184"/>
      <c r="IX101" s="124">
        <f t="shared" si="824"/>
        <v>0.14050000000000001</v>
      </c>
      <c r="IY101" s="115">
        <f t="shared" si="825"/>
        <v>0.15349541071428571</v>
      </c>
      <c r="IZ101" s="115">
        <f t="shared" si="826"/>
        <v>0.16790765106568878</v>
      </c>
      <c r="JA101" s="115">
        <f t="shared" si="827"/>
        <v>0.18331904442666083</v>
      </c>
      <c r="JB101" s="115">
        <f t="shared" si="843"/>
        <v>0.19935467139751761</v>
      </c>
      <c r="JC101" s="115">
        <f t="shared" si="829"/>
        <v>0.2166426892048324</v>
      </c>
      <c r="JD101" s="115">
        <f t="shared" si="830"/>
        <v>0.2353432020092141</v>
      </c>
      <c r="JE101" s="115">
        <f t="shared" si="831"/>
        <v>0.25505677544932165</v>
      </c>
      <c r="JF101" s="115">
        <f t="shared" si="832"/>
        <v>0.27583239066968751</v>
      </c>
      <c r="JG101" s="115">
        <f t="shared" si="833"/>
        <v>0.29697738913303484</v>
      </c>
      <c r="JH101" s="115">
        <f t="shared" si="834"/>
        <v>0.3194037691593315</v>
      </c>
      <c r="JI101" s="115">
        <f t="shared" si="835"/>
        <v>0.34269017321519196</v>
      </c>
      <c r="JJ101" s="115">
        <f t="shared" si="836"/>
        <v>0.36728624217254702</v>
      </c>
      <c r="JK101" s="115">
        <f t="shared" si="837"/>
        <v>0.39272283715155293</v>
      </c>
      <c r="JL101" s="115">
        <f t="shared" si="838"/>
        <v>0.4186413483967294</v>
      </c>
      <c r="JM101" s="115">
        <f t="shared" si="844"/>
        <v>0.44516430350160602</v>
      </c>
      <c r="JN101" s="115">
        <f t="shared" si="845"/>
        <v>0.47180154377391648</v>
      </c>
      <c r="JO101" s="115">
        <f t="shared" si="846"/>
        <v>0.49977012867788351</v>
      </c>
      <c r="JP101" s="115">
        <f t="shared" si="847"/>
        <v>0.52873554206564766</v>
      </c>
      <c r="JQ101" s="115">
        <f t="shared" si="848"/>
        <v>0.55806974775310336</v>
      </c>
      <c r="JR101" s="115">
        <f t="shared" si="849"/>
        <v>0.58829561286534438</v>
      </c>
      <c r="JS101" s="115">
        <f t="shared" si="850"/>
        <v>0.61736583170566495</v>
      </c>
      <c r="JT101" s="115">
        <f t="shared" si="851"/>
        <v>0.64838994880135448</v>
      </c>
      <c r="JU101" s="115">
        <f t="shared" si="852"/>
        <v>0.67945839994117818</v>
      </c>
      <c r="JV101" s="115">
        <f t="shared" si="853"/>
        <v>0.71278668366268905</v>
      </c>
      <c r="JW101" s="115">
        <f t="shared" si="854"/>
        <v>0.74696390684333991</v>
      </c>
      <c r="JX101" s="115">
        <f t="shared" si="855"/>
        <v>0.78124953431619559</v>
      </c>
      <c r="JY101" s="115">
        <f t="shared" si="856"/>
        <v>0.81624935648608865</v>
      </c>
      <c r="JZ101" s="115">
        <f t="shared" si="857"/>
        <v>0.851190450173121</v>
      </c>
      <c r="KA101" s="115">
        <f t="shared" si="858"/>
        <v>0.88669158617649757</v>
      </c>
      <c r="KB101" s="115">
        <f t="shared" si="859"/>
        <v>0.9226928896086164</v>
      </c>
      <c r="KC101" s="115">
        <f t="shared" si="860"/>
        <v>0.9583702115541558</v>
      </c>
      <c r="KD101" s="115">
        <f t="shared" si="861"/>
        <v>0.99436612748230468</v>
      </c>
      <c r="KE101" s="115">
        <f t="shared" si="862"/>
        <v>1.0306058047907931</v>
      </c>
      <c r="KF101" s="115">
        <f t="shared" si="863"/>
        <v>1.0662242972344411</v>
      </c>
      <c r="KG101" s="115">
        <f t="shared" si="864"/>
        <v>1.098837681270268</v>
      </c>
      <c r="KH101" s="115">
        <f t="shared" si="865"/>
        <v>1.1333551862719433</v>
      </c>
      <c r="KI101" s="115">
        <f t="shared" si="866"/>
        <v>1.1643356897299235</v>
      </c>
      <c r="KJ101" s="115">
        <f t="shared" si="867"/>
        <v>1.1980573168234954</v>
      </c>
      <c r="KK101" s="115">
        <f t="shared" si="868"/>
        <v>1.230594031322491</v>
      </c>
      <c r="KL101" s="115">
        <f t="shared" si="869"/>
        <v>1.25877805295653</v>
      </c>
      <c r="KM101" s="115">
        <f t="shared" si="870"/>
        <v>1.2898201531700975</v>
      </c>
      <c r="KN101" s="115">
        <f t="shared" si="871"/>
        <v>1.3151769703837655</v>
      </c>
      <c r="KO101" s="115">
        <f t="shared" si="872"/>
        <v>1.3434748261788181</v>
      </c>
      <c r="KP101" s="115">
        <f t="shared" si="873"/>
        <v>1.3707845882486138</v>
      </c>
      <c r="KQ101" s="115">
        <f t="shared" si="874"/>
        <v>1.3962440358625756</v>
      </c>
      <c r="KR101" s="115">
        <f t="shared" si="875"/>
        <v>1.4204905112874515</v>
      </c>
      <c r="KS101" s="115">
        <f t="shared" si="876"/>
        <v>1.4434197840759082</v>
      </c>
      <c r="KT101" s="115">
        <f t="shared" si="877"/>
        <v>1.4641996455827908</v>
      </c>
      <c r="KU101" s="169">
        <f t="shared" si="878"/>
        <v>1.4834503847325724</v>
      </c>
      <c r="KV101" s="136">
        <f t="shared" si="879"/>
        <v>0</v>
      </c>
      <c r="KW101" s="170">
        <f t="shared" si="880"/>
        <v>1.4638512217573703</v>
      </c>
      <c r="KX101" s="149">
        <f t="shared" si="881"/>
        <v>1.4767759282456547</v>
      </c>
      <c r="KY101" s="149">
        <f t="shared" si="882"/>
        <v>1.4872269348401286</v>
      </c>
      <c r="KZ101" s="149">
        <f t="shared" si="883"/>
        <v>1.5080184446477354</v>
      </c>
      <c r="LA101" s="149">
        <f t="shared" si="884"/>
        <v>1.5279256892956639</v>
      </c>
      <c r="LB101" s="149">
        <f t="shared" si="885"/>
        <v>1.5397896971590186</v>
      </c>
      <c r="LC101" s="149">
        <f t="shared" si="886"/>
        <v>1.5567703640010737</v>
      </c>
      <c r="LD101" s="149">
        <f t="shared" si="887"/>
        <v>1.5726897843305634</v>
      </c>
      <c r="LE101" s="149">
        <f t="shared" si="888"/>
        <v>1.5874948334423751</v>
      </c>
      <c r="LF101" s="149">
        <f t="shared" si="889"/>
        <v>1.6005638232576938</v>
      </c>
      <c r="LG101" s="149">
        <f t="shared" si="890"/>
        <v>1.6049855194787468</v>
      </c>
      <c r="LH101" s="149">
        <f t="shared" si="891"/>
        <v>1.6151835357682431</v>
      </c>
      <c r="LI101" s="149">
        <f t="shared" si="892"/>
        <v>1.624065309288073</v>
      </c>
      <c r="LJ101" s="149">
        <f t="shared" si="841"/>
        <v>1.639056681373809</v>
      </c>
      <c r="LK101" s="149">
        <f t="shared" si="893"/>
        <v>1.6532265262692467</v>
      </c>
      <c r="LL101" s="149">
        <f t="shared" si="894"/>
        <v>1.6665403195940414</v>
      </c>
      <c r="LM101" s="149">
        <f t="shared" si="895"/>
        <v>1.6789640008207636</v>
      </c>
      <c r="LN101" s="149">
        <f t="shared" si="896"/>
        <v>1.6904640476120993</v>
      </c>
      <c r="LO101" s="149">
        <f t="shared" si="897"/>
        <v>1.7005118899522849</v>
      </c>
      <c r="LP101" s="149">
        <f t="shared" si="898"/>
        <v>1.7095731100983165</v>
      </c>
      <c r="LQ101" s="149">
        <f t="shared" si="899"/>
        <v>1.7176172571045174</v>
      </c>
      <c r="LR101" s="149">
        <f t="shared" si="900"/>
        <v>1.724614726550094</v>
      </c>
      <c r="LS101" s="149">
        <f t="shared" si="901"/>
        <v>1.7300746508710168</v>
      </c>
      <c r="LT101" s="149">
        <f t="shared" si="902"/>
        <v>1.7443476482099647</v>
      </c>
      <c r="LU101" s="149">
        <f t="shared" si="903"/>
        <v>1.7580906710059778</v>
      </c>
      <c r="LV101" s="149">
        <f t="shared" si="904"/>
        <v>1.7712839906251225</v>
      </c>
      <c r="LW101" s="149">
        <f t="shared" si="905"/>
        <v>1.7839080310914897</v>
      </c>
      <c r="LX101" s="149">
        <f t="shared" si="906"/>
        <v>1.7955030540076808</v>
      </c>
      <c r="LY101" s="149">
        <f t="shared" si="907"/>
        <v>1.8064898226952995</v>
      </c>
      <c r="LZ101" s="149">
        <f t="shared" si="908"/>
        <v>1.8168499330037686</v>
      </c>
      <c r="MA101" s="149">
        <f t="shared" si="909"/>
        <v>1.8265652483816326</v>
      </c>
      <c r="MB101" s="149">
        <f t="shared" si="910"/>
        <v>1.8356179263640919</v>
      </c>
      <c r="MC101" s="149">
        <f t="shared" si="911"/>
        <v>1.8439904451167823</v>
      </c>
      <c r="MD101" s="149">
        <f t="shared" si="912"/>
        <v>1.8635352814665112</v>
      </c>
      <c r="ME101" s="149">
        <f t="shared" si="913"/>
        <v>1.8825708111023103</v>
      </c>
      <c r="MF101" s="149">
        <f t="shared" si="914"/>
        <v>1.9014999571699871</v>
      </c>
      <c r="MG101" s="149">
        <f t="shared" si="915"/>
        <v>1.9203145836279207</v>
      </c>
      <c r="MH101" s="149">
        <f t="shared" si="916"/>
        <v>1.9390064768802473</v>
      </c>
      <c r="MI101" s="149">
        <f t="shared" si="917"/>
        <v>1.9575673493368078</v>
      </c>
      <c r="MJ101" s="149">
        <f t="shared" si="918"/>
        <v>1.9759888430834802</v>
      </c>
      <c r="MK101" s="149">
        <f t="shared" si="919"/>
        <v>1.9938474099551347</v>
      </c>
      <c r="ML101" s="149">
        <f t="shared" si="920"/>
        <v>2.0115449559460856</v>
      </c>
      <c r="MM101" s="149">
        <f t="shared" si="921"/>
        <v>2.0290731123881076</v>
      </c>
      <c r="MN101" s="149">
        <f t="shared" si="922"/>
        <v>2.0464234617282977</v>
      </c>
      <c r="MO101" s="149">
        <f t="shared" si="923"/>
        <v>2.0635875416634013</v>
      </c>
      <c r="MP101" s="149">
        <f t="shared" si="924"/>
        <v>2.0805568493690219</v>
      </c>
      <c r="MQ101" s="149">
        <f t="shared" si="925"/>
        <v>2.0973228458217061</v>
      </c>
      <c r="MR101" s="149">
        <f t="shared" si="926"/>
        <v>2.1138769602118068</v>
      </c>
      <c r="MS101" s="149">
        <f t="shared" si="927"/>
        <v>2.1297999644471441</v>
      </c>
      <c r="MT101" s="173">
        <f t="shared" si="928"/>
        <v>2.1454905837725113</v>
      </c>
      <c r="MU101" s="136">
        <f t="shared" si="929"/>
        <v>0</v>
      </c>
      <c r="MV101" s="174">
        <f t="shared" si="930"/>
        <v>2.1412140821008765</v>
      </c>
      <c r="MW101" s="159">
        <f t="shared" si="931"/>
        <v>2.1559170615818175</v>
      </c>
      <c r="MX101" s="159">
        <f t="shared" si="932"/>
        <v>2.1703581453977518</v>
      </c>
      <c r="MY101" s="159">
        <f t="shared" si="933"/>
        <v>2.184529025673525</v>
      </c>
      <c r="MZ101" s="159">
        <f t="shared" si="934"/>
        <v>2.1984214050279709</v>
      </c>
      <c r="NA101" s="159">
        <f t="shared" si="935"/>
        <v>2.211633271903449</v>
      </c>
      <c r="NB101" s="159">
        <f t="shared" si="936"/>
        <v>2.2412742419613738</v>
      </c>
      <c r="NC101" s="159">
        <f t="shared" si="937"/>
        <v>2.2543623761048157</v>
      </c>
      <c r="ND101" s="159">
        <f t="shared" si="938"/>
        <v>2.2671415772951589</v>
      </c>
      <c r="NE101" s="159">
        <f t="shared" si="939"/>
        <v>2.2796037489433942</v>
      </c>
      <c r="NF101" s="159">
        <f t="shared" si="940"/>
        <v>2.2917408337451746</v>
      </c>
      <c r="NG101" s="159">
        <f t="shared" si="941"/>
        <v>2.3035448187610004</v>
      </c>
      <c r="NH101" s="159">
        <f t="shared" si="942"/>
        <v>2.3146226128718004</v>
      </c>
      <c r="NI101" s="159">
        <f t="shared" si="943"/>
        <v>2.325350757169812</v>
      </c>
      <c r="NJ101" s="159">
        <f t="shared" si="944"/>
        <v>2.3542590949919009</v>
      </c>
      <c r="NK101" s="159">
        <f t="shared" si="945"/>
        <v>2.3647588883285846</v>
      </c>
      <c r="NL101" s="159">
        <f t="shared" si="946"/>
        <v>2.3748893038404542</v>
      </c>
      <c r="NM101" s="159">
        <f t="shared" si="947"/>
        <v>2.3846427583122991</v>
      </c>
      <c r="NN101" s="159">
        <f t="shared" si="948"/>
        <v>2.3940117469793045</v>
      </c>
      <c r="NO101" s="159">
        <f t="shared" si="949"/>
        <v>2.4223095038087679</v>
      </c>
      <c r="NP101" s="159">
        <f t="shared" si="950"/>
        <v>2.4310153908205385</v>
      </c>
      <c r="NQ101" s="159">
        <f t="shared" si="951"/>
        <v>2.4393177404910493</v>
      </c>
      <c r="NR101" s="159">
        <f t="shared" si="952"/>
        <v>2.4472094509635824</v>
      </c>
      <c r="NS101" s="159">
        <f t="shared" si="953"/>
        <v>2.454683521925336</v>
      </c>
      <c r="NT101" s="159">
        <f t="shared" si="954"/>
        <v>2.4617330596463143</v>
      </c>
      <c r="NU101" s="159">
        <f t="shared" si="955"/>
        <v>2.4683512820045368</v>
      </c>
      <c r="NV101" s="159">
        <f t="shared" si="842"/>
        <v>2.4955031461065866</v>
      </c>
      <c r="NW101" s="159">
        <f t="shared" si="840"/>
        <v>2.1921182166175264</v>
      </c>
      <c r="NX101" s="159">
        <f t="shared" si="840"/>
        <v>2.1968846039276047</v>
      </c>
      <c r="NY101" s="159">
        <f t="shared" si="840"/>
        <v>1.8901412935030988</v>
      </c>
      <c r="NZ101" s="159">
        <f t="shared" si="840"/>
        <v>1.893545758522976</v>
      </c>
      <c r="OA101" s="159">
        <f t="shared" si="840"/>
        <v>1.8965992639742819</v>
      </c>
      <c r="OB101" s="159">
        <f t="shared" si="840"/>
        <v>1.8992974022129114</v>
      </c>
      <c r="OC101" s="159">
        <f t="shared" si="840"/>
        <v>1.9013807816027264</v>
      </c>
      <c r="OD101" s="159">
        <f t="shared" si="840"/>
        <v>1.6036649468393922</v>
      </c>
      <c r="OE101" s="159">
        <f t="shared" si="840"/>
        <v>1.6051167362248326</v>
      </c>
      <c r="OF101" s="159">
        <f t="shared" si="840"/>
        <v>1.2881816709865186</v>
      </c>
      <c r="OG101" s="159">
        <f t="shared" si="840"/>
        <v>1.2888483063119804</v>
      </c>
      <c r="OH101" s="159">
        <f t="shared" si="840"/>
        <v>1.2892623473412648</v>
      </c>
      <c r="OI101" s="159">
        <f t="shared" ref="OI101:OI104" si="956">EN36</f>
        <v>1.3017016038353926</v>
      </c>
      <c r="OJ101" s="159">
        <f t="shared" ref="OJ101:OJ104" si="957">EO36</f>
        <v>1.301862191115982</v>
      </c>
      <c r="OK101" s="159">
        <f t="shared" ref="OK101:OK104" si="958">EP36</f>
        <v>0.97939712572032023</v>
      </c>
      <c r="OL101" s="159">
        <f t="shared" ref="OL101:OL104" si="959">EQ36</f>
        <v>0.97912536992444743</v>
      </c>
      <c r="OM101" s="159">
        <f t="shared" ref="OM101:OM104" si="960">ER36</f>
        <v>0.66187440390966013</v>
      </c>
      <c r="ON101" s="159">
        <f t="shared" ref="ON101:ON104" si="961">ES36</f>
        <v>0.66147571468451072</v>
      </c>
      <c r="OO101" s="159">
        <f t="shared" ref="OO101:OO104" si="962">ET36</f>
        <v>0.66748651574403517</v>
      </c>
      <c r="OP101" s="159">
        <f t="shared" ref="OP101:OP104" si="963">EU36</f>
        <v>0.66694848633172832</v>
      </c>
      <c r="OQ101" s="159">
        <f t="shared" ref="OQ101:OQ104" si="964">EV36</f>
        <v>0.66627378596888731</v>
      </c>
      <c r="OR101" s="159">
        <f t="shared" ref="OR101:OR104" si="965">EW36</f>
        <v>0.33904645178173293</v>
      </c>
      <c r="OS101" s="159">
        <f t="shared" ref="OS101:OS104" si="966">EX36</f>
        <v>0.33863310993356072</v>
      </c>
      <c r="OT101" s="162">
        <f t="shared" ref="OT101:OT104" si="967">EY36</f>
        <v>-6.845541933200597E-4</v>
      </c>
      <c r="OU101" s="184"/>
      <c r="OV101" s="184"/>
      <c r="OW101" s="184"/>
      <c r="OX101" s="131"/>
      <c r="OY101" s="131"/>
      <c r="OZ101" s="131"/>
      <c r="PA101" s="131"/>
      <c r="PB101" s="131"/>
      <c r="PC101" s="131"/>
      <c r="PD101" s="131"/>
      <c r="PE101" s="131"/>
      <c r="PF101" s="131"/>
      <c r="PG101" s="131"/>
      <c r="PH101" s="131"/>
      <c r="PI101" s="131"/>
      <c r="PJ101" s="131"/>
      <c r="PK101" s="131"/>
      <c r="PL101" s="131"/>
      <c r="PM101" s="131"/>
      <c r="PN101" s="131"/>
      <c r="PO101" s="131"/>
      <c r="PP101" s="131"/>
      <c r="PQ101" s="131"/>
      <c r="PR101" s="131"/>
      <c r="PS101" s="131"/>
      <c r="PT101" s="131"/>
      <c r="PU101" s="131"/>
      <c r="PV101" s="131"/>
      <c r="PW101" s="131"/>
      <c r="PX101" s="131"/>
      <c r="PY101" s="131"/>
      <c r="PZ101" s="131"/>
      <c r="QA101" s="131"/>
      <c r="QB101" s="131"/>
      <c r="QC101" s="131"/>
      <c r="QD101" s="131"/>
      <c r="QE101" s="131"/>
      <c r="QF101" s="131"/>
      <c r="QG101" s="131"/>
      <c r="QH101" s="131"/>
      <c r="QI101" s="131"/>
      <c r="QJ101" s="131"/>
      <c r="QK101" s="131"/>
      <c r="QL101" s="131"/>
      <c r="QM101" s="131"/>
      <c r="QN101" s="131"/>
      <c r="QO101" s="131"/>
      <c r="QP101" s="131"/>
      <c r="QQ101" s="131"/>
      <c r="QR101" s="131"/>
      <c r="QS101" s="131"/>
      <c r="QT101" s="131"/>
      <c r="QU101" s="131"/>
      <c r="QV101" s="131"/>
      <c r="QW101" s="131"/>
      <c r="QX101" s="131"/>
      <c r="QY101" s="131"/>
      <c r="QZ101" s="131"/>
      <c r="RA101" s="131"/>
      <c r="RB101" s="131"/>
      <c r="RC101" s="131"/>
      <c r="RD101" s="131"/>
      <c r="RE101" s="131"/>
      <c r="RF101" s="131"/>
      <c r="RG101" s="131"/>
      <c r="RH101" s="131"/>
      <c r="RI101" s="131"/>
      <c r="RJ101" s="131"/>
      <c r="RK101" s="131"/>
      <c r="RL101" s="131"/>
      <c r="RM101" s="131"/>
      <c r="RN101" s="131"/>
      <c r="RO101" s="131"/>
      <c r="RP101" s="131"/>
      <c r="RQ101" s="131"/>
      <c r="RR101" s="131"/>
      <c r="RS101" s="131"/>
      <c r="RT101" s="131"/>
      <c r="RU101" s="131"/>
      <c r="RV101" s="131"/>
      <c r="RW101" s="131"/>
      <c r="RX101" s="131"/>
      <c r="RY101" s="131"/>
      <c r="RZ101" s="131"/>
      <c r="SA101" s="131"/>
      <c r="SB101" s="131"/>
      <c r="SC101" s="131"/>
      <c r="SD101" s="131"/>
      <c r="SE101" s="131"/>
      <c r="SF101" s="131"/>
      <c r="SG101" s="131"/>
      <c r="SH101" s="131"/>
      <c r="SI101" s="131"/>
      <c r="SJ101" s="131"/>
      <c r="SK101" s="131"/>
      <c r="SL101" s="131"/>
      <c r="SM101" s="131"/>
      <c r="SN101" s="131"/>
      <c r="SO101" s="131"/>
      <c r="SP101" s="131"/>
      <c r="SQ101" s="131"/>
      <c r="SR101" s="131"/>
      <c r="SS101" s="131"/>
      <c r="ST101" s="131"/>
      <c r="SU101" s="131"/>
      <c r="SV101" s="131"/>
      <c r="SW101" s="131"/>
      <c r="SX101" s="131"/>
      <c r="SY101" s="131"/>
      <c r="SZ101" s="131"/>
      <c r="TA101" s="184"/>
      <c r="TB101" s="185"/>
      <c r="TC101" s="11"/>
      <c r="TD101" s="11"/>
      <c r="TE101" s="11"/>
      <c r="TF101" s="11"/>
    </row>
    <row r="102" spans="1:526" ht="22.15" customHeight="1" thickBot="1" x14ac:dyDescent="0.3">
      <c r="A102" s="298"/>
      <c r="B102" s="25" t="s">
        <v>13</v>
      </c>
      <c r="BY102" s="184"/>
      <c r="BZ102" s="184"/>
      <c r="CA102" s="184"/>
      <c r="CB102" s="184"/>
      <c r="CC102" s="184"/>
      <c r="CD102" s="184"/>
      <c r="CE102" s="184"/>
      <c r="CF102" s="184"/>
      <c r="CG102" s="184"/>
      <c r="CH102" s="184"/>
      <c r="CI102" s="184"/>
      <c r="CJ102" s="184"/>
      <c r="CK102" s="184"/>
      <c r="CL102" s="184"/>
      <c r="CM102" s="184"/>
      <c r="CN102" s="184"/>
      <c r="CO102" s="184"/>
      <c r="CP102" s="184"/>
      <c r="CQ102" s="184"/>
      <c r="CR102" s="184"/>
      <c r="CS102" s="184"/>
      <c r="CT102" s="184"/>
      <c r="CU102" s="184"/>
      <c r="CV102" s="184"/>
      <c r="CW102" s="184"/>
      <c r="CX102" s="184"/>
      <c r="CY102" s="184"/>
      <c r="CZ102" s="184"/>
      <c r="DA102" s="184"/>
      <c r="DB102" s="184"/>
      <c r="DC102" s="184"/>
      <c r="DD102" s="184"/>
      <c r="DE102" s="184"/>
      <c r="DF102" s="184"/>
      <c r="DG102" s="184"/>
      <c r="DH102" s="184"/>
      <c r="DI102" s="184"/>
      <c r="DJ102" s="184"/>
      <c r="DK102" s="184"/>
      <c r="DL102" s="184"/>
      <c r="DM102" s="184"/>
      <c r="DN102" s="184"/>
      <c r="DO102" s="184"/>
      <c r="DP102" s="184"/>
      <c r="DQ102" s="184"/>
      <c r="DR102" s="184"/>
      <c r="DS102" s="184"/>
      <c r="DT102" s="184"/>
      <c r="DU102" s="184"/>
      <c r="DV102" s="184"/>
      <c r="DW102" s="184"/>
      <c r="DX102" s="184"/>
      <c r="DY102" s="184"/>
      <c r="DZ102" s="184"/>
      <c r="EA102" s="184"/>
      <c r="EB102" s="184"/>
      <c r="EC102" s="184"/>
      <c r="ED102" s="184"/>
      <c r="EE102" s="184"/>
      <c r="EF102" s="184"/>
      <c r="EG102" s="184"/>
      <c r="EH102" s="184"/>
      <c r="EI102" s="184"/>
      <c r="EJ102" s="184"/>
      <c r="EK102" s="184"/>
      <c r="EL102" s="184"/>
      <c r="EM102" s="184"/>
      <c r="EN102" s="184"/>
      <c r="EO102" s="184"/>
      <c r="EP102" s="184"/>
      <c r="EQ102" s="184"/>
      <c r="ER102" s="184"/>
      <c r="ES102" s="184"/>
      <c r="ET102" s="184"/>
      <c r="EU102" s="184"/>
      <c r="EV102" s="184"/>
      <c r="EW102" s="184"/>
      <c r="EX102" s="184"/>
      <c r="EY102" s="184"/>
      <c r="EZ102" s="184"/>
      <c r="FA102" s="184"/>
      <c r="FB102" s="184"/>
      <c r="FC102" s="184"/>
      <c r="FD102" s="184"/>
      <c r="FE102" s="184"/>
      <c r="FF102" s="184"/>
      <c r="FG102" s="184"/>
      <c r="FH102" s="184"/>
      <c r="FI102" s="184"/>
      <c r="FJ102" s="184"/>
      <c r="FK102" s="184"/>
      <c r="FL102" s="184"/>
      <c r="FM102" s="184"/>
      <c r="FN102" s="184"/>
      <c r="FO102" s="184"/>
      <c r="FP102" s="184"/>
      <c r="FQ102" s="184"/>
      <c r="FR102" s="184"/>
      <c r="FS102" s="184"/>
      <c r="FT102" s="184"/>
      <c r="FU102" s="184"/>
      <c r="FV102" s="184"/>
      <c r="FW102" s="184"/>
      <c r="FX102" s="184"/>
      <c r="FY102" s="184"/>
      <c r="FZ102" s="184"/>
      <c r="GA102" s="184"/>
      <c r="GB102" s="184"/>
      <c r="GC102" s="184"/>
      <c r="GD102" s="184"/>
      <c r="GE102" s="184"/>
      <c r="GF102" s="184"/>
      <c r="GG102" s="184"/>
      <c r="GH102" s="184"/>
      <c r="GI102" s="184"/>
      <c r="GJ102" s="184"/>
      <c r="GK102" s="184"/>
      <c r="GL102" s="184"/>
      <c r="GM102" s="184"/>
      <c r="GN102" s="184"/>
      <c r="GO102" s="184"/>
      <c r="GP102" s="184"/>
      <c r="GQ102" s="184"/>
      <c r="GR102" s="184"/>
      <c r="GS102" s="184"/>
      <c r="GT102" s="184"/>
      <c r="GU102" s="184"/>
      <c r="GV102" s="184"/>
      <c r="GW102" s="184"/>
      <c r="GX102" s="184"/>
      <c r="GY102" s="184"/>
      <c r="GZ102" s="184"/>
      <c r="HA102" s="184"/>
      <c r="HB102" s="184"/>
      <c r="HC102" s="184"/>
      <c r="HD102" s="184"/>
      <c r="HE102" s="184"/>
      <c r="HF102" s="184"/>
      <c r="HG102" s="184"/>
      <c r="HH102" s="184"/>
      <c r="HI102" s="184"/>
      <c r="HJ102" s="184"/>
      <c r="HK102" s="184"/>
      <c r="HL102" s="184"/>
      <c r="HM102" s="184"/>
      <c r="HN102" s="184"/>
      <c r="HO102" s="184"/>
      <c r="HP102" s="184"/>
      <c r="HQ102" s="184"/>
      <c r="HR102" s="184"/>
      <c r="HS102" s="184"/>
      <c r="HT102" s="184"/>
      <c r="HU102" s="184"/>
      <c r="HV102" s="184"/>
      <c r="HW102" s="184"/>
      <c r="HX102" s="184"/>
      <c r="HY102" s="184"/>
      <c r="HZ102" s="184"/>
      <c r="IA102" s="184"/>
      <c r="IB102" s="184"/>
      <c r="IC102" s="184"/>
      <c r="ID102" s="184"/>
      <c r="IE102" s="184"/>
      <c r="IF102" s="184"/>
      <c r="IG102" s="184"/>
      <c r="IH102" s="184"/>
      <c r="II102" s="184"/>
      <c r="IJ102" s="184"/>
      <c r="IK102" s="184"/>
      <c r="IL102" s="184"/>
      <c r="IM102" s="184"/>
      <c r="IN102" s="184"/>
      <c r="IO102" s="184"/>
      <c r="IP102" s="184"/>
      <c r="IQ102" s="184"/>
      <c r="IR102" s="184"/>
      <c r="IS102" s="184"/>
      <c r="IT102" s="184"/>
      <c r="IU102" s="184"/>
      <c r="IV102" s="184"/>
      <c r="IW102" s="184"/>
      <c r="IX102" s="141">
        <f t="shared" si="824"/>
        <v>0.56000000000000005</v>
      </c>
      <c r="IY102" s="114">
        <f t="shared" si="825"/>
        <v>0.56000000000000005</v>
      </c>
      <c r="IZ102" s="114">
        <f t="shared" si="826"/>
        <v>0.56999999999999995</v>
      </c>
      <c r="JA102" s="114">
        <f t="shared" si="827"/>
        <v>0.56999999999999995</v>
      </c>
      <c r="JB102" s="114">
        <f t="shared" si="843"/>
        <v>0.56999999999999995</v>
      </c>
      <c r="JC102" s="114">
        <f t="shared" si="829"/>
        <v>0.57999999999999996</v>
      </c>
      <c r="JD102" s="114">
        <f t="shared" si="830"/>
        <v>0.57999999999999996</v>
      </c>
      <c r="JE102" s="114">
        <f t="shared" si="831"/>
        <v>0.59</v>
      </c>
      <c r="JF102" s="114">
        <f t="shared" si="832"/>
        <v>0.59</v>
      </c>
      <c r="JG102" s="114">
        <f t="shared" si="833"/>
        <v>0.59</v>
      </c>
      <c r="JH102" s="114">
        <f t="shared" si="834"/>
        <v>0.6</v>
      </c>
      <c r="JI102" s="114">
        <f t="shared" si="835"/>
        <v>0.6</v>
      </c>
      <c r="JJ102" s="114">
        <f t="shared" si="836"/>
        <v>0.61</v>
      </c>
      <c r="JK102" s="114">
        <f t="shared" si="837"/>
        <v>0.61</v>
      </c>
      <c r="JL102" s="114">
        <f t="shared" si="838"/>
        <v>0.62</v>
      </c>
      <c r="JM102" s="114">
        <f t="shared" si="844"/>
        <v>0.62</v>
      </c>
      <c r="JN102" s="114">
        <f t="shared" si="845"/>
        <v>0.63</v>
      </c>
      <c r="JO102" s="114">
        <f t="shared" si="846"/>
        <v>0.63</v>
      </c>
      <c r="JP102" s="114">
        <f t="shared" si="847"/>
        <v>0.64</v>
      </c>
      <c r="JQ102" s="114">
        <f t="shared" si="848"/>
        <v>0.64</v>
      </c>
      <c r="JR102" s="114">
        <f t="shared" si="849"/>
        <v>0.65</v>
      </c>
      <c r="JS102" s="114">
        <f t="shared" si="850"/>
        <v>0.65</v>
      </c>
      <c r="JT102" s="114">
        <f t="shared" si="851"/>
        <v>0.66</v>
      </c>
      <c r="JU102" s="114">
        <f t="shared" si="852"/>
        <v>0.66</v>
      </c>
      <c r="JV102" s="114">
        <f t="shared" si="853"/>
        <v>0.66</v>
      </c>
      <c r="JW102" s="114">
        <f t="shared" si="854"/>
        <v>0.67</v>
      </c>
      <c r="JX102" s="114">
        <f t="shared" si="855"/>
        <v>0.67</v>
      </c>
      <c r="JY102" s="114">
        <f t="shared" si="856"/>
        <v>0.68</v>
      </c>
      <c r="JZ102" s="114">
        <f t="shared" si="857"/>
        <v>0.68</v>
      </c>
      <c r="KA102" s="114">
        <f t="shared" si="858"/>
        <v>0.68</v>
      </c>
      <c r="KB102" s="114">
        <f t="shared" si="859"/>
        <v>0.69</v>
      </c>
      <c r="KC102" s="114">
        <f t="shared" si="860"/>
        <v>0.69</v>
      </c>
      <c r="KD102" s="114">
        <f t="shared" si="861"/>
        <v>0.69</v>
      </c>
      <c r="KE102" s="114">
        <f t="shared" si="862"/>
        <v>0.7</v>
      </c>
      <c r="KF102" s="114">
        <f t="shared" si="863"/>
        <v>0.7</v>
      </c>
      <c r="KG102" s="114">
        <f t="shared" si="864"/>
        <v>0.71</v>
      </c>
      <c r="KH102" s="114">
        <f t="shared" si="865"/>
        <v>0.71</v>
      </c>
      <c r="KI102" s="114">
        <f t="shared" si="866"/>
        <v>0.71</v>
      </c>
      <c r="KJ102" s="114">
        <f t="shared" si="867"/>
        <v>0.72</v>
      </c>
      <c r="KK102" s="114">
        <f t="shared" si="868"/>
        <v>0.72</v>
      </c>
      <c r="KL102" s="114">
        <f t="shared" si="869"/>
        <v>0.72</v>
      </c>
      <c r="KM102" s="114">
        <f t="shared" si="870"/>
        <v>0.73</v>
      </c>
      <c r="KN102" s="114">
        <f t="shared" si="871"/>
        <v>0.73</v>
      </c>
      <c r="KO102" s="114">
        <f t="shared" si="872"/>
        <v>0.73</v>
      </c>
      <c r="KP102" s="114">
        <f t="shared" si="873"/>
        <v>0.74</v>
      </c>
      <c r="KQ102" s="114">
        <f t="shared" si="874"/>
        <v>0.74</v>
      </c>
      <c r="KR102" s="114">
        <f t="shared" si="875"/>
        <v>0.74</v>
      </c>
      <c r="KS102" s="114">
        <f t="shared" si="876"/>
        <v>0.75</v>
      </c>
      <c r="KT102" s="114">
        <f t="shared" si="877"/>
        <v>0.75</v>
      </c>
      <c r="KU102" s="114">
        <f t="shared" si="878"/>
        <v>0.76</v>
      </c>
      <c r="KV102" s="172">
        <f t="shared" si="879"/>
        <v>0.76</v>
      </c>
      <c r="KW102" s="151">
        <f t="shared" si="880"/>
        <v>0.76</v>
      </c>
      <c r="KX102" s="151">
        <f t="shared" si="881"/>
        <v>0.77</v>
      </c>
      <c r="KY102" s="151">
        <f t="shared" si="882"/>
        <v>0.77</v>
      </c>
      <c r="KZ102" s="151">
        <f t="shared" si="883"/>
        <v>0.77</v>
      </c>
      <c r="LA102" s="151">
        <f t="shared" si="884"/>
        <v>0.78</v>
      </c>
      <c r="LB102" s="151">
        <f t="shared" si="885"/>
        <v>0.78</v>
      </c>
      <c r="LC102" s="151">
        <f t="shared" si="886"/>
        <v>0.78</v>
      </c>
      <c r="LD102" s="151">
        <f t="shared" si="887"/>
        <v>0.78</v>
      </c>
      <c r="LE102" s="151">
        <f t="shared" si="888"/>
        <v>0.79</v>
      </c>
      <c r="LF102" s="151">
        <f t="shared" si="889"/>
        <v>0.79</v>
      </c>
      <c r="LG102" s="151">
        <f t="shared" si="890"/>
        <v>0.79</v>
      </c>
      <c r="LH102" s="151">
        <f t="shared" si="891"/>
        <v>0.79</v>
      </c>
      <c r="LI102" s="151">
        <f t="shared" si="892"/>
        <v>0.8</v>
      </c>
      <c r="LJ102" s="151">
        <f t="shared" si="841"/>
        <v>0.8</v>
      </c>
      <c r="LK102" s="151">
        <f t="shared" si="893"/>
        <v>0.8</v>
      </c>
      <c r="LL102" s="151">
        <f t="shared" si="894"/>
        <v>0.8</v>
      </c>
      <c r="LM102" s="151">
        <f t="shared" si="895"/>
        <v>0.8</v>
      </c>
      <c r="LN102" s="151">
        <f t="shared" si="896"/>
        <v>0.81</v>
      </c>
      <c r="LO102" s="151">
        <f t="shared" si="897"/>
        <v>0.81</v>
      </c>
      <c r="LP102" s="151">
        <f t="shared" si="898"/>
        <v>0.81</v>
      </c>
      <c r="LQ102" s="151">
        <f t="shared" si="899"/>
        <v>0.81</v>
      </c>
      <c r="LR102" s="151">
        <f t="shared" si="900"/>
        <v>0.82</v>
      </c>
      <c r="LS102" s="151">
        <f t="shared" si="901"/>
        <v>0.82</v>
      </c>
      <c r="LT102" s="151">
        <f t="shared" si="902"/>
        <v>0.82</v>
      </c>
      <c r="LU102" s="151">
        <f t="shared" si="903"/>
        <v>0.82</v>
      </c>
      <c r="LV102" s="151">
        <f t="shared" si="904"/>
        <v>0.82</v>
      </c>
      <c r="LW102" s="151">
        <f t="shared" si="905"/>
        <v>0.83</v>
      </c>
      <c r="LX102" s="151">
        <f t="shared" si="906"/>
        <v>0.83</v>
      </c>
      <c r="LY102" s="151">
        <f t="shared" si="907"/>
        <v>0.83</v>
      </c>
      <c r="LZ102" s="151">
        <f t="shared" si="908"/>
        <v>0.83</v>
      </c>
      <c r="MA102" s="151">
        <f t="shared" si="909"/>
        <v>0.83</v>
      </c>
      <c r="MB102" s="151">
        <f t="shared" si="910"/>
        <v>0.83</v>
      </c>
      <c r="MC102" s="151">
        <f t="shared" si="911"/>
        <v>0.83</v>
      </c>
      <c r="MD102" s="151">
        <f t="shared" si="912"/>
        <v>0.84</v>
      </c>
      <c r="ME102" s="151">
        <f t="shared" si="913"/>
        <v>0.84</v>
      </c>
      <c r="MF102" s="151">
        <f t="shared" si="914"/>
        <v>0.84</v>
      </c>
      <c r="MG102" s="151">
        <f t="shared" si="915"/>
        <v>0.84</v>
      </c>
      <c r="MH102" s="151">
        <f t="shared" si="916"/>
        <v>0.84</v>
      </c>
      <c r="MI102" s="151">
        <f t="shared" si="917"/>
        <v>0.84</v>
      </c>
      <c r="MJ102" s="151">
        <f t="shared" si="918"/>
        <v>0.85</v>
      </c>
      <c r="MK102" s="151">
        <f t="shared" si="919"/>
        <v>0.85</v>
      </c>
      <c r="ML102" s="151">
        <f t="shared" si="920"/>
        <v>0.85</v>
      </c>
      <c r="MM102" s="151">
        <f t="shared" si="921"/>
        <v>0.85</v>
      </c>
      <c r="MN102" s="151">
        <f t="shared" si="922"/>
        <v>0.85</v>
      </c>
      <c r="MO102" s="151">
        <f t="shared" si="923"/>
        <v>0.85</v>
      </c>
      <c r="MP102" s="151">
        <f t="shared" si="924"/>
        <v>0.85</v>
      </c>
      <c r="MQ102" s="151">
        <f t="shared" si="925"/>
        <v>0.85</v>
      </c>
      <c r="MR102" s="151">
        <f t="shared" si="926"/>
        <v>0.86</v>
      </c>
      <c r="MS102" s="151">
        <f t="shared" si="927"/>
        <v>0.86</v>
      </c>
      <c r="MT102" s="151">
        <f t="shared" si="928"/>
        <v>0.86</v>
      </c>
      <c r="MU102" s="176">
        <f t="shared" si="929"/>
        <v>0.86</v>
      </c>
      <c r="MV102" s="163">
        <f t="shared" si="930"/>
        <v>0.86</v>
      </c>
      <c r="MW102" s="163">
        <f t="shared" si="931"/>
        <v>0.86</v>
      </c>
      <c r="MX102" s="163">
        <f t="shared" si="932"/>
        <v>0.86</v>
      </c>
      <c r="MY102" s="163">
        <f t="shared" si="933"/>
        <v>0.86</v>
      </c>
      <c r="MZ102" s="163">
        <f t="shared" si="934"/>
        <v>0.87</v>
      </c>
      <c r="NA102" s="163">
        <f t="shared" si="935"/>
        <v>0.87</v>
      </c>
      <c r="NB102" s="163">
        <f t="shared" si="936"/>
        <v>0.87</v>
      </c>
      <c r="NC102" s="163">
        <f t="shared" si="937"/>
        <v>0.87</v>
      </c>
      <c r="ND102" s="163">
        <f t="shared" si="938"/>
        <v>0.87</v>
      </c>
      <c r="NE102" s="163">
        <f t="shared" si="939"/>
        <v>0.87</v>
      </c>
      <c r="NF102" s="163">
        <f t="shared" si="940"/>
        <v>0.87</v>
      </c>
      <c r="NG102" s="163">
        <f t="shared" si="941"/>
        <v>0.88</v>
      </c>
      <c r="NH102" s="163">
        <f t="shared" si="942"/>
        <v>0.88</v>
      </c>
      <c r="NI102" s="163">
        <f t="shared" si="943"/>
        <v>0.88</v>
      </c>
      <c r="NJ102" s="163">
        <f t="shared" si="944"/>
        <v>0.88</v>
      </c>
      <c r="NK102" s="163">
        <f t="shared" si="945"/>
        <v>0.88</v>
      </c>
      <c r="NL102" s="163">
        <f t="shared" si="946"/>
        <v>0.88</v>
      </c>
      <c r="NM102" s="163">
        <f t="shared" si="947"/>
        <v>0.88</v>
      </c>
      <c r="NN102" s="163">
        <f t="shared" si="948"/>
        <v>0.89</v>
      </c>
      <c r="NO102" s="163">
        <f t="shared" si="949"/>
        <v>0.89</v>
      </c>
      <c r="NP102" s="163">
        <f t="shared" si="950"/>
        <v>0.89</v>
      </c>
      <c r="NQ102" s="163">
        <f t="shared" si="951"/>
        <v>0.89</v>
      </c>
      <c r="NR102" s="163">
        <f t="shared" si="952"/>
        <v>0.89</v>
      </c>
      <c r="NS102" s="163">
        <f t="shared" si="953"/>
        <v>0.89</v>
      </c>
      <c r="NT102" s="163">
        <f t="shared" si="954"/>
        <v>0.89</v>
      </c>
      <c r="NU102" s="163">
        <f t="shared" si="955"/>
        <v>0.9</v>
      </c>
      <c r="NV102" s="163">
        <f t="shared" si="842"/>
        <v>0.9</v>
      </c>
      <c r="NW102" s="163">
        <f t="shared" ref="NW102:NW104" si="968">EB37</f>
        <v>0.9</v>
      </c>
      <c r="NX102" s="163">
        <f t="shared" ref="NX102:NX104" si="969">EC37</f>
        <v>0.9</v>
      </c>
      <c r="NY102" s="163">
        <f t="shared" ref="NY102:NY104" si="970">ED37</f>
        <v>0.9</v>
      </c>
      <c r="NZ102" s="163">
        <f t="shared" ref="NZ102:NZ104" si="971">EE37</f>
        <v>0.9</v>
      </c>
      <c r="OA102" s="163">
        <f t="shared" ref="OA102:OA104" si="972">EF37</f>
        <v>0.9</v>
      </c>
      <c r="OB102" s="163">
        <f t="shared" ref="OB102:OB104" si="973">EG37</f>
        <v>0.91</v>
      </c>
      <c r="OC102" s="163">
        <f t="shared" ref="OC102:OC104" si="974">EH37</f>
        <v>0.91</v>
      </c>
      <c r="OD102" s="163">
        <f t="shared" ref="OD102:OD104" si="975">EI37</f>
        <v>0.91</v>
      </c>
      <c r="OE102" s="163">
        <f t="shared" ref="OE102:OE104" si="976">EJ37</f>
        <v>0.91</v>
      </c>
      <c r="OF102" s="163">
        <f t="shared" ref="OF102:OF104" si="977">EK37</f>
        <v>0.91</v>
      </c>
      <c r="OG102" s="163">
        <f t="shared" ref="OG102:OG104" si="978">EL37</f>
        <v>0.91</v>
      </c>
      <c r="OH102" s="163">
        <f t="shared" ref="OH102:OH104" si="979">EM37</f>
        <v>0.91</v>
      </c>
      <c r="OI102" s="163">
        <f t="shared" si="956"/>
        <v>0.91</v>
      </c>
      <c r="OJ102" s="163">
        <f t="shared" si="957"/>
        <v>0.91</v>
      </c>
      <c r="OK102" s="163">
        <f t="shared" si="958"/>
        <v>0.91</v>
      </c>
      <c r="OL102" s="163">
        <f t="shared" si="959"/>
        <v>0.91</v>
      </c>
      <c r="OM102" s="163">
        <f t="shared" si="960"/>
        <v>0.92</v>
      </c>
      <c r="ON102" s="163">
        <f t="shared" si="961"/>
        <v>0.92</v>
      </c>
      <c r="OO102" s="163">
        <f t="shared" si="962"/>
        <v>0.92</v>
      </c>
      <c r="OP102" s="163">
        <f t="shared" si="963"/>
        <v>0.92</v>
      </c>
      <c r="OQ102" s="163">
        <f t="shared" si="964"/>
        <v>0.92</v>
      </c>
      <c r="OR102" s="163">
        <f t="shared" si="965"/>
        <v>0.92</v>
      </c>
      <c r="OS102" s="163">
        <f t="shared" si="966"/>
        <v>0.92</v>
      </c>
      <c r="OT102" s="117">
        <f t="shared" si="967"/>
        <v>0.92</v>
      </c>
      <c r="OU102" s="184"/>
      <c r="OV102" s="184"/>
      <c r="OW102" s="184"/>
      <c r="OX102" s="23"/>
      <c r="OY102" s="23"/>
      <c r="OZ102" s="23"/>
      <c r="PA102" s="23"/>
      <c r="PB102" s="23"/>
      <c r="PC102" s="23"/>
      <c r="PD102" s="23"/>
      <c r="PE102" s="23"/>
      <c r="PF102" s="23"/>
      <c r="PG102" s="23"/>
      <c r="PH102" s="23"/>
      <c r="PI102" s="23"/>
      <c r="PJ102" s="23"/>
      <c r="PK102" s="23"/>
      <c r="PL102" s="23"/>
      <c r="PM102" s="23"/>
      <c r="PN102" s="23"/>
      <c r="PO102" s="23"/>
      <c r="PP102" s="23"/>
      <c r="PQ102" s="23"/>
      <c r="PR102" s="23"/>
      <c r="PS102" s="23"/>
      <c r="PT102" s="23"/>
      <c r="PU102" s="23"/>
      <c r="PV102" s="23"/>
      <c r="PW102" s="23"/>
      <c r="PX102" s="23"/>
      <c r="PY102" s="23"/>
      <c r="PZ102" s="23"/>
      <c r="QA102" s="23"/>
      <c r="QB102" s="23"/>
      <c r="QC102" s="23"/>
      <c r="QD102" s="23"/>
      <c r="QE102" s="23"/>
      <c r="QF102" s="23"/>
      <c r="QG102" s="23"/>
      <c r="QH102" s="23"/>
      <c r="QI102" s="23"/>
      <c r="QJ102" s="23"/>
      <c r="QK102" s="23"/>
      <c r="QL102" s="23"/>
      <c r="QM102" s="23"/>
      <c r="QN102" s="23"/>
      <c r="QO102" s="23"/>
      <c r="QP102" s="23"/>
      <c r="QQ102" s="23"/>
      <c r="QR102" s="23"/>
      <c r="QS102" s="23"/>
      <c r="QT102" s="23"/>
      <c r="QU102" s="23"/>
      <c r="QV102" s="23"/>
      <c r="QW102" s="23"/>
      <c r="QX102" s="23"/>
      <c r="QY102" s="23"/>
      <c r="QZ102" s="23"/>
      <c r="RA102" s="23"/>
      <c r="RB102" s="23"/>
      <c r="RC102" s="23"/>
      <c r="RD102" s="23"/>
      <c r="RE102" s="23"/>
      <c r="RF102" s="23"/>
      <c r="RG102" s="23"/>
      <c r="RH102" s="23"/>
      <c r="RI102" s="23"/>
      <c r="RJ102" s="23"/>
      <c r="RK102" s="23"/>
      <c r="RL102" s="23"/>
      <c r="RM102" s="23"/>
      <c r="RN102" s="23"/>
      <c r="RO102" s="23"/>
      <c r="RP102" s="23"/>
      <c r="RQ102" s="23"/>
      <c r="RR102" s="23"/>
      <c r="RS102" s="23"/>
      <c r="RT102" s="23"/>
      <c r="RU102" s="23"/>
      <c r="RV102" s="23"/>
      <c r="RW102" s="23"/>
      <c r="RX102" s="23"/>
      <c r="RY102" s="23"/>
      <c r="RZ102" s="23"/>
      <c r="SA102" s="23"/>
      <c r="SB102" s="23"/>
      <c r="SC102" s="23"/>
      <c r="SD102" s="23"/>
      <c r="SE102" s="23"/>
      <c r="SF102" s="23"/>
      <c r="SG102" s="23"/>
      <c r="SH102" s="23"/>
      <c r="SI102" s="23"/>
      <c r="SJ102" s="23"/>
      <c r="SK102" s="23"/>
      <c r="SL102" s="23"/>
      <c r="SM102" s="23"/>
      <c r="SN102" s="23"/>
      <c r="SO102" s="23"/>
      <c r="SP102" s="23"/>
      <c r="SQ102" s="23"/>
      <c r="SR102" s="23"/>
      <c r="SS102" s="23"/>
      <c r="ST102" s="23"/>
      <c r="SU102" s="23"/>
      <c r="SV102" s="23"/>
      <c r="SW102" s="23"/>
      <c r="SX102" s="23"/>
      <c r="SY102" s="23"/>
      <c r="SZ102" s="23"/>
      <c r="TA102" s="184"/>
      <c r="TB102" s="185"/>
      <c r="TC102" s="11"/>
      <c r="TD102" s="11"/>
      <c r="TE102" s="11"/>
      <c r="TF102" s="11"/>
    </row>
    <row r="103" spans="1:526" ht="22.15" customHeight="1" x14ac:dyDescent="0.25">
      <c r="A103" s="298"/>
      <c r="B103" s="25" t="s">
        <v>3</v>
      </c>
      <c r="BY103" s="184"/>
      <c r="BZ103" s="184"/>
      <c r="CA103" s="184"/>
      <c r="CB103" s="184"/>
      <c r="CC103" s="184"/>
      <c r="CD103" s="184"/>
      <c r="CE103" s="184"/>
      <c r="CF103" s="184"/>
      <c r="CG103" s="184"/>
      <c r="CH103" s="184"/>
      <c r="CI103" s="184"/>
      <c r="CJ103" s="184"/>
      <c r="CK103" s="184"/>
      <c r="CL103" s="184"/>
      <c r="CM103" s="184"/>
      <c r="CN103" s="184"/>
      <c r="CO103" s="184"/>
      <c r="CP103" s="184"/>
      <c r="CQ103" s="184"/>
      <c r="CR103" s="184"/>
      <c r="CS103" s="184"/>
      <c r="CT103" s="184"/>
      <c r="CU103" s="184"/>
      <c r="CV103" s="184"/>
      <c r="CW103" s="184"/>
      <c r="CX103" s="184"/>
      <c r="CY103" s="184"/>
      <c r="CZ103" s="184"/>
      <c r="DA103" s="184"/>
      <c r="DB103" s="184"/>
      <c r="DC103" s="184"/>
      <c r="DD103" s="184"/>
      <c r="DE103" s="184"/>
      <c r="DF103" s="184"/>
      <c r="DG103" s="184"/>
      <c r="DH103" s="184"/>
      <c r="DI103" s="184"/>
      <c r="DJ103" s="184"/>
      <c r="DK103" s="184"/>
      <c r="DL103" s="184"/>
      <c r="DM103" s="184"/>
      <c r="DN103" s="184"/>
      <c r="DO103" s="184"/>
      <c r="DP103" s="184"/>
      <c r="DQ103" s="184"/>
      <c r="DR103" s="184"/>
      <c r="DS103" s="184"/>
      <c r="DT103" s="184"/>
      <c r="DU103" s="184"/>
      <c r="DV103" s="184"/>
      <c r="DW103" s="184"/>
      <c r="DX103" s="184"/>
      <c r="DY103" s="184"/>
      <c r="DZ103" s="184"/>
      <c r="EA103" s="184"/>
      <c r="EB103" s="184"/>
      <c r="EC103" s="184"/>
      <c r="ED103" s="184"/>
      <c r="EE103" s="184"/>
      <c r="EF103" s="184"/>
      <c r="EG103" s="184"/>
      <c r="EH103" s="184"/>
      <c r="EI103" s="184"/>
      <c r="EJ103" s="184"/>
      <c r="EK103" s="184"/>
      <c r="EL103" s="184"/>
      <c r="EM103" s="184"/>
      <c r="EN103" s="184"/>
      <c r="EO103" s="184"/>
      <c r="EP103" s="184"/>
      <c r="EQ103" s="184"/>
      <c r="ER103" s="184"/>
      <c r="ES103" s="184"/>
      <c r="ET103" s="184"/>
      <c r="EU103" s="184"/>
      <c r="EV103" s="184"/>
      <c r="EW103" s="184"/>
      <c r="EX103" s="184"/>
      <c r="EY103" s="184"/>
      <c r="EZ103" s="184"/>
      <c r="FA103" s="184"/>
      <c r="FB103" s="184"/>
      <c r="FC103" s="184"/>
      <c r="FD103" s="184"/>
      <c r="FE103" s="184"/>
      <c r="FF103" s="184"/>
      <c r="FG103" s="184"/>
      <c r="FH103" s="184"/>
      <c r="FI103" s="184"/>
      <c r="FJ103" s="184"/>
      <c r="FK103" s="184"/>
      <c r="FL103" s="184"/>
      <c r="FM103" s="184"/>
      <c r="FN103" s="184"/>
      <c r="FO103" s="184"/>
      <c r="FP103" s="184"/>
      <c r="FQ103" s="184"/>
      <c r="FR103" s="184"/>
      <c r="FS103" s="184"/>
      <c r="FT103" s="184"/>
      <c r="FU103" s="184"/>
      <c r="FV103" s="184"/>
      <c r="FW103" s="184"/>
      <c r="FX103" s="184"/>
      <c r="FY103" s="184"/>
      <c r="FZ103" s="184"/>
      <c r="GA103" s="184"/>
      <c r="GB103" s="184"/>
      <c r="GC103" s="184"/>
      <c r="GD103" s="184"/>
      <c r="GE103" s="184"/>
      <c r="GF103" s="184"/>
      <c r="GG103" s="184"/>
      <c r="GH103" s="184"/>
      <c r="GI103" s="184"/>
      <c r="GJ103" s="184"/>
      <c r="GK103" s="184"/>
      <c r="GL103" s="184"/>
      <c r="GM103" s="184"/>
      <c r="GN103" s="184"/>
      <c r="GO103" s="184"/>
      <c r="GP103" s="184"/>
      <c r="GQ103" s="184"/>
      <c r="GR103" s="184"/>
      <c r="GS103" s="184"/>
      <c r="GT103" s="184"/>
      <c r="GU103" s="184"/>
      <c r="GV103" s="184"/>
      <c r="GW103" s="184"/>
      <c r="GX103" s="184"/>
      <c r="GY103" s="184"/>
      <c r="GZ103" s="184"/>
      <c r="HA103" s="184"/>
      <c r="HB103" s="184"/>
      <c r="HC103" s="184"/>
      <c r="HD103" s="184"/>
      <c r="HE103" s="184"/>
      <c r="HF103" s="184"/>
      <c r="HG103" s="184"/>
      <c r="HH103" s="184"/>
      <c r="HI103" s="184"/>
      <c r="HJ103" s="184"/>
      <c r="HK103" s="184"/>
      <c r="HL103" s="184"/>
      <c r="HM103" s="184"/>
      <c r="HN103" s="184"/>
      <c r="HO103" s="184"/>
      <c r="HP103" s="184"/>
      <c r="HQ103" s="184"/>
      <c r="HR103" s="184"/>
      <c r="HS103" s="184"/>
      <c r="HT103" s="184"/>
      <c r="HU103" s="184"/>
      <c r="HV103" s="184"/>
      <c r="HW103" s="184"/>
      <c r="HX103" s="184"/>
      <c r="HY103" s="184"/>
      <c r="HZ103" s="184"/>
      <c r="IA103" s="184"/>
      <c r="IB103" s="184"/>
      <c r="IC103" s="184"/>
      <c r="ID103" s="184"/>
      <c r="IE103" s="184"/>
      <c r="IF103" s="184"/>
      <c r="IG103" s="184"/>
      <c r="IH103" s="184"/>
      <c r="II103" s="184"/>
      <c r="IJ103" s="184"/>
      <c r="IK103" s="184"/>
      <c r="IL103" s="184"/>
      <c r="IM103" s="184"/>
      <c r="IN103" s="184"/>
      <c r="IO103" s="184"/>
      <c r="IP103" s="184"/>
      <c r="IQ103" s="184"/>
      <c r="IR103" s="184"/>
      <c r="IS103" s="184"/>
      <c r="IT103" s="184"/>
      <c r="IU103" s="184"/>
      <c r="IV103" s="184"/>
      <c r="IW103" s="184"/>
      <c r="IX103" s="125" t="str">
        <f t="shared" si="824"/>
        <v>Tank 1</v>
      </c>
      <c r="IY103" s="111" t="str">
        <f t="shared" si="825"/>
        <v>Tank 1</v>
      </c>
      <c r="IZ103" s="111" t="str">
        <f t="shared" si="826"/>
        <v>Tank 1</v>
      </c>
      <c r="JA103" s="111" t="str">
        <f t="shared" si="827"/>
        <v>Tank 1</v>
      </c>
      <c r="JB103" s="111" t="str">
        <f t="shared" si="843"/>
        <v>Tank 1</v>
      </c>
      <c r="JC103" s="111" t="str">
        <f t="shared" si="829"/>
        <v>Tank 1</v>
      </c>
      <c r="JD103" s="111" t="str">
        <f t="shared" si="830"/>
        <v>Tank 1</v>
      </c>
      <c r="JE103" s="111" t="str">
        <f t="shared" si="831"/>
        <v>Tank 1</v>
      </c>
      <c r="JF103" s="111" t="str">
        <f t="shared" si="832"/>
        <v>Tank 1</v>
      </c>
      <c r="JG103" s="111" t="str">
        <f t="shared" si="833"/>
        <v>Tank 1</v>
      </c>
      <c r="JH103" s="111" t="str">
        <f t="shared" si="834"/>
        <v>Tank 1</v>
      </c>
      <c r="JI103" s="111" t="str">
        <f t="shared" si="835"/>
        <v>Tank 1</v>
      </c>
      <c r="JJ103" s="111" t="str">
        <f t="shared" si="836"/>
        <v>Tank 1</v>
      </c>
      <c r="JK103" s="111" t="str">
        <f t="shared" si="837"/>
        <v>Tank 1</v>
      </c>
      <c r="JL103" s="111" t="str">
        <f t="shared" si="838"/>
        <v>Tank 1</v>
      </c>
      <c r="JM103" s="111" t="str">
        <f t="shared" si="844"/>
        <v>Tank 1</v>
      </c>
      <c r="JN103" s="111" t="str">
        <f t="shared" si="845"/>
        <v>Tank 1</v>
      </c>
      <c r="JO103" s="111" t="str">
        <f t="shared" si="846"/>
        <v>Tank 1</v>
      </c>
      <c r="JP103" s="111" t="str">
        <f t="shared" si="847"/>
        <v>Tank 1</v>
      </c>
      <c r="JQ103" s="111" t="str">
        <f t="shared" si="848"/>
        <v>Tank 1</v>
      </c>
      <c r="JR103" s="111" t="str">
        <f t="shared" si="849"/>
        <v>Tank 1</v>
      </c>
      <c r="JS103" s="111" t="str">
        <f t="shared" si="850"/>
        <v>Tank 1</v>
      </c>
      <c r="JT103" s="111" t="str">
        <f t="shared" si="851"/>
        <v>Tank 1</v>
      </c>
      <c r="JU103" s="111" t="str">
        <f t="shared" si="852"/>
        <v>Tank 1</v>
      </c>
      <c r="JV103" s="111" t="str">
        <f t="shared" si="853"/>
        <v>Tank 1</v>
      </c>
      <c r="JW103" s="111" t="str">
        <f t="shared" si="854"/>
        <v>Tank 1</v>
      </c>
      <c r="JX103" s="111" t="str">
        <f t="shared" si="855"/>
        <v>Tank 1</v>
      </c>
      <c r="JY103" s="111" t="str">
        <f t="shared" si="856"/>
        <v>Tank 1</v>
      </c>
      <c r="JZ103" s="111" t="str">
        <f t="shared" si="857"/>
        <v>Tank 1</v>
      </c>
      <c r="KA103" s="111" t="str">
        <f t="shared" si="858"/>
        <v>Tank 1</v>
      </c>
      <c r="KB103" s="111" t="str">
        <f t="shared" si="859"/>
        <v>Tank 1</v>
      </c>
      <c r="KC103" s="111" t="str">
        <f t="shared" si="860"/>
        <v>Tank 1</v>
      </c>
      <c r="KD103" s="111" t="str">
        <f t="shared" si="861"/>
        <v>Tank 1</v>
      </c>
      <c r="KE103" s="111" t="str">
        <f t="shared" si="862"/>
        <v>Tank 1</v>
      </c>
      <c r="KF103" s="111" t="str">
        <f t="shared" si="863"/>
        <v>Tank 1</v>
      </c>
      <c r="KG103" s="111" t="str">
        <f t="shared" si="864"/>
        <v>Tank 1</v>
      </c>
      <c r="KH103" s="111" t="str">
        <f t="shared" si="865"/>
        <v>Tank 1</v>
      </c>
      <c r="KI103" s="111" t="str">
        <f t="shared" si="866"/>
        <v>Tank 1</v>
      </c>
      <c r="KJ103" s="111" t="str">
        <f t="shared" si="867"/>
        <v>Tank 1</v>
      </c>
      <c r="KK103" s="111" t="str">
        <f t="shared" si="868"/>
        <v>Tank 1</v>
      </c>
      <c r="KL103" s="111" t="str">
        <f t="shared" si="869"/>
        <v>Tank 1</v>
      </c>
      <c r="KM103" s="111" t="str">
        <f t="shared" si="870"/>
        <v>Tank 1</v>
      </c>
      <c r="KN103" s="111" t="str">
        <f t="shared" si="871"/>
        <v>Tank 1</v>
      </c>
      <c r="KO103" s="111" t="str">
        <f t="shared" si="872"/>
        <v>Tank 1</v>
      </c>
      <c r="KP103" s="111" t="str">
        <f t="shared" si="873"/>
        <v>Tank 1</v>
      </c>
      <c r="KQ103" s="111" t="str">
        <f t="shared" si="874"/>
        <v>Tank 1</v>
      </c>
      <c r="KR103" s="111" t="str">
        <f t="shared" si="875"/>
        <v>Tank 1</v>
      </c>
      <c r="KS103" s="111" t="str">
        <f t="shared" si="876"/>
        <v>Tank 1</v>
      </c>
      <c r="KT103" s="111" t="str">
        <f t="shared" si="877"/>
        <v>Tank 1</v>
      </c>
      <c r="KU103" s="111" t="str">
        <f t="shared" si="878"/>
        <v>Tank 1</v>
      </c>
      <c r="KV103" s="111" t="str">
        <f t="shared" si="879"/>
        <v>Tank 1</v>
      </c>
      <c r="KW103" s="152" t="str">
        <f t="shared" si="880"/>
        <v>Tank 2 + 3</v>
      </c>
      <c r="KX103" s="152" t="str">
        <f t="shared" si="881"/>
        <v>Tank 2 + 3</v>
      </c>
      <c r="KY103" s="152" t="str">
        <f t="shared" si="882"/>
        <v>Tank 2 + 3</v>
      </c>
      <c r="KZ103" s="152" t="str">
        <f t="shared" si="883"/>
        <v>Tank 2 + 3</v>
      </c>
      <c r="LA103" s="152" t="str">
        <f t="shared" si="884"/>
        <v>Tank 2 + 3</v>
      </c>
      <c r="LB103" s="152" t="str">
        <f t="shared" si="885"/>
        <v>Tank 2 + 3</v>
      </c>
      <c r="LC103" s="152" t="str">
        <f t="shared" si="886"/>
        <v>Tank 2 + 3</v>
      </c>
      <c r="LD103" s="152" t="str">
        <f t="shared" si="887"/>
        <v>Tank 2 + 3</v>
      </c>
      <c r="LE103" s="152" t="str">
        <f t="shared" si="888"/>
        <v>Tank 2 + 3</v>
      </c>
      <c r="LF103" s="152" t="str">
        <f t="shared" si="889"/>
        <v>Tank 2 + 3</v>
      </c>
      <c r="LG103" s="152" t="str">
        <f t="shared" si="890"/>
        <v>Tank 2 + 3</v>
      </c>
      <c r="LH103" s="152" t="str">
        <f t="shared" si="891"/>
        <v>Tank 2 + 3</v>
      </c>
      <c r="LI103" s="152" t="str">
        <f t="shared" si="892"/>
        <v>Tank 2 + 3</v>
      </c>
      <c r="LJ103" s="152" t="str">
        <f t="shared" si="841"/>
        <v>Tank 2 + 3</v>
      </c>
      <c r="LK103" s="152" t="str">
        <f t="shared" si="893"/>
        <v>Tank 2 + 3</v>
      </c>
      <c r="LL103" s="152" t="str">
        <f t="shared" si="894"/>
        <v>Tank 2 + 3</v>
      </c>
      <c r="LM103" s="152" t="str">
        <f t="shared" si="895"/>
        <v>Tank 2 + 3</v>
      </c>
      <c r="LN103" s="152" t="str">
        <f t="shared" si="896"/>
        <v>Tank 2 + 3</v>
      </c>
      <c r="LO103" s="152" t="str">
        <f t="shared" si="897"/>
        <v>Tank 2 + 3</v>
      </c>
      <c r="LP103" s="152" t="str">
        <f t="shared" si="898"/>
        <v>Tank 2 + 3</v>
      </c>
      <c r="LQ103" s="152" t="str">
        <f t="shared" si="899"/>
        <v>Tank 2 + 3</v>
      </c>
      <c r="LR103" s="152" t="str">
        <f t="shared" si="900"/>
        <v>Tank 2 + 3</v>
      </c>
      <c r="LS103" s="152" t="str">
        <f t="shared" si="901"/>
        <v>Tank 2 + 3</v>
      </c>
      <c r="LT103" s="152" t="str">
        <f t="shared" si="902"/>
        <v>Tank 2 + 3</v>
      </c>
      <c r="LU103" s="152" t="str">
        <f t="shared" si="903"/>
        <v>Tank 2 + 3</v>
      </c>
      <c r="LV103" s="152" t="str">
        <f t="shared" si="904"/>
        <v>Tank 2 + 3</v>
      </c>
      <c r="LW103" s="152" t="str">
        <f t="shared" si="905"/>
        <v>Tank 2 + 3</v>
      </c>
      <c r="LX103" s="152" t="str">
        <f t="shared" si="906"/>
        <v>Tank 2 + 3</v>
      </c>
      <c r="LY103" s="152" t="str">
        <f t="shared" si="907"/>
        <v>Tank 2 + 3</v>
      </c>
      <c r="LZ103" s="152" t="str">
        <f t="shared" si="908"/>
        <v>Tank 2 + 3</v>
      </c>
      <c r="MA103" s="152" t="str">
        <f t="shared" si="909"/>
        <v>Tank 2 + 3</v>
      </c>
      <c r="MB103" s="152" t="str">
        <f t="shared" si="910"/>
        <v>Tank 2 + 3</v>
      </c>
      <c r="MC103" s="152" t="str">
        <f t="shared" si="911"/>
        <v>Tank 2 + 3</v>
      </c>
      <c r="MD103" s="152" t="str">
        <f t="shared" si="912"/>
        <v>Tank 2 + 3</v>
      </c>
      <c r="ME103" s="152" t="str">
        <f t="shared" si="913"/>
        <v>Tank 2 + 3</v>
      </c>
      <c r="MF103" s="152" t="str">
        <f t="shared" si="914"/>
        <v>Tank 2 + 3</v>
      </c>
      <c r="MG103" s="152" t="str">
        <f t="shared" si="915"/>
        <v>Tank 2 + 3</v>
      </c>
      <c r="MH103" s="152" t="str">
        <f t="shared" si="916"/>
        <v>Tank 2 + 3</v>
      </c>
      <c r="MI103" s="152" t="str">
        <f t="shared" si="917"/>
        <v>Tank 2 + 3</v>
      </c>
      <c r="MJ103" s="152" t="str">
        <f t="shared" si="918"/>
        <v>Tank 2 + 3</v>
      </c>
      <c r="MK103" s="152" t="str">
        <f t="shared" si="919"/>
        <v>Tank 2 + 3</v>
      </c>
      <c r="ML103" s="152" t="str">
        <f t="shared" si="920"/>
        <v>Tank 2 + 3</v>
      </c>
      <c r="MM103" s="152" t="str">
        <f t="shared" si="921"/>
        <v>Tank 2 + 3</v>
      </c>
      <c r="MN103" s="152" t="str">
        <f t="shared" si="922"/>
        <v>Tank 2 + 3</v>
      </c>
      <c r="MO103" s="152" t="str">
        <f t="shared" si="923"/>
        <v>Tank 2 + 3</v>
      </c>
      <c r="MP103" s="152" t="str">
        <f t="shared" si="924"/>
        <v>Tank 2 + 3</v>
      </c>
      <c r="MQ103" s="152" t="str">
        <f t="shared" si="925"/>
        <v>Tank 2 + 3</v>
      </c>
      <c r="MR103" s="152" t="str">
        <f t="shared" si="926"/>
        <v>Tank 2 + 3</v>
      </c>
      <c r="MS103" s="152" t="str">
        <f t="shared" si="927"/>
        <v>Tank 2 + 3</v>
      </c>
      <c r="MT103" s="152" t="str">
        <f t="shared" si="928"/>
        <v>Tank 2 + 3</v>
      </c>
      <c r="MU103" s="152" t="str">
        <f t="shared" si="929"/>
        <v>Tank 2 + 3</v>
      </c>
      <c r="MV103" s="158" t="str">
        <f t="shared" si="930"/>
        <v xml:space="preserve">Tank 4 + 5 + 6 </v>
      </c>
      <c r="MW103" s="158" t="str">
        <f t="shared" si="931"/>
        <v xml:space="preserve">Tank 4 + 5 + 6 </v>
      </c>
      <c r="MX103" s="158" t="str">
        <f t="shared" si="932"/>
        <v xml:space="preserve">Tank 4 + 5 + 6 </v>
      </c>
      <c r="MY103" s="158" t="str">
        <f t="shared" si="933"/>
        <v xml:space="preserve">Tank 4 + 5 + 6 </v>
      </c>
      <c r="MZ103" s="158" t="str">
        <f t="shared" si="934"/>
        <v xml:space="preserve">Tank 4 + 5 + 6 </v>
      </c>
      <c r="NA103" s="158" t="str">
        <f t="shared" si="935"/>
        <v xml:space="preserve">Tank 4 + 5 + 6 </v>
      </c>
      <c r="NB103" s="158" t="str">
        <f t="shared" si="936"/>
        <v xml:space="preserve">Tank 4 + 5 + 6 </v>
      </c>
      <c r="NC103" s="158" t="str">
        <f t="shared" si="937"/>
        <v xml:space="preserve">Tank 4 + 5 + 6 </v>
      </c>
      <c r="ND103" s="158" t="str">
        <f t="shared" si="938"/>
        <v xml:space="preserve">Tank 4 + 5 + 6 </v>
      </c>
      <c r="NE103" s="158" t="str">
        <f t="shared" si="939"/>
        <v xml:space="preserve">Tank 4 + 5 + 6 </v>
      </c>
      <c r="NF103" s="158" t="str">
        <f t="shared" si="940"/>
        <v xml:space="preserve">Tank 4 + 5 + 6 </v>
      </c>
      <c r="NG103" s="158" t="str">
        <f t="shared" si="941"/>
        <v xml:space="preserve">Tank 4 + 5 + 6 </v>
      </c>
      <c r="NH103" s="158" t="str">
        <f t="shared" si="942"/>
        <v xml:space="preserve">Tank 4 + 5 + 6 </v>
      </c>
      <c r="NI103" s="158" t="str">
        <f t="shared" si="943"/>
        <v xml:space="preserve">Tank 4 + 5 + 6 </v>
      </c>
      <c r="NJ103" s="158" t="str">
        <f t="shared" si="944"/>
        <v xml:space="preserve">Tank 4 + 5 + 6 </v>
      </c>
      <c r="NK103" s="158" t="str">
        <f t="shared" si="945"/>
        <v xml:space="preserve">Tank 4 + 5 + 6 </v>
      </c>
      <c r="NL103" s="158" t="str">
        <f t="shared" si="946"/>
        <v xml:space="preserve">Tank 4 + 5 + 6 </v>
      </c>
      <c r="NM103" s="158" t="str">
        <f t="shared" si="947"/>
        <v xml:space="preserve">Tank 4 + 5 + 6 </v>
      </c>
      <c r="NN103" s="158" t="str">
        <f t="shared" si="948"/>
        <v xml:space="preserve">Tank 4 + 5 + 6 </v>
      </c>
      <c r="NO103" s="158" t="str">
        <f t="shared" si="949"/>
        <v xml:space="preserve">Tank 4 + 5 + 6 </v>
      </c>
      <c r="NP103" s="158" t="str">
        <f t="shared" si="950"/>
        <v xml:space="preserve">Tank 4 + 5 + 6 </v>
      </c>
      <c r="NQ103" s="158" t="str">
        <f t="shared" si="951"/>
        <v xml:space="preserve">Tank 4 + 5 + 6 </v>
      </c>
      <c r="NR103" s="158" t="str">
        <f t="shared" si="952"/>
        <v xml:space="preserve">Tank 4 + 5 + 6 </v>
      </c>
      <c r="NS103" s="158" t="str">
        <f t="shared" si="953"/>
        <v xml:space="preserve">Tank 4 + 5 + 6 </v>
      </c>
      <c r="NT103" s="158" t="str">
        <f t="shared" si="954"/>
        <v xml:space="preserve">Tank 4 + 5 + 6 </v>
      </c>
      <c r="NU103" s="158" t="str">
        <f t="shared" si="955"/>
        <v xml:space="preserve">Tank 4 + 5 + 6 </v>
      </c>
      <c r="NV103" s="158" t="str">
        <f t="shared" si="842"/>
        <v xml:space="preserve">Tank 4 + 5 + 6 </v>
      </c>
      <c r="NW103" s="158" t="str">
        <f t="shared" si="968"/>
        <v xml:space="preserve">Tank 4 + 5 + 6 </v>
      </c>
      <c r="NX103" s="158" t="str">
        <f t="shared" si="969"/>
        <v xml:space="preserve">Tank 4 + 5 + 6 </v>
      </c>
      <c r="NY103" s="158" t="str">
        <f t="shared" si="970"/>
        <v xml:space="preserve">Tank 4 + 5 + 6 </v>
      </c>
      <c r="NZ103" s="158" t="str">
        <f t="shared" si="971"/>
        <v xml:space="preserve">Tank 4 + 5 + 6 </v>
      </c>
      <c r="OA103" s="158" t="str">
        <f t="shared" si="972"/>
        <v xml:space="preserve">Tank 4 + 5 + 6 </v>
      </c>
      <c r="OB103" s="158" t="str">
        <f t="shared" si="973"/>
        <v xml:space="preserve">Tank 4 + 5 + 6 </v>
      </c>
      <c r="OC103" s="158" t="str">
        <f t="shared" si="974"/>
        <v xml:space="preserve">Tank 4 + 5 + 6 </v>
      </c>
      <c r="OD103" s="158" t="str">
        <f t="shared" si="975"/>
        <v xml:space="preserve">Tank 4 + 5 + 6 </v>
      </c>
      <c r="OE103" s="158" t="str">
        <f t="shared" si="976"/>
        <v xml:space="preserve">Tank 4 + 5 + 6 </v>
      </c>
      <c r="OF103" s="158" t="str">
        <f t="shared" si="977"/>
        <v xml:space="preserve">Tank 4 + 5 + 6 </v>
      </c>
      <c r="OG103" s="158" t="str">
        <f t="shared" si="978"/>
        <v xml:space="preserve">Tank 4 + 5 + 6 </v>
      </c>
      <c r="OH103" s="158" t="str">
        <f t="shared" si="979"/>
        <v xml:space="preserve">Tank 4 + 5 + 6 </v>
      </c>
      <c r="OI103" s="158" t="str">
        <f t="shared" si="956"/>
        <v xml:space="preserve">Tank 4 + 5 + 6 </v>
      </c>
      <c r="OJ103" s="158" t="str">
        <f t="shared" si="957"/>
        <v xml:space="preserve">Tank 4 + 5 + 6 </v>
      </c>
      <c r="OK103" s="158" t="str">
        <f t="shared" si="958"/>
        <v xml:space="preserve">Tank 4 + 5 + 6 </v>
      </c>
      <c r="OL103" s="158" t="str">
        <f t="shared" si="959"/>
        <v xml:space="preserve">Tank 4 + 5 + 6 </v>
      </c>
      <c r="OM103" s="158" t="str">
        <f t="shared" si="960"/>
        <v xml:space="preserve">Tank 4 + 5 + 6 </v>
      </c>
      <c r="ON103" s="158" t="str">
        <f t="shared" si="961"/>
        <v xml:space="preserve">Tank 4 + 5 + 6 </v>
      </c>
      <c r="OO103" s="158" t="str">
        <f t="shared" si="962"/>
        <v xml:space="preserve">Tank 4 + 5 + 6 </v>
      </c>
      <c r="OP103" s="158" t="str">
        <f t="shared" si="963"/>
        <v xml:space="preserve">Tank 4 + 5 + 6 </v>
      </c>
      <c r="OQ103" s="158" t="str">
        <f t="shared" si="964"/>
        <v xml:space="preserve">Tank 4 + 5 + 6 </v>
      </c>
      <c r="OR103" s="158" t="str">
        <f t="shared" si="965"/>
        <v xml:space="preserve">Tank 4 + 5 + 6 </v>
      </c>
      <c r="OS103" s="158" t="str">
        <f t="shared" si="966"/>
        <v xml:space="preserve">Tank 4 + 5 + 6 </v>
      </c>
      <c r="OT103" s="158" t="str">
        <f t="shared" si="967"/>
        <v xml:space="preserve">Tank 4 + 5 + 6 </v>
      </c>
      <c r="OU103" s="184"/>
      <c r="OV103" s="184"/>
      <c r="OW103" s="184"/>
      <c r="OX103" s="23"/>
      <c r="OY103" s="23"/>
      <c r="OZ103" s="23"/>
      <c r="PA103" s="23"/>
      <c r="PB103" s="23"/>
      <c r="PC103" s="23"/>
      <c r="PD103" s="23"/>
      <c r="PE103" s="23"/>
      <c r="PF103" s="23"/>
      <c r="PG103" s="23"/>
      <c r="PH103" s="23"/>
      <c r="PI103" s="23"/>
      <c r="PJ103" s="23"/>
      <c r="PK103" s="23"/>
      <c r="PL103" s="23"/>
      <c r="PM103" s="23"/>
      <c r="PN103" s="23"/>
      <c r="PO103" s="23"/>
      <c r="PP103" s="23"/>
      <c r="PQ103" s="23"/>
      <c r="PR103" s="23"/>
      <c r="PS103" s="23"/>
      <c r="PT103" s="23"/>
      <c r="PU103" s="23"/>
      <c r="PV103" s="23"/>
      <c r="PW103" s="23"/>
      <c r="PX103" s="23"/>
      <c r="PY103" s="23"/>
      <c r="PZ103" s="23"/>
      <c r="QA103" s="23"/>
      <c r="QB103" s="23"/>
      <c r="QC103" s="23"/>
      <c r="QD103" s="23"/>
      <c r="QE103" s="23"/>
      <c r="QF103" s="23"/>
      <c r="QG103" s="23"/>
      <c r="QH103" s="23"/>
      <c r="QI103" s="23"/>
      <c r="QJ103" s="23"/>
      <c r="QK103" s="23"/>
      <c r="QL103" s="23"/>
      <c r="QM103" s="23"/>
      <c r="QN103" s="23"/>
      <c r="QO103" s="23"/>
      <c r="QP103" s="23"/>
      <c r="QQ103" s="23"/>
      <c r="QR103" s="23"/>
      <c r="QS103" s="23"/>
      <c r="QT103" s="23"/>
      <c r="QU103" s="23"/>
      <c r="QV103" s="23"/>
      <c r="QW103" s="23"/>
      <c r="QX103" s="23"/>
      <c r="QY103" s="23"/>
      <c r="QZ103" s="23"/>
      <c r="RA103" s="23"/>
      <c r="RB103" s="23"/>
      <c r="RC103" s="23"/>
      <c r="RD103" s="23"/>
      <c r="RE103" s="23"/>
      <c r="RF103" s="23"/>
      <c r="RG103" s="23"/>
      <c r="RH103" s="23"/>
      <c r="RI103" s="23"/>
      <c r="RJ103" s="23"/>
      <c r="RK103" s="23"/>
      <c r="RL103" s="23"/>
      <c r="RM103" s="23"/>
      <c r="RN103" s="23"/>
      <c r="RO103" s="23"/>
      <c r="RP103" s="23"/>
      <c r="RQ103" s="23"/>
      <c r="RR103" s="23"/>
      <c r="RS103" s="23"/>
      <c r="RT103" s="23"/>
      <c r="RU103" s="23"/>
      <c r="RV103" s="23"/>
      <c r="RW103" s="23"/>
      <c r="RX103" s="23"/>
      <c r="RY103" s="23"/>
      <c r="RZ103" s="23"/>
      <c r="SA103" s="23"/>
      <c r="SB103" s="23"/>
      <c r="SC103" s="23"/>
      <c r="SD103" s="23"/>
      <c r="SE103" s="23"/>
      <c r="SF103" s="23"/>
      <c r="SG103" s="23"/>
      <c r="SH103" s="23"/>
      <c r="SI103" s="23"/>
      <c r="SJ103" s="23"/>
      <c r="SK103" s="23"/>
      <c r="SL103" s="23"/>
      <c r="SM103" s="23"/>
      <c r="SN103" s="23"/>
      <c r="SO103" s="23"/>
      <c r="SP103" s="23"/>
      <c r="SQ103" s="23"/>
      <c r="SR103" s="23"/>
      <c r="SS103" s="23"/>
      <c r="ST103" s="23"/>
      <c r="SU103" s="23"/>
      <c r="SV103" s="23"/>
      <c r="SW103" s="23"/>
      <c r="SX103" s="23"/>
      <c r="SY103" s="23"/>
      <c r="SZ103" s="23"/>
      <c r="TA103" s="184"/>
      <c r="TB103" s="185"/>
      <c r="TC103" s="11"/>
      <c r="TD103" s="11"/>
      <c r="TE103" s="11"/>
      <c r="TF103" s="11"/>
    </row>
    <row r="104" spans="1:526" ht="22.15" customHeight="1" thickBot="1" x14ac:dyDescent="0.3">
      <c r="A104" s="299"/>
      <c r="B104" s="26" t="s">
        <v>23</v>
      </c>
      <c r="BY104" s="184"/>
      <c r="BZ104" s="184"/>
      <c r="CA104" s="184"/>
      <c r="CB104" s="184"/>
      <c r="CC104" s="184"/>
      <c r="CD104" s="184"/>
      <c r="CE104" s="184"/>
      <c r="CF104" s="184"/>
      <c r="CG104" s="184"/>
      <c r="CH104" s="184"/>
      <c r="CI104" s="184"/>
      <c r="CJ104" s="184"/>
      <c r="CK104" s="184"/>
      <c r="CL104" s="184"/>
      <c r="CM104" s="184"/>
      <c r="CN104" s="184"/>
      <c r="CO104" s="184"/>
      <c r="CP104" s="184"/>
      <c r="CQ104" s="184"/>
      <c r="CR104" s="184"/>
      <c r="CS104" s="184"/>
      <c r="CT104" s="184"/>
      <c r="CU104" s="184"/>
      <c r="CV104" s="184"/>
      <c r="CW104" s="184"/>
      <c r="CX104" s="184"/>
      <c r="CY104" s="184"/>
      <c r="CZ104" s="184"/>
      <c r="DA104" s="184"/>
      <c r="DB104" s="184"/>
      <c r="DC104" s="184"/>
      <c r="DD104" s="184"/>
      <c r="DE104" s="184"/>
      <c r="DF104" s="184"/>
      <c r="DG104" s="184"/>
      <c r="DH104" s="184"/>
      <c r="DI104" s="184"/>
      <c r="DJ104" s="184"/>
      <c r="DK104" s="184"/>
      <c r="DL104" s="184"/>
      <c r="DM104" s="184"/>
      <c r="DN104" s="184"/>
      <c r="DO104" s="184"/>
      <c r="DP104" s="184"/>
      <c r="DQ104" s="184"/>
      <c r="DR104" s="184"/>
      <c r="DS104" s="184"/>
      <c r="DT104" s="184"/>
      <c r="DU104" s="184"/>
      <c r="DV104" s="184"/>
      <c r="DW104" s="184"/>
      <c r="DX104" s="184"/>
      <c r="DY104" s="184"/>
      <c r="DZ104" s="184"/>
      <c r="EA104" s="184"/>
      <c r="EB104" s="184"/>
      <c r="EC104" s="184"/>
      <c r="ED104" s="184"/>
      <c r="EE104" s="184"/>
      <c r="EF104" s="184"/>
      <c r="EG104" s="184"/>
      <c r="EH104" s="184"/>
      <c r="EI104" s="184"/>
      <c r="EJ104" s="184"/>
      <c r="EK104" s="184"/>
      <c r="EL104" s="184"/>
      <c r="EM104" s="184"/>
      <c r="EN104" s="184"/>
      <c r="EO104" s="184"/>
      <c r="EP104" s="184"/>
      <c r="EQ104" s="184"/>
      <c r="ER104" s="184"/>
      <c r="ES104" s="184"/>
      <c r="ET104" s="184"/>
      <c r="EU104" s="184"/>
      <c r="EV104" s="184"/>
      <c r="EW104" s="184"/>
      <c r="EX104" s="184"/>
      <c r="EY104" s="184"/>
      <c r="EZ104" s="184"/>
      <c r="FA104" s="184"/>
      <c r="FB104" s="184"/>
      <c r="FC104" s="184"/>
      <c r="FD104" s="184"/>
      <c r="FE104" s="184"/>
      <c r="FF104" s="184"/>
      <c r="FG104" s="184"/>
      <c r="FH104" s="184"/>
      <c r="FI104" s="184"/>
      <c r="FJ104" s="184"/>
      <c r="FK104" s="184"/>
      <c r="FL104" s="184"/>
      <c r="FM104" s="184"/>
      <c r="FN104" s="184"/>
      <c r="FO104" s="184"/>
      <c r="FP104" s="184"/>
      <c r="FQ104" s="184"/>
      <c r="FR104" s="184"/>
      <c r="FS104" s="184"/>
      <c r="FT104" s="184"/>
      <c r="FU104" s="184"/>
      <c r="FV104" s="184"/>
      <c r="FW104" s="184"/>
      <c r="FX104" s="184"/>
      <c r="FY104" s="184"/>
      <c r="FZ104" s="184"/>
      <c r="GA104" s="184"/>
      <c r="GB104" s="184"/>
      <c r="GC104" s="184"/>
      <c r="GD104" s="184"/>
      <c r="GE104" s="184"/>
      <c r="GF104" s="184"/>
      <c r="GG104" s="184"/>
      <c r="GH104" s="184"/>
      <c r="GI104" s="184"/>
      <c r="GJ104" s="184"/>
      <c r="GK104" s="184"/>
      <c r="GL104" s="184"/>
      <c r="GM104" s="184"/>
      <c r="GN104" s="184"/>
      <c r="GO104" s="184"/>
      <c r="GP104" s="184"/>
      <c r="GQ104" s="184"/>
      <c r="GR104" s="184"/>
      <c r="GS104" s="184"/>
      <c r="GT104" s="184"/>
      <c r="GU104" s="184"/>
      <c r="GV104" s="184"/>
      <c r="GW104" s="184"/>
      <c r="GX104" s="184"/>
      <c r="GY104" s="184"/>
      <c r="GZ104" s="184"/>
      <c r="HA104" s="184"/>
      <c r="HB104" s="184"/>
      <c r="HC104" s="184"/>
      <c r="HD104" s="184"/>
      <c r="HE104" s="184"/>
      <c r="HF104" s="184"/>
      <c r="HG104" s="184"/>
      <c r="HH104" s="184"/>
      <c r="HI104" s="184"/>
      <c r="HJ104" s="184"/>
      <c r="HK104" s="184"/>
      <c r="HL104" s="184"/>
      <c r="HM104" s="184"/>
      <c r="HN104" s="184"/>
      <c r="HO104" s="184"/>
      <c r="HP104" s="184"/>
      <c r="HQ104" s="184"/>
      <c r="HR104" s="184"/>
      <c r="HS104" s="184"/>
      <c r="HT104" s="184"/>
      <c r="HU104" s="184"/>
      <c r="HV104" s="184"/>
      <c r="HW104" s="184"/>
      <c r="HX104" s="184"/>
      <c r="HY104" s="184"/>
      <c r="HZ104" s="184"/>
      <c r="IA104" s="184"/>
      <c r="IB104" s="184"/>
      <c r="IC104" s="184"/>
      <c r="ID104" s="184"/>
      <c r="IE104" s="184"/>
      <c r="IF104" s="184"/>
      <c r="IG104" s="184"/>
      <c r="IH104" s="184"/>
      <c r="II104" s="184"/>
      <c r="IJ104" s="184"/>
      <c r="IK104" s="184"/>
      <c r="IL104" s="184"/>
      <c r="IM104" s="184"/>
      <c r="IN104" s="184"/>
      <c r="IO104" s="184"/>
      <c r="IP104" s="184"/>
      <c r="IQ104" s="184"/>
      <c r="IR104" s="184"/>
      <c r="IS104" s="184"/>
      <c r="IT104" s="184"/>
      <c r="IU104" s="184"/>
      <c r="IV104" s="184"/>
      <c r="IW104" s="184"/>
      <c r="IX104" s="126">
        <f t="shared" si="824"/>
        <v>4.166666666666667</v>
      </c>
      <c r="IY104" s="127">
        <f t="shared" si="825"/>
        <v>4.5764880952380951</v>
      </c>
      <c r="IZ104" s="127">
        <f t="shared" si="826"/>
        <v>5.0241666985544224</v>
      </c>
      <c r="JA104" s="127">
        <f t="shared" si="827"/>
        <v>5.5050764092090345</v>
      </c>
      <c r="JB104" s="127">
        <f t="shared" si="843"/>
        <v>6.0300868541293902</v>
      </c>
      <c r="JC104" s="127">
        <f t="shared" si="829"/>
        <v>6.6009350763203054</v>
      </c>
      <c r="JD104" s="127">
        <f t="shared" si="830"/>
        <v>7.210269669399942</v>
      </c>
      <c r="JE104" s="127">
        <f t="shared" si="831"/>
        <v>7.8721226990531363</v>
      </c>
      <c r="JF104" s="127">
        <f t="shared" si="832"/>
        <v>8.5768778193310791</v>
      </c>
      <c r="JG104" s="127">
        <f t="shared" si="833"/>
        <v>9.3389116079570709</v>
      </c>
      <c r="JH104" s="127">
        <f t="shared" si="834"/>
        <v>10.159152963083063</v>
      </c>
      <c r="JI104" s="127">
        <f t="shared" si="835"/>
        <v>11.026067349266151</v>
      </c>
      <c r="JJ104" s="127">
        <f t="shared" si="836"/>
        <v>11.955932362387598</v>
      </c>
      <c r="JK104" s="127">
        <f t="shared" si="837"/>
        <v>12.935534820538635</v>
      </c>
      <c r="JL104" s="127">
        <f t="shared" si="838"/>
        <v>13.982676967158632</v>
      </c>
      <c r="JM104" s="127">
        <f t="shared" si="844"/>
        <v>15.080091582032725</v>
      </c>
      <c r="JN104" s="127">
        <f t="shared" si="845"/>
        <v>16.246609634088035</v>
      </c>
      <c r="JO104" s="127">
        <f t="shared" si="846"/>
        <v>17.462268647025983</v>
      </c>
      <c r="JP104" s="127">
        <f t="shared" si="847"/>
        <v>18.749487307292473</v>
      </c>
      <c r="JQ104" s="127">
        <f t="shared" si="848"/>
        <v>20.088903806807178</v>
      </c>
      <c r="JR104" s="127">
        <f t="shared" si="849"/>
        <v>21.502032633967268</v>
      </c>
      <c r="JS104" s="127">
        <f t="shared" si="850"/>
        <v>22.96747885809765</v>
      </c>
      <c r="JT104" s="127">
        <f t="shared" si="851"/>
        <v>24.50453321244726</v>
      </c>
      <c r="JU104" s="127">
        <f t="shared" si="852"/>
        <v>26.092872501581343</v>
      </c>
      <c r="JV104" s="127">
        <f t="shared" si="853"/>
        <v>27.756490796833685</v>
      </c>
      <c r="JW104" s="127">
        <f t="shared" si="854"/>
        <v>29.500944188125594</v>
      </c>
      <c r="JX104" s="127">
        <f t="shared" si="855"/>
        <v>31.300061471001431</v>
      </c>
      <c r="JY104" s="127">
        <f t="shared" si="856"/>
        <v>33.180868149841011</v>
      </c>
      <c r="JZ104" s="127">
        <f t="shared" si="857"/>
        <v>35.115117581399382</v>
      </c>
      <c r="KA104" s="127">
        <f t="shared" si="858"/>
        <v>37.131138449602076</v>
      </c>
      <c r="KB104" s="127">
        <f t="shared" si="859"/>
        <v>39.23013986431193</v>
      </c>
      <c r="KC104" s="127">
        <f t="shared" si="860"/>
        <v>41.380406371077548</v>
      </c>
      <c r="KD104" s="127">
        <f t="shared" si="861"/>
        <v>43.612549450978278</v>
      </c>
      <c r="KE104" s="127">
        <f t="shared" si="862"/>
        <v>45.927174901550487</v>
      </c>
      <c r="KF104" s="127">
        <f t="shared" si="863"/>
        <v>48.289143896487367</v>
      </c>
      <c r="KG104" s="127">
        <f t="shared" si="864"/>
        <v>50.731194887824017</v>
      </c>
      <c r="KH104" s="127">
        <f t="shared" si="865"/>
        <v>53.209163674739131</v>
      </c>
      <c r="KI104" s="127">
        <f t="shared" si="866"/>
        <v>55.763203531126614</v>
      </c>
      <c r="KJ104" s="127">
        <f t="shared" si="867"/>
        <v>58.384859494322392</v>
      </c>
      <c r="KK104" s="127">
        <f t="shared" si="868"/>
        <v>61.04137060131405</v>
      </c>
      <c r="KL104" s="127">
        <f t="shared" si="869"/>
        <v>63.767885154839412</v>
      </c>
      <c r="KM104" s="127">
        <f t="shared" si="870"/>
        <v>66.554187470077267</v>
      </c>
      <c r="KN104" s="127">
        <f t="shared" si="871"/>
        <v>69.36587396538846</v>
      </c>
      <c r="KO104" s="127">
        <f t="shared" si="872"/>
        <v>72.229829364452598</v>
      </c>
      <c r="KP104" s="127">
        <f t="shared" si="873"/>
        <v>75.152663829419623</v>
      </c>
      <c r="KQ104" s="127">
        <f t="shared" si="874"/>
        <v>78.089711177996406</v>
      </c>
      <c r="KR104" s="127">
        <f t="shared" si="875"/>
        <v>81.078225530105684</v>
      </c>
      <c r="KS104" s="127">
        <f t="shared" si="876"/>
        <v>84.115372032395584</v>
      </c>
      <c r="KT104" s="127">
        <f t="shared" si="877"/>
        <v>87.154740808499469</v>
      </c>
      <c r="KU104" s="127">
        <f t="shared" si="878"/>
        <v>90.234208317066447</v>
      </c>
      <c r="KV104" s="127">
        <f t="shared" si="879"/>
        <v>93.306920568705493</v>
      </c>
      <c r="KW104" s="182">
        <f t="shared" si="880"/>
        <v>46.560153363784046</v>
      </c>
      <c r="KX104" s="182">
        <f t="shared" si="881"/>
        <v>48.07213308091324</v>
      </c>
      <c r="KY104" s="182">
        <f t="shared" si="882"/>
        <v>49.574231161337615</v>
      </c>
      <c r="KZ104" s="182">
        <f t="shared" si="883"/>
        <v>51.084635658798625</v>
      </c>
      <c r="LA104" s="182">
        <f t="shared" si="884"/>
        <v>52.614520981255644</v>
      </c>
      <c r="LB104" s="182">
        <f t="shared" si="885"/>
        <v>54.141691179993622</v>
      </c>
      <c r="LC104" s="182">
        <f t="shared" si="886"/>
        <v>55.678482260410362</v>
      </c>
      <c r="LD104" s="182">
        <f t="shared" si="887"/>
        <v>57.230341496745396</v>
      </c>
      <c r="LE104" s="182">
        <f t="shared" si="888"/>
        <v>58.796104942310194</v>
      </c>
      <c r="LF104" s="182">
        <f t="shared" si="889"/>
        <v>60.353085341542005</v>
      </c>
      <c r="LG104" s="182">
        <f t="shared" si="890"/>
        <v>61.920737634210916</v>
      </c>
      <c r="LH104" s="182">
        <f t="shared" si="891"/>
        <v>63.489918858814598</v>
      </c>
      <c r="LI104" s="182">
        <f t="shared" si="892"/>
        <v>65.066719122118315</v>
      </c>
      <c r="LJ104" s="182">
        <f t="shared" si="841"/>
        <v>66.62832038104915</v>
      </c>
      <c r="LK104" s="182">
        <f t="shared" si="893"/>
        <v>68.202414450051435</v>
      </c>
      <c r="LL104" s="182">
        <f t="shared" si="894"/>
        <v>69.788120586015125</v>
      </c>
      <c r="LM104" s="182">
        <f t="shared" si="895"/>
        <v>71.384523844420229</v>
      </c>
      <c r="LN104" s="182">
        <f t="shared" si="896"/>
        <v>72.990675630919668</v>
      </c>
      <c r="LO104" s="182">
        <f t="shared" si="897"/>
        <v>74.583854822468638</v>
      </c>
      <c r="LP104" s="182">
        <f t="shared" si="898"/>
        <v>76.184184941992712</v>
      </c>
      <c r="LQ104" s="182">
        <f t="shared" si="899"/>
        <v>77.790636644226339</v>
      </c>
      <c r="LR104" s="182">
        <f t="shared" si="900"/>
        <v>79.402151314461051</v>
      </c>
      <c r="LS104" s="182">
        <f t="shared" si="901"/>
        <v>80.996004254261095</v>
      </c>
      <c r="LT104" s="182">
        <f t="shared" si="902"/>
        <v>82.592218191759684</v>
      </c>
      <c r="LU104" s="182">
        <f t="shared" si="903"/>
        <v>84.199744779979795</v>
      </c>
      <c r="LV104" s="182">
        <f t="shared" si="904"/>
        <v>85.818022801604783</v>
      </c>
      <c r="LW104" s="182">
        <f t="shared" si="905"/>
        <v>87.446472112327925</v>
      </c>
      <c r="LX104" s="182">
        <f t="shared" si="906"/>
        <v>89.062651488476234</v>
      </c>
      <c r="LY104" s="182">
        <f t="shared" si="907"/>
        <v>90.687240095145555</v>
      </c>
      <c r="LZ104" s="182">
        <f t="shared" si="908"/>
        <v>92.319610416858183</v>
      </c>
      <c r="MA104" s="182">
        <f t="shared" si="909"/>
        <v>93.95911771510454</v>
      </c>
      <c r="MB104" s="182">
        <f t="shared" si="910"/>
        <v>95.605100331463134</v>
      </c>
      <c r="MC104" s="182">
        <f t="shared" si="911"/>
        <v>97.256880016707925</v>
      </c>
      <c r="MD104" s="182">
        <f t="shared" si="912"/>
        <v>98.91376228590822</v>
      </c>
      <c r="ME104" s="182">
        <f t="shared" si="913"/>
        <v>100.56468008025162</v>
      </c>
      <c r="MF104" s="182">
        <f t="shared" si="914"/>
        <v>102.23118049301006</v>
      </c>
      <c r="MG104" s="182">
        <f t="shared" si="915"/>
        <v>103.91312681969268</v>
      </c>
      <c r="MH104" s="182">
        <f t="shared" si="916"/>
        <v>105.61037455774766</v>
      </c>
      <c r="MI104" s="182">
        <f t="shared" si="917"/>
        <v>107.32277134521972</v>
      </c>
      <c r="MJ104" s="182">
        <f t="shared" si="918"/>
        <v>109.05015690306182</v>
      </c>
      <c r="MK104" s="182">
        <f t="shared" si="919"/>
        <v>110.76930055306305</v>
      </c>
      <c r="ML104" s="182">
        <f t="shared" si="920"/>
        <v>112.50251431465804</v>
      </c>
      <c r="MM104" s="182">
        <f t="shared" si="921"/>
        <v>114.24961218401506</v>
      </c>
      <c r="MN104" s="182">
        <f t="shared" si="922"/>
        <v>116.01040032473342</v>
      </c>
      <c r="MO104" s="182">
        <f t="shared" si="923"/>
        <v>117.78467703558228</v>
      </c>
      <c r="MP104" s="182">
        <f t="shared" si="924"/>
        <v>119.57223272235758</v>
      </c>
      <c r="MQ104" s="182">
        <f t="shared" si="925"/>
        <v>121.37284987394132</v>
      </c>
      <c r="MR104" s="182">
        <f t="shared" si="926"/>
        <v>123.18630304264609</v>
      </c>
      <c r="MS104" s="182">
        <f t="shared" si="927"/>
        <v>124.98826082436294</v>
      </c>
      <c r="MT104" s="182">
        <f t="shared" si="928"/>
        <v>126.80204395818626</v>
      </c>
      <c r="MU104" s="182">
        <f t="shared" si="929"/>
        <v>128.62740361423548</v>
      </c>
      <c r="MV104" s="183">
        <f t="shared" si="930"/>
        <v>85.580099204671342</v>
      </c>
      <c r="MW104" s="183">
        <f t="shared" si="931"/>
        <v>86.792152237593314</v>
      </c>
      <c r="MX104" s="183">
        <f t="shared" si="932"/>
        <v>88.011279213209733</v>
      </c>
      <c r="MY104" s="183">
        <f t="shared" si="933"/>
        <v>89.237296800389089</v>
      </c>
      <c r="MZ104" s="183">
        <f t="shared" si="934"/>
        <v>90.470016667817731</v>
      </c>
      <c r="NA104" s="183">
        <f t="shared" si="935"/>
        <v>91.692921720706849</v>
      </c>
      <c r="NB104" s="183">
        <f t="shared" si="936"/>
        <v>92.921817660090127</v>
      </c>
      <c r="NC104" s="183">
        <f t="shared" si="937"/>
        <v>94.16718363010925</v>
      </c>
      <c r="ND104" s="183">
        <f t="shared" si="938"/>
        <v>95.418416552826571</v>
      </c>
      <c r="NE104" s="183">
        <f t="shared" si="939"/>
        <v>96.67530741914311</v>
      </c>
      <c r="NF104" s="183">
        <f t="shared" si="940"/>
        <v>97.937642467742506</v>
      </c>
      <c r="NG104" s="183">
        <f t="shared" si="941"/>
        <v>99.205203219681337</v>
      </c>
      <c r="NH104" s="183">
        <f t="shared" si="942"/>
        <v>100.46105090589411</v>
      </c>
      <c r="NI104" s="183">
        <f t="shared" si="943"/>
        <v>101.7213804536226</v>
      </c>
      <c r="NJ104" s="183">
        <f t="shared" si="944"/>
        <v>102.98596216062559</v>
      </c>
      <c r="NK104" s="183">
        <f t="shared" si="945"/>
        <v>104.2662649174861</v>
      </c>
      <c r="NL104" s="183">
        <f t="shared" si="946"/>
        <v>105.5506357262424</v>
      </c>
      <c r="NM104" s="183">
        <f t="shared" si="947"/>
        <v>106.8388332577195</v>
      </c>
      <c r="NN104" s="183">
        <f t="shared" si="948"/>
        <v>108.13061187801738</v>
      </c>
      <c r="NO104" s="183">
        <f t="shared" si="949"/>
        <v>109.40874000942945</v>
      </c>
      <c r="NP104" s="183">
        <f t="shared" si="950"/>
        <v>110.70197590257463</v>
      </c>
      <c r="NQ104" s="183">
        <f t="shared" si="951"/>
        <v>111.99805971033285</v>
      </c>
      <c r="NR104" s="183">
        <f t="shared" si="952"/>
        <v>113.2967338409066</v>
      </c>
      <c r="NS104" s="183">
        <f t="shared" si="953"/>
        <v>114.59773678456285</v>
      </c>
      <c r="NT104" s="183">
        <f t="shared" si="954"/>
        <v>115.90080318485475</v>
      </c>
      <c r="NU104" s="183">
        <f t="shared" si="955"/>
        <v>117.20566391284602</v>
      </c>
      <c r="NV104" s="183">
        <f t="shared" si="842"/>
        <v>118.49492621588733</v>
      </c>
      <c r="NW104" s="183">
        <f t="shared" si="968"/>
        <v>104.98650462727618</v>
      </c>
      <c r="NX104" s="183">
        <f t="shared" si="969"/>
        <v>106.12969101099542</v>
      </c>
      <c r="NY104" s="183">
        <f t="shared" si="970"/>
        <v>92.112148806193915</v>
      </c>
      <c r="NZ104" s="183">
        <f t="shared" si="971"/>
        <v>93.094678393460001</v>
      </c>
      <c r="OA104" s="183">
        <f t="shared" si="972"/>
        <v>94.077344443168741</v>
      </c>
      <c r="OB104" s="183">
        <f t="shared" si="973"/>
        <v>95.059930040686254</v>
      </c>
      <c r="OC104" s="183">
        <f t="shared" si="974"/>
        <v>96.029332404178092</v>
      </c>
      <c r="OD104" s="183">
        <f t="shared" si="975"/>
        <v>80.993179133302633</v>
      </c>
      <c r="OE104" s="183">
        <f t="shared" si="976"/>
        <v>81.810231204119916</v>
      </c>
      <c r="OF104" s="183">
        <f t="shared" si="977"/>
        <v>66.264489248277698</v>
      </c>
      <c r="OG104" s="183">
        <f t="shared" si="978"/>
        <v>66.918395966354112</v>
      </c>
      <c r="OH104" s="183">
        <f t="shared" si="979"/>
        <v>67.571401852267556</v>
      </c>
      <c r="OI104" s="183">
        <f t="shared" si="956"/>
        <v>68.223354498710307</v>
      </c>
      <c r="OJ104" s="183">
        <f t="shared" si="957"/>
        <v>68.881597413544029</v>
      </c>
      <c r="OK104" s="183">
        <f t="shared" si="958"/>
        <v>52.318222527794894</v>
      </c>
      <c r="OL104" s="183">
        <f t="shared" si="959"/>
        <v>52.811508625914108</v>
      </c>
      <c r="OM104" s="183">
        <f t="shared" si="960"/>
        <v>35.699806036119753</v>
      </c>
      <c r="ON104" s="183">
        <f t="shared" si="961"/>
        <v>36.028089035104067</v>
      </c>
      <c r="OO104" s="183">
        <f t="shared" si="962"/>
        <v>36.355474713727411</v>
      </c>
      <c r="OP104" s="183">
        <f t="shared" si="963"/>
        <v>36.685835331778243</v>
      </c>
      <c r="OQ104" s="183">
        <f t="shared" si="964"/>
        <v>37.015210331604855</v>
      </c>
      <c r="OR104" s="183">
        <f t="shared" si="965"/>
        <v>18.835913987874051</v>
      </c>
      <c r="OS104" s="183">
        <f t="shared" si="966"/>
        <v>19.002980355418675</v>
      </c>
      <c r="OT104" s="183">
        <f t="shared" si="967"/>
        <v>-3.8414937896748588E-2</v>
      </c>
      <c r="OU104" s="184"/>
      <c r="OV104" s="184"/>
      <c r="OW104" s="184"/>
      <c r="OX104" s="133"/>
      <c r="OY104" s="133"/>
      <c r="OZ104" s="133"/>
      <c r="PA104" s="133"/>
      <c r="PB104" s="133"/>
      <c r="PC104" s="133"/>
      <c r="PD104" s="133"/>
      <c r="PE104" s="133"/>
      <c r="PF104" s="133"/>
      <c r="PG104" s="133"/>
      <c r="PH104" s="133"/>
      <c r="PI104" s="133"/>
      <c r="PJ104" s="133"/>
      <c r="PK104" s="133"/>
      <c r="PL104" s="133"/>
      <c r="PM104" s="133"/>
      <c r="PN104" s="133"/>
      <c r="PO104" s="133"/>
      <c r="PP104" s="133"/>
      <c r="PQ104" s="133"/>
      <c r="PR104" s="133"/>
      <c r="PS104" s="133"/>
      <c r="PT104" s="133"/>
      <c r="PU104" s="133"/>
      <c r="PV104" s="133"/>
      <c r="PW104" s="133"/>
      <c r="PX104" s="133"/>
      <c r="PY104" s="133"/>
      <c r="PZ104" s="133"/>
      <c r="QA104" s="133"/>
      <c r="QB104" s="133"/>
      <c r="QC104" s="133"/>
      <c r="QD104" s="133"/>
      <c r="QE104" s="133"/>
      <c r="QF104" s="133"/>
      <c r="QG104" s="133"/>
      <c r="QH104" s="133"/>
      <c r="QI104" s="133"/>
      <c r="QJ104" s="133"/>
      <c r="QK104" s="133"/>
      <c r="QL104" s="133"/>
      <c r="QM104" s="133"/>
      <c r="QN104" s="133"/>
      <c r="QO104" s="133"/>
      <c r="QP104" s="133"/>
      <c r="QQ104" s="133"/>
      <c r="QR104" s="133"/>
      <c r="QS104" s="133"/>
      <c r="QT104" s="133"/>
      <c r="QU104" s="133"/>
      <c r="QV104" s="133"/>
      <c r="QW104" s="133"/>
      <c r="QX104" s="133"/>
      <c r="QY104" s="133"/>
      <c r="QZ104" s="133"/>
      <c r="RA104" s="133"/>
      <c r="RB104" s="133"/>
      <c r="RC104" s="133"/>
      <c r="RD104" s="133"/>
      <c r="RE104" s="133"/>
      <c r="RF104" s="133"/>
      <c r="RG104" s="133"/>
      <c r="RH104" s="133"/>
      <c r="RI104" s="133"/>
      <c r="RJ104" s="133"/>
      <c r="RK104" s="133"/>
      <c r="RL104" s="133"/>
      <c r="RM104" s="133"/>
      <c r="RN104" s="133"/>
      <c r="RO104" s="133"/>
      <c r="RP104" s="133"/>
      <c r="RQ104" s="133"/>
      <c r="RR104" s="133"/>
      <c r="RS104" s="133"/>
      <c r="RT104" s="133"/>
      <c r="RU104" s="133"/>
      <c r="RV104" s="133"/>
      <c r="RW104" s="133"/>
      <c r="RX104" s="133"/>
      <c r="RY104" s="133"/>
      <c r="RZ104" s="133"/>
      <c r="SA104" s="133"/>
      <c r="SB104" s="133"/>
      <c r="SC104" s="133"/>
      <c r="SD104" s="133"/>
      <c r="SE104" s="133"/>
      <c r="SF104" s="133"/>
      <c r="SG104" s="133"/>
      <c r="SH104" s="133"/>
      <c r="SI104" s="133"/>
      <c r="SJ104" s="133"/>
      <c r="SK104" s="133"/>
      <c r="SL104" s="133"/>
      <c r="SM104" s="133"/>
      <c r="SN104" s="133"/>
      <c r="SO104" s="133"/>
      <c r="SP104" s="133"/>
      <c r="SQ104" s="133"/>
      <c r="SR104" s="133"/>
      <c r="SS104" s="133"/>
      <c r="ST104" s="133"/>
      <c r="SU104" s="133"/>
      <c r="SV104" s="133"/>
      <c r="SW104" s="133"/>
      <c r="SX104" s="133"/>
      <c r="SY104" s="133"/>
      <c r="SZ104" s="133"/>
      <c r="TA104" s="184"/>
      <c r="TB104" s="185"/>
      <c r="TC104" s="11"/>
      <c r="TD104" s="11"/>
      <c r="TE104" s="11"/>
      <c r="TF104" s="11"/>
    </row>
    <row r="105" spans="1:526" ht="19.5" thickBot="1" x14ac:dyDescent="0.3">
      <c r="A105" s="297" t="s">
        <v>109</v>
      </c>
      <c r="B105" s="24" t="s">
        <v>14</v>
      </c>
      <c r="BY105" s="184"/>
      <c r="BZ105" s="184"/>
      <c r="CA105" s="184"/>
      <c r="CB105" s="184"/>
      <c r="CC105" s="184"/>
      <c r="CD105" s="184"/>
      <c r="CE105" s="184"/>
      <c r="CF105" s="184"/>
      <c r="CG105" s="184"/>
      <c r="CH105" s="184"/>
      <c r="CI105" s="184"/>
      <c r="CJ105" s="184"/>
      <c r="CK105" s="184"/>
      <c r="CL105" s="184"/>
      <c r="CM105" s="184"/>
      <c r="CN105" s="184"/>
      <c r="CO105" s="184"/>
      <c r="CP105" s="184"/>
      <c r="CQ105" s="184"/>
      <c r="CR105" s="184"/>
      <c r="CS105" s="184"/>
      <c r="CT105" s="184"/>
      <c r="CU105" s="184"/>
      <c r="CV105" s="184"/>
      <c r="CW105" s="184"/>
      <c r="CX105" s="184"/>
      <c r="CY105" s="184"/>
      <c r="CZ105" s="184"/>
      <c r="DA105" s="184"/>
      <c r="DB105" s="184"/>
      <c r="DC105" s="184"/>
      <c r="DD105" s="184"/>
      <c r="DE105" s="184"/>
      <c r="DF105" s="184"/>
      <c r="DG105" s="184"/>
      <c r="DH105" s="184"/>
      <c r="DI105" s="184"/>
      <c r="DJ105" s="184"/>
      <c r="DK105" s="184"/>
      <c r="DL105" s="184"/>
      <c r="DM105" s="184"/>
      <c r="DN105" s="184"/>
      <c r="DO105" s="184"/>
      <c r="DP105" s="184"/>
      <c r="DQ105" s="184"/>
      <c r="DR105" s="184"/>
      <c r="DS105" s="184"/>
      <c r="DT105" s="184"/>
      <c r="DU105" s="184"/>
      <c r="DV105" s="184"/>
      <c r="DW105" s="184"/>
      <c r="DX105" s="184"/>
      <c r="DY105" s="184"/>
      <c r="DZ105" s="184"/>
      <c r="EA105" s="184"/>
      <c r="EB105" s="184"/>
      <c r="EC105" s="184"/>
      <c r="ED105" s="184"/>
      <c r="EE105" s="184"/>
      <c r="EF105" s="184"/>
      <c r="EG105" s="184"/>
      <c r="EH105" s="184"/>
      <c r="EI105" s="184"/>
      <c r="EJ105" s="184"/>
      <c r="EK105" s="184"/>
      <c r="EL105" s="184"/>
      <c r="EM105" s="184"/>
      <c r="EN105" s="184"/>
      <c r="EO105" s="184"/>
      <c r="EP105" s="184"/>
      <c r="EQ105" s="184"/>
      <c r="ER105" s="184"/>
      <c r="ES105" s="184"/>
      <c r="ET105" s="184"/>
      <c r="EU105" s="184"/>
      <c r="EV105" s="184"/>
      <c r="EW105" s="184"/>
      <c r="EX105" s="184"/>
      <c r="EY105" s="184"/>
      <c r="EZ105" s="184"/>
      <c r="FA105" s="184"/>
      <c r="FB105" s="184"/>
      <c r="FC105" s="184"/>
      <c r="FD105" s="184"/>
      <c r="FE105" s="184"/>
      <c r="FF105" s="184"/>
      <c r="FG105" s="184"/>
      <c r="FH105" s="184"/>
      <c r="FI105" s="184"/>
      <c r="FJ105" s="184"/>
      <c r="FK105" s="184"/>
      <c r="FL105" s="184"/>
      <c r="FM105" s="184"/>
      <c r="FN105" s="184"/>
      <c r="FO105" s="184"/>
      <c r="FP105" s="184"/>
      <c r="FQ105" s="184"/>
      <c r="FR105" s="184"/>
      <c r="FS105" s="184"/>
      <c r="FT105" s="184"/>
      <c r="FU105" s="184"/>
      <c r="FV105" s="184"/>
      <c r="FW105" s="184"/>
      <c r="FX105" s="184"/>
      <c r="FY105" s="184"/>
      <c r="FZ105" s="184"/>
      <c r="GA105" s="184"/>
      <c r="GB105" s="184"/>
      <c r="GC105" s="184"/>
      <c r="GD105" s="184"/>
      <c r="GE105" s="184"/>
      <c r="GF105" s="184"/>
      <c r="GG105" s="184"/>
      <c r="GH105" s="184"/>
      <c r="GI105" s="184"/>
      <c r="GJ105" s="184"/>
      <c r="GK105" s="184"/>
      <c r="GL105" s="184"/>
      <c r="GM105" s="184"/>
      <c r="GN105" s="184"/>
      <c r="GO105" s="184"/>
      <c r="GP105" s="184"/>
      <c r="GQ105" s="184"/>
      <c r="GR105" s="184"/>
      <c r="GS105" s="184"/>
      <c r="GT105" s="184"/>
      <c r="GU105" s="184"/>
      <c r="GV105" s="184"/>
      <c r="GW105" s="184"/>
      <c r="GX105" s="184"/>
      <c r="GY105" s="184"/>
      <c r="GZ105" s="184"/>
      <c r="HA105" s="184"/>
      <c r="HB105" s="184"/>
      <c r="HC105" s="184"/>
      <c r="HD105" s="184"/>
      <c r="HE105" s="184"/>
      <c r="HF105" s="184"/>
      <c r="HG105" s="184"/>
      <c r="HH105" s="184"/>
      <c r="HI105" s="184"/>
      <c r="HJ105" s="184"/>
      <c r="HK105" s="184"/>
      <c r="HL105" s="184"/>
      <c r="HM105" s="184"/>
      <c r="HN105" s="184"/>
      <c r="HO105" s="184"/>
      <c r="HP105" s="184"/>
      <c r="HQ105" s="184"/>
      <c r="HR105" s="184"/>
      <c r="HS105" s="184"/>
      <c r="HT105" s="184"/>
      <c r="HU105" s="184"/>
      <c r="HV105" s="184"/>
      <c r="HW105" s="184"/>
      <c r="HX105" s="184"/>
      <c r="HY105" s="184"/>
      <c r="HZ105" s="184"/>
      <c r="IA105" s="184"/>
      <c r="IB105" s="184"/>
      <c r="IC105" s="184"/>
      <c r="ID105" s="184"/>
      <c r="IE105" s="184"/>
      <c r="IF105" s="184"/>
      <c r="IG105" s="184"/>
      <c r="IH105" s="184"/>
      <c r="II105" s="184"/>
      <c r="IJ105" s="184"/>
      <c r="IK105" s="184"/>
      <c r="IL105" s="184"/>
      <c r="IM105" s="184"/>
      <c r="IN105" s="184"/>
      <c r="IO105" s="184"/>
      <c r="IP105" s="184"/>
      <c r="IQ105" s="184"/>
      <c r="IR105" s="184"/>
      <c r="IS105" s="184"/>
      <c r="IT105" s="184"/>
      <c r="IU105" s="184"/>
      <c r="IV105" s="184"/>
      <c r="IW105" s="184"/>
      <c r="IX105" s="184"/>
      <c r="IY105" s="184"/>
      <c r="IZ105" s="184"/>
      <c r="JA105" s="184"/>
      <c r="JB105" s="184"/>
      <c r="JC105" s="184"/>
      <c r="JD105" s="184"/>
      <c r="JE105" s="184"/>
      <c r="JF105" s="184"/>
      <c r="JG105" s="184"/>
      <c r="JH105" s="184"/>
      <c r="JI105" s="184"/>
      <c r="JJ105" s="184"/>
      <c r="JK105" s="184"/>
      <c r="JL105" s="184"/>
      <c r="JM105" s="184"/>
      <c r="JN105" s="184"/>
      <c r="JO105" s="184"/>
      <c r="JP105" s="184"/>
      <c r="JQ105" s="184"/>
      <c r="JR105" s="184"/>
      <c r="JS105" s="184"/>
      <c r="JT105" s="184"/>
      <c r="JU105" s="184"/>
      <c r="JV105" s="184"/>
      <c r="JW105" s="184"/>
      <c r="JX105" s="184"/>
      <c r="JY105" s="184"/>
      <c r="JZ105" s="184"/>
      <c r="KA105" s="184"/>
      <c r="KB105" s="184"/>
      <c r="KC105" s="184"/>
      <c r="KD105" s="184"/>
      <c r="KE105" s="184"/>
      <c r="KF105" s="184"/>
      <c r="KG105" s="184"/>
      <c r="KH105" s="184"/>
      <c r="KI105" s="184"/>
      <c r="KJ105" s="184"/>
      <c r="KK105" s="184"/>
      <c r="KL105" s="184"/>
      <c r="KM105" s="184"/>
      <c r="KN105" s="184"/>
      <c r="KO105" s="184"/>
      <c r="KP105" s="184"/>
      <c r="KQ105" s="184"/>
      <c r="KR105" s="184"/>
      <c r="KS105" s="184"/>
      <c r="KT105" s="184"/>
      <c r="KU105" s="184"/>
      <c r="KV105" s="184"/>
      <c r="KW105" s="134">
        <f t="shared" ref="KW105:KW117" si="980">C27</f>
        <v>250</v>
      </c>
      <c r="KX105" s="142">
        <f t="shared" ref="KX105:KX117" si="981">D27</f>
        <v>249.5</v>
      </c>
      <c r="KY105" s="109">
        <f t="shared" ref="KY105:KY117" si="982">E27</f>
        <v>249.001</v>
      </c>
      <c r="KZ105" s="109">
        <f t="shared" ref="KZ105:KZ117" si="983">F27</f>
        <v>248.50299799999999</v>
      </c>
      <c r="LA105" s="109">
        <f t="shared" ref="LA105:NI108" si="984">G27</f>
        <v>248.00599200399998</v>
      </c>
      <c r="LB105" s="109">
        <f t="shared" si="984"/>
        <v>247.50998001999199</v>
      </c>
      <c r="LC105" s="109">
        <f t="shared" si="984"/>
        <v>247.01496005995199</v>
      </c>
      <c r="LD105" s="109">
        <f t="shared" si="984"/>
        <v>246.52093013983207</v>
      </c>
      <c r="LE105" s="109">
        <f t="shared" si="984"/>
        <v>246.0278882795524</v>
      </c>
      <c r="LF105" s="109">
        <f t="shared" si="984"/>
        <v>245.53583250299329</v>
      </c>
      <c r="LG105" s="109">
        <f t="shared" si="984"/>
        <v>245.0447608379873</v>
      </c>
      <c r="LH105" s="109">
        <f t="shared" si="984"/>
        <v>244.55467131631133</v>
      </c>
      <c r="LI105" s="109">
        <f t="shared" si="984"/>
        <v>244.06556197367871</v>
      </c>
      <c r="LJ105" s="109">
        <f t="shared" si="984"/>
        <v>243.57743084973134</v>
      </c>
      <c r="LK105" s="109">
        <f t="shared" si="984"/>
        <v>243.09027598803189</v>
      </c>
      <c r="LL105" s="109">
        <f t="shared" si="984"/>
        <v>242.60409543605581</v>
      </c>
      <c r="LM105" s="109">
        <f t="shared" si="984"/>
        <v>242.11888724518371</v>
      </c>
      <c r="LN105" s="109">
        <f t="shared" si="984"/>
        <v>241.63464947069335</v>
      </c>
      <c r="LO105" s="109">
        <f t="shared" si="984"/>
        <v>241.15138017175195</v>
      </c>
      <c r="LP105" s="109">
        <f t="shared" si="984"/>
        <v>240.66907741140844</v>
      </c>
      <c r="LQ105" s="109">
        <f t="shared" si="984"/>
        <v>240.18773925658562</v>
      </c>
      <c r="LR105" s="109">
        <f t="shared" si="984"/>
        <v>239.70736377807245</v>
      </c>
      <c r="LS105" s="109">
        <f t="shared" si="984"/>
        <v>239.22794905051632</v>
      </c>
      <c r="LT105" s="109">
        <f t="shared" si="984"/>
        <v>238.74949315241528</v>
      </c>
      <c r="LU105" s="109">
        <f t="shared" si="984"/>
        <v>238.27199416611046</v>
      </c>
      <c r="LV105" s="109">
        <f t="shared" si="984"/>
        <v>237.79545017777824</v>
      </c>
      <c r="LW105" s="109">
        <f t="shared" si="984"/>
        <v>237.31985927742267</v>
      </c>
      <c r="LX105" s="109">
        <f t="shared" si="984"/>
        <v>236.84521955886783</v>
      </c>
      <c r="LY105" s="109">
        <f t="shared" si="984"/>
        <v>236.37152911975008</v>
      </c>
      <c r="LZ105" s="109">
        <f t="shared" si="984"/>
        <v>235.89878606151058</v>
      </c>
      <c r="MA105" s="109">
        <f t="shared" si="984"/>
        <v>235.42698848938755</v>
      </c>
      <c r="MB105" s="109">
        <f t="shared" si="984"/>
        <v>234.95613451240877</v>
      </c>
      <c r="MC105" s="109">
        <f t="shared" si="984"/>
        <v>234.48622224338393</v>
      </c>
      <c r="MD105" s="109">
        <f t="shared" si="984"/>
        <v>234.01724979889715</v>
      </c>
      <c r="ME105" s="109">
        <f t="shared" si="984"/>
        <v>233.54921529929936</v>
      </c>
      <c r="MF105" s="109">
        <f t="shared" si="984"/>
        <v>233.08211686870075</v>
      </c>
      <c r="MG105" s="109">
        <f t="shared" si="984"/>
        <v>232.61595263496335</v>
      </c>
      <c r="MH105" s="109">
        <f t="shared" si="984"/>
        <v>232.15072072969343</v>
      </c>
      <c r="MI105" s="109">
        <f t="shared" si="984"/>
        <v>231.68641928823405</v>
      </c>
      <c r="MJ105" s="109">
        <f t="shared" si="984"/>
        <v>231.22304644965757</v>
      </c>
      <c r="MK105" s="109">
        <f t="shared" si="984"/>
        <v>230.76060035675826</v>
      </c>
      <c r="ML105" s="109">
        <f t="shared" si="984"/>
        <v>230.29907915604474</v>
      </c>
      <c r="MM105" s="109">
        <f t="shared" si="984"/>
        <v>229.83848099773266</v>
      </c>
      <c r="MN105" s="109">
        <f t="shared" si="984"/>
        <v>229.3788040357372</v>
      </c>
      <c r="MO105" s="109">
        <f t="shared" si="984"/>
        <v>228.92004642766574</v>
      </c>
      <c r="MP105" s="109">
        <f t="shared" si="984"/>
        <v>228.46220633481042</v>
      </c>
      <c r="MQ105" s="109">
        <f t="shared" si="984"/>
        <v>228.0052819221408</v>
      </c>
      <c r="MR105" s="109">
        <f t="shared" si="984"/>
        <v>227.54927135829652</v>
      </c>
      <c r="MS105" s="109">
        <f t="shared" si="984"/>
        <v>227.09417281557992</v>
      </c>
      <c r="MT105" s="109">
        <f t="shared" si="984"/>
        <v>226.63998446994876</v>
      </c>
      <c r="MU105" s="109">
        <f t="shared" si="984"/>
        <v>226.18670450100885</v>
      </c>
      <c r="MV105" s="144">
        <f t="shared" si="984"/>
        <v>225.73433109200684</v>
      </c>
      <c r="MW105" s="144">
        <f t="shared" si="984"/>
        <v>225.28286242982281</v>
      </c>
      <c r="MX105" s="144">
        <f t="shared" si="984"/>
        <v>224.83229670496317</v>
      </c>
      <c r="MY105" s="144">
        <f t="shared" si="984"/>
        <v>224.38263211155325</v>
      </c>
      <c r="MZ105" s="144">
        <f t="shared" si="984"/>
        <v>223.93386684733014</v>
      </c>
      <c r="NA105" s="144">
        <f t="shared" si="984"/>
        <v>223.48599911363547</v>
      </c>
      <c r="NB105" s="144">
        <f t="shared" si="984"/>
        <v>223.0390271154082</v>
      </c>
      <c r="NC105" s="144">
        <f t="shared" si="984"/>
        <v>222.59294906117739</v>
      </c>
      <c r="ND105" s="144">
        <f t="shared" si="984"/>
        <v>222.14776316305503</v>
      </c>
      <c r="NE105" s="144">
        <f t="shared" si="984"/>
        <v>221.70346763672893</v>
      </c>
      <c r="NF105" s="144">
        <f t="shared" si="984"/>
        <v>221.26006070145547</v>
      </c>
      <c r="NG105" s="144">
        <f t="shared" si="984"/>
        <v>220.81754058005257</v>
      </c>
      <c r="NH105" s="144">
        <f t="shared" si="984"/>
        <v>220.37590549889245</v>
      </c>
      <c r="NI105" s="144">
        <f t="shared" si="984"/>
        <v>219.93515368789465</v>
      </c>
      <c r="NJ105" s="144">
        <f t="shared" ref="NJ105:PU108" si="985">BP27</f>
        <v>219.49528338051886</v>
      </c>
      <c r="NK105" s="144">
        <f t="shared" si="985"/>
        <v>219.05629281375781</v>
      </c>
      <c r="NL105" s="144">
        <f t="shared" si="985"/>
        <v>218.61818022813029</v>
      </c>
      <c r="NM105" s="144">
        <f t="shared" si="985"/>
        <v>218.18094386767402</v>
      </c>
      <c r="NN105" s="144">
        <f t="shared" si="985"/>
        <v>217.74458197993866</v>
      </c>
      <c r="NO105" s="144">
        <f t="shared" si="985"/>
        <v>217.30909281597877</v>
      </c>
      <c r="NP105" s="144">
        <f t="shared" si="985"/>
        <v>216.87447463034681</v>
      </c>
      <c r="NQ105" s="144">
        <f t="shared" si="985"/>
        <v>216.44072568108612</v>
      </c>
      <c r="NR105" s="144">
        <f t="shared" si="985"/>
        <v>216.00784422972396</v>
      </c>
      <c r="NS105" s="144">
        <f t="shared" si="985"/>
        <v>215.57582854126451</v>
      </c>
      <c r="NT105" s="144">
        <f t="shared" si="985"/>
        <v>215.14467688418199</v>
      </c>
      <c r="NU105" s="144">
        <f t="shared" si="985"/>
        <v>214.71438753041363</v>
      </c>
      <c r="NV105" s="144">
        <f t="shared" si="985"/>
        <v>214.28495875535282</v>
      </c>
      <c r="NW105" s="144">
        <f t="shared" si="985"/>
        <v>213.8563888378421</v>
      </c>
      <c r="NX105" s="144">
        <f t="shared" si="985"/>
        <v>213.42867606016642</v>
      </c>
      <c r="NY105" s="144">
        <f t="shared" si="985"/>
        <v>213.0018187080461</v>
      </c>
      <c r="NZ105" s="144">
        <f t="shared" si="985"/>
        <v>212.57581507063</v>
      </c>
      <c r="OA105" s="144">
        <f t="shared" si="985"/>
        <v>212.15066344048873</v>
      </c>
      <c r="OB105" s="144">
        <f t="shared" si="985"/>
        <v>211.72636211360776</v>
      </c>
      <c r="OC105" s="144">
        <f t="shared" si="985"/>
        <v>211.30290938938055</v>
      </c>
      <c r="OD105" s="144">
        <f t="shared" si="985"/>
        <v>210.8803035706018</v>
      </c>
      <c r="OE105" s="144">
        <f t="shared" si="985"/>
        <v>210.45854296346059</v>
      </c>
      <c r="OF105" s="144">
        <f t="shared" si="985"/>
        <v>210.03762587753366</v>
      </c>
      <c r="OG105" s="144">
        <f t="shared" si="985"/>
        <v>209.61755062577859</v>
      </c>
      <c r="OH105" s="144">
        <f t="shared" si="985"/>
        <v>209.19831552452703</v>
      </c>
      <c r="OI105" s="144">
        <f t="shared" si="985"/>
        <v>208.77991889347797</v>
      </c>
      <c r="OJ105" s="144">
        <f t="shared" si="985"/>
        <v>208.362359055691</v>
      </c>
      <c r="OK105" s="144">
        <f t="shared" si="985"/>
        <v>207.94563433757963</v>
      </c>
      <c r="OL105" s="144">
        <f t="shared" si="985"/>
        <v>207.52974306890448</v>
      </c>
      <c r="OM105" s="144">
        <f t="shared" si="985"/>
        <v>207.11468358276667</v>
      </c>
      <c r="ON105" s="144">
        <f t="shared" si="985"/>
        <v>206.70045421560113</v>
      </c>
      <c r="OO105" s="144">
        <f t="shared" si="985"/>
        <v>206.28705330716991</v>
      </c>
      <c r="OP105" s="144">
        <f t="shared" si="985"/>
        <v>205.87447920055558</v>
      </c>
      <c r="OQ105" s="144">
        <f t="shared" si="985"/>
        <v>205.46273024215446</v>
      </c>
      <c r="OR105" s="144">
        <f t="shared" si="985"/>
        <v>205.05180478167014</v>
      </c>
      <c r="OS105" s="144">
        <f t="shared" si="985"/>
        <v>204.64170117210679</v>
      </c>
      <c r="OT105" s="144">
        <f t="shared" si="985"/>
        <v>204.23241776976258</v>
      </c>
      <c r="OU105" s="154">
        <f t="shared" si="985"/>
        <v>203.82395293422306</v>
      </c>
      <c r="OV105" s="154">
        <f t="shared" si="985"/>
        <v>203.4163050283546</v>
      </c>
      <c r="OW105" s="154">
        <f t="shared" si="985"/>
        <v>203.00947241829789</v>
      </c>
      <c r="OX105" s="154">
        <f t="shared" si="985"/>
        <v>202.60345347346129</v>
      </c>
      <c r="OY105" s="154">
        <f t="shared" si="985"/>
        <v>202.19824656651437</v>
      </c>
      <c r="OZ105" s="154">
        <f t="shared" si="985"/>
        <v>201.79385007338135</v>
      </c>
      <c r="PA105" s="154">
        <f t="shared" si="985"/>
        <v>201.39026237323458</v>
      </c>
      <c r="PB105" s="154">
        <f t="shared" si="985"/>
        <v>200.9874818484881</v>
      </c>
      <c r="PC105" s="154">
        <f t="shared" si="985"/>
        <v>200.58550688479113</v>
      </c>
      <c r="PD105" s="154">
        <f t="shared" si="985"/>
        <v>200.18433587102155</v>
      </c>
      <c r="PE105" s="154">
        <f t="shared" si="985"/>
        <v>199.78396719927952</v>
      </c>
      <c r="PF105" s="154">
        <f t="shared" si="985"/>
        <v>199.38439926488095</v>
      </c>
      <c r="PG105" s="154">
        <f t="shared" si="985"/>
        <v>198.98563046635118</v>
      </c>
      <c r="PH105" s="154">
        <f t="shared" si="985"/>
        <v>198.58765920541848</v>
      </c>
      <c r="PI105" s="154">
        <f t="shared" si="985"/>
        <v>198.19048388700764</v>
      </c>
      <c r="PJ105" s="154">
        <f t="shared" si="985"/>
        <v>197.79410291923364</v>
      </c>
      <c r="PK105" s="154">
        <f t="shared" si="985"/>
        <v>197.39851471339517</v>
      </c>
      <c r="PL105" s="154">
        <f t="shared" si="985"/>
        <v>197.00371768396838</v>
      </c>
      <c r="PM105" s="154">
        <f t="shared" si="985"/>
        <v>196.60971024860044</v>
      </c>
      <c r="PN105" s="154">
        <f t="shared" si="985"/>
        <v>196.21649082810325</v>
      </c>
      <c r="PO105" s="154">
        <f t="shared" si="985"/>
        <v>195.82405784644703</v>
      </c>
      <c r="PP105" s="154">
        <f t="shared" si="985"/>
        <v>195.43240973075413</v>
      </c>
      <c r="PQ105" s="154">
        <f t="shared" si="985"/>
        <v>195.04154491129262</v>
      </c>
      <c r="PR105" s="154">
        <f t="shared" si="985"/>
        <v>194.65146182147004</v>
      </c>
      <c r="PS105" s="154">
        <f t="shared" si="985"/>
        <v>194.26215889782711</v>
      </c>
      <c r="PT105" s="154">
        <f t="shared" si="985"/>
        <v>193.87363458003145</v>
      </c>
      <c r="PU105" s="154">
        <f t="shared" si="985"/>
        <v>193.48588731087139</v>
      </c>
      <c r="PV105" s="179">
        <f t="shared" ref="PV105:PX117" si="986">EB27</f>
        <v>168.91317962239071</v>
      </c>
      <c r="PW105" s="154">
        <f t="shared" si="986"/>
        <v>168.57535326314593</v>
      </c>
      <c r="PX105" s="179">
        <f t="shared" si="986"/>
        <v>144.15600923331306</v>
      </c>
      <c r="PY105" s="154">
        <f>EE27</f>
        <v>143.86769721484643</v>
      </c>
      <c r="PZ105" s="154">
        <f t="shared" ref="PZ105:QM117" si="987">EF27</f>
        <v>143.57996182041674</v>
      </c>
      <c r="QA105" s="154">
        <f t="shared" si="987"/>
        <v>143.2928018967759</v>
      </c>
      <c r="QB105" s="154">
        <f t="shared" si="987"/>
        <v>143.00621629298234</v>
      </c>
      <c r="QC105" s="179">
        <f t="shared" si="987"/>
        <v>118.88583447823264</v>
      </c>
      <c r="QD105" s="154">
        <f t="shared" si="987"/>
        <v>118.64806280927617</v>
      </c>
      <c r="QE105" s="179">
        <f t="shared" si="987"/>
        <v>94.681154121802379</v>
      </c>
      <c r="QF105" s="154">
        <f t="shared" si="987"/>
        <v>94.491791813558777</v>
      </c>
      <c r="QG105" s="154">
        <f t="shared" si="987"/>
        <v>94.302808229931657</v>
      </c>
      <c r="QH105" s="154">
        <f t="shared" si="987"/>
        <v>94.11420261347179</v>
      </c>
      <c r="QI105" s="154">
        <f t="shared" si="987"/>
        <v>93.925974208244853</v>
      </c>
      <c r="QJ105" s="179">
        <f t="shared" si="987"/>
        <v>70.256628707767149</v>
      </c>
      <c r="QK105" s="154">
        <f t="shared" si="987"/>
        <v>70.116115450351614</v>
      </c>
      <c r="QL105" s="179">
        <f t="shared" si="987"/>
        <v>46.603844736000369</v>
      </c>
      <c r="QM105" s="154">
        <f t="shared" si="987"/>
        <v>46.510637046528366</v>
      </c>
      <c r="QN105" s="154">
        <f t="shared" ref="QN105:QS105" si="988">ET27</f>
        <v>46.417615772435312</v>
      </c>
      <c r="QO105" s="154">
        <f t="shared" si="988"/>
        <v>46.324780540890444</v>
      </c>
      <c r="QP105" s="154">
        <f t="shared" si="988"/>
        <v>46.232130979808666</v>
      </c>
      <c r="QQ105" s="179">
        <f t="shared" si="988"/>
        <v>23.023601227944713</v>
      </c>
      <c r="QR105" s="154">
        <f t="shared" si="988"/>
        <v>22.977554025488825</v>
      </c>
      <c r="QS105" s="179">
        <f t="shared" si="988"/>
        <v>-4.5955108050979021E-2</v>
      </c>
      <c r="QT105" s="184"/>
      <c r="QU105" s="184"/>
      <c r="QV105" s="184"/>
      <c r="QW105" s="184"/>
      <c r="QX105" s="184"/>
      <c r="QY105" s="184"/>
      <c r="QZ105" s="184"/>
      <c r="RA105" s="184"/>
      <c r="RB105" s="184"/>
      <c r="RC105" s="184"/>
      <c r="RD105" s="184"/>
      <c r="RE105" s="184"/>
      <c r="RF105" s="184"/>
      <c r="RG105" s="184"/>
      <c r="RH105" s="184"/>
      <c r="RI105" s="184"/>
      <c r="RJ105" s="184"/>
      <c r="RK105" s="184"/>
      <c r="RL105" s="184"/>
      <c r="RM105" s="184"/>
      <c r="RN105" s="184"/>
      <c r="RO105" s="184"/>
      <c r="RP105" s="184"/>
      <c r="RQ105" s="184"/>
      <c r="RR105" s="184"/>
      <c r="RS105" s="184"/>
      <c r="RT105" s="184"/>
      <c r="RU105" s="184"/>
      <c r="RV105" s="184"/>
      <c r="RW105" s="184"/>
      <c r="RX105" s="184"/>
      <c r="RY105" s="184"/>
      <c r="RZ105" s="184"/>
      <c r="SA105" s="184"/>
      <c r="SB105" s="184"/>
      <c r="SC105" s="184"/>
      <c r="SD105" s="184"/>
      <c r="SE105" s="184"/>
      <c r="SF105" s="184"/>
      <c r="SG105" s="184"/>
      <c r="SH105" s="184"/>
      <c r="SI105" s="184"/>
      <c r="SJ105" s="184"/>
      <c r="SK105" s="184"/>
      <c r="SL105" s="184"/>
      <c r="SM105" s="184"/>
      <c r="SN105" s="184"/>
      <c r="SO105" s="184"/>
      <c r="SP105" s="184"/>
      <c r="SQ105" s="184"/>
      <c r="SR105" s="184"/>
      <c r="SS105" s="184"/>
      <c r="ST105" s="184"/>
      <c r="SU105" s="184"/>
      <c r="SV105" s="184"/>
      <c r="SW105" s="184"/>
      <c r="SX105" s="184"/>
      <c r="SY105" s="184"/>
      <c r="SZ105" s="184"/>
      <c r="TA105" s="184"/>
      <c r="TB105" s="185"/>
      <c r="TC105" s="11"/>
      <c r="TD105" s="11"/>
      <c r="TE105" s="11"/>
      <c r="TF105" s="11"/>
    </row>
    <row r="106" spans="1:526" ht="19.5" thickBot="1" x14ac:dyDescent="0.3">
      <c r="A106" s="298"/>
      <c r="B106" s="25" t="s">
        <v>1</v>
      </c>
      <c r="BY106" s="184"/>
      <c r="BZ106" s="184"/>
      <c r="CA106" s="184"/>
      <c r="CB106" s="184"/>
      <c r="CC106" s="184"/>
      <c r="CD106" s="184"/>
      <c r="CE106" s="184"/>
      <c r="CF106" s="184"/>
      <c r="CG106" s="184"/>
      <c r="CH106" s="184"/>
      <c r="CI106" s="184"/>
      <c r="CJ106" s="184"/>
      <c r="CK106" s="184"/>
      <c r="CL106" s="184"/>
      <c r="CM106" s="184"/>
      <c r="CN106" s="184"/>
      <c r="CO106" s="184"/>
      <c r="CP106" s="184"/>
      <c r="CQ106" s="184"/>
      <c r="CR106" s="184"/>
      <c r="CS106" s="184"/>
      <c r="CT106" s="184"/>
      <c r="CU106" s="184"/>
      <c r="CV106" s="184"/>
      <c r="CW106" s="184"/>
      <c r="CX106" s="184"/>
      <c r="CY106" s="184"/>
      <c r="CZ106" s="184"/>
      <c r="DA106" s="184"/>
      <c r="DB106" s="184"/>
      <c r="DC106" s="184"/>
      <c r="DD106" s="184"/>
      <c r="DE106" s="184"/>
      <c r="DF106" s="184"/>
      <c r="DG106" s="184"/>
      <c r="DH106" s="184"/>
      <c r="DI106" s="184"/>
      <c r="DJ106" s="184"/>
      <c r="DK106" s="184"/>
      <c r="DL106" s="184"/>
      <c r="DM106" s="184"/>
      <c r="DN106" s="184"/>
      <c r="DO106" s="184"/>
      <c r="DP106" s="184"/>
      <c r="DQ106" s="184"/>
      <c r="DR106" s="184"/>
      <c r="DS106" s="184"/>
      <c r="DT106" s="184"/>
      <c r="DU106" s="184"/>
      <c r="DV106" s="184"/>
      <c r="DW106" s="184"/>
      <c r="DX106" s="184"/>
      <c r="DY106" s="184"/>
      <c r="DZ106" s="184"/>
      <c r="EA106" s="184"/>
      <c r="EB106" s="184"/>
      <c r="EC106" s="184"/>
      <c r="ED106" s="184"/>
      <c r="EE106" s="184"/>
      <c r="EF106" s="184"/>
      <c r="EG106" s="184"/>
      <c r="EH106" s="184"/>
      <c r="EI106" s="184"/>
      <c r="EJ106" s="184"/>
      <c r="EK106" s="184"/>
      <c r="EL106" s="184"/>
      <c r="EM106" s="184"/>
      <c r="EN106" s="184"/>
      <c r="EO106" s="184"/>
      <c r="EP106" s="184"/>
      <c r="EQ106" s="184"/>
      <c r="ER106" s="184"/>
      <c r="ES106" s="184"/>
      <c r="ET106" s="184"/>
      <c r="EU106" s="184"/>
      <c r="EV106" s="184"/>
      <c r="EW106" s="184"/>
      <c r="EX106" s="184"/>
      <c r="EY106" s="184"/>
      <c r="EZ106" s="184"/>
      <c r="FA106" s="184"/>
      <c r="FB106" s="184"/>
      <c r="FC106" s="184"/>
      <c r="FD106" s="184"/>
      <c r="FE106" s="184"/>
      <c r="FF106" s="184"/>
      <c r="FG106" s="184"/>
      <c r="FH106" s="184"/>
      <c r="FI106" s="184"/>
      <c r="FJ106" s="184"/>
      <c r="FK106" s="184"/>
      <c r="FL106" s="184"/>
      <c r="FM106" s="184"/>
      <c r="FN106" s="184"/>
      <c r="FO106" s="184"/>
      <c r="FP106" s="184"/>
      <c r="FQ106" s="184"/>
      <c r="FR106" s="184"/>
      <c r="FS106" s="184"/>
      <c r="FT106" s="184"/>
      <c r="FU106" s="184"/>
      <c r="FV106" s="184"/>
      <c r="FW106" s="184"/>
      <c r="FX106" s="184"/>
      <c r="FY106" s="184"/>
      <c r="FZ106" s="184"/>
      <c r="GA106" s="184"/>
      <c r="GB106" s="184"/>
      <c r="GC106" s="184"/>
      <c r="GD106" s="184"/>
      <c r="GE106" s="184"/>
      <c r="GF106" s="184"/>
      <c r="GG106" s="184"/>
      <c r="GH106" s="184"/>
      <c r="GI106" s="184"/>
      <c r="GJ106" s="184"/>
      <c r="GK106" s="184"/>
      <c r="GL106" s="184"/>
      <c r="GM106" s="184"/>
      <c r="GN106" s="184"/>
      <c r="GO106" s="184"/>
      <c r="GP106" s="184"/>
      <c r="GQ106" s="184"/>
      <c r="GR106" s="184"/>
      <c r="GS106" s="184"/>
      <c r="GT106" s="184"/>
      <c r="GU106" s="184"/>
      <c r="GV106" s="184"/>
      <c r="GW106" s="184"/>
      <c r="GX106" s="184"/>
      <c r="GY106" s="184"/>
      <c r="GZ106" s="184"/>
      <c r="HA106" s="184"/>
      <c r="HB106" s="184"/>
      <c r="HC106" s="184"/>
      <c r="HD106" s="184"/>
      <c r="HE106" s="184"/>
      <c r="HF106" s="184"/>
      <c r="HG106" s="184"/>
      <c r="HH106" s="184"/>
      <c r="HI106" s="184"/>
      <c r="HJ106" s="184"/>
      <c r="HK106" s="184"/>
      <c r="HL106" s="184"/>
      <c r="HM106" s="184"/>
      <c r="HN106" s="184"/>
      <c r="HO106" s="184"/>
      <c r="HP106" s="184"/>
      <c r="HQ106" s="184"/>
      <c r="HR106" s="184"/>
      <c r="HS106" s="184"/>
      <c r="HT106" s="184"/>
      <c r="HU106" s="184"/>
      <c r="HV106" s="184"/>
      <c r="HW106" s="184"/>
      <c r="HX106" s="184"/>
      <c r="HY106" s="184"/>
      <c r="HZ106" s="184"/>
      <c r="IA106" s="184"/>
      <c r="IB106" s="184"/>
      <c r="IC106" s="184"/>
      <c r="ID106" s="184"/>
      <c r="IE106" s="184"/>
      <c r="IF106" s="184"/>
      <c r="IG106" s="184"/>
      <c r="IH106" s="184"/>
      <c r="II106" s="184"/>
      <c r="IJ106" s="184"/>
      <c r="IK106" s="184"/>
      <c r="IL106" s="184"/>
      <c r="IM106" s="184"/>
      <c r="IN106" s="184"/>
      <c r="IO106" s="184"/>
      <c r="IP106" s="184"/>
      <c r="IQ106" s="184"/>
      <c r="IR106" s="184"/>
      <c r="IS106" s="184"/>
      <c r="IT106" s="184"/>
      <c r="IU106" s="184"/>
      <c r="IV106" s="184"/>
      <c r="IW106" s="184"/>
      <c r="IX106" s="184"/>
      <c r="IY106" s="184"/>
      <c r="IZ106" s="184"/>
      <c r="JA106" s="184"/>
      <c r="JB106" s="184"/>
      <c r="JC106" s="184"/>
      <c r="JD106" s="184"/>
      <c r="JE106" s="184"/>
      <c r="JF106" s="184"/>
      <c r="JG106" s="184"/>
      <c r="JH106" s="184"/>
      <c r="JI106" s="184"/>
      <c r="JJ106" s="184"/>
      <c r="JK106" s="184"/>
      <c r="JL106" s="184"/>
      <c r="JM106" s="184"/>
      <c r="JN106" s="184"/>
      <c r="JO106" s="184"/>
      <c r="JP106" s="184"/>
      <c r="JQ106" s="184"/>
      <c r="JR106" s="184"/>
      <c r="JS106" s="184"/>
      <c r="JT106" s="184"/>
      <c r="JU106" s="184"/>
      <c r="JV106" s="184"/>
      <c r="JW106" s="184"/>
      <c r="JX106" s="184"/>
      <c r="JY106" s="184"/>
      <c r="JZ106" s="184"/>
      <c r="KA106" s="184"/>
      <c r="KB106" s="184"/>
      <c r="KC106" s="184"/>
      <c r="KD106" s="184"/>
      <c r="KE106" s="184"/>
      <c r="KF106" s="184"/>
      <c r="KG106" s="184"/>
      <c r="KH106" s="184"/>
      <c r="KI106" s="184"/>
      <c r="KJ106" s="184"/>
      <c r="KK106" s="184"/>
      <c r="KL106" s="184"/>
      <c r="KM106" s="184"/>
      <c r="KN106" s="184"/>
      <c r="KO106" s="184"/>
      <c r="KP106" s="184"/>
      <c r="KQ106" s="184"/>
      <c r="KR106" s="184"/>
      <c r="KS106" s="184"/>
      <c r="KT106" s="184"/>
      <c r="KU106" s="184"/>
      <c r="KV106" s="184"/>
      <c r="KW106" s="128" t="str">
        <f t="shared" si="980"/>
        <v>-</v>
      </c>
      <c r="KX106" s="108" t="str">
        <f t="shared" si="981"/>
        <v>-</v>
      </c>
      <c r="KY106" s="108" t="str">
        <f t="shared" si="982"/>
        <v>-</v>
      </c>
      <c r="KZ106" s="108" t="str">
        <f t="shared" si="983"/>
        <v>-</v>
      </c>
      <c r="LA106" s="108" t="str">
        <f t="shared" si="984"/>
        <v>-</v>
      </c>
      <c r="LB106" s="108" t="str">
        <f t="shared" si="984"/>
        <v>-</v>
      </c>
      <c r="LC106" s="108" t="str">
        <f t="shared" si="984"/>
        <v>-</v>
      </c>
      <c r="LD106" s="108" t="str">
        <f t="shared" si="984"/>
        <v>-</v>
      </c>
      <c r="LE106" s="108" t="str">
        <f t="shared" si="984"/>
        <v>-</v>
      </c>
      <c r="LF106" s="108" t="str">
        <f t="shared" si="984"/>
        <v>-</v>
      </c>
      <c r="LG106" s="108" t="str">
        <f t="shared" si="984"/>
        <v>-</v>
      </c>
      <c r="LH106" s="108" t="str">
        <f t="shared" si="984"/>
        <v>-</v>
      </c>
      <c r="LI106" s="108" t="str">
        <f t="shared" si="984"/>
        <v>-</v>
      </c>
      <c r="LJ106" s="108" t="str">
        <f t="shared" si="984"/>
        <v>-</v>
      </c>
      <c r="LK106" s="108" t="str">
        <f t="shared" si="984"/>
        <v>-</v>
      </c>
      <c r="LL106" s="108" t="str">
        <f t="shared" si="984"/>
        <v>-</v>
      </c>
      <c r="LM106" s="108" t="str">
        <f t="shared" si="984"/>
        <v>-</v>
      </c>
      <c r="LN106" s="108" t="str">
        <f t="shared" si="984"/>
        <v>-</v>
      </c>
      <c r="LO106" s="108" t="str">
        <f t="shared" si="984"/>
        <v>-</v>
      </c>
      <c r="LP106" s="108" t="str">
        <f t="shared" si="984"/>
        <v>-</v>
      </c>
      <c r="LQ106" s="108" t="str">
        <f t="shared" si="984"/>
        <v>-</v>
      </c>
      <c r="LR106" s="108" t="str">
        <f t="shared" si="984"/>
        <v>-</v>
      </c>
      <c r="LS106" s="108" t="str">
        <f t="shared" si="984"/>
        <v>-</v>
      </c>
      <c r="LT106" s="108" t="str">
        <f t="shared" si="984"/>
        <v>-</v>
      </c>
      <c r="LU106" s="108" t="str">
        <f t="shared" si="984"/>
        <v>-</v>
      </c>
      <c r="LV106" s="108" t="str">
        <f t="shared" si="984"/>
        <v>-</v>
      </c>
      <c r="LW106" s="108" t="str">
        <f t="shared" si="984"/>
        <v>-</v>
      </c>
      <c r="LX106" s="108" t="str">
        <f t="shared" si="984"/>
        <v>-</v>
      </c>
      <c r="LY106" s="108" t="str">
        <f t="shared" si="984"/>
        <v>-</v>
      </c>
      <c r="LZ106" s="108" t="str">
        <f t="shared" si="984"/>
        <v>-</v>
      </c>
      <c r="MA106" s="108" t="str">
        <f t="shared" si="984"/>
        <v>-</v>
      </c>
      <c r="MB106" s="108" t="str">
        <f t="shared" si="984"/>
        <v>-</v>
      </c>
      <c r="MC106" s="108" t="str">
        <f t="shared" si="984"/>
        <v>-</v>
      </c>
      <c r="MD106" s="108" t="str">
        <f t="shared" si="984"/>
        <v>-</v>
      </c>
      <c r="ME106" s="108" t="str">
        <f t="shared" si="984"/>
        <v>-</v>
      </c>
      <c r="MF106" s="108" t="str">
        <f t="shared" si="984"/>
        <v>-</v>
      </c>
      <c r="MG106" s="108" t="str">
        <f t="shared" si="984"/>
        <v>-</v>
      </c>
      <c r="MH106" s="108" t="str">
        <f t="shared" si="984"/>
        <v>-</v>
      </c>
      <c r="MI106" s="108" t="str">
        <f t="shared" si="984"/>
        <v>-</v>
      </c>
      <c r="MJ106" s="108" t="str">
        <f t="shared" si="984"/>
        <v>-</v>
      </c>
      <c r="MK106" s="108" t="str">
        <f t="shared" si="984"/>
        <v>-</v>
      </c>
      <c r="ML106" s="108" t="str">
        <f t="shared" si="984"/>
        <v>-</v>
      </c>
      <c r="MM106" s="108" t="str">
        <f t="shared" si="984"/>
        <v>-</v>
      </c>
      <c r="MN106" s="108" t="str">
        <f t="shared" si="984"/>
        <v>-</v>
      </c>
      <c r="MO106" s="108" t="str">
        <f t="shared" si="984"/>
        <v>-</v>
      </c>
      <c r="MP106" s="108" t="str">
        <f t="shared" si="984"/>
        <v>-</v>
      </c>
      <c r="MQ106" s="108" t="str">
        <f t="shared" si="984"/>
        <v>-</v>
      </c>
      <c r="MR106" s="108" t="str">
        <f t="shared" si="984"/>
        <v>-</v>
      </c>
      <c r="MS106" s="108" t="str">
        <f t="shared" si="984"/>
        <v>-</v>
      </c>
      <c r="MT106" s="108" t="str">
        <f t="shared" si="984"/>
        <v>-</v>
      </c>
      <c r="MU106" s="108" t="str">
        <f t="shared" si="984"/>
        <v>-</v>
      </c>
      <c r="MV106" s="145" t="str">
        <f t="shared" si="984"/>
        <v>-</v>
      </c>
      <c r="MW106" s="145" t="str">
        <f t="shared" si="984"/>
        <v>-</v>
      </c>
      <c r="MX106" s="145" t="str">
        <f t="shared" si="984"/>
        <v>-</v>
      </c>
      <c r="MY106" s="145" t="str">
        <f t="shared" si="984"/>
        <v>-</v>
      </c>
      <c r="MZ106" s="145" t="str">
        <f t="shared" si="984"/>
        <v>-</v>
      </c>
      <c r="NA106" s="145" t="str">
        <f t="shared" si="984"/>
        <v>-</v>
      </c>
      <c r="NB106" s="145" t="str">
        <f t="shared" si="984"/>
        <v>-</v>
      </c>
      <c r="NC106" s="145" t="str">
        <f t="shared" si="984"/>
        <v>-</v>
      </c>
      <c r="ND106" s="145" t="str">
        <f t="shared" si="984"/>
        <v>-</v>
      </c>
      <c r="NE106" s="145" t="str">
        <f t="shared" si="984"/>
        <v>-</v>
      </c>
      <c r="NF106" s="145" t="str">
        <f t="shared" si="984"/>
        <v>-</v>
      </c>
      <c r="NG106" s="145" t="str">
        <f t="shared" si="984"/>
        <v>-</v>
      </c>
      <c r="NH106" s="145" t="str">
        <f t="shared" si="984"/>
        <v>-</v>
      </c>
      <c r="NI106" s="145" t="str">
        <f t="shared" si="984"/>
        <v>-</v>
      </c>
      <c r="NJ106" s="145" t="str">
        <f t="shared" si="985"/>
        <v>-</v>
      </c>
      <c r="NK106" s="145" t="str">
        <f t="shared" si="985"/>
        <v>-</v>
      </c>
      <c r="NL106" s="145" t="str">
        <f t="shared" si="985"/>
        <v>-</v>
      </c>
      <c r="NM106" s="145" t="str">
        <f t="shared" si="985"/>
        <v>-</v>
      </c>
      <c r="NN106" s="145" t="str">
        <f t="shared" si="985"/>
        <v>-</v>
      </c>
      <c r="NO106" s="145" t="str">
        <f t="shared" si="985"/>
        <v>-</v>
      </c>
      <c r="NP106" s="145" t="str">
        <f t="shared" si="985"/>
        <v>-</v>
      </c>
      <c r="NQ106" s="145" t="str">
        <f t="shared" si="985"/>
        <v>-</v>
      </c>
      <c r="NR106" s="145" t="str">
        <f t="shared" si="985"/>
        <v>-</v>
      </c>
      <c r="NS106" s="145" t="str">
        <f t="shared" si="985"/>
        <v>-</v>
      </c>
      <c r="NT106" s="145" t="str">
        <f t="shared" si="985"/>
        <v>-</v>
      </c>
      <c r="NU106" s="145" t="str">
        <f t="shared" si="985"/>
        <v>-</v>
      </c>
      <c r="NV106" s="145" t="str">
        <f t="shared" si="985"/>
        <v>-</v>
      </c>
      <c r="NW106" s="145" t="str">
        <f t="shared" si="985"/>
        <v>-</v>
      </c>
      <c r="NX106" s="145" t="str">
        <f t="shared" si="985"/>
        <v>-</v>
      </c>
      <c r="NY106" s="145" t="str">
        <f t="shared" si="985"/>
        <v>-</v>
      </c>
      <c r="NZ106" s="145" t="str">
        <f t="shared" si="985"/>
        <v>-</v>
      </c>
      <c r="OA106" s="145" t="str">
        <f t="shared" si="985"/>
        <v>-</v>
      </c>
      <c r="OB106" s="145" t="str">
        <f t="shared" si="985"/>
        <v>-</v>
      </c>
      <c r="OC106" s="145" t="str">
        <f t="shared" si="985"/>
        <v>-</v>
      </c>
      <c r="OD106" s="145" t="str">
        <f t="shared" si="985"/>
        <v>-</v>
      </c>
      <c r="OE106" s="145" t="str">
        <f t="shared" si="985"/>
        <v>-</v>
      </c>
      <c r="OF106" s="145" t="str">
        <f t="shared" si="985"/>
        <v>-</v>
      </c>
      <c r="OG106" s="145" t="str">
        <f t="shared" si="985"/>
        <v>-</v>
      </c>
      <c r="OH106" s="145" t="str">
        <f t="shared" si="985"/>
        <v>-</v>
      </c>
      <c r="OI106" s="145" t="str">
        <f t="shared" si="985"/>
        <v>-</v>
      </c>
      <c r="OJ106" s="145" t="str">
        <f t="shared" si="985"/>
        <v>-</v>
      </c>
      <c r="OK106" s="145" t="str">
        <f t="shared" si="985"/>
        <v>-</v>
      </c>
      <c r="OL106" s="145" t="str">
        <f t="shared" si="985"/>
        <v>-</v>
      </c>
      <c r="OM106" s="145" t="str">
        <f t="shared" si="985"/>
        <v>-</v>
      </c>
      <c r="ON106" s="145" t="str">
        <f t="shared" si="985"/>
        <v>-</v>
      </c>
      <c r="OO106" s="145" t="str">
        <f t="shared" si="985"/>
        <v>-</v>
      </c>
      <c r="OP106" s="145" t="str">
        <f t="shared" si="985"/>
        <v>-</v>
      </c>
      <c r="OQ106" s="145" t="str">
        <f t="shared" si="985"/>
        <v>-</v>
      </c>
      <c r="OR106" s="145" t="str">
        <f t="shared" si="985"/>
        <v>-</v>
      </c>
      <c r="OS106" s="145" t="str">
        <f t="shared" si="985"/>
        <v>-</v>
      </c>
      <c r="OT106" s="145" t="str">
        <f t="shared" si="985"/>
        <v>-</v>
      </c>
      <c r="OU106" s="155" t="str">
        <f t="shared" si="985"/>
        <v>-</v>
      </c>
      <c r="OV106" s="155" t="str">
        <f t="shared" si="985"/>
        <v>-</v>
      </c>
      <c r="OW106" s="155" t="str">
        <f t="shared" si="985"/>
        <v>-</v>
      </c>
      <c r="OX106" s="155" t="str">
        <f t="shared" si="985"/>
        <v>-</v>
      </c>
      <c r="OY106" s="155" t="str">
        <f t="shared" si="985"/>
        <v>-</v>
      </c>
      <c r="OZ106" s="155" t="str">
        <f t="shared" si="985"/>
        <v>-</v>
      </c>
      <c r="PA106" s="155" t="str">
        <f t="shared" si="985"/>
        <v>-</v>
      </c>
      <c r="PB106" s="155" t="str">
        <f t="shared" si="985"/>
        <v>-</v>
      </c>
      <c r="PC106" s="155" t="str">
        <f t="shared" si="985"/>
        <v>-</v>
      </c>
      <c r="PD106" s="155" t="str">
        <f t="shared" si="985"/>
        <v>-</v>
      </c>
      <c r="PE106" s="155" t="str">
        <f t="shared" si="985"/>
        <v>-</v>
      </c>
      <c r="PF106" s="155" t="str">
        <f t="shared" si="985"/>
        <v>-</v>
      </c>
      <c r="PG106" s="155" t="str">
        <f t="shared" si="985"/>
        <v>-</v>
      </c>
      <c r="PH106" s="155" t="str">
        <f t="shared" si="985"/>
        <v>-</v>
      </c>
      <c r="PI106" s="155" t="str">
        <f t="shared" si="985"/>
        <v>-</v>
      </c>
      <c r="PJ106" s="155" t="str">
        <f t="shared" si="985"/>
        <v>-</v>
      </c>
      <c r="PK106" s="155" t="str">
        <f t="shared" si="985"/>
        <v>-</v>
      </c>
      <c r="PL106" s="155" t="str">
        <f t="shared" si="985"/>
        <v>-</v>
      </c>
      <c r="PM106" s="155" t="str">
        <f t="shared" si="985"/>
        <v>-</v>
      </c>
      <c r="PN106" s="155" t="str">
        <f t="shared" si="985"/>
        <v>-</v>
      </c>
      <c r="PO106" s="155" t="str">
        <f t="shared" si="985"/>
        <v>-</v>
      </c>
      <c r="PP106" s="155" t="str">
        <f t="shared" si="985"/>
        <v>-</v>
      </c>
      <c r="PQ106" s="155" t="str">
        <f t="shared" si="985"/>
        <v>-</v>
      </c>
      <c r="PR106" s="155" t="str">
        <f t="shared" si="985"/>
        <v>-</v>
      </c>
      <c r="PS106" s="155" t="str">
        <f t="shared" si="985"/>
        <v>-</v>
      </c>
      <c r="PT106" s="155" t="str">
        <f t="shared" si="985"/>
        <v>-</v>
      </c>
      <c r="PU106" s="177" t="str">
        <f t="shared" si="985"/>
        <v>-</v>
      </c>
      <c r="PV106" s="181" t="str">
        <f t="shared" si="986"/>
        <v>Harvest</v>
      </c>
      <c r="PW106" s="177" t="str">
        <f t="shared" si="986"/>
        <v>-</v>
      </c>
      <c r="PX106" s="181" t="str">
        <f t="shared" si="986"/>
        <v>Harvest</v>
      </c>
      <c r="PY106" s="155" t="str">
        <f t="shared" ref="PY106:PY117" si="989">EE28</f>
        <v>-</v>
      </c>
      <c r="PZ106" s="155" t="str">
        <f t="shared" si="987"/>
        <v>-</v>
      </c>
      <c r="QA106" s="155" t="str">
        <f t="shared" si="987"/>
        <v>-</v>
      </c>
      <c r="QB106" s="177" t="str">
        <f t="shared" si="987"/>
        <v>-</v>
      </c>
      <c r="QC106" s="181" t="str">
        <f t="shared" si="987"/>
        <v>Harvest</v>
      </c>
      <c r="QD106" s="177" t="str">
        <f t="shared" si="987"/>
        <v>-</v>
      </c>
      <c r="QE106" s="181" t="str">
        <f t="shared" si="987"/>
        <v>Harvest</v>
      </c>
      <c r="QF106" s="155" t="str">
        <f t="shared" si="987"/>
        <v>-</v>
      </c>
      <c r="QG106" s="155" t="str">
        <f t="shared" si="987"/>
        <v>-</v>
      </c>
      <c r="QH106" s="155" t="str">
        <f t="shared" si="987"/>
        <v>-</v>
      </c>
      <c r="QI106" s="177" t="str">
        <f t="shared" si="987"/>
        <v>-</v>
      </c>
      <c r="QJ106" s="181" t="str">
        <f t="shared" si="987"/>
        <v>Harvest</v>
      </c>
      <c r="QK106" s="177" t="str">
        <f t="shared" si="987"/>
        <v>-</v>
      </c>
      <c r="QL106" s="181" t="str">
        <f t="shared" si="987"/>
        <v>Harvest</v>
      </c>
      <c r="QM106" s="155" t="str">
        <f t="shared" si="987"/>
        <v>-</v>
      </c>
      <c r="QN106" s="155" t="str">
        <f t="shared" ref="QN106:QN117" si="990">ET28</f>
        <v>-</v>
      </c>
      <c r="QO106" s="155" t="str">
        <f t="shared" ref="QO106:QO117" si="991">EU28</f>
        <v>-</v>
      </c>
      <c r="QP106" s="177" t="str">
        <f t="shared" ref="QP106:QP117" si="992">EV28</f>
        <v>-</v>
      </c>
      <c r="QQ106" s="181" t="str">
        <f t="shared" ref="QQ106:QQ117" si="993">EW28</f>
        <v>Harvest</v>
      </c>
      <c r="QR106" s="177" t="str">
        <f t="shared" ref="QR106:QR117" si="994">EX28</f>
        <v>-</v>
      </c>
      <c r="QS106" s="181" t="str">
        <f t="shared" ref="QS106:QS117" si="995">EY28</f>
        <v>Harvest</v>
      </c>
      <c r="QT106" s="184"/>
      <c r="QU106" s="184"/>
      <c r="QV106" s="184"/>
      <c r="QW106" s="184"/>
      <c r="QX106" s="184"/>
      <c r="QY106" s="184"/>
      <c r="QZ106" s="184"/>
      <c r="RA106" s="184"/>
      <c r="RB106" s="184"/>
      <c r="RC106" s="184"/>
      <c r="RD106" s="184"/>
      <c r="RE106" s="184"/>
      <c r="RF106" s="184"/>
      <c r="RG106" s="184"/>
      <c r="RH106" s="184"/>
      <c r="RI106" s="184"/>
      <c r="RJ106" s="184"/>
      <c r="RK106" s="184"/>
      <c r="RL106" s="184"/>
      <c r="RM106" s="184"/>
      <c r="RN106" s="184"/>
      <c r="RO106" s="184"/>
      <c r="RP106" s="184"/>
      <c r="RQ106" s="184"/>
      <c r="RR106" s="184"/>
      <c r="RS106" s="184"/>
      <c r="RT106" s="184"/>
      <c r="RU106" s="184"/>
      <c r="RV106" s="184"/>
      <c r="RW106" s="184"/>
      <c r="RX106" s="184"/>
      <c r="RY106" s="184"/>
      <c r="RZ106" s="184"/>
      <c r="SA106" s="184"/>
      <c r="SB106" s="184"/>
      <c r="SC106" s="184"/>
      <c r="SD106" s="184"/>
      <c r="SE106" s="184"/>
      <c r="SF106" s="184"/>
      <c r="SG106" s="184"/>
      <c r="SH106" s="184"/>
      <c r="SI106" s="184"/>
      <c r="SJ106" s="184"/>
      <c r="SK106" s="184"/>
      <c r="SL106" s="184"/>
      <c r="SM106" s="184"/>
      <c r="SN106" s="184"/>
      <c r="SO106" s="184"/>
      <c r="SP106" s="184"/>
      <c r="SQ106" s="184"/>
      <c r="SR106" s="184"/>
      <c r="SS106" s="184"/>
      <c r="ST106" s="184"/>
      <c r="SU106" s="184"/>
      <c r="SV106" s="184"/>
      <c r="SW106" s="184"/>
      <c r="SX106" s="184"/>
      <c r="SY106" s="184"/>
      <c r="SZ106" s="184"/>
      <c r="TA106" s="184"/>
      <c r="TB106" s="185"/>
      <c r="TC106" s="11"/>
      <c r="TD106" s="11"/>
      <c r="TE106" s="11"/>
      <c r="TF106" s="11"/>
    </row>
    <row r="107" spans="1:526" ht="19.5" thickBot="1" x14ac:dyDescent="0.3">
      <c r="A107" s="298"/>
      <c r="B107" s="25" t="s">
        <v>27</v>
      </c>
      <c r="BY107" s="184"/>
      <c r="BZ107" s="184"/>
      <c r="CA107" s="184"/>
      <c r="CB107" s="184"/>
      <c r="CC107" s="184"/>
      <c r="CD107" s="184"/>
      <c r="CE107" s="184"/>
      <c r="CF107" s="184"/>
      <c r="CG107" s="184"/>
      <c r="CH107" s="184"/>
      <c r="CI107" s="184"/>
      <c r="CJ107" s="184"/>
      <c r="CK107" s="184"/>
      <c r="CL107" s="184"/>
      <c r="CM107" s="184"/>
      <c r="CN107" s="184"/>
      <c r="CO107" s="184"/>
      <c r="CP107" s="184"/>
      <c r="CQ107" s="184"/>
      <c r="CR107" s="184"/>
      <c r="CS107" s="184"/>
      <c r="CT107" s="184"/>
      <c r="CU107" s="184"/>
      <c r="CV107" s="184"/>
      <c r="CW107" s="184"/>
      <c r="CX107" s="184"/>
      <c r="CY107" s="184"/>
      <c r="CZ107" s="184"/>
      <c r="DA107" s="184"/>
      <c r="DB107" s="184"/>
      <c r="DC107" s="184"/>
      <c r="DD107" s="184"/>
      <c r="DE107" s="184"/>
      <c r="DF107" s="184"/>
      <c r="DG107" s="184"/>
      <c r="DH107" s="184"/>
      <c r="DI107" s="184"/>
      <c r="DJ107" s="184"/>
      <c r="DK107" s="184"/>
      <c r="DL107" s="184"/>
      <c r="DM107" s="184"/>
      <c r="DN107" s="184"/>
      <c r="DO107" s="184"/>
      <c r="DP107" s="184"/>
      <c r="DQ107" s="184"/>
      <c r="DR107" s="184"/>
      <c r="DS107" s="184"/>
      <c r="DT107" s="184"/>
      <c r="DU107" s="184"/>
      <c r="DV107" s="184"/>
      <c r="DW107" s="184"/>
      <c r="DX107" s="184"/>
      <c r="DY107" s="184"/>
      <c r="DZ107" s="184"/>
      <c r="EA107" s="184"/>
      <c r="EB107" s="184"/>
      <c r="EC107" s="184"/>
      <c r="ED107" s="184"/>
      <c r="EE107" s="184"/>
      <c r="EF107" s="184"/>
      <c r="EG107" s="184"/>
      <c r="EH107" s="184"/>
      <c r="EI107" s="184"/>
      <c r="EJ107" s="184"/>
      <c r="EK107" s="184"/>
      <c r="EL107" s="184"/>
      <c r="EM107" s="184"/>
      <c r="EN107" s="184"/>
      <c r="EO107" s="184"/>
      <c r="EP107" s="184"/>
      <c r="EQ107" s="184"/>
      <c r="ER107" s="184"/>
      <c r="ES107" s="184"/>
      <c r="ET107" s="184"/>
      <c r="EU107" s="184"/>
      <c r="EV107" s="184"/>
      <c r="EW107" s="184"/>
      <c r="EX107" s="184"/>
      <c r="EY107" s="184"/>
      <c r="EZ107" s="184"/>
      <c r="FA107" s="184"/>
      <c r="FB107" s="184"/>
      <c r="FC107" s="184"/>
      <c r="FD107" s="184"/>
      <c r="FE107" s="184"/>
      <c r="FF107" s="184"/>
      <c r="FG107" s="184"/>
      <c r="FH107" s="184"/>
      <c r="FI107" s="184"/>
      <c r="FJ107" s="184"/>
      <c r="FK107" s="184"/>
      <c r="FL107" s="184"/>
      <c r="FM107" s="184"/>
      <c r="FN107" s="184"/>
      <c r="FO107" s="184"/>
      <c r="FP107" s="184"/>
      <c r="FQ107" s="184"/>
      <c r="FR107" s="184"/>
      <c r="FS107" s="184"/>
      <c r="FT107" s="184"/>
      <c r="FU107" s="184"/>
      <c r="FV107" s="184"/>
      <c r="FW107" s="184"/>
      <c r="FX107" s="184"/>
      <c r="FY107" s="184"/>
      <c r="FZ107" s="184"/>
      <c r="GA107" s="184"/>
      <c r="GB107" s="184"/>
      <c r="GC107" s="184"/>
      <c r="GD107" s="184"/>
      <c r="GE107" s="184"/>
      <c r="GF107" s="184"/>
      <c r="GG107" s="184"/>
      <c r="GH107" s="184"/>
      <c r="GI107" s="184"/>
      <c r="GJ107" s="184"/>
      <c r="GK107" s="184"/>
      <c r="GL107" s="184"/>
      <c r="GM107" s="184"/>
      <c r="GN107" s="184"/>
      <c r="GO107" s="184"/>
      <c r="GP107" s="184"/>
      <c r="GQ107" s="184"/>
      <c r="GR107" s="184"/>
      <c r="GS107" s="184"/>
      <c r="GT107" s="184"/>
      <c r="GU107" s="184"/>
      <c r="GV107" s="184"/>
      <c r="GW107" s="184"/>
      <c r="GX107" s="184"/>
      <c r="GY107" s="184"/>
      <c r="GZ107" s="184"/>
      <c r="HA107" s="184"/>
      <c r="HB107" s="184"/>
      <c r="HC107" s="184"/>
      <c r="HD107" s="184"/>
      <c r="HE107" s="184"/>
      <c r="HF107" s="184"/>
      <c r="HG107" s="184"/>
      <c r="HH107" s="184"/>
      <c r="HI107" s="184"/>
      <c r="HJ107" s="184"/>
      <c r="HK107" s="184"/>
      <c r="HL107" s="184"/>
      <c r="HM107" s="184"/>
      <c r="HN107" s="184"/>
      <c r="HO107" s="184"/>
      <c r="HP107" s="184"/>
      <c r="HQ107" s="184"/>
      <c r="HR107" s="184"/>
      <c r="HS107" s="184"/>
      <c r="HT107" s="184"/>
      <c r="HU107" s="184"/>
      <c r="HV107" s="184"/>
      <c r="HW107" s="184"/>
      <c r="HX107" s="184"/>
      <c r="HY107" s="184"/>
      <c r="HZ107" s="184"/>
      <c r="IA107" s="184"/>
      <c r="IB107" s="184"/>
      <c r="IC107" s="184"/>
      <c r="ID107" s="184"/>
      <c r="IE107" s="184"/>
      <c r="IF107" s="184"/>
      <c r="IG107" s="184"/>
      <c r="IH107" s="184"/>
      <c r="II107" s="184"/>
      <c r="IJ107" s="184"/>
      <c r="IK107" s="184"/>
      <c r="IL107" s="184"/>
      <c r="IM107" s="184"/>
      <c r="IN107" s="184"/>
      <c r="IO107" s="184"/>
      <c r="IP107" s="184"/>
      <c r="IQ107" s="184"/>
      <c r="IR107" s="184"/>
      <c r="IS107" s="184"/>
      <c r="IT107" s="184"/>
      <c r="IU107" s="184"/>
      <c r="IV107" s="184"/>
      <c r="IW107" s="184"/>
      <c r="IX107" s="184"/>
      <c r="IY107" s="184"/>
      <c r="IZ107" s="184"/>
      <c r="JA107" s="184"/>
      <c r="JB107" s="184"/>
      <c r="JC107" s="184"/>
      <c r="JD107" s="184"/>
      <c r="JE107" s="184"/>
      <c r="JF107" s="184"/>
      <c r="JG107" s="184"/>
      <c r="JH107" s="184"/>
      <c r="JI107" s="184"/>
      <c r="JJ107" s="184"/>
      <c r="JK107" s="184"/>
      <c r="JL107" s="184"/>
      <c r="JM107" s="184"/>
      <c r="JN107" s="184"/>
      <c r="JO107" s="184"/>
      <c r="JP107" s="184"/>
      <c r="JQ107" s="184"/>
      <c r="JR107" s="184"/>
      <c r="JS107" s="184"/>
      <c r="JT107" s="184"/>
      <c r="JU107" s="184"/>
      <c r="JV107" s="184"/>
      <c r="JW107" s="184"/>
      <c r="JX107" s="184"/>
      <c r="JY107" s="184"/>
      <c r="JZ107" s="184"/>
      <c r="KA107" s="184"/>
      <c r="KB107" s="184"/>
      <c r="KC107" s="184"/>
      <c r="KD107" s="184"/>
      <c r="KE107" s="184"/>
      <c r="KF107" s="184"/>
      <c r="KG107" s="184"/>
      <c r="KH107" s="184"/>
      <c r="KI107" s="184"/>
      <c r="KJ107" s="184"/>
      <c r="KK107" s="184"/>
      <c r="KL107" s="184"/>
      <c r="KM107" s="184"/>
      <c r="KN107" s="184"/>
      <c r="KO107" s="184"/>
      <c r="KP107" s="184"/>
      <c r="KQ107" s="184"/>
      <c r="KR107" s="184"/>
      <c r="KS107" s="184"/>
      <c r="KT107" s="184"/>
      <c r="KU107" s="184"/>
      <c r="KV107" s="184"/>
      <c r="KW107" s="121">
        <f t="shared" si="980"/>
        <v>0</v>
      </c>
      <c r="KX107" s="108">
        <f t="shared" si="981"/>
        <v>0</v>
      </c>
      <c r="KY107" s="108">
        <f t="shared" si="982"/>
        <v>0</v>
      </c>
      <c r="KZ107" s="108">
        <f t="shared" si="983"/>
        <v>0</v>
      </c>
      <c r="LA107" s="108">
        <f t="shared" si="984"/>
        <v>0</v>
      </c>
      <c r="LB107" s="108">
        <f t="shared" si="984"/>
        <v>0</v>
      </c>
      <c r="LC107" s="108">
        <f t="shared" si="984"/>
        <v>0</v>
      </c>
      <c r="LD107" s="108">
        <f t="shared" si="984"/>
        <v>0</v>
      </c>
      <c r="LE107" s="108">
        <f t="shared" si="984"/>
        <v>0</v>
      </c>
      <c r="LF107" s="108">
        <f t="shared" si="984"/>
        <v>0</v>
      </c>
      <c r="LG107" s="108">
        <f t="shared" si="984"/>
        <v>0</v>
      </c>
      <c r="LH107" s="108">
        <f t="shared" si="984"/>
        <v>0</v>
      </c>
      <c r="LI107" s="108">
        <f t="shared" si="984"/>
        <v>0</v>
      </c>
      <c r="LJ107" s="108">
        <f t="shared" si="984"/>
        <v>0</v>
      </c>
      <c r="LK107" s="108">
        <f t="shared" si="984"/>
        <v>0</v>
      </c>
      <c r="LL107" s="108">
        <f t="shared" si="984"/>
        <v>0</v>
      </c>
      <c r="LM107" s="108">
        <f t="shared" si="984"/>
        <v>0</v>
      </c>
      <c r="LN107" s="108">
        <f t="shared" si="984"/>
        <v>0</v>
      </c>
      <c r="LO107" s="108">
        <f t="shared" si="984"/>
        <v>0</v>
      </c>
      <c r="LP107" s="108">
        <f t="shared" si="984"/>
        <v>0</v>
      </c>
      <c r="LQ107" s="108">
        <f t="shared" si="984"/>
        <v>0</v>
      </c>
      <c r="LR107" s="108">
        <f t="shared" si="984"/>
        <v>0</v>
      </c>
      <c r="LS107" s="108">
        <f t="shared" si="984"/>
        <v>0</v>
      </c>
      <c r="LT107" s="108">
        <f t="shared" si="984"/>
        <v>0</v>
      </c>
      <c r="LU107" s="108">
        <f t="shared" si="984"/>
        <v>0</v>
      </c>
      <c r="LV107" s="108">
        <f t="shared" si="984"/>
        <v>0</v>
      </c>
      <c r="LW107" s="108">
        <f t="shared" si="984"/>
        <v>0</v>
      </c>
      <c r="LX107" s="108">
        <f t="shared" si="984"/>
        <v>0</v>
      </c>
      <c r="LY107" s="108">
        <f t="shared" si="984"/>
        <v>0</v>
      </c>
      <c r="LZ107" s="108">
        <f t="shared" si="984"/>
        <v>0</v>
      </c>
      <c r="MA107" s="108">
        <f t="shared" si="984"/>
        <v>0</v>
      </c>
      <c r="MB107" s="108">
        <f t="shared" si="984"/>
        <v>0</v>
      </c>
      <c r="MC107" s="108">
        <f t="shared" si="984"/>
        <v>0</v>
      </c>
      <c r="MD107" s="108">
        <f t="shared" si="984"/>
        <v>0</v>
      </c>
      <c r="ME107" s="108">
        <f t="shared" si="984"/>
        <v>0</v>
      </c>
      <c r="MF107" s="108">
        <f t="shared" si="984"/>
        <v>0</v>
      </c>
      <c r="MG107" s="108">
        <f t="shared" si="984"/>
        <v>0</v>
      </c>
      <c r="MH107" s="108">
        <f t="shared" si="984"/>
        <v>0</v>
      </c>
      <c r="MI107" s="108">
        <f t="shared" si="984"/>
        <v>0</v>
      </c>
      <c r="MJ107" s="108">
        <f t="shared" si="984"/>
        <v>0</v>
      </c>
      <c r="MK107" s="108">
        <f t="shared" si="984"/>
        <v>0</v>
      </c>
      <c r="ML107" s="108">
        <f t="shared" si="984"/>
        <v>0</v>
      </c>
      <c r="MM107" s="108">
        <f t="shared" si="984"/>
        <v>0</v>
      </c>
      <c r="MN107" s="108">
        <f t="shared" si="984"/>
        <v>0</v>
      </c>
      <c r="MO107" s="108">
        <f t="shared" si="984"/>
        <v>0</v>
      </c>
      <c r="MP107" s="108">
        <f t="shared" si="984"/>
        <v>0</v>
      </c>
      <c r="MQ107" s="108">
        <f t="shared" si="984"/>
        <v>0</v>
      </c>
      <c r="MR107" s="108">
        <f t="shared" si="984"/>
        <v>0</v>
      </c>
      <c r="MS107" s="108">
        <f t="shared" si="984"/>
        <v>0</v>
      </c>
      <c r="MT107" s="108">
        <f t="shared" si="984"/>
        <v>0</v>
      </c>
      <c r="MU107" s="108">
        <f t="shared" si="984"/>
        <v>0</v>
      </c>
      <c r="MV107" s="145">
        <f t="shared" si="984"/>
        <v>0</v>
      </c>
      <c r="MW107" s="145">
        <f t="shared" si="984"/>
        <v>0</v>
      </c>
      <c r="MX107" s="145">
        <f t="shared" si="984"/>
        <v>0</v>
      </c>
      <c r="MY107" s="145">
        <f t="shared" si="984"/>
        <v>0</v>
      </c>
      <c r="MZ107" s="145">
        <f t="shared" si="984"/>
        <v>0</v>
      </c>
      <c r="NA107" s="145">
        <f t="shared" si="984"/>
        <v>0</v>
      </c>
      <c r="NB107" s="145">
        <f t="shared" si="984"/>
        <v>0</v>
      </c>
      <c r="NC107" s="145">
        <f t="shared" si="984"/>
        <v>0</v>
      </c>
      <c r="ND107" s="145">
        <f t="shared" si="984"/>
        <v>0</v>
      </c>
      <c r="NE107" s="145">
        <f t="shared" si="984"/>
        <v>0</v>
      </c>
      <c r="NF107" s="145">
        <f t="shared" si="984"/>
        <v>0</v>
      </c>
      <c r="NG107" s="145">
        <f t="shared" si="984"/>
        <v>0</v>
      </c>
      <c r="NH107" s="145">
        <f t="shared" si="984"/>
        <v>0</v>
      </c>
      <c r="NI107" s="145">
        <f t="shared" si="984"/>
        <v>0</v>
      </c>
      <c r="NJ107" s="145">
        <f t="shared" si="985"/>
        <v>0</v>
      </c>
      <c r="NK107" s="145">
        <f t="shared" si="985"/>
        <v>0</v>
      </c>
      <c r="NL107" s="145">
        <f t="shared" si="985"/>
        <v>0</v>
      </c>
      <c r="NM107" s="145">
        <f t="shared" si="985"/>
        <v>0</v>
      </c>
      <c r="NN107" s="145">
        <f t="shared" si="985"/>
        <v>0</v>
      </c>
      <c r="NO107" s="145">
        <f t="shared" si="985"/>
        <v>0</v>
      </c>
      <c r="NP107" s="145">
        <f t="shared" si="985"/>
        <v>0</v>
      </c>
      <c r="NQ107" s="145">
        <f t="shared" si="985"/>
        <v>0</v>
      </c>
      <c r="NR107" s="145">
        <f t="shared" si="985"/>
        <v>0</v>
      </c>
      <c r="NS107" s="146">
        <f t="shared" si="985"/>
        <v>0</v>
      </c>
      <c r="NT107" s="146">
        <f t="shared" si="985"/>
        <v>0</v>
      </c>
      <c r="NU107" s="146">
        <f t="shared" si="985"/>
        <v>0</v>
      </c>
      <c r="NV107" s="146">
        <f t="shared" si="985"/>
        <v>0</v>
      </c>
      <c r="NW107" s="146">
        <f t="shared" si="985"/>
        <v>0</v>
      </c>
      <c r="NX107" s="146">
        <f t="shared" si="985"/>
        <v>0</v>
      </c>
      <c r="NY107" s="146">
        <f t="shared" si="985"/>
        <v>0</v>
      </c>
      <c r="NZ107" s="146">
        <f t="shared" si="985"/>
        <v>0</v>
      </c>
      <c r="OA107" s="146">
        <f t="shared" si="985"/>
        <v>0</v>
      </c>
      <c r="OB107" s="146">
        <f t="shared" si="985"/>
        <v>0</v>
      </c>
      <c r="OC107" s="146">
        <f t="shared" si="985"/>
        <v>0</v>
      </c>
      <c r="OD107" s="146">
        <f t="shared" si="985"/>
        <v>0</v>
      </c>
      <c r="OE107" s="146">
        <f t="shared" si="985"/>
        <v>0</v>
      </c>
      <c r="OF107" s="146">
        <f t="shared" si="985"/>
        <v>0</v>
      </c>
      <c r="OG107" s="146">
        <f t="shared" si="985"/>
        <v>0</v>
      </c>
      <c r="OH107" s="146">
        <f t="shared" si="985"/>
        <v>0</v>
      </c>
      <c r="OI107" s="146">
        <f t="shared" si="985"/>
        <v>0</v>
      </c>
      <c r="OJ107" s="146">
        <f t="shared" si="985"/>
        <v>0</v>
      </c>
      <c r="OK107" s="146">
        <f t="shared" si="985"/>
        <v>0</v>
      </c>
      <c r="OL107" s="146">
        <f t="shared" si="985"/>
        <v>0</v>
      </c>
      <c r="OM107" s="146">
        <f t="shared" si="985"/>
        <v>0</v>
      </c>
      <c r="ON107" s="146">
        <f t="shared" si="985"/>
        <v>0</v>
      </c>
      <c r="OO107" s="146">
        <f t="shared" si="985"/>
        <v>0</v>
      </c>
      <c r="OP107" s="146">
        <f t="shared" si="985"/>
        <v>0</v>
      </c>
      <c r="OQ107" s="146">
        <f t="shared" si="985"/>
        <v>0</v>
      </c>
      <c r="OR107" s="146">
        <f t="shared" si="985"/>
        <v>0</v>
      </c>
      <c r="OS107" s="146">
        <f t="shared" si="985"/>
        <v>0</v>
      </c>
      <c r="OT107" s="146">
        <f t="shared" si="985"/>
        <v>0</v>
      </c>
      <c r="OU107" s="156">
        <f t="shared" si="985"/>
        <v>0</v>
      </c>
      <c r="OV107" s="156">
        <f t="shared" si="985"/>
        <v>0</v>
      </c>
      <c r="OW107" s="156">
        <f t="shared" si="985"/>
        <v>0</v>
      </c>
      <c r="OX107" s="156">
        <f t="shared" si="985"/>
        <v>0</v>
      </c>
      <c r="OY107" s="156">
        <f t="shared" si="985"/>
        <v>0</v>
      </c>
      <c r="OZ107" s="156">
        <f t="shared" si="985"/>
        <v>0</v>
      </c>
      <c r="PA107" s="156">
        <f t="shared" si="985"/>
        <v>0</v>
      </c>
      <c r="PB107" s="156">
        <f t="shared" si="985"/>
        <v>0</v>
      </c>
      <c r="PC107" s="156">
        <f t="shared" si="985"/>
        <v>0</v>
      </c>
      <c r="PD107" s="156">
        <f t="shared" si="985"/>
        <v>0</v>
      </c>
      <c r="PE107" s="156">
        <f t="shared" si="985"/>
        <v>0</v>
      </c>
      <c r="PF107" s="156">
        <f t="shared" si="985"/>
        <v>0</v>
      </c>
      <c r="PG107" s="156">
        <f t="shared" si="985"/>
        <v>0</v>
      </c>
      <c r="PH107" s="156">
        <f t="shared" si="985"/>
        <v>0</v>
      </c>
      <c r="PI107" s="156">
        <f t="shared" si="985"/>
        <v>0</v>
      </c>
      <c r="PJ107" s="156">
        <f t="shared" si="985"/>
        <v>0</v>
      </c>
      <c r="PK107" s="156">
        <f t="shared" si="985"/>
        <v>0</v>
      </c>
      <c r="PL107" s="156">
        <f t="shared" si="985"/>
        <v>0</v>
      </c>
      <c r="PM107" s="156">
        <f t="shared" si="985"/>
        <v>0</v>
      </c>
      <c r="PN107" s="156">
        <f t="shared" si="985"/>
        <v>0</v>
      </c>
      <c r="PO107" s="156">
        <f t="shared" si="985"/>
        <v>0</v>
      </c>
      <c r="PP107" s="156">
        <f t="shared" si="985"/>
        <v>0</v>
      </c>
      <c r="PQ107" s="156">
        <f t="shared" si="985"/>
        <v>0</v>
      </c>
      <c r="PR107" s="156">
        <f t="shared" si="985"/>
        <v>0</v>
      </c>
      <c r="PS107" s="156">
        <f t="shared" si="985"/>
        <v>0</v>
      </c>
      <c r="PT107" s="156">
        <f t="shared" si="985"/>
        <v>0</v>
      </c>
      <c r="PU107" s="156">
        <f t="shared" si="985"/>
        <v>0</v>
      </c>
      <c r="PV107" s="179">
        <f t="shared" si="986"/>
        <v>0</v>
      </c>
      <c r="PW107" s="156">
        <f t="shared" si="986"/>
        <v>0</v>
      </c>
      <c r="PX107" s="179">
        <f t="shared" si="986"/>
        <v>0</v>
      </c>
      <c r="PY107" s="156">
        <f t="shared" si="989"/>
        <v>0</v>
      </c>
      <c r="PZ107" s="156">
        <f t="shared" si="987"/>
        <v>0</v>
      </c>
      <c r="QA107" s="156">
        <f t="shared" si="987"/>
        <v>0</v>
      </c>
      <c r="QB107" s="156">
        <f t="shared" si="987"/>
        <v>0</v>
      </c>
      <c r="QC107" s="179">
        <f t="shared" si="987"/>
        <v>0</v>
      </c>
      <c r="QD107" s="156">
        <f t="shared" si="987"/>
        <v>0</v>
      </c>
      <c r="QE107" s="179">
        <f t="shared" si="987"/>
        <v>0</v>
      </c>
      <c r="QF107" s="156">
        <f t="shared" si="987"/>
        <v>0</v>
      </c>
      <c r="QG107" s="156">
        <f t="shared" si="987"/>
        <v>0</v>
      </c>
      <c r="QH107" s="156">
        <f t="shared" si="987"/>
        <v>0</v>
      </c>
      <c r="QI107" s="156">
        <f t="shared" si="987"/>
        <v>0</v>
      </c>
      <c r="QJ107" s="179">
        <f t="shared" si="987"/>
        <v>0</v>
      </c>
      <c r="QK107" s="156">
        <f t="shared" si="987"/>
        <v>0</v>
      </c>
      <c r="QL107" s="179">
        <f t="shared" si="987"/>
        <v>0</v>
      </c>
      <c r="QM107" s="156">
        <f t="shared" si="987"/>
        <v>0</v>
      </c>
      <c r="QN107" s="156">
        <f t="shared" si="990"/>
        <v>0</v>
      </c>
      <c r="QO107" s="156">
        <f t="shared" si="991"/>
        <v>0</v>
      </c>
      <c r="QP107" s="156">
        <f t="shared" si="992"/>
        <v>0</v>
      </c>
      <c r="QQ107" s="179">
        <f t="shared" si="993"/>
        <v>0</v>
      </c>
      <c r="QR107" s="156">
        <f t="shared" si="994"/>
        <v>0</v>
      </c>
      <c r="QS107" s="179">
        <f t="shared" si="995"/>
        <v>0</v>
      </c>
      <c r="QT107" s="184"/>
      <c r="QU107" s="184"/>
      <c r="QV107" s="184"/>
      <c r="QW107" s="184"/>
      <c r="QX107" s="184"/>
      <c r="QY107" s="184"/>
      <c r="QZ107" s="184"/>
      <c r="RA107" s="184"/>
      <c r="RB107" s="184"/>
      <c r="RC107" s="184"/>
      <c r="RD107" s="184"/>
      <c r="RE107" s="184"/>
      <c r="RF107" s="184"/>
      <c r="RG107" s="184"/>
      <c r="RH107" s="184"/>
      <c r="RI107" s="184"/>
      <c r="RJ107" s="184"/>
      <c r="RK107" s="184"/>
      <c r="RL107" s="184"/>
      <c r="RM107" s="184"/>
      <c r="RN107" s="184"/>
      <c r="RO107" s="184"/>
      <c r="RP107" s="184"/>
      <c r="RQ107" s="184"/>
      <c r="RR107" s="184"/>
      <c r="RS107" s="184"/>
      <c r="RT107" s="184"/>
      <c r="RU107" s="184"/>
      <c r="RV107" s="184"/>
      <c r="RW107" s="184"/>
      <c r="RX107" s="184"/>
      <c r="RY107" s="184"/>
      <c r="RZ107" s="184"/>
      <c r="SA107" s="184"/>
      <c r="SB107" s="184"/>
      <c r="SC107" s="184"/>
      <c r="SD107" s="184"/>
      <c r="SE107" s="184"/>
      <c r="SF107" s="184"/>
      <c r="SG107" s="184"/>
      <c r="SH107" s="184"/>
      <c r="SI107" s="184"/>
      <c r="SJ107" s="184"/>
      <c r="SK107" s="184"/>
      <c r="SL107" s="184"/>
      <c r="SM107" s="184"/>
      <c r="SN107" s="184"/>
      <c r="SO107" s="184"/>
      <c r="SP107" s="184"/>
      <c r="SQ107" s="184"/>
      <c r="SR107" s="184"/>
      <c r="SS107" s="184"/>
      <c r="ST107" s="184"/>
      <c r="SU107" s="184"/>
      <c r="SV107" s="184"/>
      <c r="SW107" s="184"/>
      <c r="SX107" s="184"/>
      <c r="SY107" s="184"/>
      <c r="SZ107" s="184"/>
      <c r="TA107" s="184"/>
      <c r="TB107" s="185"/>
      <c r="TC107" s="11"/>
      <c r="TD107" s="11"/>
      <c r="TE107" s="11"/>
      <c r="TF107" s="11"/>
    </row>
    <row r="108" spans="1:526" ht="19.5" thickBot="1" x14ac:dyDescent="0.3">
      <c r="A108" s="298"/>
      <c r="B108" s="25" t="s">
        <v>25</v>
      </c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6"/>
      <c r="CL108" s="36"/>
      <c r="CM108" s="36"/>
      <c r="CN108" s="36"/>
      <c r="CO108" s="36"/>
      <c r="CP108" s="36"/>
      <c r="CQ108" s="36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6"/>
      <c r="DG108" s="36"/>
      <c r="DH108" s="36"/>
      <c r="DI108" s="36"/>
      <c r="DJ108" s="36"/>
      <c r="DK108" s="36"/>
      <c r="DL108" s="36"/>
      <c r="DM108" s="36"/>
      <c r="DN108" s="36"/>
      <c r="DO108" s="36"/>
      <c r="DP108" s="36"/>
      <c r="DQ108" s="36"/>
      <c r="DR108" s="36"/>
      <c r="DS108" s="36"/>
      <c r="DT108" s="36"/>
      <c r="DU108" s="36"/>
      <c r="DV108" s="36"/>
      <c r="DW108" s="36"/>
      <c r="DX108" s="36"/>
      <c r="DY108" s="36"/>
      <c r="DZ108" s="36"/>
      <c r="EA108" s="36"/>
      <c r="EB108" s="36"/>
      <c r="EC108" s="36"/>
      <c r="ED108" s="36"/>
      <c r="EE108" s="36"/>
      <c r="EF108" s="36"/>
      <c r="EG108" s="36"/>
      <c r="EH108" s="36"/>
      <c r="EI108" s="36"/>
      <c r="EJ108" s="36"/>
      <c r="EK108" s="36"/>
      <c r="EL108" s="36"/>
      <c r="EM108" s="36"/>
      <c r="EN108" s="36"/>
      <c r="EO108" s="36"/>
      <c r="EP108" s="36"/>
      <c r="EQ108" s="36"/>
      <c r="ER108" s="36"/>
      <c r="ES108" s="36"/>
      <c r="ET108" s="36"/>
      <c r="EU108" s="36"/>
      <c r="EV108" s="36"/>
      <c r="EW108" s="36"/>
      <c r="EX108" s="36"/>
      <c r="EY108" s="36"/>
      <c r="EZ108" s="36"/>
      <c r="FA108" s="36"/>
      <c r="FB108" s="36"/>
      <c r="FC108" s="36"/>
      <c r="FD108" s="36"/>
      <c r="FE108" s="36"/>
      <c r="FF108" s="36"/>
      <c r="FG108" s="36"/>
      <c r="FH108" s="36"/>
      <c r="FI108" s="36"/>
      <c r="FJ108" s="36"/>
      <c r="FK108" s="36"/>
      <c r="FL108" s="36"/>
      <c r="FM108" s="36"/>
      <c r="FN108" s="36"/>
      <c r="FO108" s="36"/>
      <c r="FP108" s="36"/>
      <c r="FQ108" s="36"/>
      <c r="FR108" s="36"/>
      <c r="FS108" s="36"/>
      <c r="FT108" s="36"/>
      <c r="FU108" s="36"/>
      <c r="FV108" s="36"/>
      <c r="FW108" s="36"/>
      <c r="FX108" s="36"/>
      <c r="FY108" s="36"/>
      <c r="FZ108" s="36"/>
      <c r="GA108" s="36"/>
      <c r="GB108" s="36"/>
      <c r="GC108" s="36"/>
      <c r="GD108" s="36"/>
      <c r="GE108" s="36"/>
      <c r="GF108" s="36"/>
      <c r="GG108" s="36"/>
      <c r="GH108" s="36"/>
      <c r="GI108" s="36"/>
      <c r="GJ108" s="36"/>
      <c r="GK108" s="36"/>
      <c r="GL108" s="36"/>
      <c r="GM108" s="36"/>
      <c r="GN108" s="36"/>
      <c r="GO108" s="36"/>
      <c r="GP108" s="36"/>
      <c r="GQ108" s="36"/>
      <c r="GR108" s="36"/>
      <c r="GS108" s="36"/>
      <c r="GT108" s="36"/>
      <c r="GU108" s="36"/>
      <c r="GV108" s="36"/>
      <c r="GW108" s="36"/>
      <c r="GX108" s="36"/>
      <c r="GY108" s="36"/>
      <c r="GZ108" s="36"/>
      <c r="HA108" s="36"/>
      <c r="HB108" s="36"/>
      <c r="HC108" s="36"/>
      <c r="HD108" s="36"/>
      <c r="HE108" s="36"/>
      <c r="HF108" s="36"/>
      <c r="HG108" s="36"/>
      <c r="HH108" s="36"/>
      <c r="HI108" s="36"/>
      <c r="HJ108" s="36"/>
      <c r="HK108" s="36"/>
      <c r="HL108" s="36"/>
      <c r="HM108" s="36"/>
      <c r="HN108" s="36"/>
      <c r="HO108" s="36"/>
      <c r="HP108" s="36"/>
      <c r="HQ108" s="36"/>
      <c r="HR108" s="36"/>
      <c r="HS108" s="36"/>
      <c r="HT108" s="36"/>
      <c r="HU108" s="36"/>
      <c r="HV108" s="36"/>
      <c r="HW108" s="36"/>
      <c r="HX108" s="36"/>
      <c r="HY108" s="36"/>
      <c r="HZ108" s="36"/>
      <c r="IA108" s="36"/>
      <c r="IB108" s="36"/>
      <c r="IC108" s="36"/>
      <c r="ID108" s="36"/>
      <c r="IE108" s="36"/>
      <c r="IF108" s="36"/>
      <c r="IG108" s="36"/>
      <c r="IH108" s="36"/>
      <c r="II108" s="36"/>
      <c r="IJ108" s="36"/>
      <c r="IK108" s="36"/>
      <c r="IL108" s="36"/>
      <c r="IM108" s="36"/>
      <c r="IN108" s="36"/>
      <c r="IO108" s="36"/>
      <c r="IP108" s="36"/>
      <c r="IQ108" s="36"/>
      <c r="IR108" s="36"/>
      <c r="IS108" s="36"/>
      <c r="IT108" s="36"/>
      <c r="IU108" s="36"/>
      <c r="IV108" s="36"/>
      <c r="IW108" s="36"/>
      <c r="IX108" s="36"/>
      <c r="IY108" s="36"/>
      <c r="IZ108" s="36"/>
      <c r="JA108" s="36"/>
      <c r="JB108" s="36"/>
      <c r="JC108" s="36"/>
      <c r="JD108" s="36"/>
      <c r="JE108" s="36"/>
      <c r="JF108" s="36"/>
      <c r="JG108" s="36"/>
      <c r="JH108" s="36"/>
      <c r="JI108" s="36"/>
      <c r="JJ108" s="36"/>
      <c r="JK108" s="36"/>
      <c r="JL108" s="36"/>
      <c r="JM108" s="36"/>
      <c r="JN108" s="36"/>
      <c r="JO108" s="36"/>
      <c r="JP108" s="36"/>
      <c r="JQ108" s="36"/>
      <c r="JR108" s="36"/>
      <c r="JS108" s="36"/>
      <c r="JT108" s="36"/>
      <c r="JU108" s="36"/>
      <c r="JV108" s="36"/>
      <c r="JW108" s="36"/>
      <c r="JX108" s="36"/>
      <c r="JY108" s="36"/>
      <c r="JZ108" s="36"/>
      <c r="KA108" s="36"/>
      <c r="KB108" s="36"/>
      <c r="KC108" s="36"/>
      <c r="KD108" s="36"/>
      <c r="KE108" s="36"/>
      <c r="KF108" s="36"/>
      <c r="KG108" s="36"/>
      <c r="KH108" s="36"/>
      <c r="KI108" s="36"/>
      <c r="KJ108" s="36"/>
      <c r="KK108" s="36"/>
      <c r="KL108" s="36"/>
      <c r="KM108" s="36"/>
      <c r="KN108" s="36"/>
      <c r="KO108" s="36"/>
      <c r="KP108" s="36"/>
      <c r="KQ108" s="36"/>
      <c r="KR108" s="36"/>
      <c r="KS108" s="36"/>
      <c r="KT108" s="36"/>
      <c r="KU108" s="36"/>
      <c r="KV108" s="36"/>
      <c r="KW108" s="138">
        <f t="shared" si="980"/>
        <v>0</v>
      </c>
      <c r="KX108" s="108">
        <f t="shared" si="981"/>
        <v>0</v>
      </c>
      <c r="KY108" s="108">
        <f t="shared" si="982"/>
        <v>0</v>
      </c>
      <c r="KZ108" s="108">
        <f t="shared" si="983"/>
        <v>0</v>
      </c>
      <c r="LA108" s="108">
        <f t="shared" si="984"/>
        <v>0</v>
      </c>
      <c r="LB108" s="108">
        <f t="shared" si="984"/>
        <v>0</v>
      </c>
      <c r="LC108" s="108">
        <f t="shared" si="984"/>
        <v>0</v>
      </c>
      <c r="LD108" s="108">
        <f t="shared" si="984"/>
        <v>0</v>
      </c>
      <c r="LE108" s="108">
        <f t="shared" si="984"/>
        <v>0</v>
      </c>
      <c r="LF108" s="108">
        <f t="shared" si="984"/>
        <v>0</v>
      </c>
      <c r="LG108" s="108">
        <f t="shared" si="984"/>
        <v>0</v>
      </c>
      <c r="LH108" s="108">
        <f t="shared" si="984"/>
        <v>0</v>
      </c>
      <c r="LI108" s="108">
        <f t="shared" si="984"/>
        <v>0</v>
      </c>
      <c r="LJ108" s="108">
        <f t="shared" si="984"/>
        <v>0</v>
      </c>
      <c r="LK108" s="108">
        <f t="shared" si="984"/>
        <v>0</v>
      </c>
      <c r="LL108" s="108">
        <f t="shared" si="984"/>
        <v>0</v>
      </c>
      <c r="LM108" s="108">
        <f t="shared" si="984"/>
        <v>0</v>
      </c>
      <c r="LN108" s="108">
        <f t="shared" si="984"/>
        <v>0</v>
      </c>
      <c r="LO108" s="108">
        <f t="shared" si="984"/>
        <v>0</v>
      </c>
      <c r="LP108" s="108">
        <f t="shared" si="984"/>
        <v>0</v>
      </c>
      <c r="LQ108" s="108">
        <f t="shared" si="984"/>
        <v>0</v>
      </c>
      <c r="LR108" s="108">
        <f t="shared" si="984"/>
        <v>0</v>
      </c>
      <c r="LS108" s="108">
        <f t="shared" si="984"/>
        <v>0</v>
      </c>
      <c r="LT108" s="108">
        <f t="shared" si="984"/>
        <v>0</v>
      </c>
      <c r="LU108" s="108">
        <f t="shared" si="984"/>
        <v>0</v>
      </c>
      <c r="LV108" s="108">
        <f t="shared" si="984"/>
        <v>0</v>
      </c>
      <c r="LW108" s="108">
        <f t="shared" si="984"/>
        <v>0</v>
      </c>
      <c r="LX108" s="108">
        <f t="shared" si="984"/>
        <v>0</v>
      </c>
      <c r="LY108" s="108">
        <f t="shared" si="984"/>
        <v>0</v>
      </c>
      <c r="LZ108" s="108">
        <f t="shared" si="984"/>
        <v>0</v>
      </c>
      <c r="MA108" s="108">
        <f t="shared" si="984"/>
        <v>0</v>
      </c>
      <c r="MB108" s="108">
        <f t="shared" si="984"/>
        <v>0</v>
      </c>
      <c r="MC108" s="108">
        <f t="shared" si="984"/>
        <v>0</v>
      </c>
      <c r="MD108" s="108">
        <f t="shared" si="984"/>
        <v>0</v>
      </c>
      <c r="ME108" s="108">
        <f t="shared" si="984"/>
        <v>0</v>
      </c>
      <c r="MF108" s="108">
        <f t="shared" si="984"/>
        <v>0</v>
      </c>
      <c r="MG108" s="108">
        <f t="shared" si="984"/>
        <v>0</v>
      </c>
      <c r="MH108" s="108">
        <f t="shared" si="984"/>
        <v>0</v>
      </c>
      <c r="MI108" s="108">
        <f t="shared" si="984"/>
        <v>0</v>
      </c>
      <c r="MJ108" s="108">
        <f t="shared" si="984"/>
        <v>0</v>
      </c>
      <c r="MK108" s="108">
        <f t="shared" si="984"/>
        <v>0</v>
      </c>
      <c r="ML108" s="108">
        <f t="shared" si="984"/>
        <v>0</v>
      </c>
      <c r="MM108" s="108">
        <f t="shared" si="984"/>
        <v>0</v>
      </c>
      <c r="MN108" s="108">
        <f t="shared" si="984"/>
        <v>0</v>
      </c>
      <c r="MO108" s="108">
        <f t="shared" si="984"/>
        <v>0</v>
      </c>
      <c r="MP108" s="108">
        <f t="shared" si="984"/>
        <v>0</v>
      </c>
      <c r="MQ108" s="108">
        <f t="shared" si="984"/>
        <v>0</v>
      </c>
      <c r="MR108" s="108">
        <f t="shared" si="984"/>
        <v>0</v>
      </c>
      <c r="MS108" s="108">
        <f t="shared" si="984"/>
        <v>0</v>
      </c>
      <c r="MT108" s="108">
        <f t="shared" si="984"/>
        <v>0</v>
      </c>
      <c r="MU108" s="108">
        <f t="shared" si="984"/>
        <v>0</v>
      </c>
      <c r="MV108" s="145">
        <f t="shared" si="984"/>
        <v>0</v>
      </c>
      <c r="MW108" s="145">
        <f t="shared" si="984"/>
        <v>0</v>
      </c>
      <c r="MX108" s="145">
        <f t="shared" si="984"/>
        <v>0</v>
      </c>
      <c r="MY108" s="145">
        <f t="shared" si="984"/>
        <v>0</v>
      </c>
      <c r="MZ108" s="145">
        <f t="shared" si="984"/>
        <v>0</v>
      </c>
      <c r="NA108" s="145">
        <f t="shared" si="984"/>
        <v>0</v>
      </c>
      <c r="NB108" s="145">
        <f t="shared" si="984"/>
        <v>0</v>
      </c>
      <c r="NC108" s="145">
        <f t="shared" si="984"/>
        <v>0</v>
      </c>
      <c r="ND108" s="145">
        <f t="shared" si="984"/>
        <v>0</v>
      </c>
      <c r="NE108" s="145">
        <f t="shared" si="984"/>
        <v>0</v>
      </c>
      <c r="NF108" s="145">
        <f t="shared" si="984"/>
        <v>0</v>
      </c>
      <c r="NG108" s="145">
        <f t="shared" si="984"/>
        <v>0</v>
      </c>
      <c r="NH108" s="145">
        <f t="shared" si="984"/>
        <v>0</v>
      </c>
      <c r="NI108" s="145">
        <f t="shared" ref="NI108:NI117" si="996">BO30</f>
        <v>0</v>
      </c>
      <c r="NJ108" s="145">
        <f t="shared" si="985"/>
        <v>0</v>
      </c>
      <c r="NK108" s="145">
        <f t="shared" si="985"/>
        <v>0</v>
      </c>
      <c r="NL108" s="145">
        <f t="shared" si="985"/>
        <v>0</v>
      </c>
      <c r="NM108" s="145">
        <f t="shared" si="985"/>
        <v>0</v>
      </c>
      <c r="NN108" s="145">
        <f t="shared" si="985"/>
        <v>0</v>
      </c>
      <c r="NO108" s="145">
        <f t="shared" si="985"/>
        <v>0</v>
      </c>
      <c r="NP108" s="145">
        <f t="shared" si="985"/>
        <v>0</v>
      </c>
      <c r="NQ108" s="145">
        <f t="shared" si="985"/>
        <v>0</v>
      </c>
      <c r="NR108" s="145">
        <f t="shared" si="985"/>
        <v>0</v>
      </c>
      <c r="NS108" s="146">
        <f t="shared" si="985"/>
        <v>0</v>
      </c>
      <c r="NT108" s="146">
        <f t="shared" si="985"/>
        <v>0</v>
      </c>
      <c r="NU108" s="146">
        <f t="shared" si="985"/>
        <v>0</v>
      </c>
      <c r="NV108" s="146">
        <f t="shared" si="985"/>
        <v>0</v>
      </c>
      <c r="NW108" s="146">
        <f t="shared" si="985"/>
        <v>0</v>
      </c>
      <c r="NX108" s="146">
        <f t="shared" si="985"/>
        <v>0</v>
      </c>
      <c r="NY108" s="146">
        <f t="shared" si="985"/>
        <v>0</v>
      </c>
      <c r="NZ108" s="146">
        <f t="shared" si="985"/>
        <v>0</v>
      </c>
      <c r="OA108" s="146">
        <f t="shared" si="985"/>
        <v>0</v>
      </c>
      <c r="OB108" s="146">
        <f t="shared" si="985"/>
        <v>0</v>
      </c>
      <c r="OC108" s="146">
        <f t="shared" si="985"/>
        <v>0</v>
      </c>
      <c r="OD108" s="146">
        <f t="shared" si="985"/>
        <v>0</v>
      </c>
      <c r="OE108" s="146">
        <f t="shared" si="985"/>
        <v>0</v>
      </c>
      <c r="OF108" s="146">
        <f t="shared" si="985"/>
        <v>0</v>
      </c>
      <c r="OG108" s="146">
        <f t="shared" si="985"/>
        <v>0</v>
      </c>
      <c r="OH108" s="146">
        <f t="shared" si="985"/>
        <v>0</v>
      </c>
      <c r="OI108" s="146">
        <f t="shared" si="985"/>
        <v>0</v>
      </c>
      <c r="OJ108" s="146">
        <f t="shared" si="985"/>
        <v>0</v>
      </c>
      <c r="OK108" s="146">
        <f t="shared" si="985"/>
        <v>0</v>
      </c>
      <c r="OL108" s="146">
        <f t="shared" si="985"/>
        <v>0</v>
      </c>
      <c r="OM108" s="146">
        <f t="shared" si="985"/>
        <v>0</v>
      </c>
      <c r="ON108" s="146">
        <f t="shared" si="985"/>
        <v>0</v>
      </c>
      <c r="OO108" s="146">
        <f t="shared" si="985"/>
        <v>0</v>
      </c>
      <c r="OP108" s="146">
        <f t="shared" si="985"/>
        <v>0</v>
      </c>
      <c r="OQ108" s="146">
        <f t="shared" si="985"/>
        <v>0</v>
      </c>
      <c r="OR108" s="146">
        <f t="shared" si="985"/>
        <v>0</v>
      </c>
      <c r="OS108" s="146">
        <f t="shared" si="985"/>
        <v>0</v>
      </c>
      <c r="OT108" s="146">
        <f t="shared" si="985"/>
        <v>0</v>
      </c>
      <c r="OU108" s="156">
        <f t="shared" si="985"/>
        <v>0</v>
      </c>
      <c r="OV108" s="156">
        <f t="shared" si="985"/>
        <v>0</v>
      </c>
      <c r="OW108" s="156">
        <f t="shared" si="985"/>
        <v>0</v>
      </c>
      <c r="OX108" s="156">
        <f t="shared" si="985"/>
        <v>0</v>
      </c>
      <c r="OY108" s="156">
        <f t="shared" si="985"/>
        <v>0</v>
      </c>
      <c r="OZ108" s="156">
        <f t="shared" si="985"/>
        <v>0</v>
      </c>
      <c r="PA108" s="156">
        <f t="shared" si="985"/>
        <v>0</v>
      </c>
      <c r="PB108" s="156">
        <f t="shared" si="985"/>
        <v>0</v>
      </c>
      <c r="PC108" s="156">
        <f t="shared" si="985"/>
        <v>0</v>
      </c>
      <c r="PD108" s="156">
        <f t="shared" si="985"/>
        <v>0</v>
      </c>
      <c r="PE108" s="156">
        <f t="shared" si="985"/>
        <v>0</v>
      </c>
      <c r="PF108" s="156">
        <f t="shared" si="985"/>
        <v>0</v>
      </c>
      <c r="PG108" s="156">
        <f t="shared" si="985"/>
        <v>0</v>
      </c>
      <c r="PH108" s="156">
        <f t="shared" si="985"/>
        <v>0</v>
      </c>
      <c r="PI108" s="156">
        <f t="shared" si="985"/>
        <v>0</v>
      </c>
      <c r="PJ108" s="156">
        <f t="shared" si="985"/>
        <v>0</v>
      </c>
      <c r="PK108" s="156">
        <f t="shared" si="985"/>
        <v>0</v>
      </c>
      <c r="PL108" s="156">
        <f t="shared" si="985"/>
        <v>0</v>
      </c>
      <c r="PM108" s="156">
        <f t="shared" si="985"/>
        <v>0</v>
      </c>
      <c r="PN108" s="156">
        <f t="shared" si="985"/>
        <v>0</v>
      </c>
      <c r="PO108" s="156">
        <f t="shared" si="985"/>
        <v>0</v>
      </c>
      <c r="PP108" s="156">
        <f t="shared" si="985"/>
        <v>0</v>
      </c>
      <c r="PQ108" s="156">
        <f t="shared" si="985"/>
        <v>0</v>
      </c>
      <c r="PR108" s="156">
        <f t="shared" si="985"/>
        <v>0</v>
      </c>
      <c r="PS108" s="156">
        <f t="shared" si="985"/>
        <v>0</v>
      </c>
      <c r="PT108" s="156">
        <f t="shared" si="985"/>
        <v>0</v>
      </c>
      <c r="PU108" s="178">
        <f t="shared" ref="PU108:PU117" si="997">EA30</f>
        <v>0</v>
      </c>
      <c r="PV108" s="181">
        <f t="shared" si="986"/>
        <v>24.185735913858924</v>
      </c>
      <c r="PW108" s="177">
        <f t="shared" si="986"/>
        <v>0</v>
      </c>
      <c r="PX108" s="181">
        <f t="shared" si="986"/>
        <v>24.082193323306559</v>
      </c>
      <c r="PY108" s="155">
        <f t="shared" si="989"/>
        <v>0</v>
      </c>
      <c r="PZ108" s="156">
        <f t="shared" si="987"/>
        <v>0</v>
      </c>
      <c r="QA108" s="156">
        <f t="shared" si="987"/>
        <v>0</v>
      </c>
      <c r="QB108" s="178">
        <f t="shared" si="987"/>
        <v>0</v>
      </c>
      <c r="QC108" s="181">
        <f t="shared" si="987"/>
        <v>23.834369382163725</v>
      </c>
      <c r="QD108" s="177">
        <f t="shared" si="987"/>
        <v>0</v>
      </c>
      <c r="QE108" s="181">
        <f t="shared" si="987"/>
        <v>23.729612561855234</v>
      </c>
      <c r="QF108" s="155">
        <f t="shared" si="987"/>
        <v>0</v>
      </c>
      <c r="QG108" s="156">
        <f t="shared" si="987"/>
        <v>0</v>
      </c>
      <c r="QH108" s="156">
        <f t="shared" si="987"/>
        <v>0</v>
      </c>
      <c r="QI108" s="178">
        <f t="shared" si="987"/>
        <v>0</v>
      </c>
      <c r="QJ108" s="181">
        <f t="shared" si="987"/>
        <v>23.481493552061213</v>
      </c>
      <c r="QK108" s="177">
        <f t="shared" si="987"/>
        <v>0</v>
      </c>
      <c r="QL108" s="181">
        <f t="shared" si="987"/>
        <v>23.372038483450538</v>
      </c>
      <c r="QM108" s="155">
        <f t="shared" si="987"/>
        <v>0</v>
      </c>
      <c r="QN108" s="156">
        <f t="shared" si="990"/>
        <v>0</v>
      </c>
      <c r="QO108" s="156">
        <f t="shared" si="991"/>
        <v>0</v>
      </c>
      <c r="QP108" s="178">
        <f t="shared" si="992"/>
        <v>0</v>
      </c>
      <c r="QQ108" s="181">
        <f t="shared" si="993"/>
        <v>23.116065489904333</v>
      </c>
      <c r="QR108" s="177">
        <f t="shared" si="994"/>
        <v>0</v>
      </c>
      <c r="QS108" s="181">
        <f t="shared" si="995"/>
        <v>22.977554025488825</v>
      </c>
      <c r="QT108" s="184"/>
      <c r="QU108" s="184"/>
      <c r="QV108" s="36"/>
      <c r="QW108" s="36"/>
      <c r="QX108" s="36"/>
      <c r="QY108" s="36"/>
      <c r="QZ108" s="36"/>
      <c r="RA108" s="36"/>
      <c r="RB108" s="36"/>
      <c r="RC108" s="36"/>
      <c r="RD108" s="36"/>
      <c r="RE108" s="36"/>
      <c r="RF108" s="36"/>
      <c r="RG108" s="36"/>
      <c r="RH108" s="36"/>
      <c r="RI108" s="36"/>
      <c r="RJ108" s="36"/>
      <c r="RK108" s="36"/>
      <c r="RL108" s="36"/>
      <c r="RM108" s="36"/>
      <c r="RN108" s="36"/>
      <c r="RO108" s="36"/>
      <c r="RP108" s="36"/>
      <c r="RQ108" s="36"/>
      <c r="RR108" s="36"/>
      <c r="RS108" s="36"/>
      <c r="RT108" s="36"/>
      <c r="RU108" s="36"/>
      <c r="RV108" s="36"/>
      <c r="RW108" s="36"/>
      <c r="RX108" s="36"/>
      <c r="RY108" s="36"/>
      <c r="RZ108" s="36"/>
      <c r="SA108" s="36"/>
      <c r="SB108" s="36"/>
      <c r="SC108" s="36"/>
      <c r="SD108" s="36"/>
      <c r="SE108" s="36"/>
      <c r="SF108" s="36"/>
      <c r="SG108" s="36"/>
      <c r="SH108" s="36"/>
      <c r="SI108" s="36"/>
      <c r="SJ108" s="36"/>
      <c r="SK108" s="36"/>
      <c r="SL108" s="36"/>
      <c r="SM108" s="36"/>
      <c r="SN108" s="36"/>
      <c r="SO108" s="36"/>
      <c r="SP108" s="36"/>
      <c r="SQ108" s="36"/>
      <c r="SR108" s="36"/>
      <c r="SS108" s="36"/>
      <c r="ST108" s="36"/>
      <c r="SU108" s="36"/>
      <c r="SV108" s="36"/>
      <c r="SW108" s="36"/>
      <c r="SX108" s="36"/>
      <c r="SY108" s="36"/>
      <c r="SZ108" s="36"/>
      <c r="TA108" s="36"/>
      <c r="TB108" s="37"/>
    </row>
    <row r="109" spans="1:526" ht="19.5" thickBot="1" x14ac:dyDescent="0.3">
      <c r="A109" s="298"/>
      <c r="B109" s="25" t="s">
        <v>2</v>
      </c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6"/>
      <c r="CL109" s="36"/>
      <c r="CM109" s="36"/>
      <c r="CN109" s="36"/>
      <c r="CO109" s="36"/>
      <c r="CP109" s="36"/>
      <c r="CQ109" s="36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6"/>
      <c r="DG109" s="36"/>
      <c r="DH109" s="36"/>
      <c r="DI109" s="36"/>
      <c r="DJ109" s="36"/>
      <c r="DK109" s="36"/>
      <c r="DL109" s="36"/>
      <c r="DM109" s="36"/>
      <c r="DN109" s="36"/>
      <c r="DO109" s="36"/>
      <c r="DP109" s="36"/>
      <c r="DQ109" s="36"/>
      <c r="DR109" s="36"/>
      <c r="DS109" s="36"/>
      <c r="DT109" s="36"/>
      <c r="DU109" s="36"/>
      <c r="DV109" s="36"/>
      <c r="DW109" s="36"/>
      <c r="DX109" s="36"/>
      <c r="DY109" s="36"/>
      <c r="DZ109" s="36"/>
      <c r="EA109" s="36"/>
      <c r="EB109" s="36"/>
      <c r="EC109" s="36"/>
      <c r="ED109" s="36"/>
      <c r="EE109" s="36"/>
      <c r="EF109" s="36"/>
      <c r="EG109" s="36"/>
      <c r="EH109" s="36"/>
      <c r="EI109" s="36"/>
      <c r="EJ109" s="36"/>
      <c r="EK109" s="36"/>
      <c r="EL109" s="36"/>
      <c r="EM109" s="36"/>
      <c r="EN109" s="36"/>
      <c r="EO109" s="36"/>
      <c r="EP109" s="36"/>
      <c r="EQ109" s="36"/>
      <c r="ER109" s="36"/>
      <c r="ES109" s="36"/>
      <c r="ET109" s="36"/>
      <c r="EU109" s="36"/>
      <c r="EV109" s="36"/>
      <c r="EW109" s="36"/>
      <c r="EX109" s="36"/>
      <c r="EY109" s="36"/>
      <c r="EZ109" s="36"/>
      <c r="FA109" s="36"/>
      <c r="FB109" s="36"/>
      <c r="FC109" s="36"/>
      <c r="FD109" s="36"/>
      <c r="FE109" s="36"/>
      <c r="FF109" s="36"/>
      <c r="FG109" s="36"/>
      <c r="FH109" s="36"/>
      <c r="FI109" s="36"/>
      <c r="FJ109" s="36"/>
      <c r="FK109" s="36"/>
      <c r="FL109" s="36"/>
      <c r="FM109" s="36"/>
      <c r="FN109" s="36"/>
      <c r="FO109" s="36"/>
      <c r="FP109" s="36"/>
      <c r="FQ109" s="36"/>
      <c r="FR109" s="36"/>
      <c r="FS109" s="36"/>
      <c r="FT109" s="36"/>
      <c r="FU109" s="36"/>
      <c r="FV109" s="36"/>
      <c r="FW109" s="36"/>
      <c r="FX109" s="36"/>
      <c r="FY109" s="36"/>
      <c r="FZ109" s="36"/>
      <c r="GA109" s="36"/>
      <c r="GB109" s="36"/>
      <c r="GC109" s="36"/>
      <c r="GD109" s="36"/>
      <c r="GE109" s="36"/>
      <c r="GF109" s="36"/>
      <c r="GG109" s="36"/>
      <c r="GH109" s="36"/>
      <c r="GI109" s="36"/>
      <c r="GJ109" s="36"/>
      <c r="GK109" s="36"/>
      <c r="GL109" s="36"/>
      <c r="GM109" s="36"/>
      <c r="GN109" s="36"/>
      <c r="GO109" s="36"/>
      <c r="GP109" s="36"/>
      <c r="GQ109" s="36"/>
      <c r="GR109" s="36"/>
      <c r="GS109" s="36"/>
      <c r="GT109" s="36"/>
      <c r="GU109" s="36"/>
      <c r="GV109" s="36"/>
      <c r="GW109" s="36"/>
      <c r="GX109" s="36"/>
      <c r="GY109" s="36"/>
      <c r="GZ109" s="36"/>
      <c r="HA109" s="36"/>
      <c r="HB109" s="36"/>
      <c r="HC109" s="36"/>
      <c r="HD109" s="36"/>
      <c r="HE109" s="36"/>
      <c r="HF109" s="36"/>
      <c r="HG109" s="36"/>
      <c r="HH109" s="36"/>
      <c r="HI109" s="36"/>
      <c r="HJ109" s="36"/>
      <c r="HK109" s="36"/>
      <c r="HL109" s="36"/>
      <c r="HM109" s="36"/>
      <c r="HN109" s="36"/>
      <c r="HO109" s="36"/>
      <c r="HP109" s="36"/>
      <c r="HQ109" s="36"/>
      <c r="HR109" s="36"/>
      <c r="HS109" s="36"/>
      <c r="HT109" s="36"/>
      <c r="HU109" s="36"/>
      <c r="HV109" s="36"/>
      <c r="HW109" s="36"/>
      <c r="HX109" s="36"/>
      <c r="HY109" s="36"/>
      <c r="HZ109" s="36"/>
      <c r="IA109" s="36"/>
      <c r="IB109" s="36"/>
      <c r="IC109" s="36"/>
      <c r="ID109" s="36"/>
      <c r="IE109" s="36"/>
      <c r="IF109" s="36"/>
      <c r="IG109" s="36"/>
      <c r="IH109" s="36"/>
      <c r="II109" s="36"/>
      <c r="IJ109" s="36"/>
      <c r="IK109" s="36"/>
      <c r="IL109" s="36"/>
      <c r="IM109" s="36"/>
      <c r="IN109" s="36"/>
      <c r="IO109" s="36"/>
      <c r="IP109" s="36"/>
      <c r="IQ109" s="36"/>
      <c r="IR109" s="36"/>
      <c r="IS109" s="36"/>
      <c r="IT109" s="36"/>
      <c r="IU109" s="36"/>
      <c r="IV109" s="36"/>
      <c r="IW109" s="36"/>
      <c r="IX109" s="36"/>
      <c r="IY109" s="36"/>
      <c r="IZ109" s="36"/>
      <c r="JA109" s="36"/>
      <c r="JB109" s="36"/>
      <c r="JC109" s="36"/>
      <c r="JD109" s="36"/>
      <c r="JE109" s="36"/>
      <c r="JF109" s="36"/>
      <c r="JG109" s="36"/>
      <c r="JH109" s="36"/>
      <c r="JI109" s="36"/>
      <c r="JJ109" s="36"/>
      <c r="JK109" s="36"/>
      <c r="JL109" s="36"/>
      <c r="JM109" s="36"/>
      <c r="JN109" s="36"/>
      <c r="JO109" s="36"/>
      <c r="JP109" s="36"/>
      <c r="JQ109" s="36"/>
      <c r="JR109" s="36"/>
      <c r="JS109" s="36"/>
      <c r="JT109" s="36"/>
      <c r="JU109" s="36"/>
      <c r="JV109" s="36"/>
      <c r="JW109" s="36"/>
      <c r="JX109" s="36"/>
      <c r="JY109" s="36"/>
      <c r="JZ109" s="36"/>
      <c r="KA109" s="36"/>
      <c r="KB109" s="36"/>
      <c r="KC109" s="36"/>
      <c r="KD109" s="36"/>
      <c r="KE109" s="36"/>
      <c r="KF109" s="36"/>
      <c r="KG109" s="36"/>
      <c r="KH109" s="36"/>
      <c r="KI109" s="36"/>
      <c r="KJ109" s="36"/>
      <c r="KK109" s="36"/>
      <c r="KL109" s="36"/>
      <c r="KM109" s="36"/>
      <c r="KN109" s="36"/>
      <c r="KO109" s="36"/>
      <c r="KP109" s="36"/>
      <c r="KQ109" s="36"/>
      <c r="KR109" s="36"/>
      <c r="KS109" s="36"/>
      <c r="KT109" s="36"/>
      <c r="KU109" s="36"/>
      <c r="KV109" s="36"/>
      <c r="KW109" s="135">
        <f t="shared" si="980"/>
        <v>2E-3</v>
      </c>
      <c r="KX109" s="112">
        <f t="shared" si="981"/>
        <v>2E-3</v>
      </c>
      <c r="KY109" s="113">
        <f t="shared" si="982"/>
        <v>2E-3</v>
      </c>
      <c r="KZ109" s="113">
        <f t="shared" si="983"/>
        <v>2E-3</v>
      </c>
      <c r="LA109" s="113">
        <f t="shared" ref="LA109:LA117" si="998">G31</f>
        <v>2E-3</v>
      </c>
      <c r="LB109" s="113">
        <f t="shared" ref="LB109:LB117" si="999">H31</f>
        <v>2E-3</v>
      </c>
      <c r="LC109" s="113">
        <f t="shared" ref="LC109:LC117" si="1000">I31</f>
        <v>2E-3</v>
      </c>
      <c r="LD109" s="113">
        <f t="shared" ref="LD109:LD117" si="1001">J31</f>
        <v>2E-3</v>
      </c>
      <c r="LE109" s="113">
        <f t="shared" ref="LE109:LE117" si="1002">K31</f>
        <v>2E-3</v>
      </c>
      <c r="LF109" s="113">
        <f t="shared" ref="LF109:LF117" si="1003">L31</f>
        <v>2E-3</v>
      </c>
      <c r="LG109" s="113">
        <f t="shared" ref="LG109:LG117" si="1004">M31</f>
        <v>2E-3</v>
      </c>
      <c r="LH109" s="113">
        <f t="shared" ref="LH109:LH117" si="1005">N31</f>
        <v>2E-3</v>
      </c>
      <c r="LI109" s="113">
        <f t="shared" ref="LI109:LI117" si="1006">O31</f>
        <v>2E-3</v>
      </c>
      <c r="LJ109" s="113">
        <f t="shared" ref="LJ109:LJ117" si="1007">P31</f>
        <v>2E-3</v>
      </c>
      <c r="LK109" s="113">
        <f t="shared" ref="LK109:LK117" si="1008">Q31</f>
        <v>2E-3</v>
      </c>
      <c r="LL109" s="113">
        <f t="shared" ref="LL109:LL117" si="1009">R31</f>
        <v>2E-3</v>
      </c>
      <c r="LM109" s="113">
        <f t="shared" ref="LM109:LM117" si="1010">S31</f>
        <v>2E-3</v>
      </c>
      <c r="LN109" s="113">
        <f t="shared" ref="LN109:LN117" si="1011">T31</f>
        <v>2E-3</v>
      </c>
      <c r="LO109" s="113">
        <f t="shared" ref="LO109:LO117" si="1012">U31</f>
        <v>2E-3</v>
      </c>
      <c r="LP109" s="113">
        <f t="shared" ref="LP109:LP117" si="1013">V31</f>
        <v>2E-3</v>
      </c>
      <c r="LQ109" s="113">
        <f t="shared" ref="LQ109:LQ117" si="1014">W31</f>
        <v>2E-3</v>
      </c>
      <c r="LR109" s="113">
        <f t="shared" ref="LR109:LR117" si="1015">X31</f>
        <v>2E-3</v>
      </c>
      <c r="LS109" s="113">
        <f t="shared" ref="LS109:LS117" si="1016">Y31</f>
        <v>2E-3</v>
      </c>
      <c r="LT109" s="113">
        <f t="shared" ref="LT109:LT117" si="1017">Z31</f>
        <v>2E-3</v>
      </c>
      <c r="LU109" s="113">
        <f t="shared" ref="LU109:LU117" si="1018">AA31</f>
        <v>2E-3</v>
      </c>
      <c r="LV109" s="113">
        <f t="shared" ref="LV109:LV117" si="1019">AB31</f>
        <v>2E-3</v>
      </c>
      <c r="LW109" s="113">
        <f t="shared" ref="LW109:LW117" si="1020">AC31</f>
        <v>2E-3</v>
      </c>
      <c r="LX109" s="113">
        <f t="shared" ref="LX109:LX117" si="1021">AD31</f>
        <v>2E-3</v>
      </c>
      <c r="LY109" s="113">
        <f t="shared" ref="LY109:LY117" si="1022">AE31</f>
        <v>2E-3</v>
      </c>
      <c r="LZ109" s="113">
        <f t="shared" ref="LZ109:LZ117" si="1023">AF31</f>
        <v>2E-3</v>
      </c>
      <c r="MA109" s="113">
        <f t="shared" ref="MA109:MA117" si="1024">AG31</f>
        <v>2E-3</v>
      </c>
      <c r="MB109" s="113">
        <f t="shared" ref="MB109:MB117" si="1025">AH31</f>
        <v>2E-3</v>
      </c>
      <c r="MC109" s="113">
        <f t="shared" ref="MC109:MC117" si="1026">AI31</f>
        <v>2E-3</v>
      </c>
      <c r="MD109" s="113">
        <f t="shared" ref="MD109:MD117" si="1027">AJ31</f>
        <v>2E-3</v>
      </c>
      <c r="ME109" s="113">
        <f t="shared" ref="ME109:ME117" si="1028">AK31</f>
        <v>2E-3</v>
      </c>
      <c r="MF109" s="113">
        <f t="shared" ref="MF109:MF117" si="1029">AL31</f>
        <v>2E-3</v>
      </c>
      <c r="MG109" s="113">
        <f t="shared" ref="MG109:MG117" si="1030">AM31</f>
        <v>2E-3</v>
      </c>
      <c r="MH109" s="113">
        <f t="shared" ref="MH109:MH117" si="1031">AN31</f>
        <v>2E-3</v>
      </c>
      <c r="MI109" s="113">
        <f t="shared" ref="MI109:MI117" si="1032">AO31</f>
        <v>2E-3</v>
      </c>
      <c r="MJ109" s="113">
        <f t="shared" ref="MJ109:MJ117" si="1033">AP31</f>
        <v>2E-3</v>
      </c>
      <c r="MK109" s="113">
        <f t="shared" ref="MK109:MK117" si="1034">AQ31</f>
        <v>2E-3</v>
      </c>
      <c r="ML109" s="113">
        <f t="shared" ref="ML109:ML117" si="1035">AR31</f>
        <v>2E-3</v>
      </c>
      <c r="MM109" s="113">
        <f t="shared" ref="MM109:MM117" si="1036">AS31</f>
        <v>2E-3</v>
      </c>
      <c r="MN109" s="113">
        <f t="shared" ref="MN109:MN117" si="1037">AT31</f>
        <v>2E-3</v>
      </c>
      <c r="MO109" s="113">
        <f t="shared" ref="MO109:MO117" si="1038">AU31</f>
        <v>2E-3</v>
      </c>
      <c r="MP109" s="113">
        <f t="shared" ref="MP109:MP117" si="1039">AV31</f>
        <v>2E-3</v>
      </c>
      <c r="MQ109" s="113">
        <f t="shared" ref="MQ109:MQ117" si="1040">AW31</f>
        <v>2E-3</v>
      </c>
      <c r="MR109" s="113">
        <f t="shared" ref="MR109:MR117" si="1041">AX31</f>
        <v>2E-3</v>
      </c>
      <c r="MS109" s="113">
        <f t="shared" ref="MS109:MS117" si="1042">AY31</f>
        <v>2E-3</v>
      </c>
      <c r="MT109" s="113">
        <f t="shared" ref="MT109:MT117" si="1043">AZ31</f>
        <v>2E-3</v>
      </c>
      <c r="MU109" s="113">
        <f t="shared" ref="MU109:MU117" si="1044">BA31</f>
        <v>2E-3</v>
      </c>
      <c r="MV109" s="147">
        <f t="shared" ref="MV109:MV117" si="1045">BB31</f>
        <v>2E-3</v>
      </c>
      <c r="MW109" s="147">
        <f t="shared" ref="MW109:MW117" si="1046">BC31</f>
        <v>2E-3</v>
      </c>
      <c r="MX109" s="147">
        <f t="shared" ref="MX109:MX117" si="1047">BD31</f>
        <v>2E-3</v>
      </c>
      <c r="MY109" s="147">
        <f t="shared" ref="MY109:MY117" si="1048">BE31</f>
        <v>2E-3</v>
      </c>
      <c r="MZ109" s="147">
        <f t="shared" ref="MZ109:MZ117" si="1049">BF31</f>
        <v>2E-3</v>
      </c>
      <c r="NA109" s="147">
        <f t="shared" ref="NA109:NA117" si="1050">BG31</f>
        <v>2E-3</v>
      </c>
      <c r="NB109" s="147">
        <f t="shared" ref="NB109:NB117" si="1051">BH31</f>
        <v>2E-3</v>
      </c>
      <c r="NC109" s="147">
        <f t="shared" ref="NC109:NC117" si="1052">BI31</f>
        <v>2E-3</v>
      </c>
      <c r="ND109" s="147">
        <f t="shared" ref="ND109:ND117" si="1053">BJ31</f>
        <v>2E-3</v>
      </c>
      <c r="NE109" s="147">
        <f t="shared" ref="NE109:NE117" si="1054">BK31</f>
        <v>2E-3</v>
      </c>
      <c r="NF109" s="147">
        <f t="shared" ref="NF109:NF117" si="1055">BL31</f>
        <v>2E-3</v>
      </c>
      <c r="NG109" s="147">
        <f t="shared" ref="NG109:NG117" si="1056">BM31</f>
        <v>2E-3</v>
      </c>
      <c r="NH109" s="147">
        <f t="shared" ref="NH109:NH117" si="1057">BN31</f>
        <v>2E-3</v>
      </c>
      <c r="NI109" s="147">
        <f t="shared" si="996"/>
        <v>2E-3</v>
      </c>
      <c r="NJ109" s="147">
        <f t="shared" ref="NJ109:NJ117" si="1058">BP31</f>
        <v>2E-3</v>
      </c>
      <c r="NK109" s="147">
        <f t="shared" ref="NK109:NK117" si="1059">BQ31</f>
        <v>2E-3</v>
      </c>
      <c r="NL109" s="147">
        <f t="shared" ref="NL109:NL117" si="1060">BR31</f>
        <v>2E-3</v>
      </c>
      <c r="NM109" s="147">
        <f t="shared" ref="NM109:NM117" si="1061">BS31</f>
        <v>2E-3</v>
      </c>
      <c r="NN109" s="147">
        <f t="shared" ref="NN109:NN117" si="1062">BT31</f>
        <v>2E-3</v>
      </c>
      <c r="NO109" s="147">
        <f t="shared" ref="NO109:NO117" si="1063">BU31</f>
        <v>2E-3</v>
      </c>
      <c r="NP109" s="147">
        <f t="shared" ref="NP109:NP117" si="1064">BV31</f>
        <v>2E-3</v>
      </c>
      <c r="NQ109" s="147">
        <f t="shared" ref="NQ109:NQ117" si="1065">BW31</f>
        <v>2E-3</v>
      </c>
      <c r="NR109" s="147">
        <f t="shared" ref="NR109:NR117" si="1066">BX31</f>
        <v>2E-3</v>
      </c>
      <c r="NS109" s="147">
        <f t="shared" ref="NS109:NS117" si="1067">BY31</f>
        <v>2E-3</v>
      </c>
      <c r="NT109" s="147">
        <f t="shared" ref="NT109:NT117" si="1068">BZ31</f>
        <v>2E-3</v>
      </c>
      <c r="NU109" s="147">
        <f t="shared" ref="NU109:NU117" si="1069">CA31</f>
        <v>2E-3</v>
      </c>
      <c r="NV109" s="147">
        <f t="shared" ref="NV109:NV117" si="1070">CB31</f>
        <v>2E-3</v>
      </c>
      <c r="NW109" s="147">
        <f t="shared" ref="NW109:NW117" si="1071">CC31</f>
        <v>2E-3</v>
      </c>
      <c r="NX109" s="147">
        <f t="shared" ref="NX109:NX117" si="1072">CD31</f>
        <v>2E-3</v>
      </c>
      <c r="NY109" s="147">
        <f t="shared" ref="NY109:NY117" si="1073">CE31</f>
        <v>2E-3</v>
      </c>
      <c r="NZ109" s="147">
        <f t="shared" ref="NZ109:NZ117" si="1074">CF31</f>
        <v>2E-3</v>
      </c>
      <c r="OA109" s="147">
        <f t="shared" ref="OA109:OA117" si="1075">CG31</f>
        <v>2E-3</v>
      </c>
      <c r="OB109" s="147">
        <f t="shared" ref="OB109:OB117" si="1076">CH31</f>
        <v>2E-3</v>
      </c>
      <c r="OC109" s="147">
        <f t="shared" ref="OC109:OC117" si="1077">CI31</f>
        <v>2E-3</v>
      </c>
      <c r="OD109" s="147">
        <f t="shared" ref="OD109:OD117" si="1078">CJ31</f>
        <v>2E-3</v>
      </c>
      <c r="OE109" s="147">
        <f t="shared" ref="OE109:OE117" si="1079">CK31</f>
        <v>2E-3</v>
      </c>
      <c r="OF109" s="147">
        <f t="shared" ref="OF109:OF117" si="1080">CL31</f>
        <v>2E-3</v>
      </c>
      <c r="OG109" s="147">
        <f t="shared" ref="OG109:OG117" si="1081">CM31</f>
        <v>2E-3</v>
      </c>
      <c r="OH109" s="147">
        <f t="shared" ref="OH109:OH117" si="1082">CN31</f>
        <v>2E-3</v>
      </c>
      <c r="OI109" s="147">
        <f t="shared" ref="OI109:OI117" si="1083">CO31</f>
        <v>2E-3</v>
      </c>
      <c r="OJ109" s="147">
        <f t="shared" ref="OJ109:OJ117" si="1084">CP31</f>
        <v>2E-3</v>
      </c>
      <c r="OK109" s="147">
        <f t="shared" ref="OK109:OK117" si="1085">CQ31</f>
        <v>2E-3</v>
      </c>
      <c r="OL109" s="147">
        <f t="shared" ref="OL109:OL117" si="1086">CR31</f>
        <v>2E-3</v>
      </c>
      <c r="OM109" s="147">
        <f t="shared" ref="OM109:OM117" si="1087">CS31</f>
        <v>2E-3</v>
      </c>
      <c r="ON109" s="147">
        <f t="shared" ref="ON109:ON117" si="1088">CT31</f>
        <v>2E-3</v>
      </c>
      <c r="OO109" s="147">
        <f t="shared" ref="OO109:OO117" si="1089">CU31</f>
        <v>2E-3</v>
      </c>
      <c r="OP109" s="147">
        <f t="shared" ref="OP109:OP117" si="1090">CV31</f>
        <v>2E-3</v>
      </c>
      <c r="OQ109" s="147">
        <f t="shared" ref="OQ109:OQ117" si="1091">CW31</f>
        <v>2E-3</v>
      </c>
      <c r="OR109" s="147">
        <f t="shared" ref="OR109:OR117" si="1092">CX31</f>
        <v>2E-3</v>
      </c>
      <c r="OS109" s="147">
        <f t="shared" ref="OS109:OS117" si="1093">CY31</f>
        <v>2E-3</v>
      </c>
      <c r="OT109" s="147">
        <f t="shared" ref="OT109:OT117" si="1094">CZ31</f>
        <v>2E-3</v>
      </c>
      <c r="OU109" s="157">
        <f t="shared" ref="OU109:OU117" si="1095">DA31</f>
        <v>2E-3</v>
      </c>
      <c r="OV109" s="157">
        <f t="shared" ref="OV109:OV117" si="1096">DB31</f>
        <v>2E-3</v>
      </c>
      <c r="OW109" s="157">
        <f t="shared" ref="OW109:OW117" si="1097">DC31</f>
        <v>2E-3</v>
      </c>
      <c r="OX109" s="157">
        <f t="shared" ref="OX109:OX117" si="1098">DD31</f>
        <v>2E-3</v>
      </c>
      <c r="OY109" s="157">
        <f t="shared" ref="OY109:OY117" si="1099">DE31</f>
        <v>2E-3</v>
      </c>
      <c r="OZ109" s="157">
        <f t="shared" ref="OZ109:OZ117" si="1100">DF31</f>
        <v>2E-3</v>
      </c>
      <c r="PA109" s="157">
        <f t="shared" ref="PA109:PA117" si="1101">DG31</f>
        <v>2E-3</v>
      </c>
      <c r="PB109" s="157">
        <f t="shared" ref="PB109:PB117" si="1102">DH31</f>
        <v>2E-3</v>
      </c>
      <c r="PC109" s="157">
        <f t="shared" ref="PC109:PC117" si="1103">DI31</f>
        <v>2E-3</v>
      </c>
      <c r="PD109" s="157">
        <f t="shared" ref="PD109:PD117" si="1104">DJ31</f>
        <v>2E-3</v>
      </c>
      <c r="PE109" s="157">
        <f t="shared" ref="PE109:PE117" si="1105">DK31</f>
        <v>2E-3</v>
      </c>
      <c r="PF109" s="157">
        <f t="shared" ref="PF109:PF117" si="1106">DL31</f>
        <v>2E-3</v>
      </c>
      <c r="PG109" s="157">
        <f t="shared" ref="PG109:PG117" si="1107">DM31</f>
        <v>2E-3</v>
      </c>
      <c r="PH109" s="157">
        <f t="shared" ref="PH109:PH117" si="1108">DN31</f>
        <v>2E-3</v>
      </c>
      <c r="PI109" s="157">
        <f t="shared" ref="PI109:PI117" si="1109">DO31</f>
        <v>2E-3</v>
      </c>
      <c r="PJ109" s="157">
        <f t="shared" ref="PJ109:PJ117" si="1110">DP31</f>
        <v>2E-3</v>
      </c>
      <c r="PK109" s="157">
        <f t="shared" ref="PK109:PK117" si="1111">DQ31</f>
        <v>2E-3</v>
      </c>
      <c r="PL109" s="157">
        <f t="shared" ref="PL109:PL117" si="1112">DR31</f>
        <v>2E-3</v>
      </c>
      <c r="PM109" s="157">
        <f t="shared" ref="PM109:PM117" si="1113">DS31</f>
        <v>2E-3</v>
      </c>
      <c r="PN109" s="157">
        <f t="shared" ref="PN109:PN117" si="1114">DT31</f>
        <v>2E-3</v>
      </c>
      <c r="PO109" s="157">
        <f t="shared" ref="PO109:PO117" si="1115">DU31</f>
        <v>2E-3</v>
      </c>
      <c r="PP109" s="157">
        <f t="shared" ref="PP109:PP117" si="1116">DV31</f>
        <v>2E-3</v>
      </c>
      <c r="PQ109" s="157">
        <f t="shared" ref="PQ109:PQ117" si="1117">DW31</f>
        <v>2E-3</v>
      </c>
      <c r="PR109" s="157">
        <f t="shared" ref="PR109:PR117" si="1118">DX31</f>
        <v>2E-3</v>
      </c>
      <c r="PS109" s="157">
        <f t="shared" ref="PS109:PS117" si="1119">DY31</f>
        <v>2E-3</v>
      </c>
      <c r="PT109" s="157">
        <f t="shared" ref="PT109:PT117" si="1120">DZ31</f>
        <v>2E-3</v>
      </c>
      <c r="PU109" s="157">
        <f t="shared" si="997"/>
        <v>2E-3</v>
      </c>
      <c r="PV109" s="180">
        <f t="shared" si="986"/>
        <v>2E-3</v>
      </c>
      <c r="PW109" s="157">
        <f t="shared" si="986"/>
        <v>2E-3</v>
      </c>
      <c r="PX109" s="180">
        <f t="shared" si="986"/>
        <v>2E-3</v>
      </c>
      <c r="PY109" s="157">
        <f t="shared" si="989"/>
        <v>2E-3</v>
      </c>
      <c r="PZ109" s="157">
        <f t="shared" si="987"/>
        <v>2E-3</v>
      </c>
      <c r="QA109" s="157">
        <f t="shared" si="987"/>
        <v>2E-3</v>
      </c>
      <c r="QB109" s="157">
        <f t="shared" si="987"/>
        <v>2E-3</v>
      </c>
      <c r="QC109" s="180">
        <f t="shared" si="987"/>
        <v>2E-3</v>
      </c>
      <c r="QD109" s="157">
        <f t="shared" si="987"/>
        <v>2E-3</v>
      </c>
      <c r="QE109" s="180">
        <f t="shared" si="987"/>
        <v>2E-3</v>
      </c>
      <c r="QF109" s="157">
        <f t="shared" si="987"/>
        <v>2E-3</v>
      </c>
      <c r="QG109" s="157">
        <f t="shared" si="987"/>
        <v>2E-3</v>
      </c>
      <c r="QH109" s="157">
        <f t="shared" si="987"/>
        <v>2E-3</v>
      </c>
      <c r="QI109" s="157">
        <f t="shared" si="987"/>
        <v>2E-3</v>
      </c>
      <c r="QJ109" s="180">
        <f t="shared" si="987"/>
        <v>2E-3</v>
      </c>
      <c r="QK109" s="157">
        <f t="shared" si="987"/>
        <v>2E-3</v>
      </c>
      <c r="QL109" s="180">
        <f t="shared" si="987"/>
        <v>2E-3</v>
      </c>
      <c r="QM109" s="157">
        <f t="shared" si="987"/>
        <v>2E-3</v>
      </c>
      <c r="QN109" s="157">
        <f t="shared" si="990"/>
        <v>2E-3</v>
      </c>
      <c r="QO109" s="157">
        <f t="shared" si="991"/>
        <v>2E-3</v>
      </c>
      <c r="QP109" s="157">
        <f t="shared" si="992"/>
        <v>2E-3</v>
      </c>
      <c r="QQ109" s="180">
        <f t="shared" si="993"/>
        <v>2E-3</v>
      </c>
      <c r="QR109" s="157">
        <f t="shared" si="994"/>
        <v>2E-3</v>
      </c>
      <c r="QS109" s="180">
        <f t="shared" si="995"/>
        <v>2E-3</v>
      </c>
      <c r="QT109" s="184"/>
      <c r="QU109" s="184"/>
      <c r="QV109" s="36"/>
      <c r="QW109" s="36"/>
      <c r="QX109" s="36"/>
      <c r="QY109" s="36"/>
      <c r="QZ109" s="36"/>
      <c r="RA109" s="36"/>
      <c r="RB109" s="36"/>
      <c r="RC109" s="36"/>
      <c r="RD109" s="36"/>
      <c r="RE109" s="36"/>
      <c r="RF109" s="36"/>
      <c r="RG109" s="36"/>
      <c r="RH109" s="36"/>
      <c r="RI109" s="36"/>
      <c r="RJ109" s="36"/>
      <c r="RK109" s="36"/>
      <c r="RL109" s="36"/>
      <c r="RM109" s="36"/>
      <c r="RN109" s="36"/>
      <c r="RO109" s="36"/>
      <c r="RP109" s="36"/>
      <c r="RQ109" s="36"/>
      <c r="RR109" s="36"/>
      <c r="RS109" s="36"/>
      <c r="RT109" s="36"/>
      <c r="RU109" s="36"/>
      <c r="RV109" s="36"/>
      <c r="RW109" s="36"/>
      <c r="RX109" s="36"/>
      <c r="RY109" s="36"/>
      <c r="RZ109" s="36"/>
      <c r="SA109" s="36"/>
      <c r="SB109" s="36"/>
      <c r="SC109" s="37"/>
      <c r="SD109" s="37"/>
      <c r="SE109" s="37"/>
      <c r="SF109" s="37"/>
      <c r="SG109" s="37"/>
      <c r="SH109" s="37"/>
      <c r="SI109" s="37"/>
      <c r="SJ109" s="37"/>
      <c r="SK109" s="37"/>
      <c r="SL109" s="37"/>
      <c r="SM109" s="37"/>
      <c r="SN109" s="37"/>
      <c r="SO109" s="37"/>
      <c r="SP109" s="37"/>
      <c r="SQ109" s="37"/>
      <c r="SR109" s="37"/>
      <c r="SS109" s="37"/>
      <c r="ST109" s="37"/>
      <c r="SU109" s="37"/>
      <c r="SV109" s="37"/>
      <c r="SW109" s="37"/>
      <c r="SX109" s="37"/>
      <c r="SY109" s="37"/>
      <c r="SZ109" s="37"/>
      <c r="TA109" s="37"/>
      <c r="TB109" s="37"/>
    </row>
    <row r="110" spans="1:526" ht="18.75" x14ac:dyDescent="0.25">
      <c r="A110" s="298"/>
      <c r="B110" s="25" t="s">
        <v>15</v>
      </c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6"/>
      <c r="CL110" s="36"/>
      <c r="CM110" s="36"/>
      <c r="CN110" s="36"/>
      <c r="CO110" s="36"/>
      <c r="CP110" s="36"/>
      <c r="CQ110" s="36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6"/>
      <c r="DG110" s="36"/>
      <c r="DH110" s="36"/>
      <c r="DI110" s="36"/>
      <c r="DJ110" s="36"/>
      <c r="DK110" s="36"/>
      <c r="DL110" s="36"/>
      <c r="DM110" s="36"/>
      <c r="DN110" s="36"/>
      <c r="DO110" s="36"/>
      <c r="DP110" s="36"/>
      <c r="DQ110" s="36"/>
      <c r="DR110" s="36"/>
      <c r="DS110" s="36"/>
      <c r="DT110" s="36"/>
      <c r="DU110" s="36"/>
      <c r="DV110" s="36"/>
      <c r="DW110" s="36"/>
      <c r="DX110" s="36"/>
      <c r="DY110" s="36"/>
      <c r="DZ110" s="36"/>
      <c r="EA110" s="36"/>
      <c r="EB110" s="36"/>
      <c r="EC110" s="36"/>
      <c r="ED110" s="36"/>
      <c r="EE110" s="36"/>
      <c r="EF110" s="36"/>
      <c r="EG110" s="36"/>
      <c r="EH110" s="36"/>
      <c r="EI110" s="36"/>
      <c r="EJ110" s="36"/>
      <c r="EK110" s="36"/>
      <c r="EL110" s="36"/>
      <c r="EM110" s="36"/>
      <c r="EN110" s="36"/>
      <c r="EO110" s="36"/>
      <c r="EP110" s="36"/>
      <c r="EQ110" s="36"/>
      <c r="ER110" s="36"/>
      <c r="ES110" s="36"/>
      <c r="ET110" s="36"/>
      <c r="EU110" s="36"/>
      <c r="EV110" s="36"/>
      <c r="EW110" s="36"/>
      <c r="EX110" s="36"/>
      <c r="EY110" s="36"/>
      <c r="EZ110" s="36"/>
      <c r="FA110" s="36"/>
      <c r="FB110" s="36"/>
      <c r="FC110" s="36"/>
      <c r="FD110" s="36"/>
      <c r="FE110" s="36"/>
      <c r="FF110" s="36"/>
      <c r="FG110" s="36"/>
      <c r="FH110" s="36"/>
      <c r="FI110" s="36"/>
      <c r="FJ110" s="36"/>
      <c r="FK110" s="36"/>
      <c r="FL110" s="36"/>
      <c r="FM110" s="36"/>
      <c r="FN110" s="36"/>
      <c r="FO110" s="36"/>
      <c r="FP110" s="36"/>
      <c r="FQ110" s="36"/>
      <c r="FR110" s="36"/>
      <c r="FS110" s="36"/>
      <c r="FT110" s="36"/>
      <c r="FU110" s="36"/>
      <c r="FV110" s="36"/>
      <c r="FW110" s="36"/>
      <c r="FX110" s="36"/>
      <c r="FY110" s="36"/>
      <c r="FZ110" s="36"/>
      <c r="GA110" s="36"/>
      <c r="GB110" s="36"/>
      <c r="GC110" s="36"/>
      <c r="GD110" s="36"/>
      <c r="GE110" s="36"/>
      <c r="GF110" s="36"/>
      <c r="GG110" s="36"/>
      <c r="GH110" s="36"/>
      <c r="GI110" s="36"/>
      <c r="GJ110" s="36"/>
      <c r="GK110" s="36"/>
      <c r="GL110" s="36"/>
      <c r="GM110" s="36"/>
      <c r="GN110" s="36"/>
      <c r="GO110" s="36"/>
      <c r="GP110" s="36"/>
      <c r="GQ110" s="36"/>
      <c r="GR110" s="36"/>
      <c r="GS110" s="36"/>
      <c r="GT110" s="36"/>
      <c r="GU110" s="36"/>
      <c r="GV110" s="36"/>
      <c r="GW110" s="36"/>
      <c r="GX110" s="36"/>
      <c r="GY110" s="36"/>
      <c r="GZ110" s="36"/>
      <c r="HA110" s="36"/>
      <c r="HB110" s="36"/>
      <c r="HC110" s="36"/>
      <c r="HD110" s="36"/>
      <c r="HE110" s="36"/>
      <c r="HF110" s="36"/>
      <c r="HG110" s="36"/>
      <c r="HH110" s="36"/>
      <c r="HI110" s="36"/>
      <c r="HJ110" s="36"/>
      <c r="HK110" s="36"/>
      <c r="HL110" s="36"/>
      <c r="HM110" s="36"/>
      <c r="HN110" s="36"/>
      <c r="HO110" s="36"/>
      <c r="HP110" s="36"/>
      <c r="HQ110" s="36"/>
      <c r="HR110" s="36"/>
      <c r="HS110" s="36"/>
      <c r="HT110" s="36"/>
      <c r="HU110" s="36"/>
      <c r="HV110" s="36"/>
      <c r="HW110" s="36"/>
      <c r="HX110" s="36"/>
      <c r="HY110" s="36"/>
      <c r="HZ110" s="36"/>
      <c r="IA110" s="36"/>
      <c r="IB110" s="36"/>
      <c r="IC110" s="36"/>
      <c r="ID110" s="36"/>
      <c r="IE110" s="36"/>
      <c r="IF110" s="36"/>
      <c r="IG110" s="36"/>
      <c r="IH110" s="36"/>
      <c r="II110" s="36"/>
      <c r="IJ110" s="36"/>
      <c r="IK110" s="36"/>
      <c r="IL110" s="36"/>
      <c r="IM110" s="36"/>
      <c r="IN110" s="36"/>
      <c r="IO110" s="36"/>
      <c r="IP110" s="36"/>
      <c r="IQ110" s="36"/>
      <c r="IR110" s="36"/>
      <c r="IS110" s="36"/>
      <c r="IT110" s="36"/>
      <c r="IU110" s="36"/>
      <c r="IV110" s="36"/>
      <c r="IW110" s="36"/>
      <c r="IX110" s="36"/>
      <c r="IY110" s="36"/>
      <c r="IZ110" s="36"/>
      <c r="JA110" s="36"/>
      <c r="JB110" s="36"/>
      <c r="JC110" s="36"/>
      <c r="JD110" s="36"/>
      <c r="JE110" s="36"/>
      <c r="JF110" s="36"/>
      <c r="JG110" s="36"/>
      <c r="JH110" s="36"/>
      <c r="JI110" s="36"/>
      <c r="JJ110" s="36"/>
      <c r="JK110" s="36"/>
      <c r="JL110" s="36"/>
      <c r="JM110" s="36"/>
      <c r="JN110" s="36"/>
      <c r="JO110" s="36"/>
      <c r="JP110" s="36"/>
      <c r="JQ110" s="36"/>
      <c r="JR110" s="36"/>
      <c r="JS110" s="36"/>
      <c r="JT110" s="36"/>
      <c r="JU110" s="36"/>
      <c r="JV110" s="36"/>
      <c r="JW110" s="36"/>
      <c r="JX110" s="36"/>
      <c r="JY110" s="36"/>
      <c r="JZ110" s="36"/>
      <c r="KA110" s="36"/>
      <c r="KB110" s="36"/>
      <c r="KC110" s="36"/>
      <c r="KD110" s="36"/>
      <c r="KE110" s="36"/>
      <c r="KF110" s="36"/>
      <c r="KG110" s="36"/>
      <c r="KH110" s="36"/>
      <c r="KI110" s="36"/>
      <c r="KJ110" s="36"/>
      <c r="KK110" s="36"/>
      <c r="KL110" s="36"/>
      <c r="KM110" s="36"/>
      <c r="KN110" s="36"/>
      <c r="KO110" s="36"/>
      <c r="KP110" s="36"/>
      <c r="KQ110" s="36"/>
      <c r="KR110" s="36"/>
      <c r="KS110" s="36"/>
      <c r="KT110" s="36"/>
      <c r="KU110" s="36"/>
      <c r="KV110" s="36"/>
      <c r="KW110" s="139">
        <f t="shared" si="980"/>
        <v>0.5</v>
      </c>
      <c r="KX110" s="110">
        <f t="shared" si="981"/>
        <v>0.499</v>
      </c>
      <c r="KY110" s="110">
        <f t="shared" si="982"/>
        <v>0.498002</v>
      </c>
      <c r="KZ110" s="110">
        <f t="shared" si="983"/>
        <v>0.49700599600000001</v>
      </c>
      <c r="LA110" s="110">
        <f t="shared" si="998"/>
        <v>0.49601198400799995</v>
      </c>
      <c r="LB110" s="110">
        <f t="shared" si="999"/>
        <v>0.495019960039984</v>
      </c>
      <c r="LC110" s="110">
        <f t="shared" si="1000"/>
        <v>0.49402992011990399</v>
      </c>
      <c r="LD110" s="110">
        <f t="shared" si="1001"/>
        <v>0.49304186027966418</v>
      </c>
      <c r="LE110" s="110">
        <f t="shared" si="1002"/>
        <v>0.49205577655910482</v>
      </c>
      <c r="LF110" s="110">
        <f t="shared" si="1003"/>
        <v>0.49107166500598659</v>
      </c>
      <c r="LG110" s="110">
        <f t="shared" si="1004"/>
        <v>0.49008952167597458</v>
      </c>
      <c r="LH110" s="110">
        <f t="shared" si="1005"/>
        <v>0.48910934263262268</v>
      </c>
      <c r="LI110" s="110">
        <f t="shared" si="1006"/>
        <v>0.48813112394735741</v>
      </c>
      <c r="LJ110" s="110">
        <f t="shared" si="1007"/>
        <v>0.4871548616994627</v>
      </c>
      <c r="LK110" s="110">
        <f t="shared" si="1008"/>
        <v>0.4861805519760638</v>
      </c>
      <c r="LL110" s="110">
        <f t="shared" si="1009"/>
        <v>0.48520819087211164</v>
      </c>
      <c r="LM110" s="110">
        <f t="shared" si="1010"/>
        <v>0.48423777449036742</v>
      </c>
      <c r="LN110" s="110">
        <f t="shared" si="1011"/>
        <v>0.4832692989413867</v>
      </c>
      <c r="LO110" s="110">
        <f t="shared" si="1012"/>
        <v>0.48230276034350389</v>
      </c>
      <c r="LP110" s="110">
        <f t="shared" si="1013"/>
        <v>0.48133815482281689</v>
      </c>
      <c r="LQ110" s="110">
        <f t="shared" si="1014"/>
        <v>0.48037547851317125</v>
      </c>
      <c r="LR110" s="110">
        <f t="shared" si="1015"/>
        <v>0.47941472755614489</v>
      </c>
      <c r="LS110" s="110">
        <f t="shared" si="1016"/>
        <v>0.47845589810103262</v>
      </c>
      <c r="LT110" s="110">
        <f t="shared" si="1017"/>
        <v>0.47749898630483056</v>
      </c>
      <c r="LU110" s="110">
        <f t="shared" si="1018"/>
        <v>0.47654398833222095</v>
      </c>
      <c r="LV110" s="110">
        <f t="shared" si="1019"/>
        <v>0.47559090035555646</v>
      </c>
      <c r="LW110" s="110">
        <f t="shared" si="1020"/>
        <v>0.47463971855484532</v>
      </c>
      <c r="LX110" s="110">
        <f t="shared" si="1021"/>
        <v>0.47369043911773567</v>
      </c>
      <c r="LY110" s="110">
        <f t="shared" si="1022"/>
        <v>0.47274305823950019</v>
      </c>
      <c r="LZ110" s="110">
        <f t="shared" si="1023"/>
        <v>0.47179757212302115</v>
      </c>
      <c r="MA110" s="110">
        <f t="shared" si="1024"/>
        <v>0.47085397697877512</v>
      </c>
      <c r="MB110" s="110">
        <f t="shared" si="1025"/>
        <v>0.46991226902481753</v>
      </c>
      <c r="MC110" s="110">
        <f t="shared" si="1026"/>
        <v>0.46897244448676789</v>
      </c>
      <c r="MD110" s="110">
        <f t="shared" si="1027"/>
        <v>0.46803449959779431</v>
      </c>
      <c r="ME110" s="110">
        <f t="shared" si="1028"/>
        <v>0.46709843059859874</v>
      </c>
      <c r="MF110" s="110">
        <f t="shared" si="1029"/>
        <v>0.46616423373740151</v>
      </c>
      <c r="MG110" s="110">
        <f t="shared" si="1030"/>
        <v>0.46523190526992669</v>
      </c>
      <c r="MH110" s="110">
        <f t="shared" si="1031"/>
        <v>0.4643014414593869</v>
      </c>
      <c r="MI110" s="110">
        <f t="shared" si="1032"/>
        <v>0.4633728385764681</v>
      </c>
      <c r="MJ110" s="110">
        <f t="shared" si="1033"/>
        <v>0.46244609289931515</v>
      </c>
      <c r="MK110" s="110">
        <f t="shared" si="1034"/>
        <v>0.46152120071351654</v>
      </c>
      <c r="ML110" s="110">
        <f t="shared" si="1035"/>
        <v>0.4605981583120895</v>
      </c>
      <c r="MM110" s="110">
        <f t="shared" si="1036"/>
        <v>0.45967696199546532</v>
      </c>
      <c r="MN110" s="110">
        <f t="shared" si="1037"/>
        <v>0.45875760807147442</v>
      </c>
      <c r="MO110" s="110">
        <f t="shared" si="1038"/>
        <v>0.4578400928553315</v>
      </c>
      <c r="MP110" s="110">
        <f t="shared" si="1039"/>
        <v>0.45692441266962086</v>
      </c>
      <c r="MQ110" s="110">
        <f t="shared" si="1040"/>
        <v>0.45601056384428162</v>
      </c>
      <c r="MR110" s="110">
        <f t="shared" si="1041"/>
        <v>0.45509854271659306</v>
      </c>
      <c r="MS110" s="110">
        <f t="shared" si="1042"/>
        <v>0.45418834563115984</v>
      </c>
      <c r="MT110" s="110">
        <f t="shared" si="1043"/>
        <v>0.45327996893989753</v>
      </c>
      <c r="MU110" s="110">
        <f t="shared" si="1044"/>
        <v>0.45237340900201772</v>
      </c>
      <c r="MV110" s="148">
        <f t="shared" si="1045"/>
        <v>0.45146866218401371</v>
      </c>
      <c r="MW110" s="148">
        <f t="shared" si="1046"/>
        <v>0.45056572485964563</v>
      </c>
      <c r="MX110" s="148">
        <f t="shared" si="1047"/>
        <v>0.44966459340992637</v>
      </c>
      <c r="MY110" s="148">
        <f t="shared" si="1048"/>
        <v>0.44876526422310653</v>
      </c>
      <c r="MZ110" s="148">
        <f t="shared" si="1049"/>
        <v>0.44786773369466026</v>
      </c>
      <c r="NA110" s="148">
        <f t="shared" si="1050"/>
        <v>0.44697199822727096</v>
      </c>
      <c r="NB110" s="148">
        <f t="shared" si="1051"/>
        <v>0.44607805423081642</v>
      </c>
      <c r="NC110" s="148">
        <f t="shared" si="1052"/>
        <v>0.44518589812235482</v>
      </c>
      <c r="ND110" s="148">
        <f t="shared" si="1053"/>
        <v>0.44429552632611008</v>
      </c>
      <c r="NE110" s="148">
        <f t="shared" si="1054"/>
        <v>0.44340693527345787</v>
      </c>
      <c r="NF110" s="148">
        <f t="shared" si="1055"/>
        <v>0.44252012140291097</v>
      </c>
      <c r="NG110" s="148">
        <f t="shared" si="1056"/>
        <v>0.44163508116010514</v>
      </c>
      <c r="NH110" s="148">
        <f t="shared" si="1057"/>
        <v>0.44075181099778493</v>
      </c>
      <c r="NI110" s="148">
        <f t="shared" si="996"/>
        <v>0.4398703073757893</v>
      </c>
      <c r="NJ110" s="148">
        <f t="shared" si="1058"/>
        <v>0.4389905667610377</v>
      </c>
      <c r="NK110" s="148">
        <f t="shared" si="1059"/>
        <v>0.43811258562751565</v>
      </c>
      <c r="NL110" s="148">
        <f t="shared" si="1060"/>
        <v>0.43723636045626058</v>
      </c>
      <c r="NM110" s="148">
        <f t="shared" si="1061"/>
        <v>0.43636188773534806</v>
      </c>
      <c r="NN110" s="148">
        <f t="shared" si="1062"/>
        <v>0.4354891639598773</v>
      </c>
      <c r="NO110" s="148">
        <f t="shared" si="1063"/>
        <v>0.43461818563195753</v>
      </c>
      <c r="NP110" s="148">
        <f t="shared" si="1064"/>
        <v>0.43374894926069363</v>
      </c>
      <c r="NQ110" s="148">
        <f t="shared" si="1065"/>
        <v>0.43288145136217226</v>
      </c>
      <c r="NR110" s="148">
        <f t="shared" si="1066"/>
        <v>0.43201568845944793</v>
      </c>
      <c r="NS110" s="148">
        <f t="shared" si="1067"/>
        <v>0.43115165708252906</v>
      </c>
      <c r="NT110" s="148">
        <f t="shared" si="1068"/>
        <v>0.43028935376836397</v>
      </c>
      <c r="NU110" s="148">
        <f t="shared" si="1069"/>
        <v>0.42942877506082727</v>
      </c>
      <c r="NV110" s="148">
        <f t="shared" si="1070"/>
        <v>0.42856991751070567</v>
      </c>
      <c r="NW110" s="148">
        <f t="shared" si="1071"/>
        <v>0.42771277767568422</v>
      </c>
      <c r="NX110" s="148">
        <f t="shared" si="1072"/>
        <v>0.42685735212033288</v>
      </c>
      <c r="NY110" s="148">
        <f t="shared" si="1073"/>
        <v>0.42600363741609221</v>
      </c>
      <c r="NZ110" s="148">
        <f t="shared" si="1074"/>
        <v>0.42515163014126001</v>
      </c>
      <c r="OA110" s="148">
        <f t="shared" si="1075"/>
        <v>0.42430132688097749</v>
      </c>
      <c r="OB110" s="148">
        <f t="shared" si="1076"/>
        <v>0.42345272422721553</v>
      </c>
      <c r="OC110" s="148">
        <f t="shared" si="1077"/>
        <v>0.42260581877876108</v>
      </c>
      <c r="OD110" s="148">
        <f t="shared" si="1078"/>
        <v>0.42176060714120361</v>
      </c>
      <c r="OE110" s="148">
        <f t="shared" si="1079"/>
        <v>0.42091708592692118</v>
      </c>
      <c r="OF110" s="148">
        <f t="shared" si="1080"/>
        <v>0.42007525175506732</v>
      </c>
      <c r="OG110" s="148">
        <f t="shared" si="1081"/>
        <v>0.41923510125155722</v>
      </c>
      <c r="OH110" s="148">
        <f t="shared" si="1082"/>
        <v>0.41839663104905406</v>
      </c>
      <c r="OI110" s="148">
        <f t="shared" si="1083"/>
        <v>0.41755983778695593</v>
      </c>
      <c r="OJ110" s="148">
        <f t="shared" si="1084"/>
        <v>0.41672471811138201</v>
      </c>
      <c r="OK110" s="148">
        <f t="shared" si="1085"/>
        <v>0.4158912686751593</v>
      </c>
      <c r="OL110" s="148">
        <f t="shared" si="1086"/>
        <v>0.41505948613780896</v>
      </c>
      <c r="OM110" s="148">
        <f t="shared" si="1087"/>
        <v>0.41422936716553338</v>
      </c>
      <c r="ON110" s="148">
        <f t="shared" si="1088"/>
        <v>0.41340090843120225</v>
      </c>
      <c r="OO110" s="148">
        <f t="shared" si="1089"/>
        <v>0.41257410661433985</v>
      </c>
      <c r="OP110" s="148">
        <f t="shared" si="1090"/>
        <v>0.4117489584011112</v>
      </c>
      <c r="OQ110" s="148">
        <f t="shared" si="1091"/>
        <v>0.41092546048430895</v>
      </c>
      <c r="OR110" s="148">
        <f t="shared" si="1092"/>
        <v>0.4101036095633403</v>
      </c>
      <c r="OS110" s="148">
        <f t="shared" si="1093"/>
        <v>0.40928340234421362</v>
      </c>
      <c r="OT110" s="148">
        <f t="shared" si="1094"/>
        <v>0.40846483553952517</v>
      </c>
      <c r="OU110" s="158">
        <f t="shared" si="1095"/>
        <v>0.40764790586844613</v>
      </c>
      <c r="OV110" s="158">
        <f t="shared" si="1096"/>
        <v>0.40683261005670923</v>
      </c>
      <c r="OW110" s="158">
        <f t="shared" si="1097"/>
        <v>0.40601894483659579</v>
      </c>
      <c r="OX110" s="158">
        <f t="shared" si="1098"/>
        <v>0.40520690694692257</v>
      </c>
      <c r="OY110" s="158">
        <f t="shared" si="1099"/>
        <v>0.40439649313302872</v>
      </c>
      <c r="OZ110" s="158">
        <f t="shared" si="1100"/>
        <v>0.40358770014676271</v>
      </c>
      <c r="PA110" s="158">
        <f t="shared" si="1101"/>
        <v>0.40278052474646914</v>
      </c>
      <c r="PB110" s="158">
        <f t="shared" si="1102"/>
        <v>0.40197496369697622</v>
      </c>
      <c r="PC110" s="158">
        <f t="shared" si="1103"/>
        <v>0.40117101376958225</v>
      </c>
      <c r="PD110" s="158">
        <f t="shared" si="1104"/>
        <v>0.4003686717420431</v>
      </c>
      <c r="PE110" s="158">
        <f t="shared" si="1105"/>
        <v>0.39956793439855903</v>
      </c>
      <c r="PF110" s="158">
        <f t="shared" si="1106"/>
        <v>0.39876879852976194</v>
      </c>
      <c r="PG110" s="158">
        <f t="shared" si="1107"/>
        <v>0.39797126093270235</v>
      </c>
      <c r="PH110" s="158">
        <f t="shared" si="1108"/>
        <v>0.39717531841083697</v>
      </c>
      <c r="PI110" s="158">
        <f t="shared" si="1109"/>
        <v>0.39638096777401532</v>
      </c>
      <c r="PJ110" s="158">
        <f t="shared" si="1110"/>
        <v>0.39558820583846727</v>
      </c>
      <c r="PK110" s="158">
        <f t="shared" si="1111"/>
        <v>0.39479702942679035</v>
      </c>
      <c r="PL110" s="158">
        <f t="shared" si="1112"/>
        <v>0.39400743536793675</v>
      </c>
      <c r="PM110" s="158">
        <f t="shared" si="1113"/>
        <v>0.39321942049720088</v>
      </c>
      <c r="PN110" s="158">
        <f t="shared" si="1114"/>
        <v>0.39243298165620649</v>
      </c>
      <c r="PO110" s="158">
        <f t="shared" si="1115"/>
        <v>0.39164811569289409</v>
      </c>
      <c r="PP110" s="158">
        <f t="shared" si="1116"/>
        <v>0.39086481946150825</v>
      </c>
      <c r="PQ110" s="158">
        <f t="shared" si="1117"/>
        <v>0.39008308982258527</v>
      </c>
      <c r="PR110" s="158">
        <f t="shared" si="1118"/>
        <v>0.38930292364294006</v>
      </c>
      <c r="PS110" s="158">
        <f t="shared" si="1119"/>
        <v>0.38852431779565422</v>
      </c>
      <c r="PT110" s="158">
        <f t="shared" si="1120"/>
        <v>0.38774726916006291</v>
      </c>
      <c r="PU110" s="158">
        <f t="shared" si="997"/>
        <v>0.38697177462174281</v>
      </c>
      <c r="PV110" s="158">
        <f t="shared" si="986"/>
        <v>0.33782635924478144</v>
      </c>
      <c r="PW110" s="158">
        <f t="shared" si="986"/>
        <v>0.33715070652629187</v>
      </c>
      <c r="PX110" s="158">
        <f t="shared" si="986"/>
        <v>0.28831201846662613</v>
      </c>
      <c r="PY110" s="158">
        <f t="shared" si="989"/>
        <v>0.28773539442969287</v>
      </c>
      <c r="PZ110" s="158">
        <f t="shared" si="987"/>
        <v>0.28715992364083348</v>
      </c>
      <c r="QA110" s="158">
        <f t="shared" si="987"/>
        <v>0.2865856037935518</v>
      </c>
      <c r="QB110" s="158">
        <f t="shared" si="987"/>
        <v>0.2860124325859647</v>
      </c>
      <c r="QC110" s="158">
        <f t="shared" si="987"/>
        <v>0.23777166895646529</v>
      </c>
      <c r="QD110" s="158">
        <f t="shared" si="987"/>
        <v>0.23729612561855234</v>
      </c>
      <c r="QE110" s="158">
        <f t="shared" si="987"/>
        <v>0.18936230824360475</v>
      </c>
      <c r="QF110" s="158">
        <f t="shared" si="987"/>
        <v>0.18898358362711756</v>
      </c>
      <c r="QG110" s="158">
        <f t="shared" si="987"/>
        <v>0.18860561645986332</v>
      </c>
      <c r="QH110" s="158">
        <f t="shared" si="987"/>
        <v>0.18822840522694359</v>
      </c>
      <c r="QI110" s="158">
        <f t="shared" si="987"/>
        <v>0.18785194841648972</v>
      </c>
      <c r="QJ110" s="158">
        <f t="shared" si="987"/>
        <v>0.1405132574155343</v>
      </c>
      <c r="QK110" s="158">
        <f t="shared" si="987"/>
        <v>0.14023223090070322</v>
      </c>
      <c r="QL110" s="158">
        <f t="shared" si="987"/>
        <v>9.320768947200074E-2</v>
      </c>
      <c r="QM110" s="158">
        <f t="shared" si="987"/>
        <v>9.302127409305673E-2</v>
      </c>
      <c r="QN110" s="158">
        <f t="shared" si="990"/>
        <v>9.2835231544870625E-2</v>
      </c>
      <c r="QO110" s="158">
        <f t="shared" si="991"/>
        <v>9.2649561081780893E-2</v>
      </c>
      <c r="QP110" s="158">
        <f t="shared" si="992"/>
        <v>9.2464261959617336E-2</v>
      </c>
      <c r="QQ110" s="158">
        <f t="shared" si="993"/>
        <v>4.6047202455889426E-2</v>
      </c>
      <c r="QR110" s="158">
        <f t="shared" si="994"/>
        <v>4.5955108050977654E-2</v>
      </c>
      <c r="QS110" s="158">
        <f t="shared" si="995"/>
        <v>-9.1910216101958044E-5</v>
      </c>
      <c r="QT110" s="184"/>
      <c r="QU110" s="184"/>
      <c r="QV110" s="36"/>
      <c r="QW110" s="36"/>
      <c r="QX110" s="36"/>
      <c r="QY110" s="36"/>
      <c r="QZ110" s="36"/>
      <c r="RA110" s="36"/>
      <c r="RB110" s="36"/>
      <c r="RC110" s="36"/>
      <c r="RD110" s="36"/>
      <c r="RE110" s="36"/>
      <c r="RF110" s="36"/>
      <c r="RG110" s="36"/>
      <c r="RH110" s="36"/>
      <c r="RI110" s="36"/>
      <c r="RJ110" s="36"/>
      <c r="RK110" s="36"/>
      <c r="RL110" s="36"/>
      <c r="RM110" s="36"/>
      <c r="RN110" s="36"/>
      <c r="RO110" s="36"/>
      <c r="RP110" s="36"/>
      <c r="RQ110" s="36"/>
      <c r="RR110" s="36"/>
      <c r="RS110" s="36"/>
      <c r="RT110" s="36"/>
      <c r="RU110" s="36"/>
      <c r="RV110" s="36"/>
      <c r="RW110" s="36"/>
      <c r="RX110" s="36"/>
      <c r="RY110" s="36"/>
      <c r="RZ110" s="36"/>
      <c r="SA110" s="36"/>
      <c r="SB110" s="36"/>
      <c r="SC110" s="37"/>
      <c r="SD110" s="37"/>
      <c r="SE110" s="37"/>
      <c r="SF110" s="37"/>
      <c r="SG110" s="37"/>
      <c r="SH110" s="37"/>
      <c r="SI110" s="37"/>
      <c r="SJ110" s="37"/>
      <c r="SK110" s="37"/>
      <c r="SL110" s="37"/>
      <c r="SM110" s="37"/>
      <c r="SN110" s="37"/>
      <c r="SO110" s="37"/>
      <c r="SP110" s="37"/>
      <c r="SQ110" s="37"/>
      <c r="SR110" s="37"/>
      <c r="SS110" s="37"/>
      <c r="ST110" s="37"/>
      <c r="SU110" s="37"/>
      <c r="SV110" s="37"/>
      <c r="SW110" s="37"/>
      <c r="SX110" s="37"/>
      <c r="SY110" s="37"/>
      <c r="SZ110" s="37"/>
      <c r="TA110" s="37"/>
      <c r="TB110" s="37"/>
    </row>
    <row r="111" spans="1:526" ht="18.75" x14ac:dyDescent="0.25">
      <c r="A111" s="298"/>
      <c r="B111" s="25" t="s">
        <v>10</v>
      </c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6"/>
      <c r="CL111" s="36"/>
      <c r="CM111" s="36"/>
      <c r="CN111" s="36"/>
      <c r="CO111" s="36"/>
      <c r="CP111" s="36"/>
      <c r="CQ111" s="36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6"/>
      <c r="DG111" s="36"/>
      <c r="DH111" s="36"/>
      <c r="DI111" s="36"/>
      <c r="DJ111" s="36"/>
      <c r="DK111" s="36"/>
      <c r="DL111" s="36"/>
      <c r="DM111" s="36"/>
      <c r="DN111" s="36"/>
      <c r="DO111" s="36"/>
      <c r="DP111" s="36"/>
      <c r="DQ111" s="36"/>
      <c r="DR111" s="36"/>
      <c r="DS111" s="36"/>
      <c r="DT111" s="36"/>
      <c r="DU111" s="36"/>
      <c r="DV111" s="36"/>
      <c r="DW111" s="36"/>
      <c r="DX111" s="36"/>
      <c r="DY111" s="36"/>
      <c r="DZ111" s="36"/>
      <c r="EA111" s="36"/>
      <c r="EB111" s="36"/>
      <c r="EC111" s="36"/>
      <c r="ED111" s="36"/>
      <c r="EE111" s="36"/>
      <c r="EF111" s="36"/>
      <c r="EG111" s="36"/>
      <c r="EH111" s="36"/>
      <c r="EI111" s="36"/>
      <c r="EJ111" s="36"/>
      <c r="EK111" s="36"/>
      <c r="EL111" s="36"/>
      <c r="EM111" s="36"/>
      <c r="EN111" s="36"/>
      <c r="EO111" s="36"/>
      <c r="EP111" s="36"/>
      <c r="EQ111" s="36"/>
      <c r="ER111" s="36"/>
      <c r="ES111" s="36"/>
      <c r="ET111" s="36"/>
      <c r="EU111" s="36"/>
      <c r="EV111" s="36"/>
      <c r="EW111" s="36"/>
      <c r="EX111" s="36"/>
      <c r="EY111" s="36"/>
      <c r="EZ111" s="36"/>
      <c r="FA111" s="36"/>
      <c r="FB111" s="36"/>
      <c r="FC111" s="36"/>
      <c r="FD111" s="36"/>
      <c r="FE111" s="36"/>
      <c r="FF111" s="36"/>
      <c r="FG111" s="36"/>
      <c r="FH111" s="36"/>
      <c r="FI111" s="36"/>
      <c r="FJ111" s="36"/>
      <c r="FK111" s="36"/>
      <c r="FL111" s="36"/>
      <c r="FM111" s="36"/>
      <c r="FN111" s="36"/>
      <c r="FO111" s="36"/>
      <c r="FP111" s="36"/>
      <c r="FQ111" s="36"/>
      <c r="FR111" s="36"/>
      <c r="FS111" s="36"/>
      <c r="FT111" s="36"/>
      <c r="FU111" s="36"/>
      <c r="FV111" s="36"/>
      <c r="FW111" s="36"/>
      <c r="FX111" s="36"/>
      <c r="FY111" s="36"/>
      <c r="FZ111" s="36"/>
      <c r="GA111" s="36"/>
      <c r="GB111" s="36"/>
      <c r="GC111" s="36"/>
      <c r="GD111" s="36"/>
      <c r="GE111" s="36"/>
      <c r="GF111" s="36"/>
      <c r="GG111" s="36"/>
      <c r="GH111" s="36"/>
      <c r="GI111" s="36"/>
      <c r="GJ111" s="36"/>
      <c r="GK111" s="36"/>
      <c r="GL111" s="36"/>
      <c r="GM111" s="36"/>
      <c r="GN111" s="36"/>
      <c r="GO111" s="36"/>
      <c r="GP111" s="36"/>
      <c r="GQ111" s="36"/>
      <c r="GR111" s="36"/>
      <c r="GS111" s="36"/>
      <c r="GT111" s="36"/>
      <c r="GU111" s="36"/>
      <c r="GV111" s="36"/>
      <c r="GW111" s="36"/>
      <c r="GX111" s="36"/>
      <c r="GY111" s="36"/>
      <c r="GZ111" s="36"/>
      <c r="HA111" s="36"/>
      <c r="HB111" s="36"/>
      <c r="HC111" s="36"/>
      <c r="HD111" s="36"/>
      <c r="HE111" s="36"/>
      <c r="HF111" s="36"/>
      <c r="HG111" s="36"/>
      <c r="HH111" s="36"/>
      <c r="HI111" s="36"/>
      <c r="HJ111" s="36"/>
      <c r="HK111" s="36"/>
      <c r="HL111" s="36"/>
      <c r="HM111" s="36"/>
      <c r="HN111" s="36"/>
      <c r="HO111" s="36"/>
      <c r="HP111" s="36"/>
      <c r="HQ111" s="36"/>
      <c r="HR111" s="36"/>
      <c r="HS111" s="36"/>
      <c r="HT111" s="36"/>
      <c r="HU111" s="36"/>
      <c r="HV111" s="36"/>
      <c r="HW111" s="36"/>
      <c r="HX111" s="36"/>
      <c r="HY111" s="36"/>
      <c r="HZ111" s="36"/>
      <c r="IA111" s="36"/>
      <c r="IB111" s="36"/>
      <c r="IC111" s="36"/>
      <c r="ID111" s="36"/>
      <c r="IE111" s="36"/>
      <c r="IF111" s="36"/>
      <c r="IG111" s="36"/>
      <c r="IH111" s="36"/>
      <c r="II111" s="36"/>
      <c r="IJ111" s="36"/>
      <c r="IK111" s="36"/>
      <c r="IL111" s="36"/>
      <c r="IM111" s="36"/>
      <c r="IN111" s="36"/>
      <c r="IO111" s="36"/>
      <c r="IP111" s="36"/>
      <c r="IQ111" s="36"/>
      <c r="IR111" s="36"/>
      <c r="IS111" s="36"/>
      <c r="IT111" s="36"/>
      <c r="IU111" s="36"/>
      <c r="IV111" s="36"/>
      <c r="IW111" s="36"/>
      <c r="IX111" s="36"/>
      <c r="IY111" s="36"/>
      <c r="IZ111" s="36"/>
      <c r="JA111" s="36"/>
      <c r="JB111" s="36"/>
      <c r="JC111" s="36"/>
      <c r="JD111" s="36"/>
      <c r="JE111" s="36"/>
      <c r="JF111" s="36"/>
      <c r="JG111" s="36"/>
      <c r="JH111" s="36"/>
      <c r="JI111" s="36"/>
      <c r="JJ111" s="36"/>
      <c r="JK111" s="36"/>
      <c r="JL111" s="36"/>
      <c r="JM111" s="36"/>
      <c r="JN111" s="36"/>
      <c r="JO111" s="36"/>
      <c r="JP111" s="36"/>
      <c r="JQ111" s="36"/>
      <c r="JR111" s="36"/>
      <c r="JS111" s="36"/>
      <c r="JT111" s="36"/>
      <c r="JU111" s="36"/>
      <c r="JV111" s="36"/>
      <c r="JW111" s="36"/>
      <c r="JX111" s="36"/>
      <c r="JY111" s="36"/>
      <c r="JZ111" s="36"/>
      <c r="KA111" s="36"/>
      <c r="KB111" s="36"/>
      <c r="KC111" s="36"/>
      <c r="KD111" s="36"/>
      <c r="KE111" s="36"/>
      <c r="KF111" s="36"/>
      <c r="KG111" s="36"/>
      <c r="KH111" s="36"/>
      <c r="KI111" s="36"/>
      <c r="KJ111" s="36"/>
      <c r="KK111" s="36"/>
      <c r="KL111" s="36"/>
      <c r="KM111" s="36"/>
      <c r="KN111" s="36"/>
      <c r="KO111" s="36"/>
      <c r="KP111" s="36"/>
      <c r="KQ111" s="36"/>
      <c r="KR111" s="36"/>
      <c r="KS111" s="36"/>
      <c r="KT111" s="36"/>
      <c r="KU111" s="36"/>
      <c r="KV111" s="36"/>
      <c r="KW111" s="122">
        <f t="shared" si="980"/>
        <v>0.01</v>
      </c>
      <c r="KX111" s="115">
        <f t="shared" si="981"/>
        <v>1.1005582593758946E-2</v>
      </c>
      <c r="KY111" s="115">
        <f t="shared" si="982"/>
        <v>1.2106377159660616E-2</v>
      </c>
      <c r="KZ111" s="115">
        <f t="shared" si="983"/>
        <v>1.329177463494996E-2</v>
      </c>
      <c r="LA111" s="115">
        <f t="shared" si="998"/>
        <v>1.4588567329531619E-2</v>
      </c>
      <c r="LB111" s="115">
        <f t="shared" si="999"/>
        <v>1.6001621613287186E-2</v>
      </c>
      <c r="LC111" s="115">
        <f t="shared" si="1000"/>
        <v>1.7513764350912106E-2</v>
      </c>
      <c r="LD111" s="115">
        <f t="shared" si="1001"/>
        <v>1.9159726586917943E-2</v>
      </c>
      <c r="LE111" s="115">
        <f t="shared" si="1002"/>
        <v>2.0916842913967924E-2</v>
      </c>
      <c r="LF111" s="115">
        <f t="shared" si="1003"/>
        <v>2.2820893014488763E-2</v>
      </c>
      <c r="LG111" s="115">
        <f t="shared" si="1004"/>
        <v>2.4875013679153523E-2</v>
      </c>
      <c r="LH111" s="115">
        <f t="shared" si="1005"/>
        <v>2.7051785083274507E-2</v>
      </c>
      <c r="LI111" s="115">
        <f t="shared" si="1006"/>
        <v>2.9391936164292577E-2</v>
      </c>
      <c r="LJ111" s="115">
        <f t="shared" si="1007"/>
        <v>3.1863875340368962E-2</v>
      </c>
      <c r="LK111" s="115">
        <f t="shared" si="1008"/>
        <v>3.4512306780663762E-2</v>
      </c>
      <c r="LL111" s="115">
        <f t="shared" si="1009"/>
        <v>3.7295557327491485E-2</v>
      </c>
      <c r="LM111" s="115">
        <f t="shared" si="1010"/>
        <v>4.026107129173058E-2</v>
      </c>
      <c r="LN111" s="115">
        <f t="shared" si="1011"/>
        <v>4.3360342612975861E-2</v>
      </c>
      <c r="LO111" s="115">
        <f t="shared" si="1012"/>
        <v>4.664991913528866E-2</v>
      </c>
      <c r="LP111" s="115">
        <f t="shared" si="1013"/>
        <v>5.0082638009534913E-2</v>
      </c>
      <c r="LQ111" s="115">
        <f t="shared" si="1014"/>
        <v>5.3713064706430995E-2</v>
      </c>
      <c r="LR111" s="115">
        <f t="shared" si="1015"/>
        <v>5.7488794243371416E-2</v>
      </c>
      <c r="LS111" s="115">
        <f t="shared" si="1016"/>
        <v>6.1459039321378257E-2</v>
      </c>
      <c r="LT111" s="115">
        <f t="shared" si="1017"/>
        <v>6.5573850206895934E-2</v>
      </c>
      <c r="LU111" s="115">
        <f t="shared" si="1018"/>
        <v>6.9894468866911849E-2</v>
      </c>
      <c r="LV111" s="115">
        <f t="shared" si="1019"/>
        <v>7.4436102539565979E-2</v>
      </c>
      <c r="LW111" s="115">
        <f t="shared" si="1020"/>
        <v>7.9133861530936309E-2</v>
      </c>
      <c r="LX111" s="115">
        <f t="shared" si="1021"/>
        <v>8.405709402530856E-2</v>
      </c>
      <c r="LY111" s="115">
        <f t="shared" si="1022"/>
        <v>8.9135398951392567E-2</v>
      </c>
      <c r="LZ111" s="115">
        <f t="shared" si="1023"/>
        <v>9.4441702908772407E-2</v>
      </c>
      <c r="MA111" s="115">
        <f t="shared" si="1024"/>
        <v>9.9980397615493405E-2</v>
      </c>
      <c r="MB111" s="115">
        <f t="shared" si="1025"/>
        <v>0.10567182625033895</v>
      </c>
      <c r="MC111" s="115">
        <f t="shared" si="1026"/>
        <v>0.11159516930349321</v>
      </c>
      <c r="MD111" s="115">
        <f t="shared" si="1027"/>
        <v>0.11775330649604171</v>
      </c>
      <c r="ME111" s="115">
        <f t="shared" si="1028"/>
        <v>0.12405730544100586</v>
      </c>
      <c r="MF111" s="115">
        <f t="shared" si="1029"/>
        <v>0.13059224509206371</v>
      </c>
      <c r="MG111" s="115">
        <f t="shared" si="1030"/>
        <v>0.13724552354731717</v>
      </c>
      <c r="MH111" s="115">
        <f t="shared" si="1031"/>
        <v>0.14412155178115069</v>
      </c>
      <c r="MI111" s="115">
        <f t="shared" si="1032"/>
        <v>0.15119969398384345</v>
      </c>
      <c r="MJ111" s="115">
        <f t="shared" si="1033"/>
        <v>0.15839607220451735</v>
      </c>
      <c r="MK111" s="115">
        <f t="shared" si="1034"/>
        <v>0.16580270216732043</v>
      </c>
      <c r="ML111" s="115">
        <f t="shared" si="1035"/>
        <v>0.17339414742075068</v>
      </c>
      <c r="MM111" s="115">
        <f t="shared" si="1036"/>
        <v>0.18108161957284974</v>
      </c>
      <c r="MN111" s="115">
        <f t="shared" si="1037"/>
        <v>0.18893592980770582</v>
      </c>
      <c r="MO111" s="115">
        <f t="shared" si="1038"/>
        <v>0.19697531518673633</v>
      </c>
      <c r="MP111" s="115">
        <f t="shared" si="1039"/>
        <v>0.20508349043138344</v>
      </c>
      <c r="MQ111" s="115">
        <f t="shared" si="1040"/>
        <v>0.21335880865547383</v>
      </c>
      <c r="MR111" s="115">
        <f t="shared" si="1041"/>
        <v>0.22179470370603419</v>
      </c>
      <c r="MS111" s="115">
        <f t="shared" si="1042"/>
        <v>0.2302694245156435</v>
      </c>
      <c r="MT111" s="115">
        <f t="shared" si="1043"/>
        <v>0.23888337760373704</v>
      </c>
      <c r="MU111" s="115">
        <f t="shared" si="1044"/>
        <v>0.24751301127415998</v>
      </c>
      <c r="MV111" s="149">
        <f t="shared" si="1045"/>
        <v>0.24751301127415998</v>
      </c>
      <c r="MW111" s="149">
        <f t="shared" si="1046"/>
        <v>0.25606279623273898</v>
      </c>
      <c r="MX111" s="149">
        <f t="shared" si="1047"/>
        <v>0.26459311346923547</v>
      </c>
      <c r="MY111" s="149">
        <f t="shared" si="1048"/>
        <v>0.27320101477409309</v>
      </c>
      <c r="MZ111" s="149">
        <f t="shared" si="1049"/>
        <v>0.28194674644970757</v>
      </c>
      <c r="NA111" s="149">
        <f t="shared" si="1050"/>
        <v>0.29071185521092607</v>
      </c>
      <c r="NB111" s="149">
        <f t="shared" si="1051"/>
        <v>0.29956272485855329</v>
      </c>
      <c r="NC111" s="149">
        <f t="shared" si="1052"/>
        <v>0.3085291339449367</v>
      </c>
      <c r="ND111" s="149">
        <f t="shared" si="1053"/>
        <v>0.31760538538029337</v>
      </c>
      <c r="NE111" s="149">
        <f t="shared" si="1054"/>
        <v>0.32666923608303633</v>
      </c>
      <c r="NF111" s="149">
        <f t="shared" si="1055"/>
        <v>0.33582601815025315</v>
      </c>
      <c r="NG111" s="149">
        <f t="shared" si="1056"/>
        <v>0.34502649758005638</v>
      </c>
      <c r="NH111" s="149">
        <f t="shared" si="1057"/>
        <v>0.35430399149027836</v>
      </c>
      <c r="NI111" s="149">
        <f t="shared" si="996"/>
        <v>0.36353435599804113</v>
      </c>
      <c r="NJ111" s="149">
        <f t="shared" si="1058"/>
        <v>0.3728685923431812</v>
      </c>
      <c r="NK111" s="149">
        <f t="shared" si="1059"/>
        <v>0.38230239189895809</v>
      </c>
      <c r="NL111" s="149">
        <f t="shared" si="1060"/>
        <v>0.39183122155676026</v>
      </c>
      <c r="NM111" s="149">
        <f t="shared" si="1061"/>
        <v>0.4014503246911697</v>
      </c>
      <c r="NN111" s="149">
        <f t="shared" si="1062"/>
        <v>0.41103491518888063</v>
      </c>
      <c r="NO111" s="149">
        <f t="shared" si="1063"/>
        <v>0.42069579669088308</v>
      </c>
      <c r="NP111" s="149">
        <f t="shared" si="1064"/>
        <v>0.43042762008844304</v>
      </c>
      <c r="NQ111" s="149">
        <f t="shared" si="1065"/>
        <v>0.44022482958104225</v>
      </c>
      <c r="NR111" s="149">
        <f t="shared" si="1066"/>
        <v>0.44996146066689308</v>
      </c>
      <c r="NS111" s="149">
        <f t="shared" si="1067"/>
        <v>0.45974849082461178</v>
      </c>
      <c r="NT111" s="149">
        <f t="shared" si="1068"/>
        <v>0.46963603840576573</v>
      </c>
      <c r="NU111" s="149">
        <f t="shared" si="1069"/>
        <v>0.47962145688694802</v>
      </c>
      <c r="NV111" s="149">
        <f t="shared" si="1070"/>
        <v>0.48970197042433439</v>
      </c>
      <c r="NW111" s="149">
        <f t="shared" si="1071"/>
        <v>0.49975211106370188</v>
      </c>
      <c r="NX111" s="149">
        <f t="shared" si="1072"/>
        <v>0.50988784695218992</v>
      </c>
      <c r="NY111" s="149">
        <f t="shared" si="1073"/>
        <v>0.5201060402778851</v>
      </c>
      <c r="NZ111" s="149">
        <f t="shared" si="1074"/>
        <v>0.53040342910440241</v>
      </c>
      <c r="OA111" s="149">
        <f t="shared" si="1075"/>
        <v>0.54077662797381754</v>
      </c>
      <c r="OB111" s="149">
        <f t="shared" si="1076"/>
        <v>0.55122212867109288</v>
      </c>
      <c r="OC111" s="149">
        <f t="shared" si="1077"/>
        <v>0.56173630115220363</v>
      </c>
      <c r="OD111" s="149">
        <f t="shared" si="1078"/>
        <v>0.57225646043277623</v>
      </c>
      <c r="OE111" s="149">
        <f t="shared" si="1079"/>
        <v>0.58290537824787225</v>
      </c>
      <c r="OF111" s="149">
        <f t="shared" si="1080"/>
        <v>0.59368292544087975</v>
      </c>
      <c r="OG111" s="149">
        <f t="shared" si="1081"/>
        <v>0.6045889244052246</v>
      </c>
      <c r="OH111" s="149">
        <f t="shared" si="1082"/>
        <v>0.61562314826174713</v>
      </c>
      <c r="OI111" s="149">
        <f t="shared" si="1083"/>
        <v>0.62678532005006016</v>
      </c>
      <c r="OJ111" s="149">
        <f t="shared" si="1084"/>
        <v>0.63794229085373333</v>
      </c>
      <c r="OK111" s="149">
        <f t="shared" si="1085"/>
        <v>0.64922265671817514</v>
      </c>
      <c r="OL111" s="149">
        <f t="shared" si="1086"/>
        <v>0.66062595459050899</v>
      </c>
      <c r="OM111" s="149">
        <f t="shared" si="1087"/>
        <v>0.67215166970065821</v>
      </c>
      <c r="ON111" s="149">
        <f t="shared" si="1088"/>
        <v>0.68379923488349403</v>
      </c>
      <c r="OO111" s="149">
        <f t="shared" si="1089"/>
        <v>0.69556802991980082</v>
      </c>
      <c r="OP111" s="149">
        <f t="shared" si="1090"/>
        <v>0.70745738089685739</v>
      </c>
      <c r="OQ111" s="149">
        <f t="shared" si="1091"/>
        <v>0.71946655958943639</v>
      </c>
      <c r="OR111" s="149">
        <f t="shared" si="1092"/>
        <v>0.73145375701000881</v>
      </c>
      <c r="OS111" s="149">
        <f t="shared" si="1093"/>
        <v>0.74355545266823475</v>
      </c>
      <c r="OT111" s="149">
        <f t="shared" si="1094"/>
        <v>0.75577073425771846</v>
      </c>
      <c r="OU111" s="159">
        <f t="shared" si="1095"/>
        <v>0.75577073425771846</v>
      </c>
      <c r="OV111" s="159">
        <f t="shared" si="1096"/>
        <v>0.76801057813871565</v>
      </c>
      <c r="OW111" s="159">
        <f t="shared" si="1097"/>
        <v>0.78035916598687038</v>
      </c>
      <c r="OX111" s="159">
        <f t="shared" si="1098"/>
        <v>0.7928153814107648</v>
      </c>
      <c r="OY111" s="159">
        <f t="shared" si="1099"/>
        <v>0.80537805231907722</v>
      </c>
      <c r="OZ111" s="159">
        <f t="shared" si="1100"/>
        <v>0.81790034253895094</v>
      </c>
      <c r="PA111" s="159">
        <f t="shared" si="1101"/>
        <v>0.83052313362689922</v>
      </c>
      <c r="PB111" s="159">
        <f t="shared" si="1102"/>
        <v>0.84334073433475221</v>
      </c>
      <c r="PC111" s="159">
        <f t="shared" si="1103"/>
        <v>0.85625902121500952</v>
      </c>
      <c r="PD111" s="159">
        <f t="shared" si="1104"/>
        <v>0.86927657250153445</v>
      </c>
      <c r="PE111" s="159">
        <f t="shared" si="1105"/>
        <v>0.88239191018813767</v>
      </c>
      <c r="PF111" s="159">
        <f t="shared" si="1106"/>
        <v>0.8956034998415201</v>
      </c>
      <c r="PG111" s="159">
        <f t="shared" si="1107"/>
        <v>0.9087585430506151</v>
      </c>
      <c r="PH111" s="159">
        <f t="shared" si="1108"/>
        <v>0.92200333872269546</v>
      </c>
      <c r="PI111" s="159">
        <f t="shared" si="1109"/>
        <v>0.93533618897066662</v>
      </c>
      <c r="PJ111" s="159">
        <f t="shared" si="1110"/>
        <v>0.94886184209501467</v>
      </c>
      <c r="PK111" s="159">
        <f t="shared" si="1111"/>
        <v>0.96247504487602809</v>
      </c>
      <c r="PL111" s="159">
        <f t="shared" si="1112"/>
        <v>0.97617396323655636</v>
      </c>
      <c r="PM111" s="159">
        <f t="shared" si="1113"/>
        <v>0.98995670729755714</v>
      </c>
      <c r="PN111" s="159">
        <f t="shared" si="1114"/>
        <v>1.0036655491382722</v>
      </c>
      <c r="PO111" s="159">
        <f t="shared" si="1115"/>
        <v>1.0175642299317702</v>
      </c>
      <c r="PP111" s="159">
        <f t="shared" si="1116"/>
        <v>1.0315408163688777</v>
      </c>
      <c r="PQ111" s="159">
        <f t="shared" si="1117"/>
        <v>1.0455932401806174</v>
      </c>
      <c r="PR111" s="159">
        <f t="shared" si="1118"/>
        <v>1.0597193788423986</v>
      </c>
      <c r="PS111" s="159">
        <f t="shared" si="1119"/>
        <v>1.0739170557785458</v>
      </c>
      <c r="PT111" s="159">
        <f t="shared" si="1120"/>
        <v>1.0881840406000842</v>
      </c>
      <c r="PU111" s="159">
        <f t="shared" si="997"/>
        <v>1.102358782611909</v>
      </c>
      <c r="PV111" s="159">
        <f t="shared" si="986"/>
        <v>1.1187742054915824</v>
      </c>
      <c r="PW111" s="159">
        <f t="shared" si="986"/>
        <v>1.1332228592253859</v>
      </c>
      <c r="PX111" s="159">
        <f t="shared" si="986"/>
        <v>1.1501557842295889</v>
      </c>
      <c r="PY111" s="159">
        <f t="shared" si="989"/>
        <v>1.1647536198343733</v>
      </c>
      <c r="PZ111" s="159">
        <f t="shared" si="987"/>
        <v>1.1794070554880456</v>
      </c>
      <c r="QA111" s="159">
        <f t="shared" si="987"/>
        <v>1.1941135340245252</v>
      </c>
      <c r="QB111" s="159">
        <f t="shared" si="987"/>
        <v>1.2087082842146553</v>
      </c>
      <c r="QC111" s="159">
        <f t="shared" si="987"/>
        <v>1.2262833758099052</v>
      </c>
      <c r="QD111" s="159">
        <f t="shared" si="987"/>
        <v>1.2411362872744927</v>
      </c>
      <c r="QE111" s="159">
        <f t="shared" si="987"/>
        <v>1.2597658082352627</v>
      </c>
      <c r="QF111" s="159">
        <f t="shared" si="987"/>
        <v>1.274746837027948</v>
      </c>
      <c r="QG111" s="159">
        <f t="shared" si="987"/>
        <v>1.2897656561565338</v>
      </c>
      <c r="QH111" s="159">
        <f t="shared" si="987"/>
        <v>1.3048194075662316</v>
      </c>
      <c r="QI111" s="159">
        <f t="shared" si="987"/>
        <v>1.3200488617715675</v>
      </c>
      <c r="QJ111" s="159">
        <f t="shared" si="987"/>
        <v>1.3404116064513016</v>
      </c>
      <c r="QK111" s="159">
        <f t="shared" si="987"/>
        <v>1.3557612956176492</v>
      </c>
      <c r="QL111" s="159">
        <f t="shared" si="987"/>
        <v>1.3788487029134848</v>
      </c>
      <c r="QM111" s="159">
        <f t="shared" si="987"/>
        <v>1.3943167494848983</v>
      </c>
      <c r="QN111" s="159">
        <f t="shared" si="990"/>
        <v>1.4098064580811625</v>
      </c>
      <c r="QO111" s="159">
        <f t="shared" si="991"/>
        <v>1.4254682445589308</v>
      </c>
      <c r="QP111" s="159">
        <f t="shared" si="992"/>
        <v>1.4411487678555732</v>
      </c>
      <c r="QQ111" s="159">
        <f t="shared" si="993"/>
        <v>1.4726039094623389</v>
      </c>
      <c r="QR111" s="159">
        <f t="shared" si="994"/>
        <v>1.4886425509786578</v>
      </c>
      <c r="QS111" s="159">
        <f t="shared" si="995"/>
        <v>1.5046616392989716</v>
      </c>
      <c r="QT111" s="184"/>
      <c r="QU111" s="184"/>
      <c r="QV111" s="36"/>
      <c r="QW111" s="36"/>
      <c r="QX111" s="36"/>
      <c r="QY111" s="36"/>
      <c r="QZ111" s="36"/>
      <c r="RA111" s="36"/>
      <c r="RB111" s="36"/>
      <c r="RC111" s="36"/>
      <c r="RD111" s="36"/>
      <c r="RE111" s="36"/>
      <c r="RF111" s="36"/>
      <c r="RG111" s="36"/>
      <c r="RH111" s="36"/>
      <c r="RI111" s="36"/>
      <c r="RJ111" s="36"/>
      <c r="RK111" s="36"/>
      <c r="RL111" s="36"/>
      <c r="RM111" s="36"/>
      <c r="RN111" s="36"/>
      <c r="RO111" s="36"/>
      <c r="RP111" s="36"/>
      <c r="RQ111" s="36"/>
      <c r="RR111" s="36"/>
      <c r="RS111" s="36"/>
      <c r="RT111" s="36"/>
      <c r="RU111" s="36"/>
      <c r="RV111" s="36"/>
      <c r="RW111" s="36"/>
      <c r="RX111" s="36"/>
      <c r="RY111" s="36"/>
      <c r="RZ111" s="36"/>
      <c r="SA111" s="36"/>
      <c r="SB111" s="36"/>
      <c r="SC111" s="37"/>
      <c r="SD111" s="37"/>
      <c r="SE111" s="37"/>
      <c r="SF111" s="37"/>
      <c r="SG111" s="37"/>
      <c r="SH111" s="37"/>
      <c r="SI111" s="37"/>
      <c r="SJ111" s="37"/>
      <c r="SK111" s="37"/>
      <c r="SL111" s="37"/>
      <c r="SM111" s="37"/>
      <c r="SN111" s="37"/>
      <c r="SO111" s="37"/>
      <c r="SP111" s="37"/>
      <c r="SQ111" s="37"/>
      <c r="SR111" s="37"/>
      <c r="SS111" s="37"/>
      <c r="ST111" s="37"/>
      <c r="SU111" s="37"/>
      <c r="SV111" s="37"/>
      <c r="SW111" s="37"/>
      <c r="SX111" s="37"/>
      <c r="SY111" s="37"/>
      <c r="SZ111" s="37"/>
      <c r="TA111" s="37"/>
      <c r="TB111" s="37"/>
    </row>
    <row r="112" spans="1:526" ht="19.5" thickBot="1" x14ac:dyDescent="0.3">
      <c r="A112" s="298"/>
      <c r="B112" s="25" t="s">
        <v>11</v>
      </c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6"/>
      <c r="CL112" s="36"/>
      <c r="CM112" s="36"/>
      <c r="CN112" s="36"/>
      <c r="CO112" s="36"/>
      <c r="CP112" s="36"/>
      <c r="CQ112" s="36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6"/>
      <c r="DG112" s="36"/>
      <c r="DH112" s="36"/>
      <c r="DI112" s="36"/>
      <c r="DJ112" s="36"/>
      <c r="DK112" s="36"/>
      <c r="DL112" s="36"/>
      <c r="DM112" s="36"/>
      <c r="DN112" s="36"/>
      <c r="DO112" s="36"/>
      <c r="DP112" s="36"/>
      <c r="DQ112" s="36"/>
      <c r="DR112" s="36"/>
      <c r="DS112" s="36"/>
      <c r="DT112" s="36"/>
      <c r="DU112" s="36"/>
      <c r="DV112" s="36"/>
      <c r="DW112" s="36"/>
      <c r="DX112" s="36"/>
      <c r="DY112" s="36"/>
      <c r="DZ112" s="36"/>
      <c r="EA112" s="36"/>
      <c r="EB112" s="36"/>
      <c r="EC112" s="36"/>
      <c r="ED112" s="36"/>
      <c r="EE112" s="36"/>
      <c r="EF112" s="36"/>
      <c r="EG112" s="36"/>
      <c r="EH112" s="36"/>
      <c r="EI112" s="36"/>
      <c r="EJ112" s="36"/>
      <c r="EK112" s="36"/>
      <c r="EL112" s="36"/>
      <c r="EM112" s="36"/>
      <c r="EN112" s="36"/>
      <c r="EO112" s="36"/>
      <c r="EP112" s="36"/>
      <c r="EQ112" s="36"/>
      <c r="ER112" s="36"/>
      <c r="ES112" s="36"/>
      <c r="ET112" s="36"/>
      <c r="EU112" s="36"/>
      <c r="EV112" s="36"/>
      <c r="EW112" s="36"/>
      <c r="EX112" s="36"/>
      <c r="EY112" s="36"/>
      <c r="EZ112" s="36"/>
      <c r="FA112" s="36"/>
      <c r="FB112" s="36"/>
      <c r="FC112" s="36"/>
      <c r="FD112" s="36"/>
      <c r="FE112" s="36"/>
      <c r="FF112" s="36"/>
      <c r="FG112" s="36"/>
      <c r="FH112" s="36"/>
      <c r="FI112" s="36"/>
      <c r="FJ112" s="36"/>
      <c r="FK112" s="36"/>
      <c r="FL112" s="36"/>
      <c r="FM112" s="36"/>
      <c r="FN112" s="36"/>
      <c r="FO112" s="36"/>
      <c r="FP112" s="36"/>
      <c r="FQ112" s="36"/>
      <c r="FR112" s="36"/>
      <c r="FS112" s="36"/>
      <c r="FT112" s="36"/>
      <c r="FU112" s="36"/>
      <c r="FV112" s="36"/>
      <c r="FW112" s="36"/>
      <c r="FX112" s="36"/>
      <c r="FY112" s="36"/>
      <c r="FZ112" s="36"/>
      <c r="GA112" s="36"/>
      <c r="GB112" s="36"/>
      <c r="GC112" s="36"/>
      <c r="GD112" s="36"/>
      <c r="GE112" s="36"/>
      <c r="GF112" s="36"/>
      <c r="GG112" s="36"/>
      <c r="GH112" s="36"/>
      <c r="GI112" s="36"/>
      <c r="GJ112" s="36"/>
      <c r="GK112" s="36"/>
      <c r="GL112" s="36"/>
      <c r="GM112" s="36"/>
      <c r="GN112" s="36"/>
      <c r="GO112" s="36"/>
      <c r="GP112" s="36"/>
      <c r="GQ112" s="36"/>
      <c r="GR112" s="36"/>
      <c r="GS112" s="36"/>
      <c r="GT112" s="36"/>
      <c r="GU112" s="36"/>
      <c r="GV112" s="36"/>
      <c r="GW112" s="36"/>
      <c r="GX112" s="36"/>
      <c r="GY112" s="36"/>
      <c r="GZ112" s="36"/>
      <c r="HA112" s="36"/>
      <c r="HB112" s="36"/>
      <c r="HC112" s="36"/>
      <c r="HD112" s="36"/>
      <c r="HE112" s="36"/>
      <c r="HF112" s="36"/>
      <c r="HG112" s="36"/>
      <c r="HH112" s="36"/>
      <c r="HI112" s="36"/>
      <c r="HJ112" s="36"/>
      <c r="HK112" s="36"/>
      <c r="HL112" s="36"/>
      <c r="HM112" s="36"/>
      <c r="HN112" s="36"/>
      <c r="HO112" s="36"/>
      <c r="HP112" s="36"/>
      <c r="HQ112" s="36"/>
      <c r="HR112" s="36"/>
      <c r="HS112" s="36"/>
      <c r="HT112" s="36"/>
      <c r="HU112" s="36"/>
      <c r="HV112" s="36"/>
      <c r="HW112" s="36"/>
      <c r="HX112" s="36"/>
      <c r="HY112" s="36"/>
      <c r="HZ112" s="36"/>
      <c r="IA112" s="36"/>
      <c r="IB112" s="36"/>
      <c r="IC112" s="36"/>
      <c r="ID112" s="36"/>
      <c r="IE112" s="36"/>
      <c r="IF112" s="36"/>
      <c r="IG112" s="36"/>
      <c r="IH112" s="36"/>
      <c r="II112" s="36"/>
      <c r="IJ112" s="36"/>
      <c r="IK112" s="36"/>
      <c r="IL112" s="36"/>
      <c r="IM112" s="36"/>
      <c r="IN112" s="36"/>
      <c r="IO112" s="36"/>
      <c r="IP112" s="36"/>
      <c r="IQ112" s="36"/>
      <c r="IR112" s="36"/>
      <c r="IS112" s="36"/>
      <c r="IT112" s="36"/>
      <c r="IU112" s="36"/>
      <c r="IV112" s="36"/>
      <c r="IW112" s="36"/>
      <c r="IX112" s="36"/>
      <c r="IY112" s="36"/>
      <c r="IZ112" s="36"/>
      <c r="JA112" s="36"/>
      <c r="JB112" s="36"/>
      <c r="JC112" s="36"/>
      <c r="JD112" s="36"/>
      <c r="JE112" s="36"/>
      <c r="JF112" s="36"/>
      <c r="JG112" s="36"/>
      <c r="JH112" s="36"/>
      <c r="JI112" s="36"/>
      <c r="JJ112" s="36"/>
      <c r="JK112" s="36"/>
      <c r="JL112" s="36"/>
      <c r="JM112" s="36"/>
      <c r="JN112" s="36"/>
      <c r="JO112" s="36"/>
      <c r="JP112" s="36"/>
      <c r="JQ112" s="36"/>
      <c r="JR112" s="36"/>
      <c r="JS112" s="36"/>
      <c r="JT112" s="36"/>
      <c r="JU112" s="36"/>
      <c r="JV112" s="36"/>
      <c r="JW112" s="36"/>
      <c r="JX112" s="36"/>
      <c r="JY112" s="36"/>
      <c r="JZ112" s="36"/>
      <c r="KA112" s="36"/>
      <c r="KB112" s="36"/>
      <c r="KC112" s="36"/>
      <c r="KD112" s="36"/>
      <c r="KE112" s="36"/>
      <c r="KF112" s="36"/>
      <c r="KG112" s="36"/>
      <c r="KH112" s="36"/>
      <c r="KI112" s="36"/>
      <c r="KJ112" s="36"/>
      <c r="KK112" s="36"/>
      <c r="KL112" s="36"/>
      <c r="KM112" s="36"/>
      <c r="KN112" s="36"/>
      <c r="KO112" s="36"/>
      <c r="KP112" s="36"/>
      <c r="KQ112" s="36"/>
      <c r="KR112" s="36"/>
      <c r="KS112" s="36"/>
      <c r="KT112" s="36"/>
      <c r="KU112" s="36"/>
      <c r="KV112" s="36"/>
      <c r="KW112" s="123">
        <f t="shared" si="980"/>
        <v>2.5</v>
      </c>
      <c r="KX112" s="110">
        <f t="shared" si="981"/>
        <v>2.7458928571428571</v>
      </c>
      <c r="KY112" s="110">
        <f t="shared" si="982"/>
        <v>3.0145000191326532</v>
      </c>
      <c r="KZ112" s="110">
        <f t="shared" si="983"/>
        <v>3.3030458455254204</v>
      </c>
      <c r="LA112" s="110">
        <f t="shared" si="998"/>
        <v>3.6180521124776339</v>
      </c>
      <c r="LB112" s="110">
        <f t="shared" si="999"/>
        <v>3.9605610457921832</v>
      </c>
      <c r="LC112" s="110">
        <f t="shared" si="1000"/>
        <v>4.326161801639965</v>
      </c>
      <c r="LD112" s="110">
        <f t="shared" si="1001"/>
        <v>4.7232736194318816</v>
      </c>
      <c r="LE112" s="110">
        <f t="shared" si="1002"/>
        <v>5.1461266915986474</v>
      </c>
      <c r="LF112" s="110">
        <f t="shared" si="1003"/>
        <v>5.603346964774242</v>
      </c>
      <c r="LG112" s="110">
        <f t="shared" si="1004"/>
        <v>6.0954917778498379</v>
      </c>
      <c r="LH112" s="110">
        <f t="shared" si="1005"/>
        <v>6.615640409559691</v>
      </c>
      <c r="LI112" s="110">
        <f t="shared" si="1006"/>
        <v>7.1735594174325588</v>
      </c>
      <c r="LJ112" s="110">
        <f t="shared" si="1007"/>
        <v>7.7613208923231802</v>
      </c>
      <c r="LK112" s="110">
        <f t="shared" si="1008"/>
        <v>8.3896061802951785</v>
      </c>
      <c r="LL112" s="110">
        <f t="shared" si="1009"/>
        <v>9.0480549492196349</v>
      </c>
      <c r="LM112" s="110">
        <f t="shared" si="1010"/>
        <v>9.7479657804528195</v>
      </c>
      <c r="LN112" s="110">
        <f t="shared" si="1011"/>
        <v>10.477361188215589</v>
      </c>
      <c r="LO112" s="110">
        <f t="shared" si="1012"/>
        <v>11.249692384375482</v>
      </c>
      <c r="LP112" s="110">
        <f t="shared" si="1013"/>
        <v>12.053342284084305</v>
      </c>
      <c r="LQ112" s="110">
        <f t="shared" si="1014"/>
        <v>12.90121958038036</v>
      </c>
      <c r="LR112" s="110">
        <f t="shared" si="1015"/>
        <v>13.78048731485859</v>
      </c>
      <c r="LS112" s="110">
        <f t="shared" si="1016"/>
        <v>14.702719927468356</v>
      </c>
      <c r="LT112" s="110">
        <f t="shared" si="1017"/>
        <v>15.655723500948806</v>
      </c>
      <c r="LU112" s="110">
        <f t="shared" si="1018"/>
        <v>16.653894478100209</v>
      </c>
      <c r="LV112" s="110">
        <f t="shared" si="1019"/>
        <v>17.700566512875355</v>
      </c>
      <c r="LW112" s="110">
        <f t="shared" si="1020"/>
        <v>18.780036882600857</v>
      </c>
      <c r="LX112" s="110">
        <f t="shared" si="1021"/>
        <v>19.908520889904604</v>
      </c>
      <c r="LY112" s="110">
        <f t="shared" si="1022"/>
        <v>21.06907054883963</v>
      </c>
      <c r="LZ112" s="110">
        <f t="shared" si="1023"/>
        <v>22.278683069761243</v>
      </c>
      <c r="MA112" s="110">
        <f t="shared" si="1024"/>
        <v>23.538083918587155</v>
      </c>
      <c r="MB112" s="110">
        <f t="shared" si="1025"/>
        <v>24.828243822646527</v>
      </c>
      <c r="MC112" s="110">
        <f t="shared" si="1026"/>
        <v>26.167529670586966</v>
      </c>
      <c r="MD112" s="110">
        <f t="shared" si="1027"/>
        <v>27.556304940930293</v>
      </c>
      <c r="ME112" s="110">
        <f t="shared" si="1028"/>
        <v>28.973486337892421</v>
      </c>
      <c r="MF112" s="110">
        <f t="shared" si="1029"/>
        <v>30.438716932694408</v>
      </c>
      <c r="MG112" s="110">
        <f t="shared" si="1030"/>
        <v>31.925498204843478</v>
      </c>
      <c r="MH112" s="110">
        <f t="shared" si="1031"/>
        <v>33.457922118675967</v>
      </c>
      <c r="MI112" s="110">
        <f t="shared" si="1032"/>
        <v>35.030915696593432</v>
      </c>
      <c r="MJ112" s="110">
        <f t="shared" si="1033"/>
        <v>36.624822360788428</v>
      </c>
      <c r="MK112" s="110">
        <f t="shared" si="1034"/>
        <v>38.260731092903647</v>
      </c>
      <c r="ML112" s="110">
        <f t="shared" si="1035"/>
        <v>39.932512482046356</v>
      </c>
      <c r="MM112" s="110">
        <f t="shared" si="1036"/>
        <v>41.619524379233077</v>
      </c>
      <c r="MN112" s="110">
        <f t="shared" si="1037"/>
        <v>43.337897618671555</v>
      </c>
      <c r="MO112" s="110">
        <f t="shared" si="1038"/>
        <v>45.091598297651771</v>
      </c>
      <c r="MP112" s="110">
        <f t="shared" si="1039"/>
        <v>46.85382670679784</v>
      </c>
      <c r="MQ112" s="110">
        <f t="shared" si="1040"/>
        <v>48.646935318063406</v>
      </c>
      <c r="MR112" s="110">
        <f t="shared" si="1041"/>
        <v>50.469223219437346</v>
      </c>
      <c r="MS112" s="110">
        <f t="shared" si="1042"/>
        <v>52.292844485099678</v>
      </c>
      <c r="MT112" s="110">
        <f t="shared" si="1043"/>
        <v>54.140524990239868</v>
      </c>
      <c r="MU112" s="110">
        <f t="shared" si="1044"/>
        <v>55.984152341223293</v>
      </c>
      <c r="MV112" s="148">
        <f t="shared" si="1045"/>
        <v>55.872184036540851</v>
      </c>
      <c r="MW112" s="148">
        <f t="shared" si="1046"/>
        <v>57.686559697095888</v>
      </c>
      <c r="MX112" s="148">
        <f t="shared" si="1047"/>
        <v>59.489077393605136</v>
      </c>
      <c r="MY112" s="148">
        <f t="shared" si="1048"/>
        <v>61.30156279055835</v>
      </c>
      <c r="MZ112" s="148">
        <f t="shared" si="1049"/>
        <v>63.137425177506771</v>
      </c>
      <c r="NA112" s="148">
        <f t="shared" si="1050"/>
        <v>64.970029415992343</v>
      </c>
      <c r="NB112" s="148">
        <f t="shared" si="1051"/>
        <v>66.814178712492435</v>
      </c>
      <c r="NC112" s="148">
        <f t="shared" si="1052"/>
        <v>68.676409796094475</v>
      </c>
      <c r="ND112" s="148">
        <f t="shared" si="1053"/>
        <v>70.555325930772227</v>
      </c>
      <c r="NE112" s="148">
        <f t="shared" si="1054"/>
        <v>72.423702409850407</v>
      </c>
      <c r="NF112" s="148">
        <f t="shared" si="1055"/>
        <v>74.304885161053093</v>
      </c>
      <c r="NG112" s="148">
        <f t="shared" si="1056"/>
        <v>76.187902630577511</v>
      </c>
      <c r="NH112" s="148">
        <f t="shared" si="1057"/>
        <v>78.080062946541972</v>
      </c>
      <c r="NI112" s="148">
        <f t="shared" si="996"/>
        <v>79.953984457258983</v>
      </c>
      <c r="NJ112" s="148">
        <f t="shared" si="1058"/>
        <v>81.842897340061725</v>
      </c>
      <c r="NK112" s="148">
        <f t="shared" si="1059"/>
        <v>83.745744703218151</v>
      </c>
      <c r="NL112" s="148">
        <f t="shared" si="1060"/>
        <v>85.661428613304267</v>
      </c>
      <c r="NM112" s="148">
        <f t="shared" si="1061"/>
        <v>87.588810757103602</v>
      </c>
      <c r="NN112" s="148">
        <f t="shared" si="1062"/>
        <v>89.50062578696236</v>
      </c>
      <c r="NO112" s="148">
        <f t="shared" si="1063"/>
        <v>91.421021930391248</v>
      </c>
      <c r="NP112" s="148">
        <f t="shared" si="1064"/>
        <v>93.348763973071598</v>
      </c>
      <c r="NQ112" s="148">
        <f t="shared" si="1065"/>
        <v>95.282581577353255</v>
      </c>
      <c r="NR112" s="148">
        <f t="shared" si="1066"/>
        <v>97.195205105113303</v>
      </c>
      <c r="NS112" s="148">
        <f t="shared" si="1067"/>
        <v>99.110661830111624</v>
      </c>
      <c r="NT112" s="148">
        <f t="shared" si="1068"/>
        <v>101.03969373597575</v>
      </c>
      <c r="NU112" s="148">
        <f t="shared" si="1069"/>
        <v>102.98162736192573</v>
      </c>
      <c r="NV112" s="148">
        <f t="shared" si="1070"/>
        <v>104.9357665347935</v>
      </c>
      <c r="NW112" s="148">
        <f t="shared" si="1071"/>
        <v>106.87518178617148</v>
      </c>
      <c r="NX112" s="148">
        <f t="shared" si="1072"/>
        <v>108.82468811417466</v>
      </c>
      <c r="NY112" s="148">
        <f t="shared" si="1073"/>
        <v>110.78353250022981</v>
      </c>
      <c r="NZ112" s="148">
        <f t="shared" si="1074"/>
        <v>112.75094125812545</v>
      </c>
      <c r="OA112" s="148">
        <f t="shared" si="1075"/>
        <v>114.72612039775575</v>
      </c>
      <c r="OB112" s="148">
        <f t="shared" si="1076"/>
        <v>116.7082560200495</v>
      </c>
      <c r="OC112" s="148">
        <f t="shared" si="1077"/>
        <v>118.69651474308986</v>
      </c>
      <c r="OD112" s="148">
        <f t="shared" si="1078"/>
        <v>120.67761609630193</v>
      </c>
      <c r="OE112" s="148">
        <f t="shared" si="1079"/>
        <v>122.67741659161207</v>
      </c>
      <c r="OF112" s="148">
        <f t="shared" si="1080"/>
        <v>124.69575218363121</v>
      </c>
      <c r="OG112" s="148">
        <f t="shared" si="1081"/>
        <v>126.73244946929719</v>
      </c>
      <c r="OH112" s="148">
        <f t="shared" si="1082"/>
        <v>128.78732561426366</v>
      </c>
      <c r="OI112" s="148">
        <f t="shared" si="1083"/>
        <v>130.86018828367418</v>
      </c>
      <c r="OJ112" s="148">
        <f t="shared" si="1084"/>
        <v>132.92316066367565</v>
      </c>
      <c r="OK112" s="148">
        <f t="shared" si="1085"/>
        <v>135.00301717758964</v>
      </c>
      <c r="OL112" s="148">
        <f t="shared" si="1086"/>
        <v>137.09953462081808</v>
      </c>
      <c r="OM112" s="148">
        <f t="shared" si="1087"/>
        <v>139.21248038968011</v>
      </c>
      <c r="ON112" s="148">
        <f t="shared" si="1088"/>
        <v>141.34161244269873</v>
      </c>
      <c r="OO112" s="148">
        <f t="shared" si="1089"/>
        <v>143.4866792668291</v>
      </c>
      <c r="OP112" s="148">
        <f t="shared" si="1090"/>
        <v>145.64741984872958</v>
      </c>
      <c r="OQ112" s="148">
        <f t="shared" si="1091"/>
        <v>147.82356365117531</v>
      </c>
      <c r="OR112" s="148">
        <f t="shared" si="1092"/>
        <v>149.98591298923552</v>
      </c>
      <c r="OS112" s="148">
        <f t="shared" si="1093"/>
        <v>152.1624527498235</v>
      </c>
      <c r="OT112" s="148">
        <f t="shared" si="1094"/>
        <v>154.35288433708257</v>
      </c>
      <c r="OU112" s="158">
        <f t="shared" si="1095"/>
        <v>154.0441785684084</v>
      </c>
      <c r="OV112" s="158">
        <f t="shared" si="1096"/>
        <v>156.22587402766794</v>
      </c>
      <c r="OW112" s="158">
        <f t="shared" si="1097"/>
        <v>158.4203025837775</v>
      </c>
      <c r="OX112" s="158">
        <f t="shared" si="1098"/>
        <v>160.62713424070034</v>
      </c>
      <c r="OY112" s="158">
        <f t="shared" si="1099"/>
        <v>162.8460300020719</v>
      </c>
      <c r="OZ112" s="158">
        <f t="shared" si="1100"/>
        <v>165.0472590972723</v>
      </c>
      <c r="PA112" s="158">
        <f t="shared" si="1101"/>
        <v>167.25927178816221</v>
      </c>
      <c r="PB112" s="158">
        <f t="shared" si="1102"/>
        <v>169.50093053419664</v>
      </c>
      <c r="PC112" s="158">
        <f t="shared" si="1103"/>
        <v>171.75314979508781</v>
      </c>
      <c r="PD112" s="158">
        <f t="shared" si="1104"/>
        <v>174.01555335445758</v>
      </c>
      <c r="PE112" s="158">
        <f t="shared" si="1105"/>
        <v>176.28775644193649</v>
      </c>
      <c r="PF112" s="158">
        <f t="shared" si="1106"/>
        <v>178.56936579542639</v>
      </c>
      <c r="PG112" s="158">
        <f t="shared" si="1107"/>
        <v>180.82989163060938</v>
      </c>
      <c r="PH112" s="158">
        <f t="shared" si="1108"/>
        <v>183.09848481652065</v>
      </c>
      <c r="PI112" s="158">
        <f t="shared" si="1109"/>
        <v>185.37473188912605</v>
      </c>
      <c r="PJ112" s="158">
        <f t="shared" si="1110"/>
        <v>187.67927685147495</v>
      </c>
      <c r="PK112" s="158">
        <f t="shared" si="1111"/>
        <v>189.99114430723631</v>
      </c>
      <c r="PL112" s="158">
        <f t="shared" si="1112"/>
        <v>192.30989986389508</v>
      </c>
      <c r="PM112" s="158">
        <f t="shared" si="1113"/>
        <v>194.63510138043125</v>
      </c>
      <c r="PN112" s="158">
        <f t="shared" si="1114"/>
        <v>196.93573201697299</v>
      </c>
      <c r="PO112" s="158">
        <f t="shared" si="1115"/>
        <v>199.2635566246343</v>
      </c>
      <c r="PP112" s="158">
        <f t="shared" si="1116"/>
        <v>201.59650747859911</v>
      </c>
      <c r="PQ112" s="158">
        <f t="shared" si="1117"/>
        <v>203.93412091363186</v>
      </c>
      <c r="PR112" s="158">
        <f t="shared" si="1118"/>
        <v>206.27592621221311</v>
      </c>
      <c r="PS112" s="158">
        <f t="shared" si="1119"/>
        <v>208.62144573273852</v>
      </c>
      <c r="PT112" s="158">
        <f t="shared" si="1120"/>
        <v>210.97019504312283</v>
      </c>
      <c r="PU112" s="158">
        <f t="shared" si="997"/>
        <v>213.29086718859719</v>
      </c>
      <c r="PV112" s="158">
        <f t="shared" si="986"/>
        <v>188.9757083290971</v>
      </c>
      <c r="PW112" s="158">
        <f t="shared" si="986"/>
        <v>191.03344381979173</v>
      </c>
      <c r="PX112" s="158">
        <f t="shared" si="986"/>
        <v>165.80186785114904</v>
      </c>
      <c r="PY112" s="158">
        <f t="shared" si="989"/>
        <v>167.57042110822798</v>
      </c>
      <c r="PZ112" s="158">
        <f t="shared" si="987"/>
        <v>169.33921999770371</v>
      </c>
      <c r="QA112" s="158">
        <f t="shared" si="987"/>
        <v>171.10787407323525</v>
      </c>
      <c r="QB112" s="158">
        <f t="shared" si="987"/>
        <v>172.85279832752056</v>
      </c>
      <c r="QC112" s="158">
        <f t="shared" si="987"/>
        <v>145.78772243994473</v>
      </c>
      <c r="QD112" s="158">
        <f t="shared" si="987"/>
        <v>147.25841616741585</v>
      </c>
      <c r="QE112" s="158">
        <f t="shared" si="987"/>
        <v>119.27608064689986</v>
      </c>
      <c r="QF112" s="158">
        <f t="shared" si="987"/>
        <v>120.4531127394374</v>
      </c>
      <c r="QG112" s="158">
        <f t="shared" si="987"/>
        <v>121.62852333408158</v>
      </c>
      <c r="QH112" s="158">
        <f t="shared" si="987"/>
        <v>122.80203809767855</v>
      </c>
      <c r="QI112" s="158">
        <f t="shared" si="987"/>
        <v>123.98687534437923</v>
      </c>
      <c r="QJ112" s="158">
        <f t="shared" si="987"/>
        <v>94.1728005500308</v>
      </c>
      <c r="QK112" s="158">
        <f t="shared" si="987"/>
        <v>95.060715526645382</v>
      </c>
      <c r="QL112" s="158">
        <f t="shared" si="987"/>
        <v>64.259650865015544</v>
      </c>
      <c r="QM112" s="158">
        <f t="shared" si="987"/>
        <v>64.850560263187319</v>
      </c>
      <c r="QN112" s="158">
        <f t="shared" si="990"/>
        <v>65.439854484709329</v>
      </c>
      <c r="QO112" s="158">
        <f t="shared" si="991"/>
        <v>66.034503597200825</v>
      </c>
      <c r="QP112" s="158">
        <f t="shared" si="992"/>
        <v>66.627378596888732</v>
      </c>
      <c r="QQ112" s="158">
        <f t="shared" si="993"/>
        <v>33.90464517817329</v>
      </c>
      <c r="QR112" s="158">
        <f t="shared" si="994"/>
        <v>34.205364639753611</v>
      </c>
      <c r="QS112" s="160">
        <f t="shared" si="995"/>
        <v>-6.9146888214147453E-2</v>
      </c>
      <c r="QT112" s="184"/>
      <c r="QU112" s="184"/>
      <c r="QV112" s="36"/>
      <c r="QW112" s="36"/>
      <c r="QX112" s="36"/>
      <c r="QY112" s="36"/>
      <c r="QZ112" s="36"/>
      <c r="RA112" s="36"/>
      <c r="RB112" s="36"/>
      <c r="RC112" s="36"/>
      <c r="RD112" s="36"/>
      <c r="RE112" s="36"/>
      <c r="RF112" s="36"/>
      <c r="RG112" s="36"/>
      <c r="RH112" s="36"/>
      <c r="RI112" s="36"/>
      <c r="RJ112" s="36"/>
      <c r="RK112" s="36"/>
      <c r="RL112" s="36"/>
      <c r="RM112" s="36"/>
      <c r="RN112" s="36"/>
      <c r="RO112" s="36"/>
      <c r="RP112" s="36"/>
      <c r="RQ112" s="36"/>
      <c r="RR112" s="36"/>
      <c r="RS112" s="36"/>
      <c r="RT112" s="36"/>
      <c r="RU112" s="36"/>
      <c r="RV112" s="36"/>
      <c r="RW112" s="36"/>
      <c r="RX112" s="36"/>
      <c r="RY112" s="36"/>
      <c r="RZ112" s="36"/>
      <c r="SA112" s="36"/>
      <c r="SB112" s="36"/>
      <c r="SC112" s="37"/>
      <c r="SD112" s="37"/>
      <c r="SE112" s="37"/>
      <c r="SF112" s="37"/>
      <c r="SG112" s="37"/>
      <c r="SH112" s="37"/>
      <c r="SI112" s="37"/>
      <c r="SJ112" s="37"/>
      <c r="SK112" s="37"/>
      <c r="SL112" s="37"/>
      <c r="SM112" s="37"/>
      <c r="SN112" s="37"/>
      <c r="SO112" s="37"/>
      <c r="SP112" s="37"/>
      <c r="SQ112" s="37"/>
      <c r="SR112" s="37"/>
      <c r="SS112" s="37"/>
      <c r="ST112" s="37"/>
      <c r="SU112" s="37"/>
      <c r="SV112" s="37"/>
      <c r="SW112" s="37"/>
      <c r="SX112" s="37"/>
      <c r="SY112" s="37"/>
      <c r="SZ112" s="37"/>
      <c r="TA112" s="37"/>
      <c r="TB112" s="37"/>
    </row>
    <row r="113" spans="1:529" ht="19.5" thickBot="1" x14ac:dyDescent="0.3">
      <c r="A113" s="298"/>
      <c r="B113" s="25" t="s">
        <v>12</v>
      </c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6"/>
      <c r="CL113" s="36"/>
      <c r="CM113" s="36"/>
      <c r="CN113" s="36"/>
      <c r="CO113" s="36"/>
      <c r="CP113" s="36"/>
      <c r="CQ113" s="36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6"/>
      <c r="DG113" s="36"/>
      <c r="DH113" s="36"/>
      <c r="DI113" s="36"/>
      <c r="DJ113" s="36"/>
      <c r="DK113" s="36"/>
      <c r="DL113" s="36"/>
      <c r="DM113" s="36"/>
      <c r="DN113" s="36"/>
      <c r="DO113" s="36"/>
      <c r="DP113" s="36"/>
      <c r="DQ113" s="36"/>
      <c r="DR113" s="36"/>
      <c r="DS113" s="36"/>
      <c r="DT113" s="36"/>
      <c r="DU113" s="36"/>
      <c r="DV113" s="36"/>
      <c r="DW113" s="36"/>
      <c r="DX113" s="36"/>
      <c r="DY113" s="36"/>
      <c r="DZ113" s="36"/>
      <c r="EA113" s="36"/>
      <c r="EB113" s="36"/>
      <c r="EC113" s="36"/>
      <c r="ED113" s="36"/>
      <c r="EE113" s="36"/>
      <c r="EF113" s="36"/>
      <c r="EG113" s="36"/>
      <c r="EH113" s="36"/>
      <c r="EI113" s="36"/>
      <c r="EJ113" s="36"/>
      <c r="EK113" s="36"/>
      <c r="EL113" s="36"/>
      <c r="EM113" s="36"/>
      <c r="EN113" s="36"/>
      <c r="EO113" s="36"/>
      <c r="EP113" s="36"/>
      <c r="EQ113" s="36"/>
      <c r="ER113" s="36"/>
      <c r="ES113" s="36"/>
      <c r="ET113" s="36"/>
      <c r="EU113" s="36"/>
      <c r="EV113" s="36"/>
      <c r="EW113" s="36"/>
      <c r="EX113" s="36"/>
      <c r="EY113" s="36"/>
      <c r="EZ113" s="36"/>
      <c r="FA113" s="36"/>
      <c r="FB113" s="36"/>
      <c r="FC113" s="36"/>
      <c r="FD113" s="36"/>
      <c r="FE113" s="36"/>
      <c r="FF113" s="36"/>
      <c r="FG113" s="36"/>
      <c r="FH113" s="36"/>
      <c r="FI113" s="36"/>
      <c r="FJ113" s="36"/>
      <c r="FK113" s="36"/>
      <c r="FL113" s="36"/>
      <c r="FM113" s="36"/>
      <c r="FN113" s="36"/>
      <c r="FO113" s="36"/>
      <c r="FP113" s="36"/>
      <c r="FQ113" s="36"/>
      <c r="FR113" s="36"/>
      <c r="FS113" s="36"/>
      <c r="FT113" s="36"/>
      <c r="FU113" s="36"/>
      <c r="FV113" s="36"/>
      <c r="FW113" s="36"/>
      <c r="FX113" s="36"/>
      <c r="FY113" s="36"/>
      <c r="FZ113" s="36"/>
      <c r="GA113" s="36"/>
      <c r="GB113" s="36"/>
      <c r="GC113" s="36"/>
      <c r="GD113" s="36"/>
      <c r="GE113" s="36"/>
      <c r="GF113" s="36"/>
      <c r="GG113" s="36"/>
      <c r="GH113" s="36"/>
      <c r="GI113" s="36"/>
      <c r="GJ113" s="36"/>
      <c r="GK113" s="36"/>
      <c r="GL113" s="36"/>
      <c r="GM113" s="36"/>
      <c r="GN113" s="36"/>
      <c r="GO113" s="36"/>
      <c r="GP113" s="36"/>
      <c r="GQ113" s="36"/>
      <c r="GR113" s="36"/>
      <c r="GS113" s="36"/>
      <c r="GT113" s="36"/>
      <c r="GU113" s="36"/>
      <c r="GV113" s="36"/>
      <c r="GW113" s="36"/>
      <c r="GX113" s="36"/>
      <c r="GY113" s="36"/>
      <c r="GZ113" s="36"/>
      <c r="HA113" s="36"/>
      <c r="HB113" s="36"/>
      <c r="HC113" s="36"/>
      <c r="HD113" s="36"/>
      <c r="HE113" s="36"/>
      <c r="HF113" s="36"/>
      <c r="HG113" s="36"/>
      <c r="HH113" s="36"/>
      <c r="HI113" s="36"/>
      <c r="HJ113" s="36"/>
      <c r="HK113" s="36"/>
      <c r="HL113" s="36"/>
      <c r="HM113" s="36"/>
      <c r="HN113" s="36"/>
      <c r="HO113" s="36"/>
      <c r="HP113" s="36"/>
      <c r="HQ113" s="36"/>
      <c r="HR113" s="36"/>
      <c r="HS113" s="36"/>
      <c r="HT113" s="36"/>
      <c r="HU113" s="36"/>
      <c r="HV113" s="36"/>
      <c r="HW113" s="36"/>
      <c r="HX113" s="36"/>
      <c r="HY113" s="36"/>
      <c r="HZ113" s="36"/>
      <c r="IA113" s="36"/>
      <c r="IB113" s="36"/>
      <c r="IC113" s="36"/>
      <c r="ID113" s="36"/>
      <c r="IE113" s="36"/>
      <c r="IF113" s="36"/>
      <c r="IG113" s="36"/>
      <c r="IH113" s="36"/>
      <c r="II113" s="36"/>
      <c r="IJ113" s="36"/>
      <c r="IK113" s="36"/>
      <c r="IL113" s="36"/>
      <c r="IM113" s="36"/>
      <c r="IN113" s="36"/>
      <c r="IO113" s="36"/>
      <c r="IP113" s="36"/>
      <c r="IQ113" s="36"/>
      <c r="IR113" s="36"/>
      <c r="IS113" s="36"/>
      <c r="IT113" s="36"/>
      <c r="IU113" s="36"/>
      <c r="IV113" s="36"/>
      <c r="IW113" s="36"/>
      <c r="IX113" s="36"/>
      <c r="IY113" s="36"/>
      <c r="IZ113" s="36"/>
      <c r="JA113" s="36"/>
      <c r="JB113" s="36"/>
      <c r="JC113" s="36"/>
      <c r="JD113" s="36"/>
      <c r="JE113" s="36"/>
      <c r="JF113" s="36"/>
      <c r="JG113" s="36"/>
      <c r="JH113" s="36"/>
      <c r="JI113" s="36"/>
      <c r="JJ113" s="36"/>
      <c r="JK113" s="36"/>
      <c r="JL113" s="36"/>
      <c r="JM113" s="36"/>
      <c r="JN113" s="36"/>
      <c r="JO113" s="36"/>
      <c r="JP113" s="36"/>
      <c r="JQ113" s="36"/>
      <c r="JR113" s="36"/>
      <c r="JS113" s="36"/>
      <c r="JT113" s="36"/>
      <c r="JU113" s="36"/>
      <c r="JV113" s="36"/>
      <c r="JW113" s="36"/>
      <c r="JX113" s="36"/>
      <c r="JY113" s="36"/>
      <c r="JZ113" s="36"/>
      <c r="KA113" s="36"/>
      <c r="KB113" s="36"/>
      <c r="KC113" s="36"/>
      <c r="KD113" s="36"/>
      <c r="KE113" s="36"/>
      <c r="KF113" s="36"/>
      <c r="KG113" s="36"/>
      <c r="KH113" s="36"/>
      <c r="KI113" s="36"/>
      <c r="KJ113" s="36"/>
      <c r="KK113" s="36"/>
      <c r="KL113" s="36"/>
      <c r="KM113" s="36"/>
      <c r="KN113" s="36"/>
      <c r="KO113" s="36"/>
      <c r="KP113" s="36"/>
      <c r="KQ113" s="36"/>
      <c r="KR113" s="36"/>
      <c r="KS113" s="36"/>
      <c r="KT113" s="36"/>
      <c r="KU113" s="36"/>
      <c r="KV113" s="36"/>
      <c r="KW113" s="118">
        <f t="shared" si="980"/>
        <v>5.62E-2</v>
      </c>
      <c r="KX113" s="116">
        <f t="shared" si="981"/>
        <v>5.5899999999999998E-2</v>
      </c>
      <c r="KY113" s="116">
        <f t="shared" si="982"/>
        <v>5.57E-2</v>
      </c>
      <c r="KZ113" s="116">
        <f t="shared" si="983"/>
        <v>5.5500000000000001E-2</v>
      </c>
      <c r="LA113" s="116">
        <f t="shared" si="998"/>
        <v>5.5099999999999996E-2</v>
      </c>
      <c r="LB113" s="116">
        <f t="shared" si="999"/>
        <v>5.4699999999999999E-2</v>
      </c>
      <c r="LC113" s="116">
        <f t="shared" si="1000"/>
        <v>5.4400000000000004E-2</v>
      </c>
      <c r="LD113" s="116">
        <f t="shared" si="1001"/>
        <v>5.4000000000000006E-2</v>
      </c>
      <c r="LE113" s="116">
        <f t="shared" si="1002"/>
        <v>5.3600000000000002E-2</v>
      </c>
      <c r="LF113" s="116">
        <f t="shared" si="1003"/>
        <v>5.2999999999999999E-2</v>
      </c>
      <c r="LG113" s="116">
        <f t="shared" si="1004"/>
        <v>5.2400000000000002E-2</v>
      </c>
      <c r="LH113" s="116">
        <f t="shared" si="1005"/>
        <v>5.1799999999999999E-2</v>
      </c>
      <c r="LI113" s="116">
        <f t="shared" si="1006"/>
        <v>5.1200000000000002E-2</v>
      </c>
      <c r="LJ113" s="116">
        <f t="shared" si="1007"/>
        <v>5.0599999999999999E-2</v>
      </c>
      <c r="LK113" s="116">
        <f t="shared" si="1008"/>
        <v>4.99E-2</v>
      </c>
      <c r="LL113" s="116">
        <f t="shared" si="1009"/>
        <v>4.9200000000000001E-2</v>
      </c>
      <c r="LM113" s="116">
        <f t="shared" si="1010"/>
        <v>4.8399999999999999E-2</v>
      </c>
      <c r="LN113" s="116">
        <f t="shared" si="1011"/>
        <v>4.7699999999999992E-2</v>
      </c>
      <c r="LO113" s="116">
        <f t="shared" si="1012"/>
        <v>4.7E-2</v>
      </c>
      <c r="LP113" s="116">
        <f t="shared" si="1013"/>
        <v>4.6300000000000001E-2</v>
      </c>
      <c r="LQ113" s="116">
        <f t="shared" si="1014"/>
        <v>4.5599999999999995E-2</v>
      </c>
      <c r="LR113" s="116">
        <f t="shared" si="1015"/>
        <v>4.4800000000000006E-2</v>
      </c>
      <c r="LS113" s="116">
        <f t="shared" si="1016"/>
        <v>4.41E-2</v>
      </c>
      <c r="LT113" s="116">
        <f t="shared" si="1017"/>
        <v>4.3400000000000001E-2</v>
      </c>
      <c r="LU113" s="116">
        <f t="shared" si="1018"/>
        <v>4.2800000000000005E-2</v>
      </c>
      <c r="LV113" s="116">
        <f t="shared" si="1019"/>
        <v>4.2199999999999994E-2</v>
      </c>
      <c r="LW113" s="116">
        <f t="shared" si="1020"/>
        <v>4.1599999999999998E-2</v>
      </c>
      <c r="LX113" s="116">
        <f t="shared" si="1021"/>
        <v>4.0999999999999995E-2</v>
      </c>
      <c r="LY113" s="116">
        <f t="shared" si="1022"/>
        <v>4.0399999999999998E-2</v>
      </c>
      <c r="LZ113" s="116">
        <f t="shared" si="1023"/>
        <v>3.9800000000000002E-2</v>
      </c>
      <c r="MA113" s="116">
        <f t="shared" si="1024"/>
        <v>3.9199999999999999E-2</v>
      </c>
      <c r="MB113" s="116">
        <f t="shared" si="1025"/>
        <v>3.8599999999999995E-2</v>
      </c>
      <c r="MC113" s="116">
        <f t="shared" si="1026"/>
        <v>3.7999999999999999E-2</v>
      </c>
      <c r="MD113" s="116">
        <f t="shared" si="1027"/>
        <v>3.7400000000000003E-2</v>
      </c>
      <c r="ME113" s="116">
        <f t="shared" si="1028"/>
        <v>3.6799999999999999E-2</v>
      </c>
      <c r="MF113" s="116">
        <f t="shared" si="1029"/>
        <v>3.61E-2</v>
      </c>
      <c r="MG113" s="116">
        <f t="shared" si="1030"/>
        <v>3.5499999999999997E-2</v>
      </c>
      <c r="MH113" s="116">
        <f t="shared" si="1031"/>
        <v>3.4799999999999998E-2</v>
      </c>
      <c r="MI113" s="116">
        <f t="shared" si="1032"/>
        <v>3.4200000000000001E-2</v>
      </c>
      <c r="MJ113" s="116">
        <f t="shared" si="1033"/>
        <v>3.3599999999999998E-2</v>
      </c>
      <c r="MK113" s="116">
        <f t="shared" si="1034"/>
        <v>3.2899999999999999E-2</v>
      </c>
      <c r="ML113" s="116">
        <f t="shared" si="1035"/>
        <v>3.2300000000000002E-2</v>
      </c>
      <c r="MM113" s="116">
        <f t="shared" si="1036"/>
        <v>3.1600000000000003E-2</v>
      </c>
      <c r="MN113" s="116">
        <f t="shared" si="1037"/>
        <v>3.1E-2</v>
      </c>
      <c r="MO113" s="116">
        <f t="shared" si="1038"/>
        <v>3.04E-2</v>
      </c>
      <c r="MP113" s="116">
        <f t="shared" si="1039"/>
        <v>2.98E-2</v>
      </c>
      <c r="MQ113" s="116">
        <f t="shared" si="1040"/>
        <v>2.92E-2</v>
      </c>
      <c r="MR113" s="116">
        <f t="shared" si="1041"/>
        <v>2.86E-2</v>
      </c>
      <c r="MS113" s="116">
        <f t="shared" si="1042"/>
        <v>2.7999999999999997E-2</v>
      </c>
      <c r="MT113" s="116">
        <f t="shared" si="1043"/>
        <v>2.7400000000000001E-2</v>
      </c>
      <c r="MU113" s="171">
        <f t="shared" si="1044"/>
        <v>2.6800000000000001E-2</v>
      </c>
      <c r="MV113" s="150">
        <f t="shared" si="1045"/>
        <v>2.6200000000000001E-2</v>
      </c>
      <c r="MW113" s="150">
        <f t="shared" si="1046"/>
        <v>2.5600000000000001E-2</v>
      </c>
      <c r="MX113" s="150">
        <f t="shared" si="1047"/>
        <v>2.5000000000000001E-2</v>
      </c>
      <c r="MY113" s="150">
        <f t="shared" si="1048"/>
        <v>2.46E-2</v>
      </c>
      <c r="MZ113" s="150">
        <f t="shared" si="1049"/>
        <v>2.4199999999999999E-2</v>
      </c>
      <c r="NA113" s="150">
        <f t="shared" si="1050"/>
        <v>2.3700000000000002E-2</v>
      </c>
      <c r="NB113" s="150">
        <f t="shared" si="1051"/>
        <v>2.3300000000000001E-2</v>
      </c>
      <c r="NC113" s="150">
        <f t="shared" si="1052"/>
        <v>2.29E-2</v>
      </c>
      <c r="ND113" s="150">
        <f t="shared" si="1053"/>
        <v>2.2499999999999999E-2</v>
      </c>
      <c r="NE113" s="150">
        <f t="shared" si="1054"/>
        <v>2.2099999999999998E-2</v>
      </c>
      <c r="NF113" s="150">
        <f t="shared" si="1055"/>
        <v>2.1600000000000001E-2</v>
      </c>
      <c r="NG113" s="150">
        <f t="shared" si="1056"/>
        <v>2.12E-2</v>
      </c>
      <c r="NH113" s="150">
        <f t="shared" si="1057"/>
        <v>2.0799999999999999E-2</v>
      </c>
      <c r="NI113" s="150">
        <f t="shared" si="996"/>
        <v>2.0499999999999997E-2</v>
      </c>
      <c r="NJ113" s="150">
        <f t="shared" si="1058"/>
        <v>2.0199999999999999E-2</v>
      </c>
      <c r="NK113" s="150">
        <f t="shared" si="1059"/>
        <v>1.9900000000000001E-2</v>
      </c>
      <c r="NL113" s="150">
        <f t="shared" si="1060"/>
        <v>1.9599999999999999E-2</v>
      </c>
      <c r="NM113" s="150">
        <f t="shared" si="1061"/>
        <v>1.9299999999999998E-2</v>
      </c>
      <c r="NN113" s="150">
        <f t="shared" si="1062"/>
        <v>1.9E-2</v>
      </c>
      <c r="NO113" s="150">
        <f t="shared" si="1063"/>
        <v>1.8700000000000001E-2</v>
      </c>
      <c r="NP113" s="150">
        <f t="shared" si="1064"/>
        <v>1.84E-2</v>
      </c>
      <c r="NQ113" s="150">
        <f t="shared" si="1065"/>
        <v>1.8100000000000002E-2</v>
      </c>
      <c r="NR113" s="150">
        <f t="shared" si="1066"/>
        <v>1.78E-2</v>
      </c>
      <c r="NS113" s="150">
        <f t="shared" si="1067"/>
        <v>1.7600000000000001E-2</v>
      </c>
      <c r="NT113" s="150">
        <f t="shared" si="1068"/>
        <v>1.7399999999999999E-2</v>
      </c>
      <c r="NU113" s="150">
        <f t="shared" si="1069"/>
        <v>1.72E-2</v>
      </c>
      <c r="NV113" s="150">
        <f t="shared" si="1070"/>
        <v>1.7000000000000001E-2</v>
      </c>
      <c r="NW113" s="150">
        <f t="shared" si="1071"/>
        <v>1.6799999999999999E-2</v>
      </c>
      <c r="NX113" s="150">
        <f t="shared" si="1072"/>
        <v>1.66E-2</v>
      </c>
      <c r="NY113" s="150">
        <f t="shared" si="1073"/>
        <v>1.6399999999999998E-2</v>
      </c>
      <c r="NZ113" s="150">
        <f t="shared" si="1074"/>
        <v>1.6200000000000003E-2</v>
      </c>
      <c r="OA113" s="150">
        <f t="shared" si="1075"/>
        <v>1.6E-2</v>
      </c>
      <c r="OB113" s="150">
        <f t="shared" si="1076"/>
        <v>1.5800000000000002E-2</v>
      </c>
      <c r="OC113" s="150">
        <f t="shared" si="1077"/>
        <v>1.5700000000000002E-2</v>
      </c>
      <c r="OD113" s="150">
        <f t="shared" si="1078"/>
        <v>1.5600000000000001E-2</v>
      </c>
      <c r="OE113" s="150">
        <f t="shared" si="1079"/>
        <v>1.55E-2</v>
      </c>
      <c r="OF113" s="150">
        <f t="shared" si="1080"/>
        <v>1.54E-2</v>
      </c>
      <c r="OG113" s="150">
        <f t="shared" si="1081"/>
        <v>1.5300000000000001E-2</v>
      </c>
      <c r="OH113" s="150">
        <f t="shared" si="1082"/>
        <v>1.52E-2</v>
      </c>
      <c r="OI113" s="150">
        <f t="shared" si="1083"/>
        <v>1.5100000000000001E-2</v>
      </c>
      <c r="OJ113" s="150">
        <f t="shared" si="1084"/>
        <v>1.4999999999999999E-2</v>
      </c>
      <c r="OK113" s="150">
        <f t="shared" si="1085"/>
        <v>1.49E-2</v>
      </c>
      <c r="OL113" s="150">
        <f t="shared" si="1086"/>
        <v>1.4800000000000001E-2</v>
      </c>
      <c r="OM113" s="150">
        <f t="shared" si="1087"/>
        <v>1.47E-2</v>
      </c>
      <c r="ON113" s="150">
        <f t="shared" si="1088"/>
        <v>1.46E-2</v>
      </c>
      <c r="OO113" s="150">
        <f t="shared" si="1089"/>
        <v>1.4499999999999999E-2</v>
      </c>
      <c r="OP113" s="150">
        <f t="shared" si="1090"/>
        <v>1.44E-2</v>
      </c>
      <c r="OQ113" s="150">
        <f t="shared" si="1091"/>
        <v>1.43E-2</v>
      </c>
      <c r="OR113" s="150">
        <f t="shared" si="1092"/>
        <v>1.4199999999999999E-2</v>
      </c>
      <c r="OS113" s="150">
        <f t="shared" si="1093"/>
        <v>1.41E-2</v>
      </c>
      <c r="OT113" s="175">
        <f t="shared" si="1094"/>
        <v>1.3999999999999999E-2</v>
      </c>
      <c r="OU113" s="161">
        <f t="shared" si="1095"/>
        <v>1.3899999999999999E-2</v>
      </c>
      <c r="OV113" s="161">
        <f t="shared" si="1096"/>
        <v>1.38E-2</v>
      </c>
      <c r="OW113" s="161">
        <f t="shared" si="1097"/>
        <v>1.37E-2</v>
      </c>
      <c r="OX113" s="161">
        <f t="shared" si="1098"/>
        <v>1.3600000000000001E-2</v>
      </c>
      <c r="OY113" s="161">
        <f t="shared" si="1099"/>
        <v>1.3500000000000002E-2</v>
      </c>
      <c r="OZ113" s="161">
        <f t="shared" si="1100"/>
        <v>1.34E-2</v>
      </c>
      <c r="PA113" s="161">
        <f t="shared" si="1101"/>
        <v>1.34E-2</v>
      </c>
      <c r="PB113" s="161">
        <f t="shared" si="1102"/>
        <v>1.3300000000000001E-2</v>
      </c>
      <c r="PC113" s="161">
        <f t="shared" si="1103"/>
        <v>1.32E-2</v>
      </c>
      <c r="PD113" s="161">
        <f t="shared" si="1104"/>
        <v>1.3100000000000001E-2</v>
      </c>
      <c r="PE113" s="161">
        <f t="shared" si="1105"/>
        <v>1.3000000000000001E-2</v>
      </c>
      <c r="PF113" s="161">
        <f t="shared" si="1106"/>
        <v>1.29E-2</v>
      </c>
      <c r="PG113" s="161">
        <f t="shared" si="1107"/>
        <v>1.2800000000000001E-2</v>
      </c>
      <c r="PH113" s="161">
        <f t="shared" si="1108"/>
        <v>1.2699999999999999E-2</v>
      </c>
      <c r="PI113" s="161">
        <f t="shared" si="1109"/>
        <v>1.2699999999999999E-2</v>
      </c>
      <c r="PJ113" s="161">
        <f t="shared" si="1110"/>
        <v>1.26E-2</v>
      </c>
      <c r="PK113" s="161">
        <f t="shared" si="1111"/>
        <v>1.2500000000000001E-2</v>
      </c>
      <c r="PL113" s="161">
        <f t="shared" si="1112"/>
        <v>1.24E-2</v>
      </c>
      <c r="PM113" s="161">
        <f t="shared" si="1113"/>
        <v>1.23E-2</v>
      </c>
      <c r="PN113" s="161">
        <f t="shared" si="1114"/>
        <v>1.23E-2</v>
      </c>
      <c r="PO113" s="161">
        <f t="shared" si="1115"/>
        <v>1.2199999999999999E-2</v>
      </c>
      <c r="PP113" s="161">
        <f t="shared" si="1116"/>
        <v>1.21E-2</v>
      </c>
      <c r="PQ113" s="161">
        <f t="shared" si="1117"/>
        <v>1.2E-2</v>
      </c>
      <c r="PR113" s="161">
        <f t="shared" si="1118"/>
        <v>1.1899999999999999E-2</v>
      </c>
      <c r="PS113" s="161">
        <f t="shared" si="1119"/>
        <v>1.18E-2</v>
      </c>
      <c r="PT113" s="161">
        <f t="shared" si="1120"/>
        <v>1.1699999999999999E-2</v>
      </c>
      <c r="PU113" s="161">
        <f t="shared" si="997"/>
        <v>1.1699999999999999E-2</v>
      </c>
      <c r="PV113" s="161">
        <f t="shared" si="986"/>
        <v>1.1599999999999999E-2</v>
      </c>
      <c r="PW113" s="161">
        <f t="shared" si="986"/>
        <v>1.15E-2</v>
      </c>
      <c r="PX113" s="161">
        <f t="shared" si="986"/>
        <v>1.1399999999999999E-2</v>
      </c>
      <c r="PY113" s="161">
        <f t="shared" si="989"/>
        <v>1.1299999999999999E-2</v>
      </c>
      <c r="PZ113" s="161">
        <f t="shared" si="987"/>
        <v>1.1200000000000002E-2</v>
      </c>
      <c r="QA113" s="161">
        <f t="shared" si="987"/>
        <v>1.11E-2</v>
      </c>
      <c r="QB113" s="161">
        <f t="shared" si="987"/>
        <v>1.1000000000000001E-2</v>
      </c>
      <c r="QC113" s="161">
        <f t="shared" si="987"/>
        <v>1.1000000000000001E-2</v>
      </c>
      <c r="QD113" s="161">
        <f t="shared" si="987"/>
        <v>1.09E-2</v>
      </c>
      <c r="QE113" s="161">
        <f t="shared" si="987"/>
        <v>1.0800000000000001E-2</v>
      </c>
      <c r="QF113" s="161">
        <f t="shared" si="987"/>
        <v>1.0700000000000001E-2</v>
      </c>
      <c r="QG113" s="161">
        <f t="shared" si="987"/>
        <v>1.06E-2</v>
      </c>
      <c r="QH113" s="161">
        <f t="shared" si="987"/>
        <v>1.06E-2</v>
      </c>
      <c r="QI113" s="161">
        <f t="shared" si="987"/>
        <v>1.0500000000000001E-2</v>
      </c>
      <c r="QJ113" s="161">
        <f t="shared" si="987"/>
        <v>1.04E-2</v>
      </c>
      <c r="QK113" s="161">
        <f t="shared" si="987"/>
        <v>1.03E-2</v>
      </c>
      <c r="QL113" s="161">
        <f t="shared" si="987"/>
        <v>1.03E-2</v>
      </c>
      <c r="QM113" s="161">
        <f t="shared" si="987"/>
        <v>1.0200000000000001E-2</v>
      </c>
      <c r="QN113" s="161">
        <f t="shared" si="990"/>
        <v>1.0200000000000001E-2</v>
      </c>
      <c r="QO113" s="161">
        <f t="shared" si="991"/>
        <v>1.01E-2</v>
      </c>
      <c r="QP113" s="161">
        <f t="shared" si="992"/>
        <v>0.01</v>
      </c>
      <c r="QQ113" s="161">
        <f t="shared" si="993"/>
        <v>0.01</v>
      </c>
      <c r="QR113" s="161">
        <f t="shared" si="994"/>
        <v>9.8999999999999991E-3</v>
      </c>
      <c r="QS113" s="118">
        <f t="shared" si="995"/>
        <v>9.8999999999999991E-3</v>
      </c>
      <c r="QT113" s="184"/>
      <c r="QU113" s="184"/>
      <c r="QV113" s="36"/>
      <c r="QW113" s="36"/>
      <c r="QX113" s="36"/>
      <c r="QY113" s="36"/>
      <c r="QZ113" s="36"/>
      <c r="RA113" s="36"/>
      <c r="RB113" s="36"/>
      <c r="RC113" s="36"/>
      <c r="RD113" s="36"/>
      <c r="RE113" s="36"/>
      <c r="RF113" s="36"/>
      <c r="RG113" s="36"/>
      <c r="RH113" s="36"/>
      <c r="RI113" s="36"/>
      <c r="RJ113" s="36"/>
      <c r="RK113" s="36"/>
      <c r="RL113" s="36"/>
      <c r="RM113" s="36"/>
      <c r="RN113" s="36"/>
      <c r="RO113" s="36"/>
      <c r="RP113" s="36"/>
      <c r="RQ113" s="36"/>
      <c r="RR113" s="36"/>
      <c r="RS113" s="36"/>
      <c r="RT113" s="36"/>
      <c r="RU113" s="36"/>
      <c r="RV113" s="36"/>
      <c r="RW113" s="36"/>
      <c r="RX113" s="36"/>
      <c r="RY113" s="36"/>
      <c r="RZ113" s="36"/>
      <c r="SA113" s="36"/>
      <c r="SB113" s="36"/>
      <c r="SC113" s="37"/>
      <c r="SD113" s="37"/>
      <c r="SE113" s="37"/>
      <c r="SF113" s="37"/>
      <c r="SG113" s="37"/>
      <c r="SH113" s="37"/>
      <c r="SI113" s="37"/>
      <c r="SJ113" s="37"/>
      <c r="SK113" s="37"/>
      <c r="SL113" s="37"/>
      <c r="SM113" s="37"/>
      <c r="SN113" s="37"/>
      <c r="SO113" s="37"/>
      <c r="SP113" s="37"/>
      <c r="SQ113" s="37"/>
      <c r="SR113" s="37"/>
      <c r="SS113" s="37"/>
      <c r="ST113" s="37"/>
      <c r="SU113" s="37"/>
      <c r="SV113" s="37"/>
      <c r="SW113" s="37"/>
      <c r="SX113" s="37"/>
      <c r="SY113" s="37"/>
      <c r="SZ113" s="37"/>
      <c r="TA113" s="37"/>
      <c r="TB113" s="37"/>
    </row>
    <row r="114" spans="1:529" ht="19.5" thickBot="1" x14ac:dyDescent="0.3">
      <c r="A114" s="298"/>
      <c r="B114" s="25" t="s">
        <v>105</v>
      </c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6"/>
      <c r="CL114" s="36"/>
      <c r="CM114" s="36"/>
      <c r="CN114" s="36"/>
      <c r="CO114" s="36"/>
      <c r="CP114" s="36"/>
      <c r="CQ114" s="36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6"/>
      <c r="DG114" s="36"/>
      <c r="DH114" s="36"/>
      <c r="DI114" s="36"/>
      <c r="DJ114" s="36"/>
      <c r="DK114" s="36"/>
      <c r="DL114" s="36"/>
      <c r="DM114" s="36"/>
      <c r="DN114" s="36"/>
      <c r="DO114" s="36"/>
      <c r="DP114" s="36"/>
      <c r="DQ114" s="36"/>
      <c r="DR114" s="36"/>
      <c r="DS114" s="36"/>
      <c r="DT114" s="36"/>
      <c r="DU114" s="36"/>
      <c r="DV114" s="36"/>
      <c r="DW114" s="36"/>
      <c r="DX114" s="36"/>
      <c r="DY114" s="36"/>
      <c r="DZ114" s="36"/>
      <c r="EA114" s="36"/>
      <c r="EB114" s="36"/>
      <c r="EC114" s="36"/>
      <c r="ED114" s="36"/>
      <c r="EE114" s="36"/>
      <c r="EF114" s="36"/>
      <c r="EG114" s="36"/>
      <c r="EH114" s="36"/>
      <c r="EI114" s="36"/>
      <c r="EJ114" s="36"/>
      <c r="EK114" s="36"/>
      <c r="EL114" s="36"/>
      <c r="EM114" s="36"/>
      <c r="EN114" s="36"/>
      <c r="EO114" s="36"/>
      <c r="EP114" s="36"/>
      <c r="EQ114" s="36"/>
      <c r="ER114" s="36"/>
      <c r="ES114" s="36"/>
      <c r="ET114" s="36"/>
      <c r="EU114" s="36"/>
      <c r="EV114" s="36"/>
      <c r="EW114" s="36"/>
      <c r="EX114" s="36"/>
      <c r="EY114" s="36"/>
      <c r="EZ114" s="36"/>
      <c r="FA114" s="36"/>
      <c r="FB114" s="36"/>
      <c r="FC114" s="36"/>
      <c r="FD114" s="36"/>
      <c r="FE114" s="36"/>
      <c r="FF114" s="36"/>
      <c r="FG114" s="36"/>
      <c r="FH114" s="36"/>
      <c r="FI114" s="36"/>
      <c r="FJ114" s="36"/>
      <c r="FK114" s="36"/>
      <c r="FL114" s="36"/>
      <c r="FM114" s="36"/>
      <c r="FN114" s="36"/>
      <c r="FO114" s="36"/>
      <c r="FP114" s="36"/>
      <c r="FQ114" s="36"/>
      <c r="FR114" s="36"/>
      <c r="FS114" s="36"/>
      <c r="FT114" s="36"/>
      <c r="FU114" s="36"/>
      <c r="FV114" s="36"/>
      <c r="FW114" s="36"/>
      <c r="FX114" s="36"/>
      <c r="FY114" s="36"/>
      <c r="FZ114" s="36"/>
      <c r="GA114" s="36"/>
      <c r="GB114" s="36"/>
      <c r="GC114" s="36"/>
      <c r="GD114" s="36"/>
      <c r="GE114" s="36"/>
      <c r="GF114" s="36"/>
      <c r="GG114" s="36"/>
      <c r="GH114" s="36"/>
      <c r="GI114" s="36"/>
      <c r="GJ114" s="36"/>
      <c r="GK114" s="36"/>
      <c r="GL114" s="36"/>
      <c r="GM114" s="36"/>
      <c r="GN114" s="36"/>
      <c r="GO114" s="36"/>
      <c r="GP114" s="36"/>
      <c r="GQ114" s="36"/>
      <c r="GR114" s="36"/>
      <c r="GS114" s="36"/>
      <c r="GT114" s="36"/>
      <c r="GU114" s="36"/>
      <c r="GV114" s="36"/>
      <c r="GW114" s="36"/>
      <c r="GX114" s="36"/>
      <c r="GY114" s="36"/>
      <c r="GZ114" s="36"/>
      <c r="HA114" s="36"/>
      <c r="HB114" s="36"/>
      <c r="HC114" s="36"/>
      <c r="HD114" s="36"/>
      <c r="HE114" s="36"/>
      <c r="HF114" s="36"/>
      <c r="HG114" s="36"/>
      <c r="HH114" s="36"/>
      <c r="HI114" s="36"/>
      <c r="HJ114" s="36"/>
      <c r="HK114" s="36"/>
      <c r="HL114" s="36"/>
      <c r="HM114" s="36"/>
      <c r="HN114" s="36"/>
      <c r="HO114" s="36"/>
      <c r="HP114" s="36"/>
      <c r="HQ114" s="36"/>
      <c r="HR114" s="36"/>
      <c r="HS114" s="36"/>
      <c r="HT114" s="36"/>
      <c r="HU114" s="36"/>
      <c r="HV114" s="36"/>
      <c r="HW114" s="36"/>
      <c r="HX114" s="36"/>
      <c r="HY114" s="36"/>
      <c r="HZ114" s="36"/>
      <c r="IA114" s="36"/>
      <c r="IB114" s="36"/>
      <c r="IC114" s="36"/>
      <c r="ID114" s="36"/>
      <c r="IE114" s="36"/>
      <c r="IF114" s="36"/>
      <c r="IG114" s="36"/>
      <c r="IH114" s="36"/>
      <c r="II114" s="36"/>
      <c r="IJ114" s="36"/>
      <c r="IK114" s="36"/>
      <c r="IL114" s="36"/>
      <c r="IM114" s="36"/>
      <c r="IN114" s="36"/>
      <c r="IO114" s="36"/>
      <c r="IP114" s="36"/>
      <c r="IQ114" s="36"/>
      <c r="IR114" s="36"/>
      <c r="IS114" s="36"/>
      <c r="IT114" s="36"/>
      <c r="IU114" s="36"/>
      <c r="IV114" s="36"/>
      <c r="IW114" s="36"/>
      <c r="IX114" s="36"/>
      <c r="IY114" s="36"/>
      <c r="IZ114" s="36"/>
      <c r="JA114" s="36"/>
      <c r="JB114" s="36"/>
      <c r="JC114" s="36"/>
      <c r="JD114" s="36"/>
      <c r="JE114" s="36"/>
      <c r="JF114" s="36"/>
      <c r="JG114" s="36"/>
      <c r="JH114" s="36"/>
      <c r="JI114" s="36"/>
      <c r="JJ114" s="36"/>
      <c r="JK114" s="36"/>
      <c r="JL114" s="36"/>
      <c r="JM114" s="36"/>
      <c r="JN114" s="36"/>
      <c r="JO114" s="36"/>
      <c r="JP114" s="36"/>
      <c r="JQ114" s="36"/>
      <c r="JR114" s="36"/>
      <c r="JS114" s="36"/>
      <c r="JT114" s="36"/>
      <c r="JU114" s="36"/>
      <c r="JV114" s="36"/>
      <c r="JW114" s="36"/>
      <c r="JX114" s="36"/>
      <c r="JY114" s="36"/>
      <c r="JZ114" s="36"/>
      <c r="KA114" s="36"/>
      <c r="KB114" s="36"/>
      <c r="KC114" s="36"/>
      <c r="KD114" s="36"/>
      <c r="KE114" s="36"/>
      <c r="KF114" s="36"/>
      <c r="KG114" s="36"/>
      <c r="KH114" s="36"/>
      <c r="KI114" s="36"/>
      <c r="KJ114" s="36"/>
      <c r="KK114" s="36"/>
      <c r="KL114" s="36"/>
      <c r="KM114" s="36"/>
      <c r="KN114" s="36"/>
      <c r="KO114" s="36"/>
      <c r="KP114" s="36"/>
      <c r="KQ114" s="36"/>
      <c r="KR114" s="36"/>
      <c r="KS114" s="36"/>
      <c r="KT114" s="36"/>
      <c r="KU114" s="36"/>
      <c r="KV114" s="36"/>
      <c r="KW114" s="124">
        <f t="shared" si="980"/>
        <v>0.14050000000000001</v>
      </c>
      <c r="KX114" s="115">
        <f t="shared" si="981"/>
        <v>0.15349541071428571</v>
      </c>
      <c r="KY114" s="115">
        <f t="shared" si="982"/>
        <v>0.16790765106568878</v>
      </c>
      <c r="KZ114" s="115">
        <f t="shared" si="983"/>
        <v>0.18331904442666083</v>
      </c>
      <c r="LA114" s="115">
        <f t="shared" si="998"/>
        <v>0.19935467139751761</v>
      </c>
      <c r="LB114" s="115">
        <f t="shared" si="999"/>
        <v>0.2166426892048324</v>
      </c>
      <c r="LC114" s="115">
        <f t="shared" si="1000"/>
        <v>0.2353432020092141</v>
      </c>
      <c r="LD114" s="115">
        <f t="shared" si="1001"/>
        <v>0.25505677544932165</v>
      </c>
      <c r="LE114" s="115">
        <f t="shared" si="1002"/>
        <v>0.27583239066968751</v>
      </c>
      <c r="LF114" s="115">
        <f t="shared" si="1003"/>
        <v>0.29697738913303484</v>
      </c>
      <c r="LG114" s="115">
        <f t="shared" si="1004"/>
        <v>0.3194037691593315</v>
      </c>
      <c r="LH114" s="115">
        <f t="shared" si="1005"/>
        <v>0.34269017321519196</v>
      </c>
      <c r="LI114" s="115">
        <f t="shared" si="1006"/>
        <v>0.36728624217254702</v>
      </c>
      <c r="LJ114" s="115">
        <f t="shared" si="1007"/>
        <v>0.39272283715155293</v>
      </c>
      <c r="LK114" s="115">
        <f t="shared" si="1008"/>
        <v>0.4186413483967294</v>
      </c>
      <c r="LL114" s="115">
        <f t="shared" si="1009"/>
        <v>0.44516430350160602</v>
      </c>
      <c r="LM114" s="115">
        <f t="shared" si="1010"/>
        <v>0.47180154377391648</v>
      </c>
      <c r="LN114" s="115">
        <f t="shared" si="1011"/>
        <v>0.49977012867788351</v>
      </c>
      <c r="LO114" s="115">
        <f t="shared" si="1012"/>
        <v>0.52873554206564766</v>
      </c>
      <c r="LP114" s="115">
        <f t="shared" si="1013"/>
        <v>0.55806974775310336</v>
      </c>
      <c r="LQ114" s="115">
        <f t="shared" si="1014"/>
        <v>0.58829561286534438</v>
      </c>
      <c r="LR114" s="115">
        <f t="shared" si="1015"/>
        <v>0.61736583170566495</v>
      </c>
      <c r="LS114" s="115">
        <f t="shared" si="1016"/>
        <v>0.64838994880135448</v>
      </c>
      <c r="LT114" s="115">
        <f t="shared" si="1017"/>
        <v>0.67945839994117818</v>
      </c>
      <c r="LU114" s="115">
        <f t="shared" si="1018"/>
        <v>0.71278668366268905</v>
      </c>
      <c r="LV114" s="115">
        <f t="shared" si="1019"/>
        <v>0.74696390684333991</v>
      </c>
      <c r="LW114" s="115">
        <f t="shared" si="1020"/>
        <v>0.78124953431619559</v>
      </c>
      <c r="LX114" s="115">
        <f t="shared" si="1021"/>
        <v>0.81624935648608865</v>
      </c>
      <c r="LY114" s="115">
        <f t="shared" si="1022"/>
        <v>0.851190450173121</v>
      </c>
      <c r="LZ114" s="115">
        <f t="shared" si="1023"/>
        <v>0.88669158617649757</v>
      </c>
      <c r="MA114" s="115">
        <f t="shared" si="1024"/>
        <v>0.9226928896086164</v>
      </c>
      <c r="MB114" s="115">
        <f t="shared" si="1025"/>
        <v>0.9583702115541558</v>
      </c>
      <c r="MC114" s="115">
        <f t="shared" si="1026"/>
        <v>0.99436612748230468</v>
      </c>
      <c r="MD114" s="115">
        <f t="shared" si="1027"/>
        <v>1.0306058047907931</v>
      </c>
      <c r="ME114" s="115">
        <f t="shared" si="1028"/>
        <v>1.0662242972344411</v>
      </c>
      <c r="MF114" s="115">
        <f t="shared" si="1029"/>
        <v>1.098837681270268</v>
      </c>
      <c r="MG114" s="115">
        <f t="shared" si="1030"/>
        <v>1.1333551862719433</v>
      </c>
      <c r="MH114" s="115">
        <f t="shared" si="1031"/>
        <v>1.1643356897299235</v>
      </c>
      <c r="MI114" s="115">
        <f t="shared" si="1032"/>
        <v>1.1980573168234954</v>
      </c>
      <c r="MJ114" s="115">
        <f t="shared" si="1033"/>
        <v>1.230594031322491</v>
      </c>
      <c r="MK114" s="115">
        <f t="shared" si="1034"/>
        <v>1.25877805295653</v>
      </c>
      <c r="ML114" s="115">
        <f t="shared" si="1035"/>
        <v>1.2898201531700975</v>
      </c>
      <c r="MM114" s="115">
        <f t="shared" si="1036"/>
        <v>1.3151769703837655</v>
      </c>
      <c r="MN114" s="115">
        <f t="shared" si="1037"/>
        <v>1.3434748261788181</v>
      </c>
      <c r="MO114" s="115">
        <f t="shared" si="1038"/>
        <v>1.3707845882486138</v>
      </c>
      <c r="MP114" s="115">
        <f t="shared" si="1039"/>
        <v>1.3962440358625756</v>
      </c>
      <c r="MQ114" s="115">
        <f t="shared" si="1040"/>
        <v>1.4204905112874515</v>
      </c>
      <c r="MR114" s="115">
        <f t="shared" si="1041"/>
        <v>1.4434197840759082</v>
      </c>
      <c r="MS114" s="115">
        <f t="shared" si="1042"/>
        <v>1.4641996455827908</v>
      </c>
      <c r="MT114" s="169">
        <f t="shared" si="1043"/>
        <v>1.4834503847325724</v>
      </c>
      <c r="MU114" s="136">
        <f t="shared" si="1044"/>
        <v>0</v>
      </c>
      <c r="MV114" s="170">
        <f t="shared" si="1045"/>
        <v>1.4638512217573703</v>
      </c>
      <c r="MW114" s="149">
        <f t="shared" si="1046"/>
        <v>1.4767759282456547</v>
      </c>
      <c r="MX114" s="149">
        <f t="shared" si="1047"/>
        <v>1.4872269348401286</v>
      </c>
      <c r="MY114" s="149">
        <f t="shared" si="1048"/>
        <v>1.5080184446477354</v>
      </c>
      <c r="MZ114" s="149">
        <f t="shared" si="1049"/>
        <v>1.5279256892956639</v>
      </c>
      <c r="NA114" s="149">
        <f t="shared" si="1050"/>
        <v>1.5397896971590186</v>
      </c>
      <c r="NB114" s="149">
        <f t="shared" si="1051"/>
        <v>1.5567703640010737</v>
      </c>
      <c r="NC114" s="149">
        <f t="shared" si="1052"/>
        <v>1.5726897843305634</v>
      </c>
      <c r="ND114" s="149">
        <f t="shared" si="1053"/>
        <v>1.5874948334423751</v>
      </c>
      <c r="NE114" s="149">
        <f t="shared" si="1054"/>
        <v>1.6005638232576938</v>
      </c>
      <c r="NF114" s="149">
        <f t="shared" si="1055"/>
        <v>1.6049855194787468</v>
      </c>
      <c r="NG114" s="149">
        <f t="shared" si="1056"/>
        <v>1.6151835357682431</v>
      </c>
      <c r="NH114" s="149">
        <f t="shared" si="1057"/>
        <v>1.624065309288073</v>
      </c>
      <c r="NI114" s="149">
        <f t="shared" si="996"/>
        <v>1.639056681373809</v>
      </c>
      <c r="NJ114" s="149">
        <f t="shared" si="1058"/>
        <v>1.6532265262692467</v>
      </c>
      <c r="NK114" s="149">
        <f t="shared" si="1059"/>
        <v>1.6665403195940414</v>
      </c>
      <c r="NL114" s="149">
        <f t="shared" si="1060"/>
        <v>1.6789640008207636</v>
      </c>
      <c r="NM114" s="149">
        <f t="shared" si="1061"/>
        <v>1.6904640476120993</v>
      </c>
      <c r="NN114" s="149">
        <f t="shared" si="1062"/>
        <v>1.7005118899522849</v>
      </c>
      <c r="NO114" s="149">
        <f t="shared" si="1063"/>
        <v>1.7095731100983165</v>
      </c>
      <c r="NP114" s="149">
        <f t="shared" si="1064"/>
        <v>1.7176172571045174</v>
      </c>
      <c r="NQ114" s="149">
        <f t="shared" si="1065"/>
        <v>1.724614726550094</v>
      </c>
      <c r="NR114" s="149">
        <f t="shared" si="1066"/>
        <v>1.7300746508710168</v>
      </c>
      <c r="NS114" s="149">
        <f t="shared" si="1067"/>
        <v>1.7443476482099647</v>
      </c>
      <c r="NT114" s="149">
        <f t="shared" si="1068"/>
        <v>1.7580906710059778</v>
      </c>
      <c r="NU114" s="149">
        <f t="shared" si="1069"/>
        <v>1.7712839906251225</v>
      </c>
      <c r="NV114" s="149">
        <f t="shared" si="1070"/>
        <v>1.7839080310914897</v>
      </c>
      <c r="NW114" s="149">
        <f t="shared" si="1071"/>
        <v>1.7955030540076808</v>
      </c>
      <c r="NX114" s="149">
        <f t="shared" si="1072"/>
        <v>1.8064898226952995</v>
      </c>
      <c r="NY114" s="149">
        <f t="shared" si="1073"/>
        <v>1.8168499330037686</v>
      </c>
      <c r="NZ114" s="149">
        <f t="shared" si="1074"/>
        <v>1.8265652483816326</v>
      </c>
      <c r="OA114" s="149">
        <f t="shared" si="1075"/>
        <v>1.8356179263640919</v>
      </c>
      <c r="OB114" s="149">
        <f t="shared" si="1076"/>
        <v>1.8439904451167823</v>
      </c>
      <c r="OC114" s="149">
        <f t="shared" si="1077"/>
        <v>1.8635352814665112</v>
      </c>
      <c r="OD114" s="149">
        <f t="shared" si="1078"/>
        <v>1.8825708111023103</v>
      </c>
      <c r="OE114" s="149">
        <f t="shared" si="1079"/>
        <v>1.9014999571699871</v>
      </c>
      <c r="OF114" s="149">
        <f t="shared" si="1080"/>
        <v>1.9203145836279207</v>
      </c>
      <c r="OG114" s="149">
        <f t="shared" si="1081"/>
        <v>1.9390064768802473</v>
      </c>
      <c r="OH114" s="149">
        <f t="shared" si="1082"/>
        <v>1.9575673493368078</v>
      </c>
      <c r="OI114" s="149">
        <f t="shared" si="1083"/>
        <v>1.9759888430834802</v>
      </c>
      <c r="OJ114" s="149">
        <f t="shared" si="1084"/>
        <v>1.9938474099551347</v>
      </c>
      <c r="OK114" s="149">
        <f t="shared" si="1085"/>
        <v>2.0115449559460856</v>
      </c>
      <c r="OL114" s="149">
        <f t="shared" si="1086"/>
        <v>2.0290731123881076</v>
      </c>
      <c r="OM114" s="149">
        <f t="shared" si="1087"/>
        <v>2.0464234617282977</v>
      </c>
      <c r="ON114" s="149">
        <f t="shared" si="1088"/>
        <v>2.0635875416634013</v>
      </c>
      <c r="OO114" s="149">
        <f t="shared" si="1089"/>
        <v>2.0805568493690219</v>
      </c>
      <c r="OP114" s="149">
        <f t="shared" si="1090"/>
        <v>2.0973228458217061</v>
      </c>
      <c r="OQ114" s="149">
        <f t="shared" si="1091"/>
        <v>2.1138769602118068</v>
      </c>
      <c r="OR114" s="149">
        <f t="shared" si="1092"/>
        <v>2.1297999644471441</v>
      </c>
      <c r="OS114" s="173">
        <f t="shared" si="1093"/>
        <v>2.1454905837725113</v>
      </c>
      <c r="OT114" s="136">
        <f t="shared" si="1094"/>
        <v>0</v>
      </c>
      <c r="OU114" s="174">
        <f t="shared" si="1095"/>
        <v>2.1412140821008765</v>
      </c>
      <c r="OV114" s="159">
        <f t="shared" si="1096"/>
        <v>2.1559170615818175</v>
      </c>
      <c r="OW114" s="159">
        <f t="shared" si="1097"/>
        <v>2.1703581453977518</v>
      </c>
      <c r="OX114" s="159">
        <f t="shared" si="1098"/>
        <v>2.184529025673525</v>
      </c>
      <c r="OY114" s="159">
        <f t="shared" si="1099"/>
        <v>2.1984214050279709</v>
      </c>
      <c r="OZ114" s="159">
        <f t="shared" si="1100"/>
        <v>2.211633271903449</v>
      </c>
      <c r="PA114" s="159">
        <f t="shared" si="1101"/>
        <v>2.2412742419613738</v>
      </c>
      <c r="PB114" s="159">
        <f t="shared" si="1102"/>
        <v>2.2543623761048157</v>
      </c>
      <c r="PC114" s="159">
        <f t="shared" si="1103"/>
        <v>2.2671415772951589</v>
      </c>
      <c r="PD114" s="159">
        <f t="shared" si="1104"/>
        <v>2.2796037489433942</v>
      </c>
      <c r="PE114" s="159">
        <f t="shared" si="1105"/>
        <v>2.2917408337451746</v>
      </c>
      <c r="PF114" s="159">
        <f t="shared" si="1106"/>
        <v>2.3035448187610004</v>
      </c>
      <c r="PG114" s="159">
        <f t="shared" si="1107"/>
        <v>2.3146226128718004</v>
      </c>
      <c r="PH114" s="159">
        <f t="shared" si="1108"/>
        <v>2.325350757169812</v>
      </c>
      <c r="PI114" s="159">
        <f t="shared" si="1109"/>
        <v>2.3542590949919009</v>
      </c>
      <c r="PJ114" s="159">
        <f t="shared" si="1110"/>
        <v>2.3647588883285846</v>
      </c>
      <c r="PK114" s="159">
        <f t="shared" si="1111"/>
        <v>2.3748893038404542</v>
      </c>
      <c r="PL114" s="159">
        <f t="shared" si="1112"/>
        <v>2.3846427583122991</v>
      </c>
      <c r="PM114" s="159">
        <f t="shared" si="1113"/>
        <v>2.3940117469793045</v>
      </c>
      <c r="PN114" s="159">
        <f t="shared" si="1114"/>
        <v>2.4223095038087679</v>
      </c>
      <c r="PO114" s="159">
        <f t="shared" si="1115"/>
        <v>2.4310153908205385</v>
      </c>
      <c r="PP114" s="159">
        <f t="shared" si="1116"/>
        <v>2.4393177404910493</v>
      </c>
      <c r="PQ114" s="159">
        <f t="shared" si="1117"/>
        <v>2.4472094509635824</v>
      </c>
      <c r="PR114" s="159">
        <f t="shared" si="1118"/>
        <v>2.454683521925336</v>
      </c>
      <c r="PS114" s="159">
        <f t="shared" si="1119"/>
        <v>2.4617330596463143</v>
      </c>
      <c r="PT114" s="159">
        <f t="shared" si="1120"/>
        <v>2.4683512820045368</v>
      </c>
      <c r="PU114" s="159">
        <f t="shared" si="997"/>
        <v>2.4955031461065866</v>
      </c>
      <c r="PV114" s="159">
        <f t="shared" si="986"/>
        <v>2.1921182166175264</v>
      </c>
      <c r="PW114" s="159">
        <f t="shared" si="986"/>
        <v>2.1968846039276047</v>
      </c>
      <c r="PX114" s="159">
        <f t="shared" si="986"/>
        <v>1.8901412935030988</v>
      </c>
      <c r="PY114" s="159">
        <f t="shared" si="989"/>
        <v>1.893545758522976</v>
      </c>
      <c r="PZ114" s="159">
        <f t="shared" si="987"/>
        <v>1.8965992639742819</v>
      </c>
      <c r="QA114" s="159">
        <f t="shared" si="987"/>
        <v>1.8992974022129114</v>
      </c>
      <c r="QB114" s="159">
        <f t="shared" si="987"/>
        <v>1.9013807816027264</v>
      </c>
      <c r="QC114" s="159">
        <f t="shared" si="987"/>
        <v>1.6036649468393922</v>
      </c>
      <c r="QD114" s="159">
        <f t="shared" si="987"/>
        <v>1.6051167362248326</v>
      </c>
      <c r="QE114" s="159">
        <f t="shared" si="987"/>
        <v>1.2881816709865186</v>
      </c>
      <c r="QF114" s="159">
        <f t="shared" si="987"/>
        <v>1.2888483063119804</v>
      </c>
      <c r="QG114" s="159">
        <f t="shared" si="987"/>
        <v>1.2892623473412648</v>
      </c>
      <c r="QH114" s="159">
        <f t="shared" si="987"/>
        <v>1.3017016038353926</v>
      </c>
      <c r="QI114" s="159">
        <f t="shared" si="987"/>
        <v>1.301862191115982</v>
      </c>
      <c r="QJ114" s="159">
        <f t="shared" si="987"/>
        <v>0.97939712572032023</v>
      </c>
      <c r="QK114" s="159">
        <f t="shared" si="987"/>
        <v>0.97912536992444743</v>
      </c>
      <c r="QL114" s="159">
        <f t="shared" si="987"/>
        <v>0.66187440390966013</v>
      </c>
      <c r="QM114" s="159">
        <f t="shared" si="987"/>
        <v>0.66147571468451072</v>
      </c>
      <c r="QN114" s="159">
        <f t="shared" si="990"/>
        <v>0.66748651574403517</v>
      </c>
      <c r="QO114" s="159">
        <f t="shared" si="991"/>
        <v>0.66694848633172832</v>
      </c>
      <c r="QP114" s="159">
        <f t="shared" si="992"/>
        <v>0.66627378596888731</v>
      </c>
      <c r="QQ114" s="159">
        <f t="shared" si="993"/>
        <v>0.33904645178173293</v>
      </c>
      <c r="QR114" s="159">
        <f t="shared" si="994"/>
        <v>0.33863310993356072</v>
      </c>
      <c r="QS114" s="162">
        <f t="shared" si="995"/>
        <v>-6.845541933200597E-4</v>
      </c>
      <c r="QT114" s="184"/>
      <c r="QU114" s="184"/>
      <c r="QV114" s="36"/>
      <c r="QW114" s="36"/>
      <c r="QX114" s="36"/>
      <c r="QY114" s="36"/>
      <c r="QZ114" s="36"/>
      <c r="RA114" s="36"/>
      <c r="RB114" s="36"/>
      <c r="RC114" s="36"/>
      <c r="RD114" s="36"/>
      <c r="RE114" s="36"/>
      <c r="RF114" s="36"/>
      <c r="RG114" s="36"/>
      <c r="RH114" s="36"/>
      <c r="RI114" s="36"/>
      <c r="RJ114" s="36"/>
      <c r="RK114" s="36"/>
      <c r="RL114" s="36"/>
      <c r="RM114" s="36"/>
      <c r="RN114" s="36"/>
      <c r="RO114" s="36"/>
      <c r="RP114" s="36"/>
      <c r="RQ114" s="36"/>
      <c r="RR114" s="36"/>
      <c r="RS114" s="36"/>
      <c r="RT114" s="36"/>
      <c r="RU114" s="36"/>
      <c r="RV114" s="36"/>
      <c r="RW114" s="36"/>
      <c r="RX114" s="36"/>
      <c r="RY114" s="36"/>
      <c r="RZ114" s="36"/>
      <c r="SA114" s="36"/>
      <c r="SB114" s="36"/>
      <c r="SC114" s="37"/>
      <c r="SD114" s="37"/>
      <c r="SE114" s="37"/>
      <c r="SF114" s="37"/>
      <c r="SG114" s="37"/>
      <c r="SH114" s="37"/>
      <c r="SI114" s="37"/>
      <c r="SJ114" s="37"/>
      <c r="SK114" s="37"/>
      <c r="SL114" s="37"/>
      <c r="SM114" s="37"/>
      <c r="SN114" s="37"/>
      <c r="SO114" s="37"/>
      <c r="SP114" s="37"/>
      <c r="SQ114" s="37"/>
      <c r="SR114" s="37"/>
      <c r="SS114" s="37"/>
      <c r="ST114" s="37"/>
      <c r="SU114" s="37"/>
      <c r="SV114" s="37"/>
      <c r="SW114" s="37"/>
      <c r="SX114" s="37"/>
      <c r="SY114" s="37"/>
      <c r="SZ114" s="37"/>
      <c r="TA114" s="37"/>
      <c r="TB114" s="37"/>
    </row>
    <row r="115" spans="1:529" ht="19.5" thickBot="1" x14ac:dyDescent="0.3">
      <c r="A115" s="298"/>
      <c r="B115" s="25" t="s">
        <v>13</v>
      </c>
      <c r="BY115" s="36"/>
      <c r="BZ115" s="36"/>
      <c r="CA115" s="36"/>
      <c r="CB115" s="36"/>
      <c r="CC115" s="36"/>
      <c r="CD115" s="36"/>
      <c r="CE115" s="36"/>
      <c r="CF115" s="36"/>
      <c r="CG115" s="36"/>
      <c r="CH115" s="36"/>
      <c r="CI115" s="36"/>
      <c r="CJ115" s="36"/>
      <c r="CK115" s="36"/>
      <c r="CL115" s="36"/>
      <c r="CM115" s="36"/>
      <c r="CN115" s="36"/>
      <c r="CO115" s="36"/>
      <c r="CP115" s="36"/>
      <c r="CQ115" s="36"/>
      <c r="CR115" s="36"/>
      <c r="CS115" s="36"/>
      <c r="CT115" s="36"/>
      <c r="CU115" s="36"/>
      <c r="CV115" s="36"/>
      <c r="CW115" s="36"/>
      <c r="CX115" s="36"/>
      <c r="CY115" s="36"/>
      <c r="CZ115" s="36"/>
      <c r="DA115" s="36"/>
      <c r="DB115" s="36"/>
      <c r="DC115" s="36"/>
      <c r="DD115" s="36"/>
      <c r="DE115" s="36"/>
      <c r="DF115" s="36"/>
      <c r="DG115" s="36"/>
      <c r="DH115" s="36"/>
      <c r="DI115" s="36"/>
      <c r="DJ115" s="36"/>
      <c r="DK115" s="36"/>
      <c r="DL115" s="36"/>
      <c r="DM115" s="36"/>
      <c r="DN115" s="36"/>
      <c r="DO115" s="36"/>
      <c r="DP115" s="36"/>
      <c r="DQ115" s="36"/>
      <c r="DR115" s="36"/>
      <c r="DS115" s="36"/>
      <c r="DT115" s="36"/>
      <c r="DU115" s="36"/>
      <c r="DV115" s="36"/>
      <c r="DW115" s="36"/>
      <c r="DX115" s="36"/>
      <c r="DY115" s="36"/>
      <c r="DZ115" s="36"/>
      <c r="EA115" s="36"/>
      <c r="EB115" s="36"/>
      <c r="EC115" s="36"/>
      <c r="ED115" s="36"/>
      <c r="EE115" s="36"/>
      <c r="EF115" s="36"/>
      <c r="EG115" s="36"/>
      <c r="EH115" s="36"/>
      <c r="EI115" s="36"/>
      <c r="EJ115" s="36"/>
      <c r="EK115" s="36"/>
      <c r="EL115" s="36"/>
      <c r="EM115" s="36"/>
      <c r="EN115" s="36"/>
      <c r="EO115" s="36"/>
      <c r="EP115" s="36"/>
      <c r="EQ115" s="36"/>
      <c r="ER115" s="36"/>
      <c r="ES115" s="36"/>
      <c r="ET115" s="36"/>
      <c r="EU115" s="36"/>
      <c r="EV115" s="36"/>
      <c r="EW115" s="36"/>
      <c r="EX115" s="36"/>
      <c r="EY115" s="36"/>
      <c r="EZ115" s="36"/>
      <c r="FA115" s="36"/>
      <c r="FB115" s="36"/>
      <c r="FC115" s="36"/>
      <c r="FD115" s="36"/>
      <c r="FE115" s="36"/>
      <c r="FF115" s="36"/>
      <c r="FG115" s="36"/>
      <c r="FH115" s="36"/>
      <c r="FI115" s="36"/>
      <c r="FJ115" s="36"/>
      <c r="FK115" s="36"/>
      <c r="FL115" s="36"/>
      <c r="FM115" s="36"/>
      <c r="FN115" s="36"/>
      <c r="FO115" s="36"/>
      <c r="FP115" s="36"/>
      <c r="FQ115" s="36"/>
      <c r="FR115" s="36"/>
      <c r="FS115" s="36"/>
      <c r="FT115" s="36"/>
      <c r="FU115" s="36"/>
      <c r="FV115" s="36"/>
      <c r="FW115" s="36"/>
      <c r="FX115" s="36"/>
      <c r="FY115" s="36"/>
      <c r="FZ115" s="36"/>
      <c r="GA115" s="36"/>
      <c r="GB115" s="36"/>
      <c r="GC115" s="36"/>
      <c r="GD115" s="36"/>
      <c r="GE115" s="36"/>
      <c r="GF115" s="36"/>
      <c r="GG115" s="36"/>
      <c r="GH115" s="36"/>
      <c r="GI115" s="36"/>
      <c r="GJ115" s="36"/>
      <c r="GK115" s="36"/>
      <c r="GL115" s="36"/>
      <c r="GM115" s="36"/>
      <c r="GN115" s="36"/>
      <c r="GO115" s="36"/>
      <c r="GP115" s="36"/>
      <c r="GQ115" s="36"/>
      <c r="GR115" s="36"/>
      <c r="GS115" s="36"/>
      <c r="GT115" s="36"/>
      <c r="GU115" s="36"/>
      <c r="GV115" s="36"/>
      <c r="GW115" s="36"/>
      <c r="GX115" s="36"/>
      <c r="GY115" s="36"/>
      <c r="GZ115" s="36"/>
      <c r="HA115" s="36"/>
      <c r="HB115" s="36"/>
      <c r="HC115" s="36"/>
      <c r="HD115" s="36"/>
      <c r="HE115" s="36"/>
      <c r="HF115" s="36"/>
      <c r="HG115" s="36"/>
      <c r="HH115" s="36"/>
      <c r="HI115" s="36"/>
      <c r="HJ115" s="36"/>
      <c r="HK115" s="36"/>
      <c r="HL115" s="36"/>
      <c r="HM115" s="36"/>
      <c r="HN115" s="36"/>
      <c r="HO115" s="36"/>
      <c r="HP115" s="36"/>
      <c r="HQ115" s="36"/>
      <c r="HR115" s="36"/>
      <c r="HS115" s="36"/>
      <c r="HT115" s="36"/>
      <c r="HU115" s="36"/>
      <c r="HV115" s="36"/>
      <c r="HW115" s="36"/>
      <c r="HX115" s="36"/>
      <c r="HY115" s="36"/>
      <c r="HZ115" s="36"/>
      <c r="IA115" s="36"/>
      <c r="IB115" s="36"/>
      <c r="IC115" s="36"/>
      <c r="ID115" s="36"/>
      <c r="IE115" s="36"/>
      <c r="IF115" s="36"/>
      <c r="IG115" s="36"/>
      <c r="IH115" s="36"/>
      <c r="II115" s="36"/>
      <c r="IJ115" s="36"/>
      <c r="IK115" s="36"/>
      <c r="IL115" s="36"/>
      <c r="IM115" s="36"/>
      <c r="IN115" s="36"/>
      <c r="IO115" s="36"/>
      <c r="IP115" s="36"/>
      <c r="IQ115" s="36"/>
      <c r="IR115" s="36"/>
      <c r="IS115" s="36"/>
      <c r="IT115" s="36"/>
      <c r="IU115" s="36"/>
      <c r="IV115" s="36"/>
      <c r="IW115" s="36"/>
      <c r="IX115" s="36"/>
      <c r="IY115" s="36"/>
      <c r="IZ115" s="36"/>
      <c r="JA115" s="36"/>
      <c r="JB115" s="36"/>
      <c r="JC115" s="36"/>
      <c r="JD115" s="36"/>
      <c r="JE115" s="36"/>
      <c r="JF115" s="36"/>
      <c r="JG115" s="36"/>
      <c r="JH115" s="36"/>
      <c r="JI115" s="36"/>
      <c r="JJ115" s="36"/>
      <c r="JK115" s="36"/>
      <c r="JL115" s="36"/>
      <c r="JM115" s="36"/>
      <c r="JN115" s="36"/>
      <c r="JO115" s="36"/>
      <c r="JP115" s="36"/>
      <c r="JQ115" s="36"/>
      <c r="JR115" s="36"/>
      <c r="JS115" s="36"/>
      <c r="JT115" s="36"/>
      <c r="JU115" s="36"/>
      <c r="JV115" s="36"/>
      <c r="JW115" s="36"/>
      <c r="JX115" s="36"/>
      <c r="JY115" s="36"/>
      <c r="JZ115" s="36"/>
      <c r="KA115" s="36"/>
      <c r="KB115" s="36"/>
      <c r="KC115" s="36"/>
      <c r="KD115" s="36"/>
      <c r="KE115" s="36"/>
      <c r="KF115" s="36"/>
      <c r="KG115" s="36"/>
      <c r="KH115" s="36"/>
      <c r="KI115" s="36"/>
      <c r="KJ115" s="36"/>
      <c r="KK115" s="36"/>
      <c r="KL115" s="36"/>
      <c r="KM115" s="36"/>
      <c r="KN115" s="36"/>
      <c r="KO115" s="36"/>
      <c r="KP115" s="36"/>
      <c r="KQ115" s="36"/>
      <c r="KR115" s="36"/>
      <c r="KS115" s="36"/>
      <c r="KT115" s="36"/>
      <c r="KU115" s="36"/>
      <c r="KV115" s="36"/>
      <c r="KW115" s="117">
        <f t="shared" si="980"/>
        <v>0.56000000000000005</v>
      </c>
      <c r="KX115" s="114">
        <f t="shared" si="981"/>
        <v>0.56000000000000005</v>
      </c>
      <c r="KY115" s="114">
        <f t="shared" si="982"/>
        <v>0.56999999999999995</v>
      </c>
      <c r="KZ115" s="114">
        <f t="shared" si="983"/>
        <v>0.56999999999999995</v>
      </c>
      <c r="LA115" s="114">
        <f t="shared" si="998"/>
        <v>0.56999999999999995</v>
      </c>
      <c r="LB115" s="114">
        <f t="shared" si="999"/>
        <v>0.57999999999999996</v>
      </c>
      <c r="LC115" s="114">
        <f t="shared" si="1000"/>
        <v>0.57999999999999996</v>
      </c>
      <c r="LD115" s="114">
        <f t="shared" si="1001"/>
        <v>0.59</v>
      </c>
      <c r="LE115" s="114">
        <f t="shared" si="1002"/>
        <v>0.59</v>
      </c>
      <c r="LF115" s="114">
        <f t="shared" si="1003"/>
        <v>0.59</v>
      </c>
      <c r="LG115" s="114">
        <f t="shared" si="1004"/>
        <v>0.6</v>
      </c>
      <c r="LH115" s="114">
        <f t="shared" si="1005"/>
        <v>0.6</v>
      </c>
      <c r="LI115" s="114">
        <f t="shared" si="1006"/>
        <v>0.61</v>
      </c>
      <c r="LJ115" s="114">
        <f t="shared" si="1007"/>
        <v>0.61</v>
      </c>
      <c r="LK115" s="114">
        <f t="shared" si="1008"/>
        <v>0.62</v>
      </c>
      <c r="LL115" s="114">
        <f t="shared" si="1009"/>
        <v>0.62</v>
      </c>
      <c r="LM115" s="114">
        <f t="shared" si="1010"/>
        <v>0.63</v>
      </c>
      <c r="LN115" s="114">
        <f t="shared" si="1011"/>
        <v>0.63</v>
      </c>
      <c r="LO115" s="114">
        <f t="shared" si="1012"/>
        <v>0.64</v>
      </c>
      <c r="LP115" s="114">
        <f t="shared" si="1013"/>
        <v>0.64</v>
      </c>
      <c r="LQ115" s="114">
        <f t="shared" si="1014"/>
        <v>0.65</v>
      </c>
      <c r="LR115" s="114">
        <f t="shared" si="1015"/>
        <v>0.65</v>
      </c>
      <c r="LS115" s="114">
        <f t="shared" si="1016"/>
        <v>0.66</v>
      </c>
      <c r="LT115" s="114">
        <f t="shared" si="1017"/>
        <v>0.66</v>
      </c>
      <c r="LU115" s="114">
        <f t="shared" si="1018"/>
        <v>0.66</v>
      </c>
      <c r="LV115" s="114">
        <f t="shared" si="1019"/>
        <v>0.67</v>
      </c>
      <c r="LW115" s="114">
        <f t="shared" si="1020"/>
        <v>0.67</v>
      </c>
      <c r="LX115" s="114">
        <f t="shared" si="1021"/>
        <v>0.68</v>
      </c>
      <c r="LY115" s="114">
        <f t="shared" si="1022"/>
        <v>0.68</v>
      </c>
      <c r="LZ115" s="114">
        <f t="shared" si="1023"/>
        <v>0.68</v>
      </c>
      <c r="MA115" s="114">
        <f t="shared" si="1024"/>
        <v>0.69</v>
      </c>
      <c r="MB115" s="114">
        <f t="shared" si="1025"/>
        <v>0.69</v>
      </c>
      <c r="MC115" s="114">
        <f t="shared" si="1026"/>
        <v>0.69</v>
      </c>
      <c r="MD115" s="114">
        <f t="shared" si="1027"/>
        <v>0.7</v>
      </c>
      <c r="ME115" s="114">
        <f t="shared" si="1028"/>
        <v>0.7</v>
      </c>
      <c r="MF115" s="114">
        <f t="shared" si="1029"/>
        <v>0.71</v>
      </c>
      <c r="MG115" s="114">
        <f t="shared" si="1030"/>
        <v>0.71</v>
      </c>
      <c r="MH115" s="114">
        <f t="shared" si="1031"/>
        <v>0.71</v>
      </c>
      <c r="MI115" s="114">
        <f t="shared" si="1032"/>
        <v>0.72</v>
      </c>
      <c r="MJ115" s="114">
        <f t="shared" si="1033"/>
        <v>0.72</v>
      </c>
      <c r="MK115" s="114">
        <f t="shared" si="1034"/>
        <v>0.72</v>
      </c>
      <c r="ML115" s="114">
        <f t="shared" si="1035"/>
        <v>0.73</v>
      </c>
      <c r="MM115" s="114">
        <f t="shared" si="1036"/>
        <v>0.73</v>
      </c>
      <c r="MN115" s="114">
        <f t="shared" si="1037"/>
        <v>0.73</v>
      </c>
      <c r="MO115" s="114">
        <f t="shared" si="1038"/>
        <v>0.74</v>
      </c>
      <c r="MP115" s="114">
        <f t="shared" si="1039"/>
        <v>0.74</v>
      </c>
      <c r="MQ115" s="114">
        <f t="shared" si="1040"/>
        <v>0.74</v>
      </c>
      <c r="MR115" s="114">
        <f t="shared" si="1041"/>
        <v>0.75</v>
      </c>
      <c r="MS115" s="114">
        <f t="shared" si="1042"/>
        <v>0.75</v>
      </c>
      <c r="MT115" s="114">
        <f t="shared" si="1043"/>
        <v>0.76</v>
      </c>
      <c r="MU115" s="172">
        <f t="shared" si="1044"/>
        <v>0.76</v>
      </c>
      <c r="MV115" s="151">
        <f t="shared" si="1045"/>
        <v>0.76</v>
      </c>
      <c r="MW115" s="151">
        <f t="shared" si="1046"/>
        <v>0.77</v>
      </c>
      <c r="MX115" s="151">
        <f t="shared" si="1047"/>
        <v>0.77</v>
      </c>
      <c r="MY115" s="151">
        <f t="shared" si="1048"/>
        <v>0.77</v>
      </c>
      <c r="MZ115" s="151">
        <f t="shared" si="1049"/>
        <v>0.78</v>
      </c>
      <c r="NA115" s="151">
        <f t="shared" si="1050"/>
        <v>0.78</v>
      </c>
      <c r="NB115" s="151">
        <f t="shared" si="1051"/>
        <v>0.78</v>
      </c>
      <c r="NC115" s="151">
        <f t="shared" si="1052"/>
        <v>0.78</v>
      </c>
      <c r="ND115" s="151">
        <f t="shared" si="1053"/>
        <v>0.79</v>
      </c>
      <c r="NE115" s="151">
        <f t="shared" si="1054"/>
        <v>0.79</v>
      </c>
      <c r="NF115" s="151">
        <f t="shared" si="1055"/>
        <v>0.79</v>
      </c>
      <c r="NG115" s="151">
        <f t="shared" si="1056"/>
        <v>0.79</v>
      </c>
      <c r="NH115" s="151">
        <f t="shared" si="1057"/>
        <v>0.8</v>
      </c>
      <c r="NI115" s="151">
        <f t="shared" si="996"/>
        <v>0.8</v>
      </c>
      <c r="NJ115" s="151">
        <f t="shared" si="1058"/>
        <v>0.8</v>
      </c>
      <c r="NK115" s="151">
        <f t="shared" si="1059"/>
        <v>0.8</v>
      </c>
      <c r="NL115" s="151">
        <f t="shared" si="1060"/>
        <v>0.8</v>
      </c>
      <c r="NM115" s="151">
        <f t="shared" si="1061"/>
        <v>0.81</v>
      </c>
      <c r="NN115" s="151">
        <f t="shared" si="1062"/>
        <v>0.81</v>
      </c>
      <c r="NO115" s="151">
        <f t="shared" si="1063"/>
        <v>0.81</v>
      </c>
      <c r="NP115" s="151">
        <f t="shared" si="1064"/>
        <v>0.81</v>
      </c>
      <c r="NQ115" s="151">
        <f t="shared" si="1065"/>
        <v>0.82</v>
      </c>
      <c r="NR115" s="151">
        <f t="shared" si="1066"/>
        <v>0.82</v>
      </c>
      <c r="NS115" s="151">
        <f t="shared" si="1067"/>
        <v>0.82</v>
      </c>
      <c r="NT115" s="151">
        <f t="shared" si="1068"/>
        <v>0.82</v>
      </c>
      <c r="NU115" s="151">
        <f t="shared" si="1069"/>
        <v>0.82</v>
      </c>
      <c r="NV115" s="151">
        <f t="shared" si="1070"/>
        <v>0.83</v>
      </c>
      <c r="NW115" s="151">
        <f t="shared" si="1071"/>
        <v>0.83</v>
      </c>
      <c r="NX115" s="151">
        <f t="shared" si="1072"/>
        <v>0.83</v>
      </c>
      <c r="NY115" s="151">
        <f t="shared" si="1073"/>
        <v>0.83</v>
      </c>
      <c r="NZ115" s="151">
        <f t="shared" si="1074"/>
        <v>0.83</v>
      </c>
      <c r="OA115" s="151">
        <f t="shared" si="1075"/>
        <v>0.83</v>
      </c>
      <c r="OB115" s="151">
        <f t="shared" si="1076"/>
        <v>0.83</v>
      </c>
      <c r="OC115" s="151">
        <f t="shared" si="1077"/>
        <v>0.84</v>
      </c>
      <c r="OD115" s="151">
        <f t="shared" si="1078"/>
        <v>0.84</v>
      </c>
      <c r="OE115" s="151">
        <f t="shared" si="1079"/>
        <v>0.84</v>
      </c>
      <c r="OF115" s="151">
        <f t="shared" si="1080"/>
        <v>0.84</v>
      </c>
      <c r="OG115" s="151">
        <f t="shared" si="1081"/>
        <v>0.84</v>
      </c>
      <c r="OH115" s="151">
        <f t="shared" si="1082"/>
        <v>0.84</v>
      </c>
      <c r="OI115" s="151">
        <f t="shared" si="1083"/>
        <v>0.85</v>
      </c>
      <c r="OJ115" s="151">
        <f t="shared" si="1084"/>
        <v>0.85</v>
      </c>
      <c r="OK115" s="151">
        <f t="shared" si="1085"/>
        <v>0.85</v>
      </c>
      <c r="OL115" s="151">
        <f t="shared" si="1086"/>
        <v>0.85</v>
      </c>
      <c r="OM115" s="151">
        <f t="shared" si="1087"/>
        <v>0.85</v>
      </c>
      <c r="ON115" s="151">
        <f t="shared" si="1088"/>
        <v>0.85</v>
      </c>
      <c r="OO115" s="151">
        <f t="shared" si="1089"/>
        <v>0.85</v>
      </c>
      <c r="OP115" s="151">
        <f t="shared" si="1090"/>
        <v>0.85</v>
      </c>
      <c r="OQ115" s="151">
        <f t="shared" si="1091"/>
        <v>0.86</v>
      </c>
      <c r="OR115" s="151">
        <f t="shared" si="1092"/>
        <v>0.86</v>
      </c>
      <c r="OS115" s="151">
        <f t="shared" si="1093"/>
        <v>0.86</v>
      </c>
      <c r="OT115" s="176">
        <f t="shared" si="1094"/>
        <v>0.86</v>
      </c>
      <c r="OU115" s="163">
        <f t="shared" si="1095"/>
        <v>0.86</v>
      </c>
      <c r="OV115" s="163">
        <f t="shared" si="1096"/>
        <v>0.86</v>
      </c>
      <c r="OW115" s="163">
        <f t="shared" si="1097"/>
        <v>0.86</v>
      </c>
      <c r="OX115" s="163">
        <f t="shared" si="1098"/>
        <v>0.86</v>
      </c>
      <c r="OY115" s="163">
        <f t="shared" si="1099"/>
        <v>0.87</v>
      </c>
      <c r="OZ115" s="163">
        <f t="shared" si="1100"/>
        <v>0.87</v>
      </c>
      <c r="PA115" s="163">
        <f t="shared" si="1101"/>
        <v>0.87</v>
      </c>
      <c r="PB115" s="163">
        <f t="shared" si="1102"/>
        <v>0.87</v>
      </c>
      <c r="PC115" s="163">
        <f t="shared" si="1103"/>
        <v>0.87</v>
      </c>
      <c r="PD115" s="163">
        <f t="shared" si="1104"/>
        <v>0.87</v>
      </c>
      <c r="PE115" s="163">
        <f t="shared" si="1105"/>
        <v>0.87</v>
      </c>
      <c r="PF115" s="163">
        <f t="shared" si="1106"/>
        <v>0.88</v>
      </c>
      <c r="PG115" s="163">
        <f t="shared" si="1107"/>
        <v>0.88</v>
      </c>
      <c r="PH115" s="163">
        <f t="shared" si="1108"/>
        <v>0.88</v>
      </c>
      <c r="PI115" s="163">
        <f t="shared" si="1109"/>
        <v>0.88</v>
      </c>
      <c r="PJ115" s="163">
        <f t="shared" si="1110"/>
        <v>0.88</v>
      </c>
      <c r="PK115" s="163">
        <f t="shared" si="1111"/>
        <v>0.88</v>
      </c>
      <c r="PL115" s="163">
        <f t="shared" si="1112"/>
        <v>0.88</v>
      </c>
      <c r="PM115" s="163">
        <f t="shared" si="1113"/>
        <v>0.89</v>
      </c>
      <c r="PN115" s="163">
        <f t="shared" si="1114"/>
        <v>0.89</v>
      </c>
      <c r="PO115" s="163">
        <f t="shared" si="1115"/>
        <v>0.89</v>
      </c>
      <c r="PP115" s="163">
        <f t="shared" si="1116"/>
        <v>0.89</v>
      </c>
      <c r="PQ115" s="163">
        <f t="shared" si="1117"/>
        <v>0.89</v>
      </c>
      <c r="PR115" s="163">
        <f t="shared" si="1118"/>
        <v>0.89</v>
      </c>
      <c r="PS115" s="163">
        <f t="shared" si="1119"/>
        <v>0.89</v>
      </c>
      <c r="PT115" s="163">
        <f t="shared" si="1120"/>
        <v>0.9</v>
      </c>
      <c r="PU115" s="163">
        <f t="shared" si="997"/>
        <v>0.9</v>
      </c>
      <c r="PV115" s="163">
        <f t="shared" si="986"/>
        <v>0.9</v>
      </c>
      <c r="PW115" s="163">
        <f t="shared" si="986"/>
        <v>0.9</v>
      </c>
      <c r="PX115" s="163">
        <f t="shared" si="986"/>
        <v>0.9</v>
      </c>
      <c r="PY115" s="163">
        <f t="shared" si="989"/>
        <v>0.9</v>
      </c>
      <c r="PZ115" s="163">
        <f t="shared" si="987"/>
        <v>0.9</v>
      </c>
      <c r="QA115" s="163">
        <f t="shared" si="987"/>
        <v>0.91</v>
      </c>
      <c r="QB115" s="163">
        <f t="shared" si="987"/>
        <v>0.91</v>
      </c>
      <c r="QC115" s="163">
        <f t="shared" si="987"/>
        <v>0.91</v>
      </c>
      <c r="QD115" s="163">
        <f t="shared" si="987"/>
        <v>0.91</v>
      </c>
      <c r="QE115" s="163">
        <f t="shared" si="987"/>
        <v>0.91</v>
      </c>
      <c r="QF115" s="163">
        <f t="shared" si="987"/>
        <v>0.91</v>
      </c>
      <c r="QG115" s="163">
        <f t="shared" si="987"/>
        <v>0.91</v>
      </c>
      <c r="QH115" s="163">
        <f t="shared" si="987"/>
        <v>0.91</v>
      </c>
      <c r="QI115" s="163">
        <f t="shared" si="987"/>
        <v>0.91</v>
      </c>
      <c r="QJ115" s="163">
        <f t="shared" si="987"/>
        <v>0.91</v>
      </c>
      <c r="QK115" s="163">
        <f t="shared" si="987"/>
        <v>0.91</v>
      </c>
      <c r="QL115" s="163">
        <f t="shared" si="987"/>
        <v>0.92</v>
      </c>
      <c r="QM115" s="163">
        <f t="shared" si="987"/>
        <v>0.92</v>
      </c>
      <c r="QN115" s="163">
        <f t="shared" si="990"/>
        <v>0.92</v>
      </c>
      <c r="QO115" s="163">
        <f t="shared" si="991"/>
        <v>0.92</v>
      </c>
      <c r="QP115" s="163">
        <f t="shared" si="992"/>
        <v>0.92</v>
      </c>
      <c r="QQ115" s="163">
        <f t="shared" si="993"/>
        <v>0.92</v>
      </c>
      <c r="QR115" s="163">
        <f t="shared" si="994"/>
        <v>0.92</v>
      </c>
      <c r="QS115" s="117">
        <f t="shared" si="995"/>
        <v>0.92</v>
      </c>
      <c r="QT115" s="184"/>
      <c r="QU115" s="184"/>
      <c r="QV115" s="36"/>
      <c r="QW115" s="36"/>
      <c r="QX115" s="36"/>
      <c r="QY115" s="36"/>
      <c r="QZ115" s="36"/>
      <c r="RA115" s="36"/>
      <c r="RB115" s="36"/>
      <c r="RC115" s="36"/>
      <c r="RD115" s="36"/>
      <c r="RE115" s="36"/>
      <c r="RF115" s="36"/>
      <c r="RG115" s="36"/>
      <c r="RH115" s="36"/>
      <c r="RI115" s="36"/>
      <c r="RJ115" s="36"/>
      <c r="RK115" s="36"/>
      <c r="RL115" s="36"/>
      <c r="RM115" s="36"/>
      <c r="RN115" s="36"/>
      <c r="RO115" s="36"/>
      <c r="RP115" s="36"/>
      <c r="RQ115" s="36"/>
      <c r="RR115" s="36"/>
      <c r="RS115" s="36"/>
      <c r="RT115" s="36"/>
      <c r="RU115" s="36"/>
      <c r="RV115" s="36"/>
      <c r="RW115" s="36"/>
      <c r="RX115" s="36"/>
      <c r="RY115" s="36"/>
      <c r="RZ115" s="36"/>
      <c r="SA115" s="36"/>
      <c r="SB115" s="36"/>
      <c r="SC115" s="37"/>
      <c r="SD115" s="37"/>
      <c r="SE115" s="37"/>
      <c r="SF115" s="37"/>
      <c r="SG115" s="37"/>
      <c r="SH115" s="37"/>
      <c r="SI115" s="37"/>
      <c r="SJ115" s="37"/>
      <c r="SK115" s="37"/>
      <c r="SL115" s="37"/>
      <c r="SM115" s="37"/>
      <c r="SN115" s="37"/>
      <c r="SO115" s="37"/>
      <c r="SP115" s="37"/>
      <c r="SQ115" s="37"/>
      <c r="SR115" s="37"/>
      <c r="SS115" s="37"/>
      <c r="ST115" s="37"/>
      <c r="SU115" s="37"/>
      <c r="SV115" s="37"/>
      <c r="SW115" s="37"/>
      <c r="SX115" s="37"/>
      <c r="SY115" s="37"/>
      <c r="SZ115" s="37"/>
      <c r="TA115" s="37"/>
      <c r="TB115" s="37"/>
    </row>
    <row r="116" spans="1:529" ht="18.75" x14ac:dyDescent="0.25">
      <c r="A116" s="298"/>
      <c r="B116" s="25" t="s">
        <v>3</v>
      </c>
      <c r="BY116" s="36"/>
      <c r="BZ116" s="36"/>
      <c r="CA116" s="36"/>
      <c r="CB116" s="36"/>
      <c r="CC116" s="36"/>
      <c r="CD116" s="36"/>
      <c r="CE116" s="36"/>
      <c r="CF116" s="36"/>
      <c r="CG116" s="36"/>
      <c r="CH116" s="36"/>
      <c r="CI116" s="36"/>
      <c r="CJ116" s="36"/>
      <c r="CK116" s="36"/>
      <c r="CL116" s="36"/>
      <c r="CM116" s="36"/>
      <c r="CN116" s="36"/>
      <c r="CO116" s="36"/>
      <c r="CP116" s="36"/>
      <c r="CQ116" s="36"/>
      <c r="CR116" s="36"/>
      <c r="CS116" s="36"/>
      <c r="CT116" s="36"/>
      <c r="CU116" s="36"/>
      <c r="CV116" s="36"/>
      <c r="CW116" s="36"/>
      <c r="CX116" s="36"/>
      <c r="CY116" s="36"/>
      <c r="CZ116" s="36"/>
      <c r="DA116" s="36"/>
      <c r="DB116" s="36"/>
      <c r="DC116" s="36"/>
      <c r="DD116" s="36"/>
      <c r="DE116" s="36"/>
      <c r="DF116" s="36"/>
      <c r="DG116" s="36"/>
      <c r="DH116" s="36"/>
      <c r="DI116" s="36"/>
      <c r="DJ116" s="36"/>
      <c r="DK116" s="36"/>
      <c r="DL116" s="36"/>
      <c r="DM116" s="36"/>
      <c r="DN116" s="36"/>
      <c r="DO116" s="36"/>
      <c r="DP116" s="36"/>
      <c r="DQ116" s="36"/>
      <c r="DR116" s="36"/>
      <c r="DS116" s="36"/>
      <c r="DT116" s="36"/>
      <c r="DU116" s="36"/>
      <c r="DV116" s="36"/>
      <c r="DW116" s="36"/>
      <c r="DX116" s="36"/>
      <c r="DY116" s="36"/>
      <c r="DZ116" s="36"/>
      <c r="EA116" s="36"/>
      <c r="EB116" s="36"/>
      <c r="EC116" s="36"/>
      <c r="ED116" s="36"/>
      <c r="EE116" s="36"/>
      <c r="EF116" s="36"/>
      <c r="EG116" s="36"/>
      <c r="EH116" s="36"/>
      <c r="EI116" s="36"/>
      <c r="EJ116" s="36"/>
      <c r="EK116" s="36"/>
      <c r="EL116" s="36"/>
      <c r="EM116" s="36"/>
      <c r="EN116" s="36"/>
      <c r="EO116" s="36"/>
      <c r="EP116" s="36"/>
      <c r="EQ116" s="36"/>
      <c r="ER116" s="36"/>
      <c r="ES116" s="36"/>
      <c r="ET116" s="36"/>
      <c r="EU116" s="36"/>
      <c r="EV116" s="36"/>
      <c r="EW116" s="36"/>
      <c r="EX116" s="36"/>
      <c r="EY116" s="36"/>
      <c r="EZ116" s="36"/>
      <c r="FA116" s="36"/>
      <c r="FB116" s="36"/>
      <c r="FC116" s="36"/>
      <c r="FD116" s="36"/>
      <c r="FE116" s="36"/>
      <c r="FF116" s="36"/>
      <c r="FG116" s="36"/>
      <c r="FH116" s="36"/>
      <c r="FI116" s="36"/>
      <c r="FJ116" s="36"/>
      <c r="FK116" s="36"/>
      <c r="FL116" s="36"/>
      <c r="FM116" s="36"/>
      <c r="FN116" s="36"/>
      <c r="FO116" s="36"/>
      <c r="FP116" s="36"/>
      <c r="FQ116" s="36"/>
      <c r="FR116" s="36"/>
      <c r="FS116" s="36"/>
      <c r="FT116" s="36"/>
      <c r="FU116" s="36"/>
      <c r="FV116" s="36"/>
      <c r="FW116" s="36"/>
      <c r="FX116" s="36"/>
      <c r="FY116" s="36"/>
      <c r="FZ116" s="36"/>
      <c r="GA116" s="36"/>
      <c r="GB116" s="36"/>
      <c r="GC116" s="36"/>
      <c r="GD116" s="36"/>
      <c r="GE116" s="36"/>
      <c r="GF116" s="36"/>
      <c r="GG116" s="36"/>
      <c r="GH116" s="36"/>
      <c r="GI116" s="36"/>
      <c r="GJ116" s="36"/>
      <c r="GK116" s="36"/>
      <c r="GL116" s="36"/>
      <c r="GM116" s="36"/>
      <c r="GN116" s="36"/>
      <c r="GO116" s="36"/>
      <c r="GP116" s="36"/>
      <c r="GQ116" s="36"/>
      <c r="GR116" s="36"/>
      <c r="GS116" s="36"/>
      <c r="GT116" s="36"/>
      <c r="GU116" s="36"/>
      <c r="GV116" s="36"/>
      <c r="GW116" s="36"/>
      <c r="GX116" s="36"/>
      <c r="GY116" s="36"/>
      <c r="GZ116" s="36"/>
      <c r="HA116" s="36"/>
      <c r="HB116" s="36"/>
      <c r="HC116" s="36"/>
      <c r="HD116" s="36"/>
      <c r="HE116" s="36"/>
      <c r="HF116" s="36"/>
      <c r="HG116" s="36"/>
      <c r="HH116" s="36"/>
      <c r="HI116" s="36"/>
      <c r="HJ116" s="36"/>
      <c r="HK116" s="36"/>
      <c r="HL116" s="36"/>
      <c r="HM116" s="36"/>
      <c r="HN116" s="36"/>
      <c r="HO116" s="36"/>
      <c r="HP116" s="36"/>
      <c r="HQ116" s="36"/>
      <c r="HR116" s="36"/>
      <c r="HS116" s="36"/>
      <c r="HT116" s="36"/>
      <c r="HU116" s="36"/>
      <c r="HV116" s="36"/>
      <c r="HW116" s="36"/>
      <c r="HX116" s="36"/>
      <c r="HY116" s="36"/>
      <c r="HZ116" s="36"/>
      <c r="IA116" s="36"/>
      <c r="IB116" s="36"/>
      <c r="IC116" s="36"/>
      <c r="ID116" s="36"/>
      <c r="IE116" s="36"/>
      <c r="IF116" s="36"/>
      <c r="IG116" s="36"/>
      <c r="IH116" s="36"/>
      <c r="II116" s="36"/>
      <c r="IJ116" s="36"/>
      <c r="IK116" s="36"/>
      <c r="IL116" s="36"/>
      <c r="IM116" s="36"/>
      <c r="IN116" s="36"/>
      <c r="IO116" s="36"/>
      <c r="IP116" s="36"/>
      <c r="IQ116" s="36"/>
      <c r="IR116" s="36"/>
      <c r="IS116" s="36"/>
      <c r="IT116" s="36"/>
      <c r="IU116" s="36"/>
      <c r="IV116" s="36"/>
      <c r="IW116" s="36"/>
      <c r="IX116" s="36"/>
      <c r="IY116" s="36"/>
      <c r="IZ116" s="36"/>
      <c r="JA116" s="36"/>
      <c r="JB116" s="36"/>
      <c r="JC116" s="36"/>
      <c r="JD116" s="36"/>
      <c r="JE116" s="36"/>
      <c r="JF116" s="36"/>
      <c r="JG116" s="36"/>
      <c r="JH116" s="36"/>
      <c r="JI116" s="36"/>
      <c r="JJ116" s="36"/>
      <c r="JK116" s="36"/>
      <c r="JL116" s="36"/>
      <c r="JM116" s="36"/>
      <c r="JN116" s="36"/>
      <c r="JO116" s="36"/>
      <c r="JP116" s="36"/>
      <c r="JQ116" s="36"/>
      <c r="JR116" s="36"/>
      <c r="JS116" s="36"/>
      <c r="JT116" s="36"/>
      <c r="JU116" s="36"/>
      <c r="JV116" s="36"/>
      <c r="JW116" s="36"/>
      <c r="JX116" s="36"/>
      <c r="JY116" s="36"/>
      <c r="JZ116" s="36"/>
      <c r="KA116" s="36"/>
      <c r="KB116" s="36"/>
      <c r="KC116" s="36"/>
      <c r="KD116" s="36"/>
      <c r="KE116" s="36"/>
      <c r="KF116" s="36"/>
      <c r="KG116" s="36"/>
      <c r="KH116" s="36"/>
      <c r="KI116" s="36"/>
      <c r="KJ116" s="36"/>
      <c r="KK116" s="36"/>
      <c r="KL116" s="36"/>
      <c r="KM116" s="36"/>
      <c r="KN116" s="36"/>
      <c r="KO116" s="36"/>
      <c r="KP116" s="36"/>
      <c r="KQ116" s="36"/>
      <c r="KR116" s="36"/>
      <c r="KS116" s="36"/>
      <c r="KT116" s="36"/>
      <c r="KU116" s="36"/>
      <c r="KV116" s="36"/>
      <c r="KW116" s="125" t="str">
        <f t="shared" si="980"/>
        <v>Tank 1</v>
      </c>
      <c r="KX116" s="111" t="str">
        <f t="shared" si="981"/>
        <v>Tank 1</v>
      </c>
      <c r="KY116" s="111" t="str">
        <f t="shared" si="982"/>
        <v>Tank 1</v>
      </c>
      <c r="KZ116" s="111" t="str">
        <f t="shared" si="983"/>
        <v>Tank 1</v>
      </c>
      <c r="LA116" s="111" t="str">
        <f t="shared" si="998"/>
        <v>Tank 1</v>
      </c>
      <c r="LB116" s="111" t="str">
        <f t="shared" si="999"/>
        <v>Tank 1</v>
      </c>
      <c r="LC116" s="111" t="str">
        <f t="shared" si="1000"/>
        <v>Tank 1</v>
      </c>
      <c r="LD116" s="111" t="str">
        <f t="shared" si="1001"/>
        <v>Tank 1</v>
      </c>
      <c r="LE116" s="111" t="str">
        <f t="shared" si="1002"/>
        <v>Tank 1</v>
      </c>
      <c r="LF116" s="111" t="str">
        <f t="shared" si="1003"/>
        <v>Tank 1</v>
      </c>
      <c r="LG116" s="111" t="str">
        <f t="shared" si="1004"/>
        <v>Tank 1</v>
      </c>
      <c r="LH116" s="111" t="str">
        <f t="shared" si="1005"/>
        <v>Tank 1</v>
      </c>
      <c r="LI116" s="111" t="str">
        <f t="shared" si="1006"/>
        <v>Tank 1</v>
      </c>
      <c r="LJ116" s="111" t="str">
        <f t="shared" si="1007"/>
        <v>Tank 1</v>
      </c>
      <c r="LK116" s="111" t="str">
        <f t="shared" si="1008"/>
        <v>Tank 1</v>
      </c>
      <c r="LL116" s="111" t="str">
        <f t="shared" si="1009"/>
        <v>Tank 1</v>
      </c>
      <c r="LM116" s="111" t="str">
        <f t="shared" si="1010"/>
        <v>Tank 1</v>
      </c>
      <c r="LN116" s="111" t="str">
        <f t="shared" si="1011"/>
        <v>Tank 1</v>
      </c>
      <c r="LO116" s="111" t="str">
        <f t="shared" si="1012"/>
        <v>Tank 1</v>
      </c>
      <c r="LP116" s="111" t="str">
        <f t="shared" si="1013"/>
        <v>Tank 1</v>
      </c>
      <c r="LQ116" s="111" t="str">
        <f t="shared" si="1014"/>
        <v>Tank 1</v>
      </c>
      <c r="LR116" s="111" t="str">
        <f t="shared" si="1015"/>
        <v>Tank 1</v>
      </c>
      <c r="LS116" s="111" t="str">
        <f t="shared" si="1016"/>
        <v>Tank 1</v>
      </c>
      <c r="LT116" s="111" t="str">
        <f t="shared" si="1017"/>
        <v>Tank 1</v>
      </c>
      <c r="LU116" s="111" t="str">
        <f t="shared" si="1018"/>
        <v>Tank 1</v>
      </c>
      <c r="LV116" s="111" t="str">
        <f t="shared" si="1019"/>
        <v>Tank 1</v>
      </c>
      <c r="LW116" s="111" t="str">
        <f t="shared" si="1020"/>
        <v>Tank 1</v>
      </c>
      <c r="LX116" s="111" t="str">
        <f t="shared" si="1021"/>
        <v>Tank 1</v>
      </c>
      <c r="LY116" s="111" t="str">
        <f t="shared" si="1022"/>
        <v>Tank 1</v>
      </c>
      <c r="LZ116" s="111" t="str">
        <f t="shared" si="1023"/>
        <v>Tank 1</v>
      </c>
      <c r="MA116" s="111" t="str">
        <f t="shared" si="1024"/>
        <v>Tank 1</v>
      </c>
      <c r="MB116" s="111" t="str">
        <f t="shared" si="1025"/>
        <v>Tank 1</v>
      </c>
      <c r="MC116" s="111" t="str">
        <f t="shared" si="1026"/>
        <v>Tank 1</v>
      </c>
      <c r="MD116" s="111" t="str">
        <f t="shared" si="1027"/>
        <v>Tank 1</v>
      </c>
      <c r="ME116" s="111" t="str">
        <f t="shared" si="1028"/>
        <v>Tank 1</v>
      </c>
      <c r="MF116" s="111" t="str">
        <f t="shared" si="1029"/>
        <v>Tank 1</v>
      </c>
      <c r="MG116" s="111" t="str">
        <f t="shared" si="1030"/>
        <v>Tank 1</v>
      </c>
      <c r="MH116" s="111" t="str">
        <f t="shared" si="1031"/>
        <v>Tank 1</v>
      </c>
      <c r="MI116" s="111" t="str">
        <f t="shared" si="1032"/>
        <v>Tank 1</v>
      </c>
      <c r="MJ116" s="111" t="str">
        <f t="shared" si="1033"/>
        <v>Tank 1</v>
      </c>
      <c r="MK116" s="111" t="str">
        <f t="shared" si="1034"/>
        <v>Tank 1</v>
      </c>
      <c r="ML116" s="111" t="str">
        <f t="shared" si="1035"/>
        <v>Tank 1</v>
      </c>
      <c r="MM116" s="111" t="str">
        <f t="shared" si="1036"/>
        <v>Tank 1</v>
      </c>
      <c r="MN116" s="111" t="str">
        <f t="shared" si="1037"/>
        <v>Tank 1</v>
      </c>
      <c r="MO116" s="111" t="str">
        <f t="shared" si="1038"/>
        <v>Tank 1</v>
      </c>
      <c r="MP116" s="111" t="str">
        <f t="shared" si="1039"/>
        <v>Tank 1</v>
      </c>
      <c r="MQ116" s="111" t="str">
        <f t="shared" si="1040"/>
        <v>Tank 1</v>
      </c>
      <c r="MR116" s="111" t="str">
        <f t="shared" si="1041"/>
        <v>Tank 1</v>
      </c>
      <c r="MS116" s="111" t="str">
        <f t="shared" si="1042"/>
        <v>Tank 1</v>
      </c>
      <c r="MT116" s="111" t="str">
        <f t="shared" si="1043"/>
        <v>Tank 1</v>
      </c>
      <c r="MU116" s="111" t="str">
        <f t="shared" si="1044"/>
        <v>Tank 1</v>
      </c>
      <c r="MV116" s="152" t="str">
        <f t="shared" si="1045"/>
        <v>Tank 2 + 3</v>
      </c>
      <c r="MW116" s="152" t="str">
        <f t="shared" si="1046"/>
        <v>Tank 2 + 3</v>
      </c>
      <c r="MX116" s="152" t="str">
        <f t="shared" si="1047"/>
        <v>Tank 2 + 3</v>
      </c>
      <c r="MY116" s="152" t="str">
        <f t="shared" si="1048"/>
        <v>Tank 2 + 3</v>
      </c>
      <c r="MZ116" s="152" t="str">
        <f t="shared" si="1049"/>
        <v>Tank 2 + 3</v>
      </c>
      <c r="NA116" s="152" t="str">
        <f t="shared" si="1050"/>
        <v>Tank 2 + 3</v>
      </c>
      <c r="NB116" s="152" t="str">
        <f t="shared" si="1051"/>
        <v>Tank 2 + 3</v>
      </c>
      <c r="NC116" s="152" t="str">
        <f t="shared" si="1052"/>
        <v>Tank 2 + 3</v>
      </c>
      <c r="ND116" s="152" t="str">
        <f t="shared" si="1053"/>
        <v>Tank 2 + 3</v>
      </c>
      <c r="NE116" s="152" t="str">
        <f t="shared" si="1054"/>
        <v>Tank 2 + 3</v>
      </c>
      <c r="NF116" s="152" t="str">
        <f t="shared" si="1055"/>
        <v>Tank 2 + 3</v>
      </c>
      <c r="NG116" s="152" t="str">
        <f t="shared" si="1056"/>
        <v>Tank 2 + 3</v>
      </c>
      <c r="NH116" s="152" t="str">
        <f t="shared" si="1057"/>
        <v>Tank 2 + 3</v>
      </c>
      <c r="NI116" s="152" t="str">
        <f t="shared" si="996"/>
        <v>Tank 2 + 3</v>
      </c>
      <c r="NJ116" s="152" t="str">
        <f t="shared" si="1058"/>
        <v>Tank 2 + 3</v>
      </c>
      <c r="NK116" s="152" t="str">
        <f t="shared" si="1059"/>
        <v>Tank 2 + 3</v>
      </c>
      <c r="NL116" s="152" t="str">
        <f t="shared" si="1060"/>
        <v>Tank 2 + 3</v>
      </c>
      <c r="NM116" s="152" t="str">
        <f t="shared" si="1061"/>
        <v>Tank 2 + 3</v>
      </c>
      <c r="NN116" s="152" t="str">
        <f t="shared" si="1062"/>
        <v>Tank 2 + 3</v>
      </c>
      <c r="NO116" s="152" t="str">
        <f t="shared" si="1063"/>
        <v>Tank 2 + 3</v>
      </c>
      <c r="NP116" s="152" t="str">
        <f t="shared" si="1064"/>
        <v>Tank 2 + 3</v>
      </c>
      <c r="NQ116" s="152" t="str">
        <f t="shared" si="1065"/>
        <v>Tank 2 + 3</v>
      </c>
      <c r="NR116" s="152" t="str">
        <f t="shared" si="1066"/>
        <v>Tank 2 + 3</v>
      </c>
      <c r="NS116" s="152" t="str">
        <f t="shared" si="1067"/>
        <v>Tank 2 + 3</v>
      </c>
      <c r="NT116" s="152" t="str">
        <f t="shared" si="1068"/>
        <v>Tank 2 + 3</v>
      </c>
      <c r="NU116" s="152" t="str">
        <f t="shared" si="1069"/>
        <v>Tank 2 + 3</v>
      </c>
      <c r="NV116" s="152" t="str">
        <f t="shared" si="1070"/>
        <v>Tank 2 + 3</v>
      </c>
      <c r="NW116" s="152" t="str">
        <f t="shared" si="1071"/>
        <v>Tank 2 + 3</v>
      </c>
      <c r="NX116" s="152" t="str">
        <f t="shared" si="1072"/>
        <v>Tank 2 + 3</v>
      </c>
      <c r="NY116" s="152" t="str">
        <f t="shared" si="1073"/>
        <v>Tank 2 + 3</v>
      </c>
      <c r="NZ116" s="152" t="str">
        <f t="shared" si="1074"/>
        <v>Tank 2 + 3</v>
      </c>
      <c r="OA116" s="152" t="str">
        <f t="shared" si="1075"/>
        <v>Tank 2 + 3</v>
      </c>
      <c r="OB116" s="152" t="str">
        <f t="shared" si="1076"/>
        <v>Tank 2 + 3</v>
      </c>
      <c r="OC116" s="152" t="str">
        <f t="shared" si="1077"/>
        <v>Tank 2 + 3</v>
      </c>
      <c r="OD116" s="152" t="str">
        <f t="shared" si="1078"/>
        <v>Tank 2 + 3</v>
      </c>
      <c r="OE116" s="152" t="str">
        <f t="shared" si="1079"/>
        <v>Tank 2 + 3</v>
      </c>
      <c r="OF116" s="152" t="str">
        <f t="shared" si="1080"/>
        <v>Tank 2 + 3</v>
      </c>
      <c r="OG116" s="152" t="str">
        <f t="shared" si="1081"/>
        <v>Tank 2 + 3</v>
      </c>
      <c r="OH116" s="152" t="str">
        <f t="shared" si="1082"/>
        <v>Tank 2 + 3</v>
      </c>
      <c r="OI116" s="152" t="str">
        <f t="shared" si="1083"/>
        <v>Tank 2 + 3</v>
      </c>
      <c r="OJ116" s="152" t="str">
        <f t="shared" si="1084"/>
        <v>Tank 2 + 3</v>
      </c>
      <c r="OK116" s="152" t="str">
        <f t="shared" si="1085"/>
        <v>Tank 2 + 3</v>
      </c>
      <c r="OL116" s="152" t="str">
        <f t="shared" si="1086"/>
        <v>Tank 2 + 3</v>
      </c>
      <c r="OM116" s="152" t="str">
        <f t="shared" si="1087"/>
        <v>Tank 2 + 3</v>
      </c>
      <c r="ON116" s="152" t="str">
        <f t="shared" si="1088"/>
        <v>Tank 2 + 3</v>
      </c>
      <c r="OO116" s="152" t="str">
        <f t="shared" si="1089"/>
        <v>Tank 2 + 3</v>
      </c>
      <c r="OP116" s="152" t="str">
        <f t="shared" si="1090"/>
        <v>Tank 2 + 3</v>
      </c>
      <c r="OQ116" s="152" t="str">
        <f t="shared" si="1091"/>
        <v>Tank 2 + 3</v>
      </c>
      <c r="OR116" s="152" t="str">
        <f t="shared" si="1092"/>
        <v>Tank 2 + 3</v>
      </c>
      <c r="OS116" s="152" t="str">
        <f t="shared" si="1093"/>
        <v>Tank 2 + 3</v>
      </c>
      <c r="OT116" s="152" t="str">
        <f t="shared" si="1094"/>
        <v>Tank 2 + 3</v>
      </c>
      <c r="OU116" s="158" t="str">
        <f t="shared" si="1095"/>
        <v xml:space="preserve">Tank 4 + 5 + 6 </v>
      </c>
      <c r="OV116" s="158" t="str">
        <f t="shared" si="1096"/>
        <v xml:space="preserve">Tank 4 + 5 + 6 </v>
      </c>
      <c r="OW116" s="158" t="str">
        <f t="shared" si="1097"/>
        <v xml:space="preserve">Tank 4 + 5 + 6 </v>
      </c>
      <c r="OX116" s="158" t="str">
        <f t="shared" si="1098"/>
        <v xml:space="preserve">Tank 4 + 5 + 6 </v>
      </c>
      <c r="OY116" s="158" t="str">
        <f t="shared" si="1099"/>
        <v xml:space="preserve">Tank 4 + 5 + 6 </v>
      </c>
      <c r="OZ116" s="158" t="str">
        <f t="shared" si="1100"/>
        <v xml:space="preserve">Tank 4 + 5 + 6 </v>
      </c>
      <c r="PA116" s="158" t="str">
        <f t="shared" si="1101"/>
        <v xml:space="preserve">Tank 4 + 5 + 6 </v>
      </c>
      <c r="PB116" s="158" t="str">
        <f t="shared" si="1102"/>
        <v xml:space="preserve">Tank 4 + 5 + 6 </v>
      </c>
      <c r="PC116" s="158" t="str">
        <f t="shared" si="1103"/>
        <v xml:space="preserve">Tank 4 + 5 + 6 </v>
      </c>
      <c r="PD116" s="158" t="str">
        <f t="shared" si="1104"/>
        <v xml:space="preserve">Tank 4 + 5 + 6 </v>
      </c>
      <c r="PE116" s="158" t="str">
        <f t="shared" si="1105"/>
        <v xml:space="preserve">Tank 4 + 5 + 6 </v>
      </c>
      <c r="PF116" s="158" t="str">
        <f t="shared" si="1106"/>
        <v xml:space="preserve">Tank 4 + 5 + 6 </v>
      </c>
      <c r="PG116" s="158" t="str">
        <f t="shared" si="1107"/>
        <v xml:space="preserve">Tank 4 + 5 + 6 </v>
      </c>
      <c r="PH116" s="158" t="str">
        <f t="shared" si="1108"/>
        <v xml:space="preserve">Tank 4 + 5 + 6 </v>
      </c>
      <c r="PI116" s="158" t="str">
        <f t="shared" si="1109"/>
        <v xml:space="preserve">Tank 4 + 5 + 6 </v>
      </c>
      <c r="PJ116" s="158" t="str">
        <f t="shared" si="1110"/>
        <v xml:space="preserve">Tank 4 + 5 + 6 </v>
      </c>
      <c r="PK116" s="158" t="str">
        <f t="shared" si="1111"/>
        <v xml:space="preserve">Tank 4 + 5 + 6 </v>
      </c>
      <c r="PL116" s="158" t="str">
        <f t="shared" si="1112"/>
        <v xml:space="preserve">Tank 4 + 5 + 6 </v>
      </c>
      <c r="PM116" s="158" t="str">
        <f t="shared" si="1113"/>
        <v xml:space="preserve">Tank 4 + 5 + 6 </v>
      </c>
      <c r="PN116" s="158" t="str">
        <f t="shared" si="1114"/>
        <v xml:space="preserve">Tank 4 + 5 + 6 </v>
      </c>
      <c r="PO116" s="158" t="str">
        <f t="shared" si="1115"/>
        <v xml:space="preserve">Tank 4 + 5 + 6 </v>
      </c>
      <c r="PP116" s="158" t="str">
        <f t="shared" si="1116"/>
        <v xml:space="preserve">Tank 4 + 5 + 6 </v>
      </c>
      <c r="PQ116" s="158" t="str">
        <f t="shared" si="1117"/>
        <v xml:space="preserve">Tank 4 + 5 + 6 </v>
      </c>
      <c r="PR116" s="158" t="str">
        <f t="shared" si="1118"/>
        <v xml:space="preserve">Tank 4 + 5 + 6 </v>
      </c>
      <c r="PS116" s="158" t="str">
        <f t="shared" si="1119"/>
        <v xml:space="preserve">Tank 4 + 5 + 6 </v>
      </c>
      <c r="PT116" s="158" t="str">
        <f t="shared" si="1120"/>
        <v xml:space="preserve">Tank 4 + 5 + 6 </v>
      </c>
      <c r="PU116" s="158" t="str">
        <f t="shared" si="997"/>
        <v xml:space="preserve">Tank 4 + 5 + 6 </v>
      </c>
      <c r="PV116" s="158" t="str">
        <f t="shared" si="986"/>
        <v xml:space="preserve">Tank 4 + 5 + 6 </v>
      </c>
      <c r="PW116" s="158" t="str">
        <f t="shared" si="986"/>
        <v xml:space="preserve">Tank 4 + 5 + 6 </v>
      </c>
      <c r="PX116" s="158" t="str">
        <f t="shared" si="986"/>
        <v xml:space="preserve">Tank 4 + 5 + 6 </v>
      </c>
      <c r="PY116" s="158" t="str">
        <f t="shared" si="989"/>
        <v xml:space="preserve">Tank 4 + 5 + 6 </v>
      </c>
      <c r="PZ116" s="158" t="str">
        <f t="shared" si="987"/>
        <v xml:space="preserve">Tank 4 + 5 + 6 </v>
      </c>
      <c r="QA116" s="158" t="str">
        <f t="shared" si="987"/>
        <v xml:space="preserve">Tank 4 + 5 + 6 </v>
      </c>
      <c r="QB116" s="158" t="str">
        <f t="shared" si="987"/>
        <v xml:space="preserve">Tank 4 + 5 + 6 </v>
      </c>
      <c r="QC116" s="158" t="str">
        <f t="shared" si="987"/>
        <v xml:space="preserve">Tank 4 + 5 + 6 </v>
      </c>
      <c r="QD116" s="158" t="str">
        <f t="shared" si="987"/>
        <v xml:space="preserve">Tank 4 + 5 + 6 </v>
      </c>
      <c r="QE116" s="158" t="str">
        <f t="shared" si="987"/>
        <v xml:space="preserve">Tank 4 + 5 + 6 </v>
      </c>
      <c r="QF116" s="158" t="str">
        <f t="shared" si="987"/>
        <v xml:space="preserve">Tank 4 + 5 + 6 </v>
      </c>
      <c r="QG116" s="158" t="str">
        <f t="shared" si="987"/>
        <v xml:space="preserve">Tank 4 + 5 + 6 </v>
      </c>
      <c r="QH116" s="158" t="str">
        <f t="shared" si="987"/>
        <v xml:space="preserve">Tank 4 + 5 + 6 </v>
      </c>
      <c r="QI116" s="158" t="str">
        <f t="shared" si="987"/>
        <v xml:space="preserve">Tank 4 + 5 + 6 </v>
      </c>
      <c r="QJ116" s="158" t="str">
        <f t="shared" si="987"/>
        <v xml:space="preserve">Tank 4 + 5 + 6 </v>
      </c>
      <c r="QK116" s="158" t="str">
        <f t="shared" si="987"/>
        <v xml:space="preserve">Tank 4 + 5 + 6 </v>
      </c>
      <c r="QL116" s="158" t="str">
        <f t="shared" si="987"/>
        <v xml:space="preserve">Tank 4 + 5 + 6 </v>
      </c>
      <c r="QM116" s="158" t="str">
        <f t="shared" si="987"/>
        <v xml:space="preserve">Tank 4 + 5 + 6 </v>
      </c>
      <c r="QN116" s="158" t="str">
        <f t="shared" si="990"/>
        <v xml:space="preserve">Tank 4 + 5 + 6 </v>
      </c>
      <c r="QO116" s="158" t="str">
        <f t="shared" si="991"/>
        <v xml:space="preserve">Tank 4 + 5 + 6 </v>
      </c>
      <c r="QP116" s="158" t="str">
        <f t="shared" si="992"/>
        <v xml:space="preserve">Tank 4 + 5 + 6 </v>
      </c>
      <c r="QQ116" s="158" t="str">
        <f t="shared" si="993"/>
        <v xml:space="preserve">Tank 4 + 5 + 6 </v>
      </c>
      <c r="QR116" s="158" t="str">
        <f t="shared" si="994"/>
        <v xml:space="preserve">Tank 4 + 5 + 6 </v>
      </c>
      <c r="QS116" s="158" t="str">
        <f t="shared" si="995"/>
        <v xml:space="preserve">Tank 4 + 5 + 6 </v>
      </c>
      <c r="QT116" s="184"/>
      <c r="QU116" s="184"/>
      <c r="QV116" s="36"/>
      <c r="QW116" s="36"/>
      <c r="QX116" s="36"/>
      <c r="QY116" s="36"/>
      <c r="QZ116" s="36"/>
      <c r="RA116" s="36"/>
      <c r="RB116" s="36"/>
      <c r="RC116" s="36"/>
      <c r="RD116" s="36"/>
      <c r="RE116" s="36"/>
      <c r="RF116" s="36"/>
      <c r="RG116" s="36"/>
      <c r="RH116" s="36"/>
      <c r="RI116" s="36"/>
      <c r="RJ116" s="36"/>
      <c r="RK116" s="36"/>
      <c r="RL116" s="36"/>
      <c r="RM116" s="36"/>
      <c r="RN116" s="36"/>
      <c r="RO116" s="36"/>
      <c r="RP116" s="36"/>
      <c r="RQ116" s="36"/>
      <c r="RR116" s="36"/>
      <c r="RS116" s="36"/>
      <c r="RT116" s="36"/>
      <c r="RU116" s="36"/>
      <c r="RV116" s="36"/>
      <c r="RW116" s="36"/>
      <c r="RX116" s="36"/>
      <c r="RY116" s="36"/>
      <c r="RZ116" s="36"/>
      <c r="SA116" s="36"/>
      <c r="SB116" s="36"/>
      <c r="SC116" s="37"/>
      <c r="SD116" s="37"/>
      <c r="SE116" s="37"/>
      <c r="SF116" s="37"/>
      <c r="SG116" s="37"/>
      <c r="SH116" s="37"/>
      <c r="SI116" s="37"/>
      <c r="SJ116" s="37"/>
      <c r="SK116" s="37"/>
      <c r="SL116" s="37"/>
      <c r="SM116" s="37"/>
      <c r="SN116" s="37"/>
      <c r="SO116" s="37"/>
      <c r="SP116" s="37"/>
      <c r="SQ116" s="37"/>
      <c r="SR116" s="37"/>
      <c r="SS116" s="37"/>
      <c r="ST116" s="37"/>
      <c r="SU116" s="37"/>
      <c r="SV116" s="37"/>
      <c r="SW116" s="37"/>
      <c r="SX116" s="37"/>
      <c r="SY116" s="37"/>
      <c r="SZ116" s="37"/>
      <c r="TA116" s="37"/>
      <c r="TB116" s="37"/>
    </row>
    <row r="117" spans="1:529" ht="21.75" thickBot="1" x14ac:dyDescent="0.3">
      <c r="A117" s="299"/>
      <c r="B117" s="26" t="s">
        <v>110</v>
      </c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6"/>
      <c r="CL117" s="36"/>
      <c r="CM117" s="36"/>
      <c r="CN117" s="36"/>
      <c r="CO117" s="36"/>
      <c r="CP117" s="36"/>
      <c r="CQ117" s="36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6"/>
      <c r="DG117" s="36"/>
      <c r="DH117" s="36"/>
      <c r="DI117" s="36"/>
      <c r="DJ117" s="36"/>
      <c r="DK117" s="36"/>
      <c r="DL117" s="36"/>
      <c r="DM117" s="36"/>
      <c r="DN117" s="36"/>
      <c r="DO117" s="36"/>
      <c r="DP117" s="36"/>
      <c r="DQ117" s="36"/>
      <c r="DR117" s="36"/>
      <c r="DS117" s="36"/>
      <c r="DT117" s="36"/>
      <c r="DU117" s="36"/>
      <c r="DV117" s="36"/>
      <c r="DW117" s="36"/>
      <c r="DX117" s="36"/>
      <c r="DY117" s="36"/>
      <c r="DZ117" s="36"/>
      <c r="EA117" s="36"/>
      <c r="EB117" s="36"/>
      <c r="EC117" s="36"/>
      <c r="ED117" s="36"/>
      <c r="EE117" s="36"/>
      <c r="EF117" s="36"/>
      <c r="EG117" s="36"/>
      <c r="EH117" s="36"/>
      <c r="EI117" s="36"/>
      <c r="EJ117" s="36"/>
      <c r="EK117" s="36"/>
      <c r="EL117" s="36"/>
      <c r="EM117" s="36"/>
      <c r="EN117" s="36"/>
      <c r="EO117" s="36"/>
      <c r="EP117" s="36"/>
      <c r="EQ117" s="36"/>
      <c r="ER117" s="36"/>
      <c r="ES117" s="36"/>
      <c r="ET117" s="36"/>
      <c r="EU117" s="36"/>
      <c r="EV117" s="36"/>
      <c r="EW117" s="36"/>
      <c r="EX117" s="36"/>
      <c r="EY117" s="36"/>
      <c r="EZ117" s="36"/>
      <c r="FA117" s="36"/>
      <c r="FB117" s="36"/>
      <c r="FC117" s="36"/>
      <c r="FD117" s="36"/>
      <c r="FE117" s="36"/>
      <c r="FF117" s="36"/>
      <c r="FG117" s="36"/>
      <c r="FH117" s="36"/>
      <c r="FI117" s="36"/>
      <c r="FJ117" s="36"/>
      <c r="FK117" s="36"/>
      <c r="FL117" s="36"/>
      <c r="FM117" s="36"/>
      <c r="FN117" s="36"/>
      <c r="FO117" s="36"/>
      <c r="FP117" s="36"/>
      <c r="FQ117" s="36"/>
      <c r="FR117" s="36"/>
      <c r="FS117" s="36"/>
      <c r="FT117" s="36"/>
      <c r="FU117" s="36"/>
      <c r="FV117" s="36"/>
      <c r="FW117" s="36"/>
      <c r="FX117" s="36"/>
      <c r="FY117" s="36"/>
      <c r="FZ117" s="36"/>
      <c r="GA117" s="36"/>
      <c r="GB117" s="36"/>
      <c r="GC117" s="36"/>
      <c r="GD117" s="36"/>
      <c r="GE117" s="36"/>
      <c r="GF117" s="36"/>
      <c r="GG117" s="36"/>
      <c r="GH117" s="36"/>
      <c r="GI117" s="36"/>
      <c r="GJ117" s="36"/>
      <c r="GK117" s="36"/>
      <c r="GL117" s="36"/>
      <c r="GM117" s="36"/>
      <c r="GN117" s="36"/>
      <c r="GO117" s="36"/>
      <c r="GP117" s="36"/>
      <c r="GQ117" s="36"/>
      <c r="GR117" s="36"/>
      <c r="GS117" s="36"/>
      <c r="GT117" s="36"/>
      <c r="GU117" s="36"/>
      <c r="GV117" s="36"/>
      <c r="GW117" s="36"/>
      <c r="GX117" s="36"/>
      <c r="GY117" s="36"/>
      <c r="GZ117" s="36"/>
      <c r="HA117" s="36"/>
      <c r="HB117" s="36"/>
      <c r="HC117" s="36"/>
      <c r="HD117" s="36"/>
      <c r="HE117" s="36"/>
      <c r="HF117" s="36"/>
      <c r="HG117" s="36"/>
      <c r="HH117" s="36"/>
      <c r="HI117" s="36"/>
      <c r="HJ117" s="36"/>
      <c r="HK117" s="36"/>
      <c r="HL117" s="36"/>
      <c r="HM117" s="36"/>
      <c r="HN117" s="36"/>
      <c r="HO117" s="36"/>
      <c r="HP117" s="36"/>
      <c r="HQ117" s="36"/>
      <c r="HR117" s="36"/>
      <c r="HS117" s="36"/>
      <c r="HT117" s="36"/>
      <c r="HU117" s="36"/>
      <c r="HV117" s="36"/>
      <c r="HW117" s="36"/>
      <c r="HX117" s="36"/>
      <c r="HY117" s="36"/>
      <c r="HZ117" s="36"/>
      <c r="IA117" s="36"/>
      <c r="IB117" s="36"/>
      <c r="IC117" s="36"/>
      <c r="ID117" s="36"/>
      <c r="IE117" s="36"/>
      <c r="IF117" s="36"/>
      <c r="IG117" s="36"/>
      <c r="IH117" s="36"/>
      <c r="II117" s="36"/>
      <c r="IJ117" s="36"/>
      <c r="IK117" s="36"/>
      <c r="IL117" s="36"/>
      <c r="IM117" s="36"/>
      <c r="IN117" s="36"/>
      <c r="IO117" s="36"/>
      <c r="IP117" s="36"/>
      <c r="IQ117" s="36"/>
      <c r="IR117" s="36"/>
      <c r="IS117" s="36"/>
      <c r="IT117" s="36"/>
      <c r="IU117" s="36"/>
      <c r="IV117" s="36"/>
      <c r="IW117" s="36"/>
      <c r="IX117" s="36"/>
      <c r="IY117" s="36"/>
      <c r="IZ117" s="36"/>
      <c r="JA117" s="36"/>
      <c r="JB117" s="36"/>
      <c r="JC117" s="36"/>
      <c r="JD117" s="36"/>
      <c r="JE117" s="36"/>
      <c r="JF117" s="36"/>
      <c r="JG117" s="36"/>
      <c r="JH117" s="36"/>
      <c r="JI117" s="36"/>
      <c r="JJ117" s="36"/>
      <c r="JK117" s="36"/>
      <c r="JL117" s="36"/>
      <c r="JM117" s="36"/>
      <c r="JN117" s="36"/>
      <c r="JO117" s="36"/>
      <c r="JP117" s="36"/>
      <c r="JQ117" s="36"/>
      <c r="JR117" s="36"/>
      <c r="JS117" s="36"/>
      <c r="JT117" s="36"/>
      <c r="JU117" s="36"/>
      <c r="JV117" s="36"/>
      <c r="JW117" s="36"/>
      <c r="JX117" s="36"/>
      <c r="JY117" s="36"/>
      <c r="JZ117" s="36"/>
      <c r="KA117" s="36"/>
      <c r="KB117" s="36"/>
      <c r="KC117" s="36"/>
      <c r="KD117" s="36"/>
      <c r="KE117" s="36"/>
      <c r="KF117" s="36"/>
      <c r="KG117" s="36"/>
      <c r="KH117" s="36"/>
      <c r="KI117" s="36"/>
      <c r="KJ117" s="36"/>
      <c r="KK117" s="36"/>
      <c r="KL117" s="36"/>
      <c r="KM117" s="36"/>
      <c r="KN117" s="36"/>
      <c r="KO117" s="36"/>
      <c r="KP117" s="36"/>
      <c r="KQ117" s="36"/>
      <c r="KR117" s="36"/>
      <c r="KS117" s="36"/>
      <c r="KT117" s="36"/>
      <c r="KU117" s="36"/>
      <c r="KV117" s="36"/>
      <c r="KW117" s="126">
        <f t="shared" si="980"/>
        <v>4.166666666666667</v>
      </c>
      <c r="KX117" s="127">
        <f t="shared" si="981"/>
        <v>4.5764880952380951</v>
      </c>
      <c r="KY117" s="127">
        <f t="shared" si="982"/>
        <v>5.0241666985544224</v>
      </c>
      <c r="KZ117" s="127">
        <f t="shared" si="983"/>
        <v>5.5050764092090345</v>
      </c>
      <c r="LA117" s="127">
        <f t="shared" si="998"/>
        <v>6.0300868541293902</v>
      </c>
      <c r="LB117" s="127">
        <f t="shared" si="999"/>
        <v>6.6009350763203054</v>
      </c>
      <c r="LC117" s="127">
        <f t="shared" si="1000"/>
        <v>7.210269669399942</v>
      </c>
      <c r="LD117" s="127">
        <f t="shared" si="1001"/>
        <v>7.8721226990531363</v>
      </c>
      <c r="LE117" s="127">
        <f t="shared" si="1002"/>
        <v>8.5768778193310791</v>
      </c>
      <c r="LF117" s="127">
        <f t="shared" si="1003"/>
        <v>9.3389116079570709</v>
      </c>
      <c r="LG117" s="127">
        <f t="shared" si="1004"/>
        <v>10.159152963083063</v>
      </c>
      <c r="LH117" s="127">
        <f t="shared" si="1005"/>
        <v>11.026067349266151</v>
      </c>
      <c r="LI117" s="127">
        <f t="shared" si="1006"/>
        <v>11.955932362387598</v>
      </c>
      <c r="LJ117" s="127">
        <f t="shared" si="1007"/>
        <v>12.935534820538635</v>
      </c>
      <c r="LK117" s="127">
        <f t="shared" si="1008"/>
        <v>13.982676967158632</v>
      </c>
      <c r="LL117" s="127">
        <f t="shared" si="1009"/>
        <v>15.080091582032725</v>
      </c>
      <c r="LM117" s="127">
        <f t="shared" si="1010"/>
        <v>16.246609634088035</v>
      </c>
      <c r="LN117" s="127">
        <f t="shared" si="1011"/>
        <v>17.462268647025983</v>
      </c>
      <c r="LO117" s="127">
        <f t="shared" si="1012"/>
        <v>18.749487307292473</v>
      </c>
      <c r="LP117" s="127">
        <f t="shared" si="1013"/>
        <v>20.088903806807178</v>
      </c>
      <c r="LQ117" s="127">
        <f t="shared" si="1014"/>
        <v>21.502032633967268</v>
      </c>
      <c r="LR117" s="127">
        <f t="shared" si="1015"/>
        <v>22.96747885809765</v>
      </c>
      <c r="LS117" s="127">
        <f t="shared" si="1016"/>
        <v>24.50453321244726</v>
      </c>
      <c r="LT117" s="127">
        <f t="shared" si="1017"/>
        <v>26.092872501581343</v>
      </c>
      <c r="LU117" s="127">
        <f t="shared" si="1018"/>
        <v>27.756490796833685</v>
      </c>
      <c r="LV117" s="127">
        <f t="shared" si="1019"/>
        <v>29.500944188125594</v>
      </c>
      <c r="LW117" s="127">
        <f t="shared" si="1020"/>
        <v>31.300061471001431</v>
      </c>
      <c r="LX117" s="127">
        <f t="shared" si="1021"/>
        <v>33.180868149841011</v>
      </c>
      <c r="LY117" s="127">
        <f t="shared" si="1022"/>
        <v>35.115117581399382</v>
      </c>
      <c r="LZ117" s="127">
        <f t="shared" si="1023"/>
        <v>37.131138449602076</v>
      </c>
      <c r="MA117" s="127">
        <f t="shared" si="1024"/>
        <v>39.23013986431193</v>
      </c>
      <c r="MB117" s="127">
        <f t="shared" si="1025"/>
        <v>41.380406371077548</v>
      </c>
      <c r="MC117" s="127">
        <f t="shared" si="1026"/>
        <v>43.612549450978278</v>
      </c>
      <c r="MD117" s="127">
        <f t="shared" si="1027"/>
        <v>45.927174901550487</v>
      </c>
      <c r="ME117" s="127">
        <f t="shared" si="1028"/>
        <v>48.289143896487367</v>
      </c>
      <c r="MF117" s="127">
        <f t="shared" si="1029"/>
        <v>50.731194887824017</v>
      </c>
      <c r="MG117" s="127">
        <f t="shared" si="1030"/>
        <v>53.209163674739131</v>
      </c>
      <c r="MH117" s="127">
        <f t="shared" si="1031"/>
        <v>55.763203531126614</v>
      </c>
      <c r="MI117" s="127">
        <f t="shared" si="1032"/>
        <v>58.384859494322392</v>
      </c>
      <c r="MJ117" s="127">
        <f t="shared" si="1033"/>
        <v>61.04137060131405</v>
      </c>
      <c r="MK117" s="127">
        <f t="shared" si="1034"/>
        <v>63.767885154839412</v>
      </c>
      <c r="ML117" s="127">
        <f t="shared" si="1035"/>
        <v>66.554187470077267</v>
      </c>
      <c r="MM117" s="127">
        <f t="shared" si="1036"/>
        <v>69.36587396538846</v>
      </c>
      <c r="MN117" s="127">
        <f t="shared" si="1037"/>
        <v>72.229829364452598</v>
      </c>
      <c r="MO117" s="127">
        <f t="shared" si="1038"/>
        <v>75.152663829419623</v>
      </c>
      <c r="MP117" s="127">
        <f t="shared" si="1039"/>
        <v>78.089711177996406</v>
      </c>
      <c r="MQ117" s="127">
        <f t="shared" si="1040"/>
        <v>81.078225530105684</v>
      </c>
      <c r="MR117" s="127">
        <f t="shared" si="1041"/>
        <v>84.115372032395584</v>
      </c>
      <c r="MS117" s="127">
        <f t="shared" si="1042"/>
        <v>87.154740808499469</v>
      </c>
      <c r="MT117" s="127">
        <f t="shared" si="1043"/>
        <v>90.234208317066447</v>
      </c>
      <c r="MU117" s="127">
        <f t="shared" si="1044"/>
        <v>93.306920568705493</v>
      </c>
      <c r="MV117" s="182">
        <f t="shared" si="1045"/>
        <v>46.560153363784046</v>
      </c>
      <c r="MW117" s="182">
        <f t="shared" si="1046"/>
        <v>48.07213308091324</v>
      </c>
      <c r="MX117" s="182">
        <f t="shared" si="1047"/>
        <v>49.574231161337615</v>
      </c>
      <c r="MY117" s="182">
        <f t="shared" si="1048"/>
        <v>51.084635658798625</v>
      </c>
      <c r="MZ117" s="182">
        <f t="shared" si="1049"/>
        <v>52.614520981255644</v>
      </c>
      <c r="NA117" s="182">
        <f t="shared" si="1050"/>
        <v>54.141691179993622</v>
      </c>
      <c r="NB117" s="182">
        <f t="shared" si="1051"/>
        <v>55.678482260410362</v>
      </c>
      <c r="NC117" s="182">
        <f t="shared" si="1052"/>
        <v>57.230341496745396</v>
      </c>
      <c r="ND117" s="182">
        <f t="shared" si="1053"/>
        <v>58.796104942310194</v>
      </c>
      <c r="NE117" s="182">
        <f t="shared" si="1054"/>
        <v>60.353085341542005</v>
      </c>
      <c r="NF117" s="182">
        <f t="shared" si="1055"/>
        <v>61.920737634210916</v>
      </c>
      <c r="NG117" s="182">
        <f t="shared" si="1056"/>
        <v>63.489918858814598</v>
      </c>
      <c r="NH117" s="182">
        <f t="shared" si="1057"/>
        <v>65.066719122118315</v>
      </c>
      <c r="NI117" s="182">
        <f t="shared" si="996"/>
        <v>66.62832038104915</v>
      </c>
      <c r="NJ117" s="182">
        <f t="shared" si="1058"/>
        <v>68.202414450051435</v>
      </c>
      <c r="NK117" s="182">
        <f t="shared" si="1059"/>
        <v>69.788120586015125</v>
      </c>
      <c r="NL117" s="182">
        <f t="shared" si="1060"/>
        <v>71.384523844420229</v>
      </c>
      <c r="NM117" s="182">
        <f t="shared" si="1061"/>
        <v>72.990675630919668</v>
      </c>
      <c r="NN117" s="182">
        <f t="shared" si="1062"/>
        <v>74.583854822468638</v>
      </c>
      <c r="NO117" s="182">
        <f t="shared" si="1063"/>
        <v>76.184184941992712</v>
      </c>
      <c r="NP117" s="182">
        <f t="shared" si="1064"/>
        <v>77.790636644226339</v>
      </c>
      <c r="NQ117" s="182">
        <f t="shared" si="1065"/>
        <v>79.402151314461051</v>
      </c>
      <c r="NR117" s="182">
        <f t="shared" si="1066"/>
        <v>80.996004254261095</v>
      </c>
      <c r="NS117" s="182">
        <f t="shared" si="1067"/>
        <v>82.592218191759684</v>
      </c>
      <c r="NT117" s="182">
        <f t="shared" si="1068"/>
        <v>84.199744779979795</v>
      </c>
      <c r="NU117" s="182">
        <f t="shared" si="1069"/>
        <v>85.818022801604783</v>
      </c>
      <c r="NV117" s="182">
        <f t="shared" si="1070"/>
        <v>87.446472112327925</v>
      </c>
      <c r="NW117" s="182">
        <f t="shared" si="1071"/>
        <v>89.062651488476234</v>
      </c>
      <c r="NX117" s="182">
        <f t="shared" si="1072"/>
        <v>90.687240095145555</v>
      </c>
      <c r="NY117" s="182">
        <f t="shared" si="1073"/>
        <v>92.319610416858183</v>
      </c>
      <c r="NZ117" s="182">
        <f t="shared" si="1074"/>
        <v>93.95911771510454</v>
      </c>
      <c r="OA117" s="182">
        <f t="shared" si="1075"/>
        <v>95.605100331463134</v>
      </c>
      <c r="OB117" s="182">
        <f t="shared" si="1076"/>
        <v>97.256880016707925</v>
      </c>
      <c r="OC117" s="182">
        <f t="shared" si="1077"/>
        <v>98.91376228590822</v>
      </c>
      <c r="OD117" s="182">
        <f t="shared" si="1078"/>
        <v>100.56468008025162</v>
      </c>
      <c r="OE117" s="182">
        <f t="shared" si="1079"/>
        <v>102.23118049301006</v>
      </c>
      <c r="OF117" s="182">
        <f t="shared" si="1080"/>
        <v>103.91312681969268</v>
      </c>
      <c r="OG117" s="182">
        <f t="shared" si="1081"/>
        <v>105.61037455774766</v>
      </c>
      <c r="OH117" s="182">
        <f t="shared" si="1082"/>
        <v>107.32277134521972</v>
      </c>
      <c r="OI117" s="182">
        <f t="shared" si="1083"/>
        <v>109.05015690306182</v>
      </c>
      <c r="OJ117" s="182">
        <f t="shared" si="1084"/>
        <v>110.76930055306305</v>
      </c>
      <c r="OK117" s="182">
        <f t="shared" si="1085"/>
        <v>112.50251431465804</v>
      </c>
      <c r="OL117" s="182">
        <f t="shared" si="1086"/>
        <v>114.24961218401506</v>
      </c>
      <c r="OM117" s="182">
        <f t="shared" si="1087"/>
        <v>116.01040032473342</v>
      </c>
      <c r="ON117" s="182">
        <f t="shared" si="1088"/>
        <v>117.78467703558228</v>
      </c>
      <c r="OO117" s="182">
        <f t="shared" si="1089"/>
        <v>119.57223272235758</v>
      </c>
      <c r="OP117" s="182">
        <f t="shared" si="1090"/>
        <v>121.37284987394132</v>
      </c>
      <c r="OQ117" s="182">
        <f t="shared" si="1091"/>
        <v>123.18630304264609</v>
      </c>
      <c r="OR117" s="182">
        <f t="shared" si="1092"/>
        <v>124.98826082436294</v>
      </c>
      <c r="OS117" s="182">
        <f t="shared" si="1093"/>
        <v>126.80204395818626</v>
      </c>
      <c r="OT117" s="182">
        <f t="shared" si="1094"/>
        <v>128.62740361423548</v>
      </c>
      <c r="OU117" s="183">
        <f t="shared" si="1095"/>
        <v>85.580099204671342</v>
      </c>
      <c r="OV117" s="183">
        <f t="shared" si="1096"/>
        <v>86.792152237593314</v>
      </c>
      <c r="OW117" s="183">
        <f t="shared" si="1097"/>
        <v>88.011279213209733</v>
      </c>
      <c r="OX117" s="183">
        <f t="shared" si="1098"/>
        <v>89.237296800389089</v>
      </c>
      <c r="OY117" s="183">
        <f t="shared" si="1099"/>
        <v>90.470016667817731</v>
      </c>
      <c r="OZ117" s="183">
        <f t="shared" si="1100"/>
        <v>91.692921720706849</v>
      </c>
      <c r="PA117" s="183">
        <f t="shared" si="1101"/>
        <v>92.921817660090127</v>
      </c>
      <c r="PB117" s="183">
        <f t="shared" si="1102"/>
        <v>94.16718363010925</v>
      </c>
      <c r="PC117" s="183">
        <f t="shared" si="1103"/>
        <v>95.418416552826571</v>
      </c>
      <c r="PD117" s="183">
        <f t="shared" si="1104"/>
        <v>96.67530741914311</v>
      </c>
      <c r="PE117" s="183">
        <f t="shared" si="1105"/>
        <v>97.937642467742506</v>
      </c>
      <c r="PF117" s="183">
        <f t="shared" si="1106"/>
        <v>99.205203219681337</v>
      </c>
      <c r="PG117" s="183">
        <f t="shared" si="1107"/>
        <v>100.46105090589411</v>
      </c>
      <c r="PH117" s="183">
        <f t="shared" si="1108"/>
        <v>101.7213804536226</v>
      </c>
      <c r="PI117" s="183">
        <f t="shared" si="1109"/>
        <v>102.98596216062559</v>
      </c>
      <c r="PJ117" s="183">
        <f t="shared" si="1110"/>
        <v>104.2662649174861</v>
      </c>
      <c r="PK117" s="183">
        <f t="shared" si="1111"/>
        <v>105.5506357262424</v>
      </c>
      <c r="PL117" s="183">
        <f t="shared" si="1112"/>
        <v>106.8388332577195</v>
      </c>
      <c r="PM117" s="183">
        <f t="shared" si="1113"/>
        <v>108.13061187801738</v>
      </c>
      <c r="PN117" s="183">
        <f t="shared" si="1114"/>
        <v>109.40874000942945</v>
      </c>
      <c r="PO117" s="183">
        <f t="shared" si="1115"/>
        <v>110.70197590257463</v>
      </c>
      <c r="PP117" s="183">
        <f t="shared" si="1116"/>
        <v>111.99805971033285</v>
      </c>
      <c r="PQ117" s="183">
        <f t="shared" si="1117"/>
        <v>113.2967338409066</v>
      </c>
      <c r="PR117" s="183">
        <f t="shared" si="1118"/>
        <v>114.59773678456285</v>
      </c>
      <c r="PS117" s="183">
        <f t="shared" si="1119"/>
        <v>115.90080318485475</v>
      </c>
      <c r="PT117" s="183">
        <f t="shared" si="1120"/>
        <v>117.20566391284602</v>
      </c>
      <c r="PU117" s="183">
        <f t="shared" si="997"/>
        <v>118.49492621588733</v>
      </c>
      <c r="PV117" s="183">
        <f t="shared" si="986"/>
        <v>104.98650462727618</v>
      </c>
      <c r="PW117" s="183">
        <f t="shared" si="986"/>
        <v>106.12969101099542</v>
      </c>
      <c r="PX117" s="183">
        <f t="shared" si="986"/>
        <v>92.112148806193915</v>
      </c>
      <c r="PY117" s="183">
        <f t="shared" si="989"/>
        <v>93.094678393460001</v>
      </c>
      <c r="PZ117" s="183">
        <f t="shared" si="987"/>
        <v>94.077344443168741</v>
      </c>
      <c r="QA117" s="183">
        <f t="shared" si="987"/>
        <v>95.059930040686254</v>
      </c>
      <c r="QB117" s="183">
        <f t="shared" si="987"/>
        <v>96.029332404178092</v>
      </c>
      <c r="QC117" s="183">
        <f t="shared" si="987"/>
        <v>80.993179133302633</v>
      </c>
      <c r="QD117" s="183">
        <f t="shared" si="987"/>
        <v>81.810231204119916</v>
      </c>
      <c r="QE117" s="183">
        <f t="shared" si="987"/>
        <v>66.264489248277698</v>
      </c>
      <c r="QF117" s="183">
        <f t="shared" si="987"/>
        <v>66.918395966354112</v>
      </c>
      <c r="QG117" s="183">
        <f t="shared" si="987"/>
        <v>67.571401852267556</v>
      </c>
      <c r="QH117" s="183">
        <f t="shared" si="987"/>
        <v>68.223354498710307</v>
      </c>
      <c r="QI117" s="183">
        <f t="shared" si="987"/>
        <v>68.881597413544029</v>
      </c>
      <c r="QJ117" s="183">
        <f t="shared" si="987"/>
        <v>52.318222527794894</v>
      </c>
      <c r="QK117" s="183">
        <f t="shared" si="987"/>
        <v>52.811508625914108</v>
      </c>
      <c r="QL117" s="183">
        <f t="shared" si="987"/>
        <v>35.699806036119753</v>
      </c>
      <c r="QM117" s="183">
        <f t="shared" si="987"/>
        <v>36.028089035104067</v>
      </c>
      <c r="QN117" s="183">
        <f t="shared" si="990"/>
        <v>36.355474713727411</v>
      </c>
      <c r="QO117" s="183">
        <f t="shared" si="991"/>
        <v>36.685835331778243</v>
      </c>
      <c r="QP117" s="183">
        <f t="shared" si="992"/>
        <v>37.015210331604855</v>
      </c>
      <c r="QQ117" s="183">
        <f t="shared" si="993"/>
        <v>18.835913987874051</v>
      </c>
      <c r="QR117" s="183">
        <f t="shared" si="994"/>
        <v>19.002980355418675</v>
      </c>
      <c r="QS117" s="183">
        <f t="shared" si="995"/>
        <v>-3.8414937896748588E-2</v>
      </c>
      <c r="QT117" s="184"/>
      <c r="QU117" s="184"/>
      <c r="QV117" s="36"/>
      <c r="QW117" s="36"/>
      <c r="QX117" s="36"/>
      <c r="QY117" s="36"/>
      <c r="QZ117" s="36"/>
      <c r="RA117" s="36"/>
      <c r="RB117" s="36"/>
      <c r="RC117" s="36"/>
      <c r="RD117" s="36"/>
      <c r="RE117" s="36"/>
      <c r="RF117" s="36"/>
      <c r="RG117" s="36"/>
      <c r="RH117" s="36"/>
      <c r="RI117" s="36"/>
      <c r="RJ117" s="36"/>
      <c r="RK117" s="36"/>
      <c r="RL117" s="36"/>
      <c r="RM117" s="36"/>
      <c r="RN117" s="36"/>
      <c r="RO117" s="36"/>
      <c r="RP117" s="36"/>
      <c r="RQ117" s="36"/>
      <c r="RR117" s="36"/>
      <c r="RS117" s="36"/>
      <c r="RT117" s="36"/>
      <c r="RU117" s="36"/>
      <c r="RV117" s="36"/>
      <c r="RW117" s="36"/>
      <c r="RX117" s="36"/>
      <c r="RY117" s="36"/>
      <c r="RZ117" s="36"/>
      <c r="SA117" s="36"/>
      <c r="SB117" s="36"/>
      <c r="SC117" s="37"/>
      <c r="SD117" s="37"/>
      <c r="SE117" s="37"/>
      <c r="SF117" s="37"/>
      <c r="SG117" s="37"/>
      <c r="SH117" s="37"/>
      <c r="SI117" s="37"/>
      <c r="SJ117" s="37"/>
      <c r="SK117" s="37"/>
      <c r="SL117" s="37"/>
      <c r="SM117" s="37"/>
      <c r="SN117" s="37"/>
      <c r="SO117" s="37"/>
      <c r="SP117" s="37"/>
      <c r="SQ117" s="37"/>
      <c r="SR117" s="37"/>
      <c r="SS117" s="37"/>
      <c r="ST117" s="37"/>
      <c r="SU117" s="37"/>
      <c r="SV117" s="37"/>
      <c r="SW117" s="37"/>
      <c r="SX117" s="37"/>
      <c r="SY117" s="37"/>
      <c r="SZ117" s="37"/>
      <c r="TA117" s="37"/>
      <c r="TB117" s="37"/>
    </row>
    <row r="118" spans="1:529" ht="19.5" thickBot="1" x14ac:dyDescent="0.3">
      <c r="A118" s="297" t="s">
        <v>111</v>
      </c>
      <c r="B118" s="24" t="s">
        <v>14</v>
      </c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6"/>
      <c r="CL118" s="36"/>
      <c r="CM118" s="36"/>
      <c r="CN118" s="36"/>
      <c r="CO118" s="36"/>
      <c r="CP118" s="36"/>
      <c r="CQ118" s="36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6"/>
      <c r="DG118" s="36"/>
      <c r="DH118" s="36"/>
      <c r="DI118" s="36"/>
      <c r="DJ118" s="36"/>
      <c r="DK118" s="36"/>
      <c r="DL118" s="36"/>
      <c r="DM118" s="36"/>
      <c r="DN118" s="36"/>
      <c r="DO118" s="36"/>
      <c r="DP118" s="36"/>
      <c r="DQ118" s="36"/>
      <c r="DR118" s="36"/>
      <c r="DS118" s="36"/>
      <c r="DT118" s="36"/>
      <c r="DU118" s="36"/>
      <c r="DV118" s="36"/>
      <c r="DW118" s="36"/>
      <c r="DX118" s="36"/>
      <c r="DY118" s="36"/>
      <c r="DZ118" s="36"/>
      <c r="EA118" s="36"/>
      <c r="EB118" s="36"/>
      <c r="EC118" s="36"/>
      <c r="ED118" s="36"/>
      <c r="EE118" s="36"/>
      <c r="EF118" s="36"/>
      <c r="EG118" s="36"/>
      <c r="EH118" s="36"/>
      <c r="EI118" s="36"/>
      <c r="EJ118" s="36"/>
      <c r="EK118" s="36"/>
      <c r="EL118" s="36"/>
      <c r="EM118" s="36"/>
      <c r="EN118" s="36"/>
      <c r="EO118" s="36"/>
      <c r="EP118" s="36"/>
      <c r="EQ118" s="36"/>
      <c r="ER118" s="36"/>
      <c r="ES118" s="36"/>
      <c r="ET118" s="36"/>
      <c r="EU118" s="36"/>
      <c r="EV118" s="36"/>
      <c r="EW118" s="36"/>
      <c r="EX118" s="36"/>
      <c r="EY118" s="36"/>
      <c r="EZ118" s="36"/>
      <c r="FA118" s="36"/>
      <c r="FB118" s="36"/>
      <c r="FC118" s="36"/>
      <c r="FD118" s="36"/>
      <c r="FE118" s="36"/>
      <c r="FF118" s="36"/>
      <c r="FG118" s="36"/>
      <c r="FH118" s="36"/>
      <c r="FI118" s="36"/>
      <c r="FJ118" s="36"/>
      <c r="FK118" s="36"/>
      <c r="FL118" s="36"/>
      <c r="FM118" s="36"/>
      <c r="FN118" s="36"/>
      <c r="FO118" s="36"/>
      <c r="FP118" s="36"/>
      <c r="FQ118" s="36"/>
      <c r="FR118" s="36"/>
      <c r="FS118" s="36"/>
      <c r="FT118" s="36"/>
      <c r="FU118" s="36"/>
      <c r="FV118" s="36"/>
      <c r="FW118" s="36"/>
      <c r="FX118" s="36"/>
      <c r="FY118" s="36"/>
      <c r="FZ118" s="36"/>
      <c r="GA118" s="36"/>
      <c r="GB118" s="36"/>
      <c r="GC118" s="36"/>
      <c r="GD118" s="36"/>
      <c r="GE118" s="36"/>
      <c r="GF118" s="36"/>
      <c r="GG118" s="36"/>
      <c r="GH118" s="36"/>
      <c r="GI118" s="36"/>
      <c r="GJ118" s="36"/>
      <c r="GK118" s="36"/>
      <c r="GL118" s="36"/>
      <c r="GM118" s="36"/>
      <c r="GN118" s="36"/>
      <c r="GO118" s="36"/>
      <c r="GP118" s="36"/>
      <c r="GQ118" s="36"/>
      <c r="GR118" s="36"/>
      <c r="GS118" s="36"/>
      <c r="GT118" s="36"/>
      <c r="GU118" s="36"/>
      <c r="GV118" s="36"/>
      <c r="GW118" s="36"/>
      <c r="GX118" s="36"/>
      <c r="GY118" s="36"/>
      <c r="GZ118" s="36"/>
      <c r="HA118" s="36"/>
      <c r="HB118" s="36"/>
      <c r="HC118" s="36"/>
      <c r="HD118" s="36"/>
      <c r="HE118" s="36"/>
      <c r="HF118" s="36"/>
      <c r="HG118" s="36"/>
      <c r="HH118" s="36"/>
      <c r="HI118" s="36"/>
      <c r="HJ118" s="36"/>
      <c r="HK118" s="36"/>
      <c r="HL118" s="36"/>
      <c r="HM118" s="36"/>
      <c r="HN118" s="36"/>
      <c r="HO118" s="36"/>
      <c r="HP118" s="36"/>
      <c r="HQ118" s="36"/>
      <c r="HR118" s="36"/>
      <c r="HS118" s="36"/>
      <c r="HT118" s="36"/>
      <c r="HU118" s="36"/>
      <c r="HV118" s="36"/>
      <c r="HW118" s="36"/>
      <c r="HX118" s="36"/>
      <c r="HY118" s="36"/>
      <c r="HZ118" s="36"/>
      <c r="IA118" s="36"/>
      <c r="IB118" s="36"/>
      <c r="IC118" s="36"/>
      <c r="ID118" s="36"/>
      <c r="IE118" s="36"/>
      <c r="IF118" s="36"/>
      <c r="IG118" s="36"/>
      <c r="IH118" s="36"/>
      <c r="II118" s="36"/>
      <c r="IJ118" s="36"/>
      <c r="IK118" s="36"/>
      <c r="IL118" s="36"/>
      <c r="IM118" s="36"/>
      <c r="IN118" s="36"/>
      <c r="IO118" s="36"/>
      <c r="IP118" s="36"/>
      <c r="IQ118" s="36"/>
      <c r="IR118" s="36"/>
      <c r="IS118" s="36"/>
      <c r="IT118" s="36"/>
      <c r="IU118" s="36"/>
      <c r="IV118" s="36"/>
      <c r="IW118" s="36"/>
      <c r="IX118" s="36"/>
      <c r="IY118" s="36"/>
      <c r="IZ118" s="36"/>
      <c r="JA118" s="36"/>
      <c r="JB118" s="36"/>
      <c r="JC118" s="36"/>
      <c r="JD118" s="36"/>
      <c r="JE118" s="36"/>
      <c r="JF118" s="36"/>
      <c r="JG118" s="36"/>
      <c r="JH118" s="36"/>
      <c r="JI118" s="36"/>
      <c r="JJ118" s="36"/>
      <c r="JK118" s="36"/>
      <c r="JL118" s="36"/>
      <c r="JM118" s="36"/>
      <c r="JN118" s="36"/>
      <c r="JO118" s="36"/>
      <c r="JP118" s="36"/>
      <c r="JQ118" s="36"/>
      <c r="JR118" s="36"/>
      <c r="JS118" s="36"/>
      <c r="JT118" s="36"/>
      <c r="JU118" s="36"/>
      <c r="JV118" s="36"/>
      <c r="JW118" s="36"/>
      <c r="JX118" s="36"/>
      <c r="JY118" s="36"/>
      <c r="JZ118" s="36"/>
      <c r="KA118" s="36"/>
      <c r="KB118" s="36"/>
      <c r="KC118" s="36"/>
      <c r="KD118" s="36"/>
      <c r="KE118" s="36"/>
      <c r="KF118" s="36"/>
      <c r="KG118" s="36"/>
      <c r="KH118" s="36"/>
      <c r="KI118" s="36"/>
      <c r="KJ118" s="36"/>
      <c r="KK118" s="36"/>
      <c r="KL118" s="36"/>
      <c r="KM118" s="36"/>
      <c r="KN118" s="36"/>
      <c r="KO118" s="36"/>
      <c r="KP118" s="36"/>
      <c r="KQ118" s="36"/>
      <c r="KR118" s="36"/>
      <c r="KS118" s="36"/>
      <c r="KT118" s="36"/>
      <c r="KU118" s="36"/>
      <c r="KV118" s="36"/>
      <c r="KW118" s="36"/>
      <c r="KX118" s="36"/>
      <c r="KY118" s="36"/>
      <c r="KZ118" s="36"/>
      <c r="LA118" s="36"/>
      <c r="LB118" s="36"/>
      <c r="LC118" s="36"/>
      <c r="LD118" s="36"/>
      <c r="LE118" s="36"/>
      <c r="LF118" s="36"/>
      <c r="LG118" s="36"/>
      <c r="LH118" s="36"/>
      <c r="LI118" s="36"/>
      <c r="LJ118" s="36"/>
      <c r="LK118" s="36"/>
      <c r="LL118" s="36"/>
      <c r="LM118" s="36"/>
      <c r="LN118" s="36"/>
      <c r="LO118" s="36"/>
      <c r="LP118" s="36"/>
      <c r="LQ118" s="36"/>
      <c r="LR118" s="36"/>
      <c r="LS118" s="36"/>
      <c r="LT118" s="36"/>
      <c r="LU118" s="36"/>
      <c r="LV118" s="36"/>
      <c r="LW118" s="36"/>
      <c r="LX118" s="36"/>
      <c r="LY118" s="36"/>
      <c r="LZ118" s="36"/>
      <c r="MA118" s="36"/>
      <c r="MB118" s="36"/>
      <c r="MC118" s="36"/>
      <c r="MD118" s="36"/>
      <c r="ME118" s="36"/>
      <c r="MF118" s="36"/>
      <c r="MG118" s="36"/>
      <c r="MH118" s="36"/>
      <c r="MI118" s="36"/>
      <c r="MJ118" s="36"/>
      <c r="MK118" s="36"/>
      <c r="ML118" s="36"/>
      <c r="MM118" s="36"/>
      <c r="MN118" s="36"/>
      <c r="MO118" s="36"/>
      <c r="MP118" s="36"/>
      <c r="MQ118" s="36"/>
      <c r="MR118" s="36"/>
      <c r="MS118" s="36"/>
      <c r="MT118" s="36"/>
      <c r="MU118" s="36"/>
      <c r="MV118" s="134">
        <f t="shared" ref="MV118:MV130" si="1121">C27</f>
        <v>250</v>
      </c>
      <c r="MW118" s="142">
        <f t="shared" ref="MW118:MW130" si="1122">D27</f>
        <v>249.5</v>
      </c>
      <c r="MX118" s="109">
        <f t="shared" ref="MX118:MX130" si="1123">E27</f>
        <v>249.001</v>
      </c>
      <c r="MY118" s="109">
        <f t="shared" ref="MY118:MY130" si="1124">F27</f>
        <v>248.50299799999999</v>
      </c>
      <c r="MZ118" s="109">
        <f t="shared" ref="MZ118:PH121" si="1125">G27</f>
        <v>248.00599200399998</v>
      </c>
      <c r="NA118" s="109">
        <f t="shared" si="1125"/>
        <v>247.50998001999199</v>
      </c>
      <c r="NB118" s="109">
        <f t="shared" si="1125"/>
        <v>247.01496005995199</v>
      </c>
      <c r="NC118" s="109">
        <f t="shared" si="1125"/>
        <v>246.52093013983207</v>
      </c>
      <c r="ND118" s="109">
        <f t="shared" si="1125"/>
        <v>246.0278882795524</v>
      </c>
      <c r="NE118" s="109">
        <f t="shared" si="1125"/>
        <v>245.53583250299329</v>
      </c>
      <c r="NF118" s="109">
        <f t="shared" si="1125"/>
        <v>245.0447608379873</v>
      </c>
      <c r="NG118" s="109">
        <f t="shared" si="1125"/>
        <v>244.55467131631133</v>
      </c>
      <c r="NH118" s="109">
        <f t="shared" si="1125"/>
        <v>244.06556197367871</v>
      </c>
      <c r="NI118" s="109">
        <f t="shared" si="1125"/>
        <v>243.57743084973134</v>
      </c>
      <c r="NJ118" s="109">
        <f t="shared" si="1125"/>
        <v>243.09027598803189</v>
      </c>
      <c r="NK118" s="109">
        <f t="shared" si="1125"/>
        <v>242.60409543605581</v>
      </c>
      <c r="NL118" s="109">
        <f t="shared" si="1125"/>
        <v>242.11888724518371</v>
      </c>
      <c r="NM118" s="109">
        <f t="shared" si="1125"/>
        <v>241.63464947069335</v>
      </c>
      <c r="NN118" s="109">
        <f t="shared" si="1125"/>
        <v>241.15138017175195</v>
      </c>
      <c r="NO118" s="109">
        <f t="shared" si="1125"/>
        <v>240.66907741140844</v>
      </c>
      <c r="NP118" s="109">
        <f t="shared" si="1125"/>
        <v>240.18773925658562</v>
      </c>
      <c r="NQ118" s="109">
        <f t="shared" si="1125"/>
        <v>239.70736377807245</v>
      </c>
      <c r="NR118" s="109">
        <f t="shared" si="1125"/>
        <v>239.22794905051632</v>
      </c>
      <c r="NS118" s="109">
        <f t="shared" si="1125"/>
        <v>238.74949315241528</v>
      </c>
      <c r="NT118" s="109">
        <f t="shared" si="1125"/>
        <v>238.27199416611046</v>
      </c>
      <c r="NU118" s="109">
        <f t="shared" si="1125"/>
        <v>237.79545017777824</v>
      </c>
      <c r="NV118" s="109">
        <f t="shared" si="1125"/>
        <v>237.31985927742267</v>
      </c>
      <c r="NW118" s="109">
        <f t="shared" si="1125"/>
        <v>236.84521955886783</v>
      </c>
      <c r="NX118" s="109">
        <f t="shared" si="1125"/>
        <v>236.37152911975008</v>
      </c>
      <c r="NY118" s="109">
        <f t="shared" si="1125"/>
        <v>235.89878606151058</v>
      </c>
      <c r="NZ118" s="109">
        <f t="shared" si="1125"/>
        <v>235.42698848938755</v>
      </c>
      <c r="OA118" s="109">
        <f t="shared" si="1125"/>
        <v>234.95613451240877</v>
      </c>
      <c r="OB118" s="109">
        <f t="shared" si="1125"/>
        <v>234.48622224338393</v>
      </c>
      <c r="OC118" s="109">
        <f t="shared" si="1125"/>
        <v>234.01724979889715</v>
      </c>
      <c r="OD118" s="109">
        <f t="shared" si="1125"/>
        <v>233.54921529929936</v>
      </c>
      <c r="OE118" s="109">
        <f t="shared" si="1125"/>
        <v>233.08211686870075</v>
      </c>
      <c r="OF118" s="109">
        <f t="shared" si="1125"/>
        <v>232.61595263496335</v>
      </c>
      <c r="OG118" s="109">
        <f t="shared" si="1125"/>
        <v>232.15072072969343</v>
      </c>
      <c r="OH118" s="109">
        <f t="shared" si="1125"/>
        <v>231.68641928823405</v>
      </c>
      <c r="OI118" s="109">
        <f t="shared" si="1125"/>
        <v>231.22304644965757</v>
      </c>
      <c r="OJ118" s="109">
        <f t="shared" si="1125"/>
        <v>230.76060035675826</v>
      </c>
      <c r="OK118" s="109">
        <f t="shared" si="1125"/>
        <v>230.29907915604474</v>
      </c>
      <c r="OL118" s="109">
        <f t="shared" si="1125"/>
        <v>229.83848099773266</v>
      </c>
      <c r="OM118" s="109">
        <f t="shared" si="1125"/>
        <v>229.3788040357372</v>
      </c>
      <c r="ON118" s="109">
        <f t="shared" si="1125"/>
        <v>228.92004642766574</v>
      </c>
      <c r="OO118" s="109">
        <f t="shared" si="1125"/>
        <v>228.46220633481042</v>
      </c>
      <c r="OP118" s="109">
        <f t="shared" si="1125"/>
        <v>228.0052819221408</v>
      </c>
      <c r="OQ118" s="109">
        <f t="shared" si="1125"/>
        <v>227.54927135829652</v>
      </c>
      <c r="OR118" s="109">
        <f t="shared" si="1125"/>
        <v>227.09417281557992</v>
      </c>
      <c r="OS118" s="109">
        <f t="shared" si="1125"/>
        <v>226.63998446994876</v>
      </c>
      <c r="OT118" s="109">
        <f t="shared" si="1125"/>
        <v>226.18670450100885</v>
      </c>
      <c r="OU118" s="144">
        <f t="shared" si="1125"/>
        <v>225.73433109200684</v>
      </c>
      <c r="OV118" s="144">
        <f t="shared" si="1125"/>
        <v>225.28286242982281</v>
      </c>
      <c r="OW118" s="144">
        <f t="shared" si="1125"/>
        <v>224.83229670496317</v>
      </c>
      <c r="OX118" s="144">
        <f t="shared" si="1125"/>
        <v>224.38263211155325</v>
      </c>
      <c r="OY118" s="144">
        <f t="shared" si="1125"/>
        <v>223.93386684733014</v>
      </c>
      <c r="OZ118" s="144">
        <f t="shared" si="1125"/>
        <v>223.48599911363547</v>
      </c>
      <c r="PA118" s="144">
        <f t="shared" si="1125"/>
        <v>223.0390271154082</v>
      </c>
      <c r="PB118" s="144">
        <f t="shared" si="1125"/>
        <v>222.59294906117739</v>
      </c>
      <c r="PC118" s="144">
        <f t="shared" si="1125"/>
        <v>222.14776316305503</v>
      </c>
      <c r="PD118" s="144">
        <f t="shared" si="1125"/>
        <v>221.70346763672893</v>
      </c>
      <c r="PE118" s="144">
        <f t="shared" si="1125"/>
        <v>221.26006070145547</v>
      </c>
      <c r="PF118" s="144">
        <f t="shared" si="1125"/>
        <v>220.81754058005257</v>
      </c>
      <c r="PG118" s="144">
        <f t="shared" si="1125"/>
        <v>220.37590549889245</v>
      </c>
      <c r="PH118" s="144">
        <f t="shared" si="1125"/>
        <v>219.93515368789465</v>
      </c>
      <c r="PI118" s="144">
        <f t="shared" ref="PI118:RT121" si="1126">BP27</f>
        <v>219.49528338051886</v>
      </c>
      <c r="PJ118" s="144">
        <f t="shared" si="1126"/>
        <v>219.05629281375781</v>
      </c>
      <c r="PK118" s="144">
        <f t="shared" si="1126"/>
        <v>218.61818022813029</v>
      </c>
      <c r="PL118" s="144">
        <f t="shared" si="1126"/>
        <v>218.18094386767402</v>
      </c>
      <c r="PM118" s="144">
        <f t="shared" si="1126"/>
        <v>217.74458197993866</v>
      </c>
      <c r="PN118" s="144">
        <f t="shared" si="1126"/>
        <v>217.30909281597877</v>
      </c>
      <c r="PO118" s="144">
        <f t="shared" si="1126"/>
        <v>216.87447463034681</v>
      </c>
      <c r="PP118" s="144">
        <f t="shared" si="1126"/>
        <v>216.44072568108612</v>
      </c>
      <c r="PQ118" s="144">
        <f t="shared" si="1126"/>
        <v>216.00784422972396</v>
      </c>
      <c r="PR118" s="144">
        <f t="shared" si="1126"/>
        <v>215.57582854126451</v>
      </c>
      <c r="PS118" s="144">
        <f t="shared" si="1126"/>
        <v>215.14467688418199</v>
      </c>
      <c r="PT118" s="144">
        <f t="shared" si="1126"/>
        <v>214.71438753041363</v>
      </c>
      <c r="PU118" s="144">
        <f t="shared" si="1126"/>
        <v>214.28495875535282</v>
      </c>
      <c r="PV118" s="144">
        <f t="shared" si="1126"/>
        <v>213.8563888378421</v>
      </c>
      <c r="PW118" s="144">
        <f t="shared" si="1126"/>
        <v>213.42867606016642</v>
      </c>
      <c r="PX118" s="144">
        <f t="shared" si="1126"/>
        <v>213.0018187080461</v>
      </c>
      <c r="PY118" s="144">
        <f t="shared" si="1126"/>
        <v>212.57581507063</v>
      </c>
      <c r="PZ118" s="144">
        <f t="shared" si="1126"/>
        <v>212.15066344048873</v>
      </c>
      <c r="QA118" s="144">
        <f t="shared" si="1126"/>
        <v>211.72636211360776</v>
      </c>
      <c r="QB118" s="144">
        <f t="shared" si="1126"/>
        <v>211.30290938938055</v>
      </c>
      <c r="QC118" s="144">
        <f t="shared" si="1126"/>
        <v>210.8803035706018</v>
      </c>
      <c r="QD118" s="144">
        <f t="shared" si="1126"/>
        <v>210.45854296346059</v>
      </c>
      <c r="QE118" s="144">
        <f t="shared" si="1126"/>
        <v>210.03762587753366</v>
      </c>
      <c r="QF118" s="144">
        <f t="shared" si="1126"/>
        <v>209.61755062577859</v>
      </c>
      <c r="QG118" s="144">
        <f t="shared" si="1126"/>
        <v>209.19831552452703</v>
      </c>
      <c r="QH118" s="144">
        <f t="shared" si="1126"/>
        <v>208.77991889347797</v>
      </c>
      <c r="QI118" s="144">
        <f t="shared" si="1126"/>
        <v>208.362359055691</v>
      </c>
      <c r="QJ118" s="144">
        <f t="shared" si="1126"/>
        <v>207.94563433757963</v>
      </c>
      <c r="QK118" s="144">
        <f t="shared" si="1126"/>
        <v>207.52974306890448</v>
      </c>
      <c r="QL118" s="144">
        <f t="shared" si="1126"/>
        <v>207.11468358276667</v>
      </c>
      <c r="QM118" s="144">
        <f t="shared" si="1126"/>
        <v>206.70045421560113</v>
      </c>
      <c r="QN118" s="144">
        <f t="shared" si="1126"/>
        <v>206.28705330716991</v>
      </c>
      <c r="QO118" s="144">
        <f t="shared" si="1126"/>
        <v>205.87447920055558</v>
      </c>
      <c r="QP118" s="144">
        <f t="shared" si="1126"/>
        <v>205.46273024215446</v>
      </c>
      <c r="QQ118" s="144">
        <f t="shared" si="1126"/>
        <v>205.05180478167014</v>
      </c>
      <c r="QR118" s="144">
        <f t="shared" si="1126"/>
        <v>204.64170117210679</v>
      </c>
      <c r="QS118" s="144">
        <f t="shared" si="1126"/>
        <v>204.23241776976258</v>
      </c>
      <c r="QT118" s="154">
        <f t="shared" si="1126"/>
        <v>203.82395293422306</v>
      </c>
      <c r="QU118" s="154">
        <f t="shared" si="1126"/>
        <v>203.4163050283546</v>
      </c>
      <c r="QV118" s="154">
        <f t="shared" si="1126"/>
        <v>203.00947241829789</v>
      </c>
      <c r="QW118" s="154">
        <f t="shared" si="1126"/>
        <v>202.60345347346129</v>
      </c>
      <c r="QX118" s="154">
        <f t="shared" si="1126"/>
        <v>202.19824656651437</v>
      </c>
      <c r="QY118" s="154">
        <f t="shared" si="1126"/>
        <v>201.79385007338135</v>
      </c>
      <c r="QZ118" s="154">
        <f t="shared" si="1126"/>
        <v>201.39026237323458</v>
      </c>
      <c r="RA118" s="154">
        <f t="shared" si="1126"/>
        <v>200.9874818484881</v>
      </c>
      <c r="RB118" s="154">
        <f t="shared" si="1126"/>
        <v>200.58550688479113</v>
      </c>
      <c r="RC118" s="154">
        <f t="shared" si="1126"/>
        <v>200.18433587102155</v>
      </c>
      <c r="RD118" s="154">
        <f t="shared" si="1126"/>
        <v>199.78396719927952</v>
      </c>
      <c r="RE118" s="154">
        <f t="shared" si="1126"/>
        <v>199.38439926488095</v>
      </c>
      <c r="RF118" s="154">
        <f t="shared" si="1126"/>
        <v>198.98563046635118</v>
      </c>
      <c r="RG118" s="154">
        <f t="shared" si="1126"/>
        <v>198.58765920541848</v>
      </c>
      <c r="RH118" s="154">
        <f t="shared" si="1126"/>
        <v>198.19048388700764</v>
      </c>
      <c r="RI118" s="154">
        <f t="shared" si="1126"/>
        <v>197.79410291923364</v>
      </c>
      <c r="RJ118" s="154">
        <f t="shared" si="1126"/>
        <v>197.39851471339517</v>
      </c>
      <c r="RK118" s="154">
        <f t="shared" si="1126"/>
        <v>197.00371768396838</v>
      </c>
      <c r="RL118" s="154">
        <f t="shared" si="1126"/>
        <v>196.60971024860044</v>
      </c>
      <c r="RM118" s="154">
        <f t="shared" si="1126"/>
        <v>196.21649082810325</v>
      </c>
      <c r="RN118" s="154">
        <f t="shared" si="1126"/>
        <v>195.82405784644703</v>
      </c>
      <c r="RO118" s="154">
        <f t="shared" si="1126"/>
        <v>195.43240973075413</v>
      </c>
      <c r="RP118" s="154">
        <f t="shared" si="1126"/>
        <v>195.04154491129262</v>
      </c>
      <c r="RQ118" s="154">
        <f t="shared" si="1126"/>
        <v>194.65146182147004</v>
      </c>
      <c r="RR118" s="154">
        <f t="shared" si="1126"/>
        <v>194.26215889782711</v>
      </c>
      <c r="RS118" s="154">
        <f t="shared" si="1126"/>
        <v>193.87363458003145</v>
      </c>
      <c r="RT118" s="154">
        <f t="shared" si="1126"/>
        <v>193.48588731087139</v>
      </c>
      <c r="RU118" s="179">
        <f t="shared" ref="RU118:SD123" si="1127">EB27</f>
        <v>168.91317962239071</v>
      </c>
      <c r="RV118" s="154">
        <f t="shared" si="1127"/>
        <v>168.57535326314593</v>
      </c>
      <c r="RW118" s="179">
        <f t="shared" si="1127"/>
        <v>144.15600923331306</v>
      </c>
      <c r="RX118" s="154">
        <f t="shared" si="1127"/>
        <v>143.86769721484643</v>
      </c>
      <c r="RY118" s="154">
        <f t="shared" si="1127"/>
        <v>143.57996182041674</v>
      </c>
      <c r="RZ118" s="154">
        <f t="shared" si="1127"/>
        <v>143.2928018967759</v>
      </c>
      <c r="SA118" s="154">
        <f t="shared" si="1127"/>
        <v>143.00621629298234</v>
      </c>
      <c r="SB118" s="179">
        <f t="shared" si="1127"/>
        <v>118.88583447823264</v>
      </c>
      <c r="SC118" s="154">
        <f t="shared" si="1127"/>
        <v>118.64806280927617</v>
      </c>
      <c r="SD118" s="179">
        <f t="shared" si="1127"/>
        <v>94.681154121802379</v>
      </c>
      <c r="SE118" s="154">
        <f t="shared" ref="SE118:SN123" si="1128">EL27</f>
        <v>94.491791813558777</v>
      </c>
      <c r="SF118" s="154">
        <f t="shared" si="1128"/>
        <v>94.302808229931657</v>
      </c>
      <c r="SG118" s="154">
        <f t="shared" si="1128"/>
        <v>94.11420261347179</v>
      </c>
      <c r="SH118" s="154">
        <f t="shared" si="1128"/>
        <v>93.925974208244853</v>
      </c>
      <c r="SI118" s="179">
        <f t="shared" si="1128"/>
        <v>70.256628707767149</v>
      </c>
      <c r="SJ118" s="154">
        <f t="shared" si="1128"/>
        <v>70.116115450351614</v>
      </c>
      <c r="SK118" s="179">
        <f t="shared" si="1128"/>
        <v>46.603844736000369</v>
      </c>
      <c r="SL118" s="154">
        <f t="shared" si="1128"/>
        <v>46.510637046528366</v>
      </c>
      <c r="SM118" s="154">
        <f t="shared" si="1128"/>
        <v>46.417615772435312</v>
      </c>
      <c r="SN118" s="154">
        <f t="shared" si="1128"/>
        <v>46.324780540890444</v>
      </c>
      <c r="SO118" s="154">
        <f t="shared" ref="SO118:SR123" si="1129">EV27</f>
        <v>46.232130979808666</v>
      </c>
      <c r="SP118" s="179">
        <f t="shared" si="1129"/>
        <v>23.023601227944713</v>
      </c>
      <c r="SQ118" s="154">
        <f t="shared" si="1129"/>
        <v>22.977554025488825</v>
      </c>
      <c r="SR118" s="179">
        <f t="shared" si="1129"/>
        <v>-4.5955108050979021E-2</v>
      </c>
      <c r="SS118" s="36"/>
      <c r="ST118" s="36"/>
      <c r="SU118" s="36"/>
      <c r="SV118" s="36"/>
      <c r="SW118" s="36"/>
      <c r="SX118" s="36"/>
      <c r="SY118" s="36"/>
      <c r="SZ118" s="36"/>
      <c r="TA118" s="36"/>
      <c r="TB118" s="36"/>
      <c r="TC118" s="36"/>
      <c r="TD118" s="36"/>
      <c r="TE118" s="36"/>
      <c r="TF118" s="36"/>
      <c r="TG118" s="36"/>
      <c r="TH118" s="36"/>
      <c r="TI118" s="36"/>
    </row>
    <row r="119" spans="1:529" ht="19.5" thickBot="1" x14ac:dyDescent="0.3">
      <c r="A119" s="298"/>
      <c r="B119" s="25" t="s">
        <v>1</v>
      </c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6"/>
      <c r="CL119" s="36"/>
      <c r="CM119" s="36"/>
      <c r="CN119" s="36"/>
      <c r="CO119" s="36"/>
      <c r="CP119" s="36"/>
      <c r="CQ119" s="36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6"/>
      <c r="DG119" s="36"/>
      <c r="DH119" s="36"/>
      <c r="DI119" s="36"/>
      <c r="DJ119" s="36"/>
      <c r="DK119" s="36"/>
      <c r="DL119" s="36"/>
      <c r="DM119" s="36"/>
      <c r="DN119" s="36"/>
      <c r="DO119" s="36"/>
      <c r="DP119" s="36"/>
      <c r="DQ119" s="36"/>
      <c r="DR119" s="36"/>
      <c r="DS119" s="36"/>
      <c r="DT119" s="36"/>
      <c r="DU119" s="36"/>
      <c r="DV119" s="36"/>
      <c r="DW119" s="36"/>
      <c r="DX119" s="36"/>
      <c r="DY119" s="36"/>
      <c r="DZ119" s="36"/>
      <c r="EA119" s="36"/>
      <c r="EB119" s="36"/>
      <c r="EC119" s="36"/>
      <c r="ED119" s="36"/>
      <c r="EE119" s="36"/>
      <c r="EF119" s="36"/>
      <c r="EG119" s="36"/>
      <c r="EH119" s="36"/>
      <c r="EI119" s="36"/>
      <c r="EJ119" s="36"/>
      <c r="EK119" s="36"/>
      <c r="EL119" s="36"/>
      <c r="EM119" s="36"/>
      <c r="EN119" s="36"/>
      <c r="EO119" s="36"/>
      <c r="EP119" s="36"/>
      <c r="EQ119" s="36"/>
      <c r="ER119" s="36"/>
      <c r="ES119" s="36"/>
      <c r="ET119" s="36"/>
      <c r="EU119" s="36"/>
      <c r="EV119" s="36"/>
      <c r="EW119" s="36"/>
      <c r="EX119" s="36"/>
      <c r="EY119" s="36"/>
      <c r="EZ119" s="36"/>
      <c r="FA119" s="36"/>
      <c r="FB119" s="36"/>
      <c r="FC119" s="36"/>
      <c r="FD119" s="36"/>
      <c r="FE119" s="36"/>
      <c r="FF119" s="36"/>
      <c r="FG119" s="36"/>
      <c r="FH119" s="36"/>
      <c r="FI119" s="36"/>
      <c r="FJ119" s="36"/>
      <c r="FK119" s="36"/>
      <c r="FL119" s="36"/>
      <c r="FM119" s="36"/>
      <c r="FN119" s="36"/>
      <c r="FO119" s="36"/>
      <c r="FP119" s="36"/>
      <c r="FQ119" s="36"/>
      <c r="FR119" s="36"/>
      <c r="FS119" s="36"/>
      <c r="FT119" s="36"/>
      <c r="FU119" s="36"/>
      <c r="FV119" s="36"/>
      <c r="FW119" s="36"/>
      <c r="FX119" s="36"/>
      <c r="FY119" s="36"/>
      <c r="FZ119" s="36"/>
      <c r="GA119" s="36"/>
      <c r="GB119" s="36"/>
      <c r="GC119" s="36"/>
      <c r="GD119" s="36"/>
      <c r="GE119" s="36"/>
      <c r="GF119" s="36"/>
      <c r="GG119" s="36"/>
      <c r="GH119" s="36"/>
      <c r="GI119" s="36"/>
      <c r="GJ119" s="36"/>
      <c r="GK119" s="36"/>
      <c r="GL119" s="36"/>
      <c r="GM119" s="36"/>
      <c r="GN119" s="36"/>
      <c r="GO119" s="36"/>
      <c r="GP119" s="36"/>
      <c r="GQ119" s="36"/>
      <c r="GR119" s="36"/>
      <c r="GS119" s="36"/>
      <c r="GT119" s="36"/>
      <c r="GU119" s="36"/>
      <c r="GV119" s="36"/>
      <c r="GW119" s="36"/>
      <c r="GX119" s="36"/>
      <c r="GY119" s="36"/>
      <c r="GZ119" s="36"/>
      <c r="HA119" s="36"/>
      <c r="HB119" s="36"/>
      <c r="HC119" s="36"/>
      <c r="HD119" s="36"/>
      <c r="HE119" s="36"/>
      <c r="HF119" s="36"/>
      <c r="HG119" s="36"/>
      <c r="HH119" s="36"/>
      <c r="HI119" s="36"/>
      <c r="HJ119" s="36"/>
      <c r="HK119" s="36"/>
      <c r="HL119" s="36"/>
      <c r="HM119" s="36"/>
      <c r="HN119" s="36"/>
      <c r="HO119" s="36"/>
      <c r="HP119" s="36"/>
      <c r="HQ119" s="36"/>
      <c r="HR119" s="36"/>
      <c r="HS119" s="36"/>
      <c r="HT119" s="36"/>
      <c r="HU119" s="36"/>
      <c r="HV119" s="36"/>
      <c r="HW119" s="36"/>
      <c r="HX119" s="36"/>
      <c r="HY119" s="36"/>
      <c r="HZ119" s="36"/>
      <c r="IA119" s="36"/>
      <c r="IB119" s="36"/>
      <c r="IC119" s="36"/>
      <c r="ID119" s="36"/>
      <c r="IE119" s="36"/>
      <c r="IF119" s="36"/>
      <c r="IG119" s="36"/>
      <c r="IH119" s="36"/>
      <c r="II119" s="36"/>
      <c r="IJ119" s="36"/>
      <c r="IK119" s="36"/>
      <c r="IL119" s="36"/>
      <c r="IM119" s="36"/>
      <c r="IN119" s="36"/>
      <c r="IO119" s="36"/>
      <c r="IP119" s="36"/>
      <c r="IQ119" s="36"/>
      <c r="IR119" s="36"/>
      <c r="IS119" s="36"/>
      <c r="IT119" s="36"/>
      <c r="IU119" s="36"/>
      <c r="IV119" s="36"/>
      <c r="IW119" s="36"/>
      <c r="IX119" s="36"/>
      <c r="IY119" s="36"/>
      <c r="IZ119" s="36"/>
      <c r="JA119" s="36"/>
      <c r="JB119" s="36"/>
      <c r="JC119" s="36"/>
      <c r="JD119" s="36"/>
      <c r="JE119" s="36"/>
      <c r="JF119" s="36"/>
      <c r="JG119" s="36"/>
      <c r="JH119" s="36"/>
      <c r="JI119" s="36"/>
      <c r="JJ119" s="36"/>
      <c r="JK119" s="36"/>
      <c r="JL119" s="36"/>
      <c r="JM119" s="36"/>
      <c r="JN119" s="36"/>
      <c r="JO119" s="36"/>
      <c r="JP119" s="36"/>
      <c r="JQ119" s="36"/>
      <c r="JR119" s="36"/>
      <c r="JS119" s="36"/>
      <c r="JT119" s="36"/>
      <c r="JU119" s="36"/>
      <c r="JV119" s="36"/>
      <c r="JW119" s="36"/>
      <c r="JX119" s="36"/>
      <c r="JY119" s="36"/>
      <c r="JZ119" s="36"/>
      <c r="KA119" s="36"/>
      <c r="KB119" s="36"/>
      <c r="KC119" s="36"/>
      <c r="KD119" s="36"/>
      <c r="KE119" s="36"/>
      <c r="KF119" s="36"/>
      <c r="KG119" s="36"/>
      <c r="KH119" s="36"/>
      <c r="KI119" s="36"/>
      <c r="KJ119" s="36"/>
      <c r="KK119" s="36"/>
      <c r="KL119" s="36"/>
      <c r="KM119" s="36"/>
      <c r="KN119" s="36"/>
      <c r="KO119" s="36"/>
      <c r="KP119" s="36"/>
      <c r="KQ119" s="36"/>
      <c r="KR119" s="36"/>
      <c r="KS119" s="36"/>
      <c r="KT119" s="36"/>
      <c r="KU119" s="36"/>
      <c r="KV119" s="36"/>
      <c r="KW119" s="36"/>
      <c r="KX119" s="36"/>
      <c r="KY119" s="36"/>
      <c r="KZ119" s="36"/>
      <c r="LA119" s="36"/>
      <c r="LB119" s="36"/>
      <c r="LC119" s="36"/>
      <c r="LD119" s="36"/>
      <c r="LE119" s="36"/>
      <c r="LF119" s="36"/>
      <c r="LG119" s="36"/>
      <c r="LH119" s="36"/>
      <c r="LI119" s="36"/>
      <c r="LJ119" s="36"/>
      <c r="LK119" s="36"/>
      <c r="LL119" s="36"/>
      <c r="LM119" s="36"/>
      <c r="LN119" s="36"/>
      <c r="LO119" s="36"/>
      <c r="LP119" s="36"/>
      <c r="LQ119" s="36"/>
      <c r="LR119" s="36"/>
      <c r="LS119" s="36"/>
      <c r="LT119" s="36"/>
      <c r="LU119" s="36"/>
      <c r="LV119" s="36"/>
      <c r="LW119" s="36"/>
      <c r="LX119" s="36"/>
      <c r="LY119" s="36"/>
      <c r="LZ119" s="36"/>
      <c r="MA119" s="36"/>
      <c r="MB119" s="36"/>
      <c r="MC119" s="36"/>
      <c r="MD119" s="36"/>
      <c r="ME119" s="36"/>
      <c r="MF119" s="36"/>
      <c r="MG119" s="36"/>
      <c r="MH119" s="36"/>
      <c r="MI119" s="36"/>
      <c r="MJ119" s="36"/>
      <c r="MK119" s="36"/>
      <c r="ML119" s="36"/>
      <c r="MM119" s="36"/>
      <c r="MN119" s="36"/>
      <c r="MO119" s="36"/>
      <c r="MP119" s="36"/>
      <c r="MQ119" s="36"/>
      <c r="MR119" s="36"/>
      <c r="MS119" s="36"/>
      <c r="MT119" s="36"/>
      <c r="MU119" s="36"/>
      <c r="MV119" s="128" t="str">
        <f t="shared" si="1121"/>
        <v>-</v>
      </c>
      <c r="MW119" s="108" t="str">
        <f t="shared" si="1122"/>
        <v>-</v>
      </c>
      <c r="MX119" s="108" t="str">
        <f t="shared" si="1123"/>
        <v>-</v>
      </c>
      <c r="MY119" s="108" t="str">
        <f t="shared" si="1124"/>
        <v>-</v>
      </c>
      <c r="MZ119" s="108" t="str">
        <f t="shared" si="1125"/>
        <v>-</v>
      </c>
      <c r="NA119" s="108" t="str">
        <f t="shared" si="1125"/>
        <v>-</v>
      </c>
      <c r="NB119" s="108" t="str">
        <f t="shared" si="1125"/>
        <v>-</v>
      </c>
      <c r="NC119" s="108" t="str">
        <f t="shared" si="1125"/>
        <v>-</v>
      </c>
      <c r="ND119" s="108" t="str">
        <f t="shared" si="1125"/>
        <v>-</v>
      </c>
      <c r="NE119" s="108" t="str">
        <f t="shared" si="1125"/>
        <v>-</v>
      </c>
      <c r="NF119" s="108" t="str">
        <f t="shared" si="1125"/>
        <v>-</v>
      </c>
      <c r="NG119" s="108" t="str">
        <f t="shared" si="1125"/>
        <v>-</v>
      </c>
      <c r="NH119" s="108" t="str">
        <f t="shared" si="1125"/>
        <v>-</v>
      </c>
      <c r="NI119" s="108" t="str">
        <f t="shared" si="1125"/>
        <v>-</v>
      </c>
      <c r="NJ119" s="108" t="str">
        <f t="shared" si="1125"/>
        <v>-</v>
      </c>
      <c r="NK119" s="108" t="str">
        <f t="shared" si="1125"/>
        <v>-</v>
      </c>
      <c r="NL119" s="108" t="str">
        <f t="shared" si="1125"/>
        <v>-</v>
      </c>
      <c r="NM119" s="108" t="str">
        <f t="shared" si="1125"/>
        <v>-</v>
      </c>
      <c r="NN119" s="108" t="str">
        <f t="shared" si="1125"/>
        <v>-</v>
      </c>
      <c r="NO119" s="108" t="str">
        <f t="shared" si="1125"/>
        <v>-</v>
      </c>
      <c r="NP119" s="108" t="str">
        <f t="shared" si="1125"/>
        <v>-</v>
      </c>
      <c r="NQ119" s="108" t="str">
        <f t="shared" si="1125"/>
        <v>-</v>
      </c>
      <c r="NR119" s="108" t="str">
        <f t="shared" si="1125"/>
        <v>-</v>
      </c>
      <c r="NS119" s="108" t="str">
        <f t="shared" si="1125"/>
        <v>-</v>
      </c>
      <c r="NT119" s="108" t="str">
        <f t="shared" si="1125"/>
        <v>-</v>
      </c>
      <c r="NU119" s="108" t="str">
        <f t="shared" si="1125"/>
        <v>-</v>
      </c>
      <c r="NV119" s="108" t="str">
        <f t="shared" si="1125"/>
        <v>-</v>
      </c>
      <c r="NW119" s="108" t="str">
        <f t="shared" si="1125"/>
        <v>-</v>
      </c>
      <c r="NX119" s="108" t="str">
        <f t="shared" si="1125"/>
        <v>-</v>
      </c>
      <c r="NY119" s="108" t="str">
        <f t="shared" si="1125"/>
        <v>-</v>
      </c>
      <c r="NZ119" s="108" t="str">
        <f t="shared" si="1125"/>
        <v>-</v>
      </c>
      <c r="OA119" s="108" t="str">
        <f t="shared" si="1125"/>
        <v>-</v>
      </c>
      <c r="OB119" s="108" t="str">
        <f t="shared" si="1125"/>
        <v>-</v>
      </c>
      <c r="OC119" s="108" t="str">
        <f t="shared" si="1125"/>
        <v>-</v>
      </c>
      <c r="OD119" s="108" t="str">
        <f t="shared" si="1125"/>
        <v>-</v>
      </c>
      <c r="OE119" s="108" t="str">
        <f t="shared" si="1125"/>
        <v>-</v>
      </c>
      <c r="OF119" s="108" t="str">
        <f t="shared" si="1125"/>
        <v>-</v>
      </c>
      <c r="OG119" s="108" t="str">
        <f t="shared" si="1125"/>
        <v>-</v>
      </c>
      <c r="OH119" s="108" t="str">
        <f t="shared" si="1125"/>
        <v>-</v>
      </c>
      <c r="OI119" s="108" t="str">
        <f t="shared" si="1125"/>
        <v>-</v>
      </c>
      <c r="OJ119" s="108" t="str">
        <f t="shared" si="1125"/>
        <v>-</v>
      </c>
      <c r="OK119" s="108" t="str">
        <f t="shared" si="1125"/>
        <v>-</v>
      </c>
      <c r="OL119" s="108" t="str">
        <f t="shared" si="1125"/>
        <v>-</v>
      </c>
      <c r="OM119" s="108" t="str">
        <f t="shared" si="1125"/>
        <v>-</v>
      </c>
      <c r="ON119" s="108" t="str">
        <f t="shared" si="1125"/>
        <v>-</v>
      </c>
      <c r="OO119" s="108" t="str">
        <f t="shared" si="1125"/>
        <v>-</v>
      </c>
      <c r="OP119" s="108" t="str">
        <f t="shared" si="1125"/>
        <v>-</v>
      </c>
      <c r="OQ119" s="108" t="str">
        <f t="shared" si="1125"/>
        <v>-</v>
      </c>
      <c r="OR119" s="108" t="str">
        <f t="shared" si="1125"/>
        <v>-</v>
      </c>
      <c r="OS119" s="108" t="str">
        <f t="shared" si="1125"/>
        <v>-</v>
      </c>
      <c r="OT119" s="108" t="str">
        <f t="shared" si="1125"/>
        <v>-</v>
      </c>
      <c r="OU119" s="145" t="str">
        <f t="shared" si="1125"/>
        <v>-</v>
      </c>
      <c r="OV119" s="145" t="str">
        <f t="shared" si="1125"/>
        <v>-</v>
      </c>
      <c r="OW119" s="145" t="str">
        <f t="shared" si="1125"/>
        <v>-</v>
      </c>
      <c r="OX119" s="145" t="str">
        <f t="shared" si="1125"/>
        <v>-</v>
      </c>
      <c r="OY119" s="145" t="str">
        <f t="shared" si="1125"/>
        <v>-</v>
      </c>
      <c r="OZ119" s="145" t="str">
        <f t="shared" si="1125"/>
        <v>-</v>
      </c>
      <c r="PA119" s="145" t="str">
        <f t="shared" si="1125"/>
        <v>-</v>
      </c>
      <c r="PB119" s="145" t="str">
        <f t="shared" si="1125"/>
        <v>-</v>
      </c>
      <c r="PC119" s="145" t="str">
        <f t="shared" si="1125"/>
        <v>-</v>
      </c>
      <c r="PD119" s="145" t="str">
        <f t="shared" si="1125"/>
        <v>-</v>
      </c>
      <c r="PE119" s="145" t="str">
        <f t="shared" si="1125"/>
        <v>-</v>
      </c>
      <c r="PF119" s="145" t="str">
        <f t="shared" si="1125"/>
        <v>-</v>
      </c>
      <c r="PG119" s="145" t="str">
        <f t="shared" si="1125"/>
        <v>-</v>
      </c>
      <c r="PH119" s="145" t="str">
        <f t="shared" si="1125"/>
        <v>-</v>
      </c>
      <c r="PI119" s="145" t="str">
        <f t="shared" si="1126"/>
        <v>-</v>
      </c>
      <c r="PJ119" s="145" t="str">
        <f t="shared" si="1126"/>
        <v>-</v>
      </c>
      <c r="PK119" s="145" t="str">
        <f t="shared" si="1126"/>
        <v>-</v>
      </c>
      <c r="PL119" s="145" t="str">
        <f t="shared" si="1126"/>
        <v>-</v>
      </c>
      <c r="PM119" s="145" t="str">
        <f t="shared" si="1126"/>
        <v>-</v>
      </c>
      <c r="PN119" s="145" t="str">
        <f t="shared" si="1126"/>
        <v>-</v>
      </c>
      <c r="PO119" s="145" t="str">
        <f t="shared" si="1126"/>
        <v>-</v>
      </c>
      <c r="PP119" s="145" t="str">
        <f t="shared" si="1126"/>
        <v>-</v>
      </c>
      <c r="PQ119" s="145" t="str">
        <f t="shared" si="1126"/>
        <v>-</v>
      </c>
      <c r="PR119" s="145" t="str">
        <f t="shared" si="1126"/>
        <v>-</v>
      </c>
      <c r="PS119" s="145" t="str">
        <f t="shared" si="1126"/>
        <v>-</v>
      </c>
      <c r="PT119" s="145" t="str">
        <f t="shared" si="1126"/>
        <v>-</v>
      </c>
      <c r="PU119" s="145" t="str">
        <f t="shared" si="1126"/>
        <v>-</v>
      </c>
      <c r="PV119" s="145" t="str">
        <f t="shared" si="1126"/>
        <v>-</v>
      </c>
      <c r="PW119" s="145" t="str">
        <f t="shared" si="1126"/>
        <v>-</v>
      </c>
      <c r="PX119" s="145" t="str">
        <f t="shared" si="1126"/>
        <v>-</v>
      </c>
      <c r="PY119" s="145" t="str">
        <f t="shared" si="1126"/>
        <v>-</v>
      </c>
      <c r="PZ119" s="145" t="str">
        <f t="shared" si="1126"/>
        <v>-</v>
      </c>
      <c r="QA119" s="145" t="str">
        <f t="shared" si="1126"/>
        <v>-</v>
      </c>
      <c r="QB119" s="145" t="str">
        <f t="shared" si="1126"/>
        <v>-</v>
      </c>
      <c r="QC119" s="145" t="str">
        <f t="shared" si="1126"/>
        <v>-</v>
      </c>
      <c r="QD119" s="145" t="str">
        <f t="shared" si="1126"/>
        <v>-</v>
      </c>
      <c r="QE119" s="145" t="str">
        <f t="shared" si="1126"/>
        <v>-</v>
      </c>
      <c r="QF119" s="145" t="str">
        <f t="shared" si="1126"/>
        <v>-</v>
      </c>
      <c r="QG119" s="145" t="str">
        <f t="shared" si="1126"/>
        <v>-</v>
      </c>
      <c r="QH119" s="145" t="str">
        <f t="shared" si="1126"/>
        <v>-</v>
      </c>
      <c r="QI119" s="145" t="str">
        <f t="shared" si="1126"/>
        <v>-</v>
      </c>
      <c r="QJ119" s="145" t="str">
        <f t="shared" si="1126"/>
        <v>-</v>
      </c>
      <c r="QK119" s="145" t="str">
        <f t="shared" si="1126"/>
        <v>-</v>
      </c>
      <c r="QL119" s="145" t="str">
        <f t="shared" si="1126"/>
        <v>-</v>
      </c>
      <c r="QM119" s="145" t="str">
        <f t="shared" si="1126"/>
        <v>-</v>
      </c>
      <c r="QN119" s="145" t="str">
        <f t="shared" si="1126"/>
        <v>-</v>
      </c>
      <c r="QO119" s="145" t="str">
        <f t="shared" si="1126"/>
        <v>-</v>
      </c>
      <c r="QP119" s="145" t="str">
        <f t="shared" si="1126"/>
        <v>-</v>
      </c>
      <c r="QQ119" s="145" t="str">
        <f t="shared" si="1126"/>
        <v>-</v>
      </c>
      <c r="QR119" s="145" t="str">
        <f t="shared" si="1126"/>
        <v>-</v>
      </c>
      <c r="QS119" s="145" t="str">
        <f t="shared" si="1126"/>
        <v>-</v>
      </c>
      <c r="QT119" s="155" t="str">
        <f t="shared" si="1126"/>
        <v>-</v>
      </c>
      <c r="QU119" s="155" t="str">
        <f t="shared" si="1126"/>
        <v>-</v>
      </c>
      <c r="QV119" s="155" t="str">
        <f t="shared" si="1126"/>
        <v>-</v>
      </c>
      <c r="QW119" s="155" t="str">
        <f t="shared" si="1126"/>
        <v>-</v>
      </c>
      <c r="QX119" s="155" t="str">
        <f t="shared" si="1126"/>
        <v>-</v>
      </c>
      <c r="QY119" s="155" t="str">
        <f t="shared" si="1126"/>
        <v>-</v>
      </c>
      <c r="QZ119" s="155" t="str">
        <f t="shared" si="1126"/>
        <v>-</v>
      </c>
      <c r="RA119" s="155" t="str">
        <f t="shared" si="1126"/>
        <v>-</v>
      </c>
      <c r="RB119" s="155" t="str">
        <f t="shared" si="1126"/>
        <v>-</v>
      </c>
      <c r="RC119" s="155" t="str">
        <f t="shared" si="1126"/>
        <v>-</v>
      </c>
      <c r="RD119" s="155" t="str">
        <f t="shared" si="1126"/>
        <v>-</v>
      </c>
      <c r="RE119" s="155" t="str">
        <f t="shared" si="1126"/>
        <v>-</v>
      </c>
      <c r="RF119" s="155" t="str">
        <f t="shared" si="1126"/>
        <v>-</v>
      </c>
      <c r="RG119" s="155" t="str">
        <f t="shared" si="1126"/>
        <v>-</v>
      </c>
      <c r="RH119" s="155" t="str">
        <f t="shared" si="1126"/>
        <v>-</v>
      </c>
      <c r="RI119" s="155" t="str">
        <f t="shared" si="1126"/>
        <v>-</v>
      </c>
      <c r="RJ119" s="155" t="str">
        <f t="shared" si="1126"/>
        <v>-</v>
      </c>
      <c r="RK119" s="155" t="str">
        <f t="shared" si="1126"/>
        <v>-</v>
      </c>
      <c r="RL119" s="155" t="str">
        <f t="shared" si="1126"/>
        <v>-</v>
      </c>
      <c r="RM119" s="155" t="str">
        <f t="shared" si="1126"/>
        <v>-</v>
      </c>
      <c r="RN119" s="155" t="str">
        <f t="shared" si="1126"/>
        <v>-</v>
      </c>
      <c r="RO119" s="155" t="str">
        <f t="shared" si="1126"/>
        <v>-</v>
      </c>
      <c r="RP119" s="155" t="str">
        <f t="shared" si="1126"/>
        <v>-</v>
      </c>
      <c r="RQ119" s="155" t="str">
        <f t="shared" si="1126"/>
        <v>-</v>
      </c>
      <c r="RR119" s="155" t="str">
        <f t="shared" si="1126"/>
        <v>-</v>
      </c>
      <c r="RS119" s="155" t="str">
        <f t="shared" si="1126"/>
        <v>-</v>
      </c>
      <c r="RT119" s="177" t="str">
        <f t="shared" si="1126"/>
        <v>-</v>
      </c>
      <c r="RU119" s="181" t="str">
        <f t="shared" si="1127"/>
        <v>Harvest</v>
      </c>
      <c r="RV119" s="177" t="str">
        <f t="shared" si="1127"/>
        <v>-</v>
      </c>
      <c r="RW119" s="181" t="str">
        <f t="shared" si="1127"/>
        <v>Harvest</v>
      </c>
      <c r="RX119" s="155" t="str">
        <f t="shared" si="1127"/>
        <v>-</v>
      </c>
      <c r="RY119" s="155" t="str">
        <f t="shared" si="1127"/>
        <v>-</v>
      </c>
      <c r="RZ119" s="155" t="str">
        <f t="shared" si="1127"/>
        <v>-</v>
      </c>
      <c r="SA119" s="177" t="str">
        <f t="shared" si="1127"/>
        <v>-</v>
      </c>
      <c r="SB119" s="181" t="str">
        <f t="shared" si="1127"/>
        <v>Harvest</v>
      </c>
      <c r="SC119" s="177" t="str">
        <f t="shared" si="1127"/>
        <v>-</v>
      </c>
      <c r="SD119" s="181" t="str">
        <f t="shared" si="1127"/>
        <v>Harvest</v>
      </c>
      <c r="SE119" s="155" t="str">
        <f t="shared" si="1128"/>
        <v>-</v>
      </c>
      <c r="SF119" s="155" t="str">
        <f t="shared" si="1128"/>
        <v>-</v>
      </c>
      <c r="SG119" s="155" t="str">
        <f t="shared" si="1128"/>
        <v>-</v>
      </c>
      <c r="SH119" s="177" t="str">
        <f t="shared" si="1128"/>
        <v>-</v>
      </c>
      <c r="SI119" s="181" t="str">
        <f t="shared" si="1128"/>
        <v>Harvest</v>
      </c>
      <c r="SJ119" s="177" t="str">
        <f t="shared" si="1128"/>
        <v>-</v>
      </c>
      <c r="SK119" s="181" t="str">
        <f t="shared" si="1128"/>
        <v>Harvest</v>
      </c>
      <c r="SL119" s="155" t="str">
        <f t="shared" si="1128"/>
        <v>-</v>
      </c>
      <c r="SM119" s="155" t="str">
        <f t="shared" si="1128"/>
        <v>-</v>
      </c>
      <c r="SN119" s="155" t="str">
        <f t="shared" si="1128"/>
        <v>-</v>
      </c>
      <c r="SO119" s="177" t="str">
        <f t="shared" si="1129"/>
        <v>-</v>
      </c>
      <c r="SP119" s="181" t="str">
        <f t="shared" si="1129"/>
        <v>Harvest</v>
      </c>
      <c r="SQ119" s="177" t="str">
        <f t="shared" si="1129"/>
        <v>-</v>
      </c>
      <c r="SR119" s="181" t="str">
        <f t="shared" si="1129"/>
        <v>Harvest</v>
      </c>
      <c r="SS119" s="36"/>
      <c r="ST119" s="36"/>
      <c r="SU119" s="36"/>
      <c r="SV119" s="36"/>
      <c r="SW119" s="36"/>
      <c r="SX119" s="36"/>
      <c r="SY119" s="36"/>
      <c r="SZ119" s="36"/>
      <c r="TA119" s="36"/>
      <c r="TB119" s="36"/>
      <c r="TC119" s="36"/>
      <c r="TD119" s="36"/>
      <c r="TE119" s="36"/>
      <c r="TF119" s="36"/>
      <c r="TG119" s="36"/>
      <c r="TH119" s="36"/>
      <c r="TI119" s="36"/>
    </row>
    <row r="120" spans="1:529" ht="19.5" thickBot="1" x14ac:dyDescent="0.3">
      <c r="A120" s="298"/>
      <c r="B120" s="25" t="s">
        <v>27</v>
      </c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6"/>
      <c r="CL120" s="36"/>
      <c r="CM120" s="36"/>
      <c r="CN120" s="36"/>
      <c r="CO120" s="36"/>
      <c r="CP120" s="36"/>
      <c r="CQ120" s="36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6"/>
      <c r="DG120" s="36"/>
      <c r="DH120" s="36"/>
      <c r="DI120" s="36"/>
      <c r="DJ120" s="36"/>
      <c r="DK120" s="36"/>
      <c r="DL120" s="36"/>
      <c r="DM120" s="36"/>
      <c r="DN120" s="36"/>
      <c r="DO120" s="36"/>
      <c r="DP120" s="36"/>
      <c r="DQ120" s="36"/>
      <c r="DR120" s="36"/>
      <c r="DS120" s="36"/>
      <c r="DT120" s="36"/>
      <c r="DU120" s="36"/>
      <c r="DV120" s="36"/>
      <c r="DW120" s="36"/>
      <c r="DX120" s="36"/>
      <c r="DY120" s="36"/>
      <c r="DZ120" s="36"/>
      <c r="EA120" s="36"/>
      <c r="EB120" s="36"/>
      <c r="EC120" s="36"/>
      <c r="ED120" s="36"/>
      <c r="EE120" s="36"/>
      <c r="EF120" s="36"/>
      <c r="EG120" s="36"/>
      <c r="EH120" s="36"/>
      <c r="EI120" s="36"/>
      <c r="EJ120" s="36"/>
      <c r="EK120" s="36"/>
      <c r="EL120" s="36"/>
      <c r="EM120" s="36"/>
      <c r="EN120" s="36"/>
      <c r="EO120" s="36"/>
      <c r="EP120" s="36"/>
      <c r="EQ120" s="36"/>
      <c r="ER120" s="36"/>
      <c r="ES120" s="36"/>
      <c r="ET120" s="36"/>
      <c r="EU120" s="36"/>
      <c r="EV120" s="36"/>
      <c r="EW120" s="36"/>
      <c r="EX120" s="36"/>
      <c r="EY120" s="36"/>
      <c r="EZ120" s="36"/>
      <c r="FA120" s="36"/>
      <c r="FB120" s="36"/>
      <c r="FC120" s="36"/>
      <c r="FD120" s="36"/>
      <c r="FE120" s="36"/>
      <c r="FF120" s="36"/>
      <c r="FG120" s="36"/>
      <c r="FH120" s="36"/>
      <c r="FI120" s="36"/>
      <c r="FJ120" s="36"/>
      <c r="FK120" s="36"/>
      <c r="FL120" s="36"/>
      <c r="FM120" s="36"/>
      <c r="FN120" s="36"/>
      <c r="FO120" s="36"/>
      <c r="FP120" s="36"/>
      <c r="FQ120" s="36"/>
      <c r="FR120" s="36"/>
      <c r="FS120" s="36"/>
      <c r="FT120" s="36"/>
      <c r="FU120" s="36"/>
      <c r="FV120" s="36"/>
      <c r="FW120" s="36"/>
      <c r="FX120" s="36"/>
      <c r="FY120" s="36"/>
      <c r="FZ120" s="36"/>
      <c r="GA120" s="36"/>
      <c r="GB120" s="36"/>
      <c r="GC120" s="36"/>
      <c r="GD120" s="36"/>
      <c r="GE120" s="36"/>
      <c r="GF120" s="36"/>
      <c r="GG120" s="36"/>
      <c r="GH120" s="36"/>
      <c r="GI120" s="36"/>
      <c r="GJ120" s="36"/>
      <c r="GK120" s="36"/>
      <c r="GL120" s="36"/>
      <c r="GM120" s="36"/>
      <c r="GN120" s="36"/>
      <c r="GO120" s="36"/>
      <c r="GP120" s="36"/>
      <c r="GQ120" s="36"/>
      <c r="GR120" s="36"/>
      <c r="GS120" s="36"/>
      <c r="GT120" s="36"/>
      <c r="GU120" s="36"/>
      <c r="GV120" s="36"/>
      <c r="GW120" s="36"/>
      <c r="GX120" s="36"/>
      <c r="GY120" s="36"/>
      <c r="GZ120" s="36"/>
      <c r="HA120" s="36"/>
      <c r="HB120" s="36"/>
      <c r="HC120" s="36"/>
      <c r="HD120" s="36"/>
      <c r="HE120" s="36"/>
      <c r="HF120" s="36"/>
      <c r="HG120" s="36"/>
      <c r="HH120" s="36"/>
      <c r="HI120" s="36"/>
      <c r="HJ120" s="36"/>
      <c r="HK120" s="36"/>
      <c r="HL120" s="36"/>
      <c r="HM120" s="36"/>
      <c r="HN120" s="36"/>
      <c r="HO120" s="36"/>
      <c r="HP120" s="36"/>
      <c r="HQ120" s="36"/>
      <c r="HR120" s="36"/>
      <c r="HS120" s="36"/>
      <c r="HT120" s="36"/>
      <c r="HU120" s="36"/>
      <c r="HV120" s="36"/>
      <c r="HW120" s="36"/>
      <c r="HX120" s="36"/>
      <c r="HY120" s="36"/>
      <c r="HZ120" s="36"/>
      <c r="IA120" s="36"/>
      <c r="IB120" s="36"/>
      <c r="IC120" s="36"/>
      <c r="ID120" s="36"/>
      <c r="IE120" s="36"/>
      <c r="IF120" s="36"/>
      <c r="IG120" s="36"/>
      <c r="IH120" s="36"/>
      <c r="II120" s="36"/>
      <c r="IJ120" s="36"/>
      <c r="IK120" s="36"/>
      <c r="IL120" s="36"/>
      <c r="IM120" s="36"/>
      <c r="IN120" s="36"/>
      <c r="IO120" s="36"/>
      <c r="IP120" s="36"/>
      <c r="IQ120" s="36"/>
      <c r="IR120" s="36"/>
      <c r="IS120" s="36"/>
      <c r="IT120" s="36"/>
      <c r="IU120" s="36"/>
      <c r="IV120" s="36"/>
      <c r="IW120" s="36"/>
      <c r="IX120" s="36"/>
      <c r="IY120" s="36"/>
      <c r="IZ120" s="36"/>
      <c r="JA120" s="36"/>
      <c r="JB120" s="36"/>
      <c r="JC120" s="36"/>
      <c r="JD120" s="36"/>
      <c r="JE120" s="36"/>
      <c r="JF120" s="36"/>
      <c r="JG120" s="36"/>
      <c r="JH120" s="36"/>
      <c r="JI120" s="36"/>
      <c r="JJ120" s="36"/>
      <c r="JK120" s="36"/>
      <c r="JL120" s="36"/>
      <c r="JM120" s="36"/>
      <c r="JN120" s="36"/>
      <c r="JO120" s="36"/>
      <c r="JP120" s="36"/>
      <c r="JQ120" s="36"/>
      <c r="JR120" s="36"/>
      <c r="JS120" s="36"/>
      <c r="JT120" s="36"/>
      <c r="JU120" s="36"/>
      <c r="JV120" s="36"/>
      <c r="JW120" s="36"/>
      <c r="JX120" s="36"/>
      <c r="JY120" s="36"/>
      <c r="JZ120" s="36"/>
      <c r="KA120" s="36"/>
      <c r="KB120" s="36"/>
      <c r="KC120" s="36"/>
      <c r="KD120" s="36"/>
      <c r="KE120" s="36"/>
      <c r="KF120" s="36"/>
      <c r="KG120" s="36"/>
      <c r="KH120" s="36"/>
      <c r="KI120" s="36"/>
      <c r="KJ120" s="36"/>
      <c r="KK120" s="36"/>
      <c r="KL120" s="36"/>
      <c r="KM120" s="36"/>
      <c r="KN120" s="36"/>
      <c r="KO120" s="36"/>
      <c r="KP120" s="36"/>
      <c r="KQ120" s="36"/>
      <c r="KR120" s="36"/>
      <c r="KS120" s="36"/>
      <c r="KT120" s="36"/>
      <c r="KU120" s="36"/>
      <c r="KV120" s="36"/>
      <c r="KW120" s="36"/>
      <c r="KX120" s="36"/>
      <c r="KY120" s="36"/>
      <c r="KZ120" s="36"/>
      <c r="LA120" s="36"/>
      <c r="LB120" s="36"/>
      <c r="LC120" s="36"/>
      <c r="LD120" s="36"/>
      <c r="LE120" s="36"/>
      <c r="LF120" s="36"/>
      <c r="LG120" s="36"/>
      <c r="LH120" s="36"/>
      <c r="LI120" s="36"/>
      <c r="LJ120" s="36"/>
      <c r="LK120" s="36"/>
      <c r="LL120" s="36"/>
      <c r="LM120" s="36"/>
      <c r="LN120" s="36"/>
      <c r="LO120" s="36"/>
      <c r="LP120" s="36"/>
      <c r="LQ120" s="36"/>
      <c r="LR120" s="36"/>
      <c r="LS120" s="36"/>
      <c r="LT120" s="36"/>
      <c r="LU120" s="36"/>
      <c r="LV120" s="36"/>
      <c r="LW120" s="36"/>
      <c r="LX120" s="36"/>
      <c r="LY120" s="36"/>
      <c r="LZ120" s="36"/>
      <c r="MA120" s="36"/>
      <c r="MB120" s="36"/>
      <c r="MC120" s="36"/>
      <c r="MD120" s="36"/>
      <c r="ME120" s="36"/>
      <c r="MF120" s="36"/>
      <c r="MG120" s="36"/>
      <c r="MH120" s="36"/>
      <c r="MI120" s="36"/>
      <c r="MJ120" s="36"/>
      <c r="MK120" s="36"/>
      <c r="ML120" s="36"/>
      <c r="MM120" s="36"/>
      <c r="MN120" s="36"/>
      <c r="MO120" s="36"/>
      <c r="MP120" s="36"/>
      <c r="MQ120" s="36"/>
      <c r="MR120" s="36"/>
      <c r="MS120" s="36"/>
      <c r="MT120" s="36"/>
      <c r="MU120" s="36"/>
      <c r="MV120" s="121">
        <f t="shared" si="1121"/>
        <v>0</v>
      </c>
      <c r="MW120" s="108">
        <f t="shared" si="1122"/>
        <v>0</v>
      </c>
      <c r="MX120" s="108">
        <f t="shared" si="1123"/>
        <v>0</v>
      </c>
      <c r="MY120" s="108">
        <f t="shared" si="1124"/>
        <v>0</v>
      </c>
      <c r="MZ120" s="108">
        <f t="shared" si="1125"/>
        <v>0</v>
      </c>
      <c r="NA120" s="108">
        <f t="shared" si="1125"/>
        <v>0</v>
      </c>
      <c r="NB120" s="108">
        <f t="shared" si="1125"/>
        <v>0</v>
      </c>
      <c r="NC120" s="108">
        <f t="shared" si="1125"/>
        <v>0</v>
      </c>
      <c r="ND120" s="108">
        <f t="shared" si="1125"/>
        <v>0</v>
      </c>
      <c r="NE120" s="108">
        <f t="shared" si="1125"/>
        <v>0</v>
      </c>
      <c r="NF120" s="108">
        <f t="shared" si="1125"/>
        <v>0</v>
      </c>
      <c r="NG120" s="108">
        <f t="shared" si="1125"/>
        <v>0</v>
      </c>
      <c r="NH120" s="108">
        <f t="shared" si="1125"/>
        <v>0</v>
      </c>
      <c r="NI120" s="108">
        <f t="shared" si="1125"/>
        <v>0</v>
      </c>
      <c r="NJ120" s="108">
        <f t="shared" si="1125"/>
        <v>0</v>
      </c>
      <c r="NK120" s="108">
        <f t="shared" si="1125"/>
        <v>0</v>
      </c>
      <c r="NL120" s="108">
        <f t="shared" si="1125"/>
        <v>0</v>
      </c>
      <c r="NM120" s="108">
        <f t="shared" si="1125"/>
        <v>0</v>
      </c>
      <c r="NN120" s="108">
        <f t="shared" si="1125"/>
        <v>0</v>
      </c>
      <c r="NO120" s="108">
        <f t="shared" si="1125"/>
        <v>0</v>
      </c>
      <c r="NP120" s="108">
        <f t="shared" si="1125"/>
        <v>0</v>
      </c>
      <c r="NQ120" s="108">
        <f t="shared" si="1125"/>
        <v>0</v>
      </c>
      <c r="NR120" s="108">
        <f t="shared" si="1125"/>
        <v>0</v>
      </c>
      <c r="NS120" s="108">
        <f t="shared" si="1125"/>
        <v>0</v>
      </c>
      <c r="NT120" s="108">
        <f t="shared" si="1125"/>
        <v>0</v>
      </c>
      <c r="NU120" s="108">
        <f t="shared" si="1125"/>
        <v>0</v>
      </c>
      <c r="NV120" s="108">
        <f t="shared" si="1125"/>
        <v>0</v>
      </c>
      <c r="NW120" s="108">
        <f t="shared" si="1125"/>
        <v>0</v>
      </c>
      <c r="NX120" s="108">
        <f t="shared" si="1125"/>
        <v>0</v>
      </c>
      <c r="NY120" s="108">
        <f t="shared" si="1125"/>
        <v>0</v>
      </c>
      <c r="NZ120" s="108">
        <f t="shared" si="1125"/>
        <v>0</v>
      </c>
      <c r="OA120" s="108">
        <f t="shared" si="1125"/>
        <v>0</v>
      </c>
      <c r="OB120" s="108">
        <f t="shared" si="1125"/>
        <v>0</v>
      </c>
      <c r="OC120" s="108">
        <f t="shared" si="1125"/>
        <v>0</v>
      </c>
      <c r="OD120" s="108">
        <f t="shared" si="1125"/>
        <v>0</v>
      </c>
      <c r="OE120" s="108">
        <f t="shared" si="1125"/>
        <v>0</v>
      </c>
      <c r="OF120" s="108">
        <f t="shared" si="1125"/>
        <v>0</v>
      </c>
      <c r="OG120" s="108">
        <f t="shared" si="1125"/>
        <v>0</v>
      </c>
      <c r="OH120" s="108">
        <f t="shared" si="1125"/>
        <v>0</v>
      </c>
      <c r="OI120" s="108">
        <f t="shared" si="1125"/>
        <v>0</v>
      </c>
      <c r="OJ120" s="108">
        <f t="shared" si="1125"/>
        <v>0</v>
      </c>
      <c r="OK120" s="108">
        <f t="shared" si="1125"/>
        <v>0</v>
      </c>
      <c r="OL120" s="108">
        <f t="shared" si="1125"/>
        <v>0</v>
      </c>
      <c r="OM120" s="108">
        <f t="shared" si="1125"/>
        <v>0</v>
      </c>
      <c r="ON120" s="108">
        <f t="shared" si="1125"/>
        <v>0</v>
      </c>
      <c r="OO120" s="108">
        <f t="shared" si="1125"/>
        <v>0</v>
      </c>
      <c r="OP120" s="108">
        <f t="shared" si="1125"/>
        <v>0</v>
      </c>
      <c r="OQ120" s="108">
        <f t="shared" si="1125"/>
        <v>0</v>
      </c>
      <c r="OR120" s="108">
        <f t="shared" si="1125"/>
        <v>0</v>
      </c>
      <c r="OS120" s="108">
        <f t="shared" si="1125"/>
        <v>0</v>
      </c>
      <c r="OT120" s="108">
        <f t="shared" si="1125"/>
        <v>0</v>
      </c>
      <c r="OU120" s="145">
        <f t="shared" si="1125"/>
        <v>0</v>
      </c>
      <c r="OV120" s="145">
        <f t="shared" si="1125"/>
        <v>0</v>
      </c>
      <c r="OW120" s="145">
        <f t="shared" si="1125"/>
        <v>0</v>
      </c>
      <c r="OX120" s="145">
        <f t="shared" si="1125"/>
        <v>0</v>
      </c>
      <c r="OY120" s="145">
        <f t="shared" si="1125"/>
        <v>0</v>
      </c>
      <c r="OZ120" s="145">
        <f t="shared" si="1125"/>
        <v>0</v>
      </c>
      <c r="PA120" s="145">
        <f t="shared" si="1125"/>
        <v>0</v>
      </c>
      <c r="PB120" s="145">
        <f t="shared" si="1125"/>
        <v>0</v>
      </c>
      <c r="PC120" s="145">
        <f t="shared" si="1125"/>
        <v>0</v>
      </c>
      <c r="PD120" s="145">
        <f t="shared" si="1125"/>
        <v>0</v>
      </c>
      <c r="PE120" s="145">
        <f t="shared" si="1125"/>
        <v>0</v>
      </c>
      <c r="PF120" s="145">
        <f t="shared" si="1125"/>
        <v>0</v>
      </c>
      <c r="PG120" s="145">
        <f t="shared" si="1125"/>
        <v>0</v>
      </c>
      <c r="PH120" s="145">
        <f t="shared" si="1125"/>
        <v>0</v>
      </c>
      <c r="PI120" s="145">
        <f t="shared" si="1126"/>
        <v>0</v>
      </c>
      <c r="PJ120" s="145">
        <f t="shared" si="1126"/>
        <v>0</v>
      </c>
      <c r="PK120" s="145">
        <f t="shared" si="1126"/>
        <v>0</v>
      </c>
      <c r="PL120" s="145">
        <f t="shared" si="1126"/>
        <v>0</v>
      </c>
      <c r="PM120" s="145">
        <f t="shared" si="1126"/>
        <v>0</v>
      </c>
      <c r="PN120" s="145">
        <f t="shared" si="1126"/>
        <v>0</v>
      </c>
      <c r="PO120" s="145">
        <f t="shared" si="1126"/>
        <v>0</v>
      </c>
      <c r="PP120" s="145">
        <f t="shared" si="1126"/>
        <v>0</v>
      </c>
      <c r="PQ120" s="145">
        <f t="shared" si="1126"/>
        <v>0</v>
      </c>
      <c r="PR120" s="146">
        <f t="shared" si="1126"/>
        <v>0</v>
      </c>
      <c r="PS120" s="146">
        <f t="shared" si="1126"/>
        <v>0</v>
      </c>
      <c r="PT120" s="146">
        <f t="shared" si="1126"/>
        <v>0</v>
      </c>
      <c r="PU120" s="146">
        <f t="shared" si="1126"/>
        <v>0</v>
      </c>
      <c r="PV120" s="146">
        <f t="shared" si="1126"/>
        <v>0</v>
      </c>
      <c r="PW120" s="146">
        <f t="shared" si="1126"/>
        <v>0</v>
      </c>
      <c r="PX120" s="146">
        <f t="shared" si="1126"/>
        <v>0</v>
      </c>
      <c r="PY120" s="146">
        <f t="shared" si="1126"/>
        <v>0</v>
      </c>
      <c r="PZ120" s="146">
        <f t="shared" si="1126"/>
        <v>0</v>
      </c>
      <c r="QA120" s="146">
        <f t="shared" si="1126"/>
        <v>0</v>
      </c>
      <c r="QB120" s="146">
        <f t="shared" si="1126"/>
        <v>0</v>
      </c>
      <c r="QC120" s="146">
        <f t="shared" si="1126"/>
        <v>0</v>
      </c>
      <c r="QD120" s="146">
        <f t="shared" si="1126"/>
        <v>0</v>
      </c>
      <c r="QE120" s="146">
        <f t="shared" si="1126"/>
        <v>0</v>
      </c>
      <c r="QF120" s="146">
        <f t="shared" si="1126"/>
        <v>0</v>
      </c>
      <c r="QG120" s="146">
        <f t="shared" si="1126"/>
        <v>0</v>
      </c>
      <c r="QH120" s="146">
        <f t="shared" si="1126"/>
        <v>0</v>
      </c>
      <c r="QI120" s="146">
        <f t="shared" si="1126"/>
        <v>0</v>
      </c>
      <c r="QJ120" s="146">
        <f t="shared" si="1126"/>
        <v>0</v>
      </c>
      <c r="QK120" s="146">
        <f t="shared" si="1126"/>
        <v>0</v>
      </c>
      <c r="QL120" s="146">
        <f t="shared" si="1126"/>
        <v>0</v>
      </c>
      <c r="QM120" s="146">
        <f t="shared" si="1126"/>
        <v>0</v>
      </c>
      <c r="QN120" s="146">
        <f t="shared" si="1126"/>
        <v>0</v>
      </c>
      <c r="QO120" s="146">
        <f t="shared" si="1126"/>
        <v>0</v>
      </c>
      <c r="QP120" s="146">
        <f t="shared" si="1126"/>
        <v>0</v>
      </c>
      <c r="QQ120" s="146">
        <f t="shared" si="1126"/>
        <v>0</v>
      </c>
      <c r="QR120" s="146">
        <f t="shared" si="1126"/>
        <v>0</v>
      </c>
      <c r="QS120" s="146">
        <f t="shared" si="1126"/>
        <v>0</v>
      </c>
      <c r="QT120" s="156">
        <f t="shared" si="1126"/>
        <v>0</v>
      </c>
      <c r="QU120" s="156">
        <f t="shared" si="1126"/>
        <v>0</v>
      </c>
      <c r="QV120" s="156">
        <f t="shared" si="1126"/>
        <v>0</v>
      </c>
      <c r="QW120" s="156">
        <f t="shared" si="1126"/>
        <v>0</v>
      </c>
      <c r="QX120" s="156">
        <f t="shared" si="1126"/>
        <v>0</v>
      </c>
      <c r="QY120" s="156">
        <f t="shared" si="1126"/>
        <v>0</v>
      </c>
      <c r="QZ120" s="156">
        <f t="shared" si="1126"/>
        <v>0</v>
      </c>
      <c r="RA120" s="156">
        <f t="shared" si="1126"/>
        <v>0</v>
      </c>
      <c r="RB120" s="156">
        <f t="shared" si="1126"/>
        <v>0</v>
      </c>
      <c r="RC120" s="156">
        <f t="shared" si="1126"/>
        <v>0</v>
      </c>
      <c r="RD120" s="156">
        <f t="shared" si="1126"/>
        <v>0</v>
      </c>
      <c r="RE120" s="156">
        <f t="shared" si="1126"/>
        <v>0</v>
      </c>
      <c r="RF120" s="156">
        <f t="shared" si="1126"/>
        <v>0</v>
      </c>
      <c r="RG120" s="156">
        <f t="shared" si="1126"/>
        <v>0</v>
      </c>
      <c r="RH120" s="156">
        <f t="shared" si="1126"/>
        <v>0</v>
      </c>
      <c r="RI120" s="156">
        <f t="shared" si="1126"/>
        <v>0</v>
      </c>
      <c r="RJ120" s="156">
        <f t="shared" si="1126"/>
        <v>0</v>
      </c>
      <c r="RK120" s="156">
        <f t="shared" si="1126"/>
        <v>0</v>
      </c>
      <c r="RL120" s="156">
        <f t="shared" si="1126"/>
        <v>0</v>
      </c>
      <c r="RM120" s="156">
        <f t="shared" si="1126"/>
        <v>0</v>
      </c>
      <c r="RN120" s="156">
        <f t="shared" si="1126"/>
        <v>0</v>
      </c>
      <c r="RO120" s="156">
        <f t="shared" si="1126"/>
        <v>0</v>
      </c>
      <c r="RP120" s="156">
        <f t="shared" si="1126"/>
        <v>0</v>
      </c>
      <c r="RQ120" s="156">
        <f t="shared" si="1126"/>
        <v>0</v>
      </c>
      <c r="RR120" s="156">
        <f t="shared" si="1126"/>
        <v>0</v>
      </c>
      <c r="RS120" s="156">
        <f t="shared" si="1126"/>
        <v>0</v>
      </c>
      <c r="RT120" s="156">
        <f t="shared" si="1126"/>
        <v>0</v>
      </c>
      <c r="RU120" s="179">
        <f t="shared" si="1127"/>
        <v>0</v>
      </c>
      <c r="RV120" s="156">
        <f t="shared" si="1127"/>
        <v>0</v>
      </c>
      <c r="RW120" s="179">
        <f t="shared" si="1127"/>
        <v>0</v>
      </c>
      <c r="RX120" s="156">
        <f t="shared" si="1127"/>
        <v>0</v>
      </c>
      <c r="RY120" s="156">
        <f t="shared" si="1127"/>
        <v>0</v>
      </c>
      <c r="RZ120" s="156">
        <f t="shared" si="1127"/>
        <v>0</v>
      </c>
      <c r="SA120" s="156">
        <f t="shared" si="1127"/>
        <v>0</v>
      </c>
      <c r="SB120" s="179">
        <f t="shared" si="1127"/>
        <v>0</v>
      </c>
      <c r="SC120" s="156">
        <f t="shared" si="1127"/>
        <v>0</v>
      </c>
      <c r="SD120" s="179">
        <f t="shared" si="1127"/>
        <v>0</v>
      </c>
      <c r="SE120" s="156">
        <f t="shared" si="1128"/>
        <v>0</v>
      </c>
      <c r="SF120" s="156">
        <f t="shared" si="1128"/>
        <v>0</v>
      </c>
      <c r="SG120" s="156">
        <f t="shared" si="1128"/>
        <v>0</v>
      </c>
      <c r="SH120" s="156">
        <f t="shared" si="1128"/>
        <v>0</v>
      </c>
      <c r="SI120" s="179">
        <f t="shared" si="1128"/>
        <v>0</v>
      </c>
      <c r="SJ120" s="156">
        <f t="shared" si="1128"/>
        <v>0</v>
      </c>
      <c r="SK120" s="179">
        <f t="shared" si="1128"/>
        <v>0</v>
      </c>
      <c r="SL120" s="156">
        <f t="shared" si="1128"/>
        <v>0</v>
      </c>
      <c r="SM120" s="156">
        <f t="shared" si="1128"/>
        <v>0</v>
      </c>
      <c r="SN120" s="156">
        <f t="shared" si="1128"/>
        <v>0</v>
      </c>
      <c r="SO120" s="156">
        <f t="shared" si="1129"/>
        <v>0</v>
      </c>
      <c r="SP120" s="179">
        <f t="shared" si="1129"/>
        <v>0</v>
      </c>
      <c r="SQ120" s="156">
        <f t="shared" si="1129"/>
        <v>0</v>
      </c>
      <c r="SR120" s="179">
        <f t="shared" si="1129"/>
        <v>0</v>
      </c>
      <c r="SS120" s="36"/>
      <c r="ST120" s="36"/>
      <c r="SU120" s="36"/>
      <c r="SV120" s="36"/>
      <c r="SW120" s="36"/>
      <c r="SX120" s="36"/>
      <c r="SY120" s="36"/>
      <c r="SZ120" s="36"/>
      <c r="TA120" s="36"/>
      <c r="TB120" s="36"/>
      <c r="TC120" s="36"/>
      <c r="TD120" s="36"/>
      <c r="TE120" s="36"/>
      <c r="TF120" s="36"/>
      <c r="TG120" s="36"/>
      <c r="TH120" s="36"/>
      <c r="TI120" s="36"/>
    </row>
    <row r="121" spans="1:529" ht="19.5" thickBot="1" x14ac:dyDescent="0.3">
      <c r="A121" s="298"/>
      <c r="B121" s="25" t="s">
        <v>25</v>
      </c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6"/>
      <c r="CL121" s="36"/>
      <c r="CM121" s="36"/>
      <c r="CN121" s="36"/>
      <c r="CO121" s="36"/>
      <c r="CP121" s="36"/>
      <c r="CQ121" s="36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6"/>
      <c r="DG121" s="36"/>
      <c r="DH121" s="36"/>
      <c r="DI121" s="36"/>
      <c r="DJ121" s="36"/>
      <c r="DK121" s="36"/>
      <c r="DL121" s="36"/>
      <c r="DM121" s="36"/>
      <c r="DN121" s="36"/>
      <c r="DO121" s="36"/>
      <c r="DP121" s="36"/>
      <c r="DQ121" s="36"/>
      <c r="DR121" s="36"/>
      <c r="DS121" s="36"/>
      <c r="DT121" s="36"/>
      <c r="DU121" s="36"/>
      <c r="DV121" s="36"/>
      <c r="DW121" s="36"/>
      <c r="DX121" s="36"/>
      <c r="DY121" s="36"/>
      <c r="DZ121" s="36"/>
      <c r="EA121" s="36"/>
      <c r="EB121" s="36"/>
      <c r="EC121" s="36"/>
      <c r="ED121" s="36"/>
      <c r="EE121" s="36"/>
      <c r="EF121" s="36"/>
      <c r="EG121" s="36"/>
      <c r="EH121" s="36"/>
      <c r="EI121" s="36"/>
      <c r="EJ121" s="36"/>
      <c r="EK121" s="36"/>
      <c r="EL121" s="36"/>
      <c r="EM121" s="36"/>
      <c r="EN121" s="36"/>
      <c r="EO121" s="36"/>
      <c r="EP121" s="36"/>
      <c r="EQ121" s="36"/>
      <c r="ER121" s="36"/>
      <c r="ES121" s="36"/>
      <c r="ET121" s="36"/>
      <c r="EU121" s="36"/>
      <c r="EV121" s="36"/>
      <c r="EW121" s="36"/>
      <c r="EX121" s="36"/>
      <c r="EY121" s="36"/>
      <c r="EZ121" s="36"/>
      <c r="FA121" s="36"/>
      <c r="FB121" s="36"/>
      <c r="FC121" s="36"/>
      <c r="FD121" s="36"/>
      <c r="FE121" s="36"/>
      <c r="FF121" s="36"/>
      <c r="FG121" s="36"/>
      <c r="FH121" s="36"/>
      <c r="FI121" s="36"/>
      <c r="FJ121" s="36"/>
      <c r="FK121" s="36"/>
      <c r="FL121" s="36"/>
      <c r="FM121" s="36"/>
      <c r="FN121" s="36"/>
      <c r="FO121" s="36"/>
      <c r="FP121" s="36"/>
      <c r="FQ121" s="36"/>
      <c r="FR121" s="36"/>
      <c r="FS121" s="36"/>
      <c r="FT121" s="36"/>
      <c r="FU121" s="36"/>
      <c r="FV121" s="36"/>
      <c r="FW121" s="36"/>
      <c r="FX121" s="36"/>
      <c r="FY121" s="36"/>
      <c r="FZ121" s="36"/>
      <c r="GA121" s="36"/>
      <c r="GB121" s="36"/>
      <c r="GC121" s="36"/>
      <c r="GD121" s="36"/>
      <c r="GE121" s="36"/>
      <c r="GF121" s="36"/>
      <c r="GG121" s="36"/>
      <c r="GH121" s="36"/>
      <c r="GI121" s="36"/>
      <c r="GJ121" s="36"/>
      <c r="GK121" s="36"/>
      <c r="GL121" s="36"/>
      <c r="GM121" s="36"/>
      <c r="GN121" s="36"/>
      <c r="GO121" s="36"/>
      <c r="GP121" s="36"/>
      <c r="GQ121" s="36"/>
      <c r="GR121" s="36"/>
      <c r="GS121" s="36"/>
      <c r="GT121" s="36"/>
      <c r="GU121" s="36"/>
      <c r="GV121" s="36"/>
      <c r="GW121" s="36"/>
      <c r="GX121" s="36"/>
      <c r="GY121" s="36"/>
      <c r="GZ121" s="36"/>
      <c r="HA121" s="36"/>
      <c r="HB121" s="36"/>
      <c r="HC121" s="36"/>
      <c r="HD121" s="36"/>
      <c r="HE121" s="36"/>
      <c r="HF121" s="36"/>
      <c r="HG121" s="36"/>
      <c r="HH121" s="36"/>
      <c r="HI121" s="36"/>
      <c r="HJ121" s="36"/>
      <c r="HK121" s="36"/>
      <c r="HL121" s="36"/>
      <c r="HM121" s="36"/>
      <c r="HN121" s="36"/>
      <c r="HO121" s="36"/>
      <c r="HP121" s="36"/>
      <c r="HQ121" s="36"/>
      <c r="HR121" s="36"/>
      <c r="HS121" s="36"/>
      <c r="HT121" s="36"/>
      <c r="HU121" s="36"/>
      <c r="HV121" s="36"/>
      <c r="HW121" s="36"/>
      <c r="HX121" s="36"/>
      <c r="HY121" s="36"/>
      <c r="HZ121" s="36"/>
      <c r="IA121" s="36"/>
      <c r="IB121" s="36"/>
      <c r="IC121" s="36"/>
      <c r="ID121" s="36"/>
      <c r="IE121" s="36"/>
      <c r="IF121" s="36"/>
      <c r="IG121" s="36"/>
      <c r="IH121" s="36"/>
      <c r="II121" s="36"/>
      <c r="IJ121" s="36"/>
      <c r="IK121" s="36"/>
      <c r="IL121" s="36"/>
      <c r="IM121" s="36"/>
      <c r="IN121" s="36"/>
      <c r="IO121" s="36"/>
      <c r="IP121" s="36"/>
      <c r="IQ121" s="36"/>
      <c r="IR121" s="36"/>
      <c r="IS121" s="36"/>
      <c r="IT121" s="36"/>
      <c r="IU121" s="36"/>
      <c r="IV121" s="36"/>
      <c r="IW121" s="36"/>
      <c r="IX121" s="36"/>
      <c r="IY121" s="36"/>
      <c r="IZ121" s="36"/>
      <c r="JA121" s="36"/>
      <c r="JB121" s="36"/>
      <c r="JC121" s="36"/>
      <c r="JD121" s="36"/>
      <c r="JE121" s="36"/>
      <c r="JF121" s="36"/>
      <c r="JG121" s="36"/>
      <c r="JH121" s="36"/>
      <c r="JI121" s="36"/>
      <c r="JJ121" s="36"/>
      <c r="JK121" s="36"/>
      <c r="JL121" s="36"/>
      <c r="JM121" s="36"/>
      <c r="JN121" s="36"/>
      <c r="JO121" s="36"/>
      <c r="JP121" s="36"/>
      <c r="JQ121" s="36"/>
      <c r="JR121" s="36"/>
      <c r="JS121" s="36"/>
      <c r="JT121" s="36"/>
      <c r="JU121" s="36"/>
      <c r="JV121" s="36"/>
      <c r="JW121" s="36"/>
      <c r="JX121" s="36"/>
      <c r="JY121" s="36"/>
      <c r="JZ121" s="36"/>
      <c r="KA121" s="36"/>
      <c r="KB121" s="36"/>
      <c r="KC121" s="36"/>
      <c r="KD121" s="36"/>
      <c r="KE121" s="36"/>
      <c r="KF121" s="36"/>
      <c r="KG121" s="36"/>
      <c r="KH121" s="36"/>
      <c r="KI121" s="36"/>
      <c r="KJ121" s="36"/>
      <c r="KK121" s="36"/>
      <c r="KL121" s="36"/>
      <c r="KM121" s="36"/>
      <c r="KN121" s="36"/>
      <c r="KO121" s="36"/>
      <c r="KP121" s="36"/>
      <c r="KQ121" s="36"/>
      <c r="KR121" s="36"/>
      <c r="KS121" s="36"/>
      <c r="KT121" s="36"/>
      <c r="KU121" s="36"/>
      <c r="KV121" s="36"/>
      <c r="KW121" s="36"/>
      <c r="KX121" s="36"/>
      <c r="KY121" s="36"/>
      <c r="KZ121" s="36"/>
      <c r="LA121" s="36"/>
      <c r="LB121" s="36"/>
      <c r="LC121" s="36"/>
      <c r="LD121" s="36"/>
      <c r="LE121" s="36"/>
      <c r="LF121" s="36"/>
      <c r="LG121" s="36"/>
      <c r="LH121" s="36"/>
      <c r="LI121" s="36"/>
      <c r="LJ121" s="36"/>
      <c r="LK121" s="36"/>
      <c r="LL121" s="36"/>
      <c r="LM121" s="36"/>
      <c r="LN121" s="36"/>
      <c r="LO121" s="36"/>
      <c r="LP121" s="36"/>
      <c r="LQ121" s="36"/>
      <c r="LR121" s="36"/>
      <c r="LS121" s="36"/>
      <c r="LT121" s="36"/>
      <c r="LU121" s="36"/>
      <c r="LV121" s="36"/>
      <c r="LW121" s="36"/>
      <c r="LX121" s="36"/>
      <c r="LY121" s="36"/>
      <c r="LZ121" s="36"/>
      <c r="MA121" s="36"/>
      <c r="MB121" s="36"/>
      <c r="MC121" s="36"/>
      <c r="MD121" s="36"/>
      <c r="ME121" s="36"/>
      <c r="MF121" s="36"/>
      <c r="MG121" s="36"/>
      <c r="MH121" s="36"/>
      <c r="MI121" s="36"/>
      <c r="MJ121" s="36"/>
      <c r="MK121" s="36"/>
      <c r="ML121" s="36"/>
      <c r="MM121" s="36"/>
      <c r="MN121" s="36"/>
      <c r="MO121" s="36"/>
      <c r="MP121" s="36"/>
      <c r="MQ121" s="36"/>
      <c r="MR121" s="36"/>
      <c r="MS121" s="36"/>
      <c r="MT121" s="36"/>
      <c r="MU121" s="36"/>
      <c r="MV121" s="138">
        <f t="shared" si="1121"/>
        <v>0</v>
      </c>
      <c r="MW121" s="108">
        <f t="shared" si="1122"/>
        <v>0</v>
      </c>
      <c r="MX121" s="108">
        <f t="shared" si="1123"/>
        <v>0</v>
      </c>
      <c r="MY121" s="108">
        <f t="shared" si="1124"/>
        <v>0</v>
      </c>
      <c r="MZ121" s="108">
        <f t="shared" si="1125"/>
        <v>0</v>
      </c>
      <c r="NA121" s="108">
        <f t="shared" si="1125"/>
        <v>0</v>
      </c>
      <c r="NB121" s="108">
        <f t="shared" si="1125"/>
        <v>0</v>
      </c>
      <c r="NC121" s="108">
        <f t="shared" si="1125"/>
        <v>0</v>
      </c>
      <c r="ND121" s="108">
        <f t="shared" si="1125"/>
        <v>0</v>
      </c>
      <c r="NE121" s="108">
        <f t="shared" si="1125"/>
        <v>0</v>
      </c>
      <c r="NF121" s="108">
        <f t="shared" si="1125"/>
        <v>0</v>
      </c>
      <c r="NG121" s="108">
        <f t="shared" si="1125"/>
        <v>0</v>
      </c>
      <c r="NH121" s="108">
        <f t="shared" si="1125"/>
        <v>0</v>
      </c>
      <c r="NI121" s="108">
        <f t="shared" si="1125"/>
        <v>0</v>
      </c>
      <c r="NJ121" s="108">
        <f t="shared" si="1125"/>
        <v>0</v>
      </c>
      <c r="NK121" s="108">
        <f t="shared" si="1125"/>
        <v>0</v>
      </c>
      <c r="NL121" s="108">
        <f t="shared" si="1125"/>
        <v>0</v>
      </c>
      <c r="NM121" s="108">
        <f t="shared" si="1125"/>
        <v>0</v>
      </c>
      <c r="NN121" s="108">
        <f t="shared" si="1125"/>
        <v>0</v>
      </c>
      <c r="NO121" s="108">
        <f t="shared" si="1125"/>
        <v>0</v>
      </c>
      <c r="NP121" s="108">
        <f t="shared" si="1125"/>
        <v>0</v>
      </c>
      <c r="NQ121" s="108">
        <f t="shared" si="1125"/>
        <v>0</v>
      </c>
      <c r="NR121" s="108">
        <f t="shared" si="1125"/>
        <v>0</v>
      </c>
      <c r="NS121" s="108">
        <f t="shared" si="1125"/>
        <v>0</v>
      </c>
      <c r="NT121" s="108">
        <f t="shared" si="1125"/>
        <v>0</v>
      </c>
      <c r="NU121" s="108">
        <f t="shared" si="1125"/>
        <v>0</v>
      </c>
      <c r="NV121" s="108">
        <f t="shared" si="1125"/>
        <v>0</v>
      </c>
      <c r="NW121" s="108">
        <f t="shared" si="1125"/>
        <v>0</v>
      </c>
      <c r="NX121" s="108">
        <f t="shared" si="1125"/>
        <v>0</v>
      </c>
      <c r="NY121" s="108">
        <f t="shared" si="1125"/>
        <v>0</v>
      </c>
      <c r="NZ121" s="108">
        <f t="shared" si="1125"/>
        <v>0</v>
      </c>
      <c r="OA121" s="108">
        <f t="shared" si="1125"/>
        <v>0</v>
      </c>
      <c r="OB121" s="108">
        <f t="shared" si="1125"/>
        <v>0</v>
      </c>
      <c r="OC121" s="108">
        <f t="shared" si="1125"/>
        <v>0</v>
      </c>
      <c r="OD121" s="108">
        <f t="shared" si="1125"/>
        <v>0</v>
      </c>
      <c r="OE121" s="108">
        <f t="shared" si="1125"/>
        <v>0</v>
      </c>
      <c r="OF121" s="108">
        <f t="shared" si="1125"/>
        <v>0</v>
      </c>
      <c r="OG121" s="108">
        <f t="shared" si="1125"/>
        <v>0</v>
      </c>
      <c r="OH121" s="108">
        <f t="shared" si="1125"/>
        <v>0</v>
      </c>
      <c r="OI121" s="108">
        <f t="shared" si="1125"/>
        <v>0</v>
      </c>
      <c r="OJ121" s="108">
        <f t="shared" si="1125"/>
        <v>0</v>
      </c>
      <c r="OK121" s="108">
        <f t="shared" si="1125"/>
        <v>0</v>
      </c>
      <c r="OL121" s="108">
        <f t="shared" si="1125"/>
        <v>0</v>
      </c>
      <c r="OM121" s="108">
        <f t="shared" si="1125"/>
        <v>0</v>
      </c>
      <c r="ON121" s="108">
        <f t="shared" si="1125"/>
        <v>0</v>
      </c>
      <c r="OO121" s="108">
        <f t="shared" si="1125"/>
        <v>0</v>
      </c>
      <c r="OP121" s="108">
        <f t="shared" si="1125"/>
        <v>0</v>
      </c>
      <c r="OQ121" s="108">
        <f t="shared" si="1125"/>
        <v>0</v>
      </c>
      <c r="OR121" s="108">
        <f t="shared" si="1125"/>
        <v>0</v>
      </c>
      <c r="OS121" s="108">
        <f t="shared" si="1125"/>
        <v>0</v>
      </c>
      <c r="OT121" s="108">
        <f t="shared" si="1125"/>
        <v>0</v>
      </c>
      <c r="OU121" s="145">
        <f t="shared" si="1125"/>
        <v>0</v>
      </c>
      <c r="OV121" s="145">
        <f t="shared" si="1125"/>
        <v>0</v>
      </c>
      <c r="OW121" s="145">
        <f t="shared" si="1125"/>
        <v>0</v>
      </c>
      <c r="OX121" s="145">
        <f t="shared" si="1125"/>
        <v>0</v>
      </c>
      <c r="OY121" s="145">
        <f t="shared" si="1125"/>
        <v>0</v>
      </c>
      <c r="OZ121" s="145">
        <f t="shared" si="1125"/>
        <v>0</v>
      </c>
      <c r="PA121" s="145">
        <f t="shared" si="1125"/>
        <v>0</v>
      </c>
      <c r="PB121" s="145">
        <f t="shared" si="1125"/>
        <v>0</v>
      </c>
      <c r="PC121" s="145">
        <f t="shared" si="1125"/>
        <v>0</v>
      </c>
      <c r="PD121" s="145">
        <f t="shared" si="1125"/>
        <v>0</v>
      </c>
      <c r="PE121" s="145">
        <f t="shared" si="1125"/>
        <v>0</v>
      </c>
      <c r="PF121" s="145">
        <f t="shared" si="1125"/>
        <v>0</v>
      </c>
      <c r="PG121" s="145">
        <f t="shared" si="1125"/>
        <v>0</v>
      </c>
      <c r="PH121" s="145">
        <f t="shared" ref="PH121:PH130" si="1130">BO30</f>
        <v>0</v>
      </c>
      <c r="PI121" s="145">
        <f t="shared" si="1126"/>
        <v>0</v>
      </c>
      <c r="PJ121" s="145">
        <f t="shared" si="1126"/>
        <v>0</v>
      </c>
      <c r="PK121" s="145">
        <f t="shared" si="1126"/>
        <v>0</v>
      </c>
      <c r="PL121" s="145">
        <f t="shared" si="1126"/>
        <v>0</v>
      </c>
      <c r="PM121" s="145">
        <f t="shared" si="1126"/>
        <v>0</v>
      </c>
      <c r="PN121" s="145">
        <f t="shared" si="1126"/>
        <v>0</v>
      </c>
      <c r="PO121" s="145">
        <f t="shared" si="1126"/>
        <v>0</v>
      </c>
      <c r="PP121" s="145">
        <f t="shared" si="1126"/>
        <v>0</v>
      </c>
      <c r="PQ121" s="145">
        <f t="shared" si="1126"/>
        <v>0</v>
      </c>
      <c r="PR121" s="146">
        <f t="shared" si="1126"/>
        <v>0</v>
      </c>
      <c r="PS121" s="146">
        <f t="shared" si="1126"/>
        <v>0</v>
      </c>
      <c r="PT121" s="146">
        <f t="shared" si="1126"/>
        <v>0</v>
      </c>
      <c r="PU121" s="146">
        <f t="shared" si="1126"/>
        <v>0</v>
      </c>
      <c r="PV121" s="146">
        <f t="shared" si="1126"/>
        <v>0</v>
      </c>
      <c r="PW121" s="146">
        <f t="shared" si="1126"/>
        <v>0</v>
      </c>
      <c r="PX121" s="146">
        <f t="shared" si="1126"/>
        <v>0</v>
      </c>
      <c r="PY121" s="146">
        <f t="shared" si="1126"/>
        <v>0</v>
      </c>
      <c r="PZ121" s="146">
        <f t="shared" si="1126"/>
        <v>0</v>
      </c>
      <c r="QA121" s="146">
        <f t="shared" si="1126"/>
        <v>0</v>
      </c>
      <c r="QB121" s="146">
        <f t="shared" si="1126"/>
        <v>0</v>
      </c>
      <c r="QC121" s="146">
        <f t="shared" si="1126"/>
        <v>0</v>
      </c>
      <c r="QD121" s="146">
        <f t="shared" si="1126"/>
        <v>0</v>
      </c>
      <c r="QE121" s="146">
        <f t="shared" si="1126"/>
        <v>0</v>
      </c>
      <c r="QF121" s="146">
        <f t="shared" si="1126"/>
        <v>0</v>
      </c>
      <c r="QG121" s="146">
        <f t="shared" si="1126"/>
        <v>0</v>
      </c>
      <c r="QH121" s="146">
        <f t="shared" si="1126"/>
        <v>0</v>
      </c>
      <c r="QI121" s="146">
        <f t="shared" si="1126"/>
        <v>0</v>
      </c>
      <c r="QJ121" s="146">
        <f t="shared" si="1126"/>
        <v>0</v>
      </c>
      <c r="QK121" s="146">
        <f t="shared" si="1126"/>
        <v>0</v>
      </c>
      <c r="QL121" s="146">
        <f t="shared" si="1126"/>
        <v>0</v>
      </c>
      <c r="QM121" s="146">
        <f t="shared" si="1126"/>
        <v>0</v>
      </c>
      <c r="QN121" s="146">
        <f t="shared" si="1126"/>
        <v>0</v>
      </c>
      <c r="QO121" s="146">
        <f t="shared" si="1126"/>
        <v>0</v>
      </c>
      <c r="QP121" s="146">
        <f t="shared" si="1126"/>
        <v>0</v>
      </c>
      <c r="QQ121" s="146">
        <f t="shared" si="1126"/>
        <v>0</v>
      </c>
      <c r="QR121" s="146">
        <f t="shared" si="1126"/>
        <v>0</v>
      </c>
      <c r="QS121" s="146">
        <f t="shared" si="1126"/>
        <v>0</v>
      </c>
      <c r="QT121" s="156">
        <f t="shared" si="1126"/>
        <v>0</v>
      </c>
      <c r="QU121" s="156">
        <f t="shared" si="1126"/>
        <v>0</v>
      </c>
      <c r="QV121" s="156">
        <f t="shared" si="1126"/>
        <v>0</v>
      </c>
      <c r="QW121" s="156">
        <f t="shared" si="1126"/>
        <v>0</v>
      </c>
      <c r="QX121" s="156">
        <f t="shared" si="1126"/>
        <v>0</v>
      </c>
      <c r="QY121" s="156">
        <f t="shared" si="1126"/>
        <v>0</v>
      </c>
      <c r="QZ121" s="156">
        <f t="shared" si="1126"/>
        <v>0</v>
      </c>
      <c r="RA121" s="156">
        <f t="shared" si="1126"/>
        <v>0</v>
      </c>
      <c r="RB121" s="156">
        <f t="shared" si="1126"/>
        <v>0</v>
      </c>
      <c r="RC121" s="156">
        <f t="shared" si="1126"/>
        <v>0</v>
      </c>
      <c r="RD121" s="156">
        <f t="shared" si="1126"/>
        <v>0</v>
      </c>
      <c r="RE121" s="156">
        <f t="shared" si="1126"/>
        <v>0</v>
      </c>
      <c r="RF121" s="156">
        <f t="shared" si="1126"/>
        <v>0</v>
      </c>
      <c r="RG121" s="156">
        <f t="shared" si="1126"/>
        <v>0</v>
      </c>
      <c r="RH121" s="156">
        <f t="shared" si="1126"/>
        <v>0</v>
      </c>
      <c r="RI121" s="156">
        <f t="shared" si="1126"/>
        <v>0</v>
      </c>
      <c r="RJ121" s="156">
        <f t="shared" si="1126"/>
        <v>0</v>
      </c>
      <c r="RK121" s="156">
        <f t="shared" si="1126"/>
        <v>0</v>
      </c>
      <c r="RL121" s="156">
        <f t="shared" si="1126"/>
        <v>0</v>
      </c>
      <c r="RM121" s="156">
        <f t="shared" si="1126"/>
        <v>0</v>
      </c>
      <c r="RN121" s="156">
        <f t="shared" si="1126"/>
        <v>0</v>
      </c>
      <c r="RO121" s="156">
        <f t="shared" si="1126"/>
        <v>0</v>
      </c>
      <c r="RP121" s="156">
        <f t="shared" si="1126"/>
        <v>0</v>
      </c>
      <c r="RQ121" s="156">
        <f t="shared" si="1126"/>
        <v>0</v>
      </c>
      <c r="RR121" s="156">
        <f t="shared" si="1126"/>
        <v>0</v>
      </c>
      <c r="RS121" s="156">
        <f t="shared" si="1126"/>
        <v>0</v>
      </c>
      <c r="RT121" s="178">
        <f t="shared" ref="RT121:RT130" si="1131">EA30</f>
        <v>0</v>
      </c>
      <c r="RU121" s="181">
        <f t="shared" si="1127"/>
        <v>24.185735913858924</v>
      </c>
      <c r="RV121" s="177">
        <f t="shared" si="1127"/>
        <v>0</v>
      </c>
      <c r="RW121" s="181">
        <f t="shared" si="1127"/>
        <v>24.082193323306559</v>
      </c>
      <c r="RX121" s="155">
        <f t="shared" si="1127"/>
        <v>0</v>
      </c>
      <c r="RY121" s="156">
        <f t="shared" si="1127"/>
        <v>0</v>
      </c>
      <c r="RZ121" s="156">
        <f t="shared" si="1127"/>
        <v>0</v>
      </c>
      <c r="SA121" s="178">
        <f t="shared" si="1127"/>
        <v>0</v>
      </c>
      <c r="SB121" s="181">
        <f t="shared" si="1127"/>
        <v>23.834369382163725</v>
      </c>
      <c r="SC121" s="177">
        <f t="shared" si="1127"/>
        <v>0</v>
      </c>
      <c r="SD121" s="181">
        <f t="shared" si="1127"/>
        <v>23.729612561855234</v>
      </c>
      <c r="SE121" s="155">
        <f t="shared" si="1128"/>
        <v>0</v>
      </c>
      <c r="SF121" s="156">
        <f t="shared" si="1128"/>
        <v>0</v>
      </c>
      <c r="SG121" s="156">
        <f t="shared" si="1128"/>
        <v>0</v>
      </c>
      <c r="SH121" s="178">
        <f t="shared" si="1128"/>
        <v>0</v>
      </c>
      <c r="SI121" s="181">
        <f t="shared" si="1128"/>
        <v>23.481493552061213</v>
      </c>
      <c r="SJ121" s="177">
        <f t="shared" si="1128"/>
        <v>0</v>
      </c>
      <c r="SK121" s="181">
        <f t="shared" si="1128"/>
        <v>23.372038483450538</v>
      </c>
      <c r="SL121" s="155">
        <f t="shared" si="1128"/>
        <v>0</v>
      </c>
      <c r="SM121" s="156">
        <f t="shared" si="1128"/>
        <v>0</v>
      </c>
      <c r="SN121" s="156">
        <f t="shared" si="1128"/>
        <v>0</v>
      </c>
      <c r="SO121" s="178">
        <f t="shared" si="1129"/>
        <v>0</v>
      </c>
      <c r="SP121" s="181">
        <f t="shared" si="1129"/>
        <v>23.116065489904333</v>
      </c>
      <c r="SQ121" s="177">
        <f t="shared" si="1129"/>
        <v>0</v>
      </c>
      <c r="SR121" s="181">
        <f t="shared" si="1129"/>
        <v>22.977554025488825</v>
      </c>
      <c r="SS121" s="36"/>
      <c r="ST121" s="36"/>
      <c r="SU121" s="36"/>
      <c r="SV121" s="36"/>
      <c r="SW121" s="36"/>
      <c r="SX121" s="36"/>
      <c r="SY121" s="36"/>
      <c r="SZ121" s="36"/>
      <c r="TA121" s="36"/>
      <c r="TB121" s="36"/>
      <c r="TC121" s="36"/>
      <c r="TD121" s="36"/>
      <c r="TE121" s="36"/>
      <c r="TF121" s="36"/>
      <c r="TG121" s="36"/>
      <c r="TH121" s="36"/>
      <c r="TI121" s="36"/>
    </row>
    <row r="122" spans="1:529" ht="19.5" thickBot="1" x14ac:dyDescent="0.3">
      <c r="A122" s="298"/>
      <c r="B122" s="25" t="s">
        <v>2</v>
      </c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6"/>
      <c r="CL122" s="36"/>
      <c r="CM122" s="36"/>
      <c r="CN122" s="36"/>
      <c r="CO122" s="36"/>
      <c r="CP122" s="36"/>
      <c r="CQ122" s="36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6"/>
      <c r="DG122" s="36"/>
      <c r="DH122" s="36"/>
      <c r="DI122" s="36"/>
      <c r="DJ122" s="36"/>
      <c r="DK122" s="36"/>
      <c r="DL122" s="36"/>
      <c r="DM122" s="36"/>
      <c r="DN122" s="36"/>
      <c r="DO122" s="36"/>
      <c r="DP122" s="36"/>
      <c r="DQ122" s="36"/>
      <c r="DR122" s="36"/>
      <c r="DS122" s="36"/>
      <c r="DT122" s="36"/>
      <c r="DU122" s="36"/>
      <c r="DV122" s="36"/>
      <c r="DW122" s="36"/>
      <c r="DX122" s="36"/>
      <c r="DY122" s="36"/>
      <c r="DZ122" s="36"/>
      <c r="EA122" s="36"/>
      <c r="EB122" s="36"/>
      <c r="EC122" s="36"/>
      <c r="ED122" s="36"/>
      <c r="EE122" s="36"/>
      <c r="EF122" s="36"/>
      <c r="EG122" s="36"/>
      <c r="EH122" s="36"/>
      <c r="EI122" s="36"/>
      <c r="EJ122" s="36"/>
      <c r="EK122" s="36"/>
      <c r="EL122" s="36"/>
      <c r="EM122" s="36"/>
      <c r="EN122" s="36"/>
      <c r="EO122" s="36"/>
      <c r="EP122" s="36"/>
      <c r="EQ122" s="36"/>
      <c r="ER122" s="36"/>
      <c r="ES122" s="36"/>
      <c r="ET122" s="36"/>
      <c r="EU122" s="36"/>
      <c r="EV122" s="36"/>
      <c r="EW122" s="36"/>
      <c r="EX122" s="36"/>
      <c r="EY122" s="36"/>
      <c r="EZ122" s="36"/>
      <c r="FA122" s="36"/>
      <c r="FB122" s="36"/>
      <c r="FC122" s="36"/>
      <c r="FD122" s="36"/>
      <c r="FE122" s="36"/>
      <c r="FF122" s="36"/>
      <c r="FG122" s="36"/>
      <c r="FH122" s="36"/>
      <c r="FI122" s="36"/>
      <c r="FJ122" s="36"/>
      <c r="FK122" s="36"/>
      <c r="FL122" s="36"/>
      <c r="FM122" s="36"/>
      <c r="FN122" s="36"/>
      <c r="FO122" s="36"/>
      <c r="FP122" s="36"/>
      <c r="FQ122" s="36"/>
      <c r="FR122" s="36"/>
      <c r="FS122" s="36"/>
      <c r="FT122" s="36"/>
      <c r="FU122" s="36"/>
      <c r="FV122" s="36"/>
      <c r="FW122" s="36"/>
      <c r="FX122" s="36"/>
      <c r="FY122" s="36"/>
      <c r="FZ122" s="36"/>
      <c r="GA122" s="36"/>
      <c r="GB122" s="36"/>
      <c r="GC122" s="36"/>
      <c r="GD122" s="36"/>
      <c r="GE122" s="36"/>
      <c r="GF122" s="36"/>
      <c r="GG122" s="36"/>
      <c r="GH122" s="36"/>
      <c r="GI122" s="36"/>
      <c r="GJ122" s="36"/>
      <c r="GK122" s="36"/>
      <c r="GL122" s="36"/>
      <c r="GM122" s="36"/>
      <c r="GN122" s="36"/>
      <c r="GO122" s="36"/>
      <c r="GP122" s="36"/>
      <c r="GQ122" s="36"/>
      <c r="GR122" s="36"/>
      <c r="GS122" s="36"/>
      <c r="GT122" s="36"/>
      <c r="GU122" s="36"/>
      <c r="GV122" s="36"/>
      <c r="GW122" s="36"/>
      <c r="GX122" s="36"/>
      <c r="GY122" s="36"/>
      <c r="GZ122" s="36"/>
      <c r="HA122" s="36"/>
      <c r="HB122" s="36"/>
      <c r="HC122" s="36"/>
      <c r="HD122" s="36"/>
      <c r="HE122" s="36"/>
      <c r="HF122" s="36"/>
      <c r="HG122" s="36"/>
      <c r="HH122" s="36"/>
      <c r="HI122" s="36"/>
      <c r="HJ122" s="36"/>
      <c r="HK122" s="36"/>
      <c r="HL122" s="36"/>
      <c r="HM122" s="36"/>
      <c r="HN122" s="36"/>
      <c r="HO122" s="36"/>
      <c r="HP122" s="36"/>
      <c r="HQ122" s="36"/>
      <c r="HR122" s="36"/>
      <c r="HS122" s="36"/>
      <c r="HT122" s="36"/>
      <c r="HU122" s="36"/>
      <c r="HV122" s="36"/>
      <c r="HW122" s="36"/>
      <c r="HX122" s="36"/>
      <c r="HY122" s="36"/>
      <c r="HZ122" s="36"/>
      <c r="IA122" s="36"/>
      <c r="IB122" s="36"/>
      <c r="IC122" s="36"/>
      <c r="ID122" s="36"/>
      <c r="IE122" s="36"/>
      <c r="IF122" s="36"/>
      <c r="IG122" s="36"/>
      <c r="IH122" s="36"/>
      <c r="II122" s="36"/>
      <c r="IJ122" s="36"/>
      <c r="IK122" s="36"/>
      <c r="IL122" s="36"/>
      <c r="IM122" s="36"/>
      <c r="IN122" s="36"/>
      <c r="IO122" s="36"/>
      <c r="IP122" s="36"/>
      <c r="IQ122" s="36"/>
      <c r="IR122" s="36"/>
      <c r="IS122" s="36"/>
      <c r="IT122" s="36"/>
      <c r="IU122" s="36"/>
      <c r="IV122" s="36"/>
      <c r="IW122" s="36"/>
      <c r="IX122" s="36"/>
      <c r="IY122" s="36"/>
      <c r="IZ122" s="36"/>
      <c r="JA122" s="36"/>
      <c r="JB122" s="36"/>
      <c r="JC122" s="36"/>
      <c r="JD122" s="36"/>
      <c r="JE122" s="36"/>
      <c r="JF122" s="36"/>
      <c r="JG122" s="36"/>
      <c r="JH122" s="36"/>
      <c r="JI122" s="36"/>
      <c r="JJ122" s="36"/>
      <c r="JK122" s="36"/>
      <c r="JL122" s="36"/>
      <c r="JM122" s="36"/>
      <c r="JN122" s="36"/>
      <c r="JO122" s="36"/>
      <c r="JP122" s="36"/>
      <c r="JQ122" s="36"/>
      <c r="JR122" s="36"/>
      <c r="JS122" s="36"/>
      <c r="JT122" s="36"/>
      <c r="JU122" s="36"/>
      <c r="JV122" s="36"/>
      <c r="JW122" s="36"/>
      <c r="JX122" s="36"/>
      <c r="JY122" s="36"/>
      <c r="JZ122" s="36"/>
      <c r="KA122" s="36"/>
      <c r="KB122" s="36"/>
      <c r="KC122" s="36"/>
      <c r="KD122" s="36"/>
      <c r="KE122" s="36"/>
      <c r="KF122" s="36"/>
      <c r="KG122" s="36"/>
      <c r="KH122" s="36"/>
      <c r="KI122" s="36"/>
      <c r="KJ122" s="36"/>
      <c r="KK122" s="36"/>
      <c r="KL122" s="36"/>
      <c r="KM122" s="36"/>
      <c r="KN122" s="36"/>
      <c r="KO122" s="36"/>
      <c r="KP122" s="36"/>
      <c r="KQ122" s="36"/>
      <c r="KR122" s="36"/>
      <c r="KS122" s="36"/>
      <c r="KT122" s="36"/>
      <c r="KU122" s="36"/>
      <c r="KV122" s="36"/>
      <c r="KW122" s="36"/>
      <c r="KX122" s="36"/>
      <c r="KY122" s="36"/>
      <c r="KZ122" s="36"/>
      <c r="LA122" s="36"/>
      <c r="LB122" s="36"/>
      <c r="LC122" s="36"/>
      <c r="LD122" s="36"/>
      <c r="LE122" s="36"/>
      <c r="LF122" s="36"/>
      <c r="LG122" s="36"/>
      <c r="LH122" s="36"/>
      <c r="LI122" s="36"/>
      <c r="LJ122" s="36"/>
      <c r="LK122" s="36"/>
      <c r="LL122" s="36"/>
      <c r="LM122" s="36"/>
      <c r="LN122" s="36"/>
      <c r="LO122" s="36"/>
      <c r="LP122" s="36"/>
      <c r="LQ122" s="36"/>
      <c r="LR122" s="36"/>
      <c r="LS122" s="36"/>
      <c r="LT122" s="36"/>
      <c r="LU122" s="36"/>
      <c r="LV122" s="36"/>
      <c r="LW122" s="36"/>
      <c r="LX122" s="36"/>
      <c r="LY122" s="36"/>
      <c r="LZ122" s="36"/>
      <c r="MA122" s="36"/>
      <c r="MB122" s="36"/>
      <c r="MC122" s="36"/>
      <c r="MD122" s="36"/>
      <c r="ME122" s="36"/>
      <c r="MF122" s="36"/>
      <c r="MG122" s="36"/>
      <c r="MH122" s="36"/>
      <c r="MI122" s="36"/>
      <c r="MJ122" s="36"/>
      <c r="MK122" s="36"/>
      <c r="ML122" s="36"/>
      <c r="MM122" s="36"/>
      <c r="MN122" s="36"/>
      <c r="MO122" s="36"/>
      <c r="MP122" s="36"/>
      <c r="MQ122" s="36"/>
      <c r="MR122" s="36"/>
      <c r="MS122" s="36"/>
      <c r="MT122" s="36"/>
      <c r="MU122" s="36"/>
      <c r="MV122" s="135">
        <f t="shared" si="1121"/>
        <v>2E-3</v>
      </c>
      <c r="MW122" s="112">
        <f t="shared" si="1122"/>
        <v>2E-3</v>
      </c>
      <c r="MX122" s="113">
        <f t="shared" si="1123"/>
        <v>2E-3</v>
      </c>
      <c r="MY122" s="113">
        <f t="shared" si="1124"/>
        <v>2E-3</v>
      </c>
      <c r="MZ122" s="113">
        <f t="shared" ref="MZ122:MZ130" si="1132">G31</f>
        <v>2E-3</v>
      </c>
      <c r="NA122" s="113">
        <f t="shared" ref="NA122:NA130" si="1133">H31</f>
        <v>2E-3</v>
      </c>
      <c r="NB122" s="113">
        <f t="shared" ref="NB122:NB130" si="1134">I31</f>
        <v>2E-3</v>
      </c>
      <c r="NC122" s="113">
        <f t="shared" ref="NC122:NC130" si="1135">J31</f>
        <v>2E-3</v>
      </c>
      <c r="ND122" s="113">
        <f t="shared" ref="ND122:ND130" si="1136">K31</f>
        <v>2E-3</v>
      </c>
      <c r="NE122" s="113">
        <f t="shared" ref="NE122:NE130" si="1137">L31</f>
        <v>2E-3</v>
      </c>
      <c r="NF122" s="113">
        <f t="shared" ref="NF122:NF130" si="1138">M31</f>
        <v>2E-3</v>
      </c>
      <c r="NG122" s="113">
        <f t="shared" ref="NG122:NG130" si="1139">N31</f>
        <v>2E-3</v>
      </c>
      <c r="NH122" s="113">
        <f t="shared" ref="NH122:NH130" si="1140">O31</f>
        <v>2E-3</v>
      </c>
      <c r="NI122" s="113">
        <f t="shared" ref="NI122:NI130" si="1141">P31</f>
        <v>2E-3</v>
      </c>
      <c r="NJ122" s="113">
        <f t="shared" ref="NJ122:NJ130" si="1142">Q31</f>
        <v>2E-3</v>
      </c>
      <c r="NK122" s="113">
        <f t="shared" ref="NK122:NK130" si="1143">R31</f>
        <v>2E-3</v>
      </c>
      <c r="NL122" s="113">
        <f t="shared" ref="NL122:NL130" si="1144">S31</f>
        <v>2E-3</v>
      </c>
      <c r="NM122" s="113">
        <f t="shared" ref="NM122:NM130" si="1145">T31</f>
        <v>2E-3</v>
      </c>
      <c r="NN122" s="113">
        <f t="shared" ref="NN122:NN130" si="1146">U31</f>
        <v>2E-3</v>
      </c>
      <c r="NO122" s="113">
        <f t="shared" ref="NO122:NO130" si="1147">V31</f>
        <v>2E-3</v>
      </c>
      <c r="NP122" s="113">
        <f t="shared" ref="NP122:NP130" si="1148">W31</f>
        <v>2E-3</v>
      </c>
      <c r="NQ122" s="113">
        <f t="shared" ref="NQ122:NQ130" si="1149">X31</f>
        <v>2E-3</v>
      </c>
      <c r="NR122" s="113">
        <f t="shared" ref="NR122:NR130" si="1150">Y31</f>
        <v>2E-3</v>
      </c>
      <c r="NS122" s="113">
        <f t="shared" ref="NS122:NS130" si="1151">Z31</f>
        <v>2E-3</v>
      </c>
      <c r="NT122" s="113">
        <f t="shared" ref="NT122:NT130" si="1152">AA31</f>
        <v>2E-3</v>
      </c>
      <c r="NU122" s="113">
        <f t="shared" ref="NU122:NU130" si="1153">AB31</f>
        <v>2E-3</v>
      </c>
      <c r="NV122" s="113">
        <f t="shared" ref="NV122:NV130" si="1154">AC31</f>
        <v>2E-3</v>
      </c>
      <c r="NW122" s="113">
        <f t="shared" ref="NW122:NW130" si="1155">AD31</f>
        <v>2E-3</v>
      </c>
      <c r="NX122" s="113">
        <f t="shared" ref="NX122:NX130" si="1156">AE31</f>
        <v>2E-3</v>
      </c>
      <c r="NY122" s="113">
        <f t="shared" ref="NY122:NY130" si="1157">AF31</f>
        <v>2E-3</v>
      </c>
      <c r="NZ122" s="113">
        <f t="shared" ref="NZ122:NZ130" si="1158">AG31</f>
        <v>2E-3</v>
      </c>
      <c r="OA122" s="113">
        <f t="shared" ref="OA122:OA130" si="1159">AH31</f>
        <v>2E-3</v>
      </c>
      <c r="OB122" s="113">
        <f t="shared" ref="OB122:OB130" si="1160">AI31</f>
        <v>2E-3</v>
      </c>
      <c r="OC122" s="113">
        <f t="shared" ref="OC122:OC130" si="1161">AJ31</f>
        <v>2E-3</v>
      </c>
      <c r="OD122" s="113">
        <f t="shared" ref="OD122:OD130" si="1162">AK31</f>
        <v>2E-3</v>
      </c>
      <c r="OE122" s="113">
        <f t="shared" ref="OE122:OE130" si="1163">AL31</f>
        <v>2E-3</v>
      </c>
      <c r="OF122" s="113">
        <f t="shared" ref="OF122:OF130" si="1164">AM31</f>
        <v>2E-3</v>
      </c>
      <c r="OG122" s="113">
        <f t="shared" ref="OG122:OG130" si="1165">AN31</f>
        <v>2E-3</v>
      </c>
      <c r="OH122" s="113">
        <f t="shared" ref="OH122:OH130" si="1166">AO31</f>
        <v>2E-3</v>
      </c>
      <c r="OI122" s="113">
        <f t="shared" ref="OI122:OI130" si="1167">AP31</f>
        <v>2E-3</v>
      </c>
      <c r="OJ122" s="113">
        <f t="shared" ref="OJ122:OJ130" si="1168">AQ31</f>
        <v>2E-3</v>
      </c>
      <c r="OK122" s="113">
        <f t="shared" ref="OK122:OK130" si="1169">AR31</f>
        <v>2E-3</v>
      </c>
      <c r="OL122" s="113">
        <f t="shared" ref="OL122:OL130" si="1170">AS31</f>
        <v>2E-3</v>
      </c>
      <c r="OM122" s="113">
        <f t="shared" ref="OM122:OM130" si="1171">AT31</f>
        <v>2E-3</v>
      </c>
      <c r="ON122" s="113">
        <f t="shared" ref="ON122:ON130" si="1172">AU31</f>
        <v>2E-3</v>
      </c>
      <c r="OO122" s="113">
        <f t="shared" ref="OO122:OO130" si="1173">AV31</f>
        <v>2E-3</v>
      </c>
      <c r="OP122" s="113">
        <f t="shared" ref="OP122:OP130" si="1174">AW31</f>
        <v>2E-3</v>
      </c>
      <c r="OQ122" s="113">
        <f t="shared" ref="OQ122:OQ130" si="1175">AX31</f>
        <v>2E-3</v>
      </c>
      <c r="OR122" s="113">
        <f t="shared" ref="OR122:OR130" si="1176">AY31</f>
        <v>2E-3</v>
      </c>
      <c r="OS122" s="113">
        <f t="shared" ref="OS122:OS130" si="1177">AZ31</f>
        <v>2E-3</v>
      </c>
      <c r="OT122" s="113">
        <f t="shared" ref="OT122:OT130" si="1178">BA31</f>
        <v>2E-3</v>
      </c>
      <c r="OU122" s="147">
        <f t="shared" ref="OU122:OU130" si="1179">BB31</f>
        <v>2E-3</v>
      </c>
      <c r="OV122" s="147">
        <f t="shared" ref="OV122:OV130" si="1180">BC31</f>
        <v>2E-3</v>
      </c>
      <c r="OW122" s="147">
        <f t="shared" ref="OW122:OW130" si="1181">BD31</f>
        <v>2E-3</v>
      </c>
      <c r="OX122" s="147">
        <f t="shared" ref="OX122:OX130" si="1182">BE31</f>
        <v>2E-3</v>
      </c>
      <c r="OY122" s="147">
        <f t="shared" ref="OY122:OY130" si="1183">BF31</f>
        <v>2E-3</v>
      </c>
      <c r="OZ122" s="147">
        <f t="shared" ref="OZ122:OZ130" si="1184">BG31</f>
        <v>2E-3</v>
      </c>
      <c r="PA122" s="147">
        <f t="shared" ref="PA122:PA130" si="1185">BH31</f>
        <v>2E-3</v>
      </c>
      <c r="PB122" s="147">
        <f t="shared" ref="PB122:PB130" si="1186">BI31</f>
        <v>2E-3</v>
      </c>
      <c r="PC122" s="147">
        <f t="shared" ref="PC122:PC130" si="1187">BJ31</f>
        <v>2E-3</v>
      </c>
      <c r="PD122" s="147">
        <f t="shared" ref="PD122:PD130" si="1188">BK31</f>
        <v>2E-3</v>
      </c>
      <c r="PE122" s="147">
        <f t="shared" ref="PE122:PE130" si="1189">BL31</f>
        <v>2E-3</v>
      </c>
      <c r="PF122" s="147">
        <f t="shared" ref="PF122:PF130" si="1190">BM31</f>
        <v>2E-3</v>
      </c>
      <c r="PG122" s="147">
        <f t="shared" ref="PG122:PG130" si="1191">BN31</f>
        <v>2E-3</v>
      </c>
      <c r="PH122" s="147">
        <f t="shared" si="1130"/>
        <v>2E-3</v>
      </c>
      <c r="PI122" s="147">
        <f t="shared" ref="PI122:PI130" si="1192">BP31</f>
        <v>2E-3</v>
      </c>
      <c r="PJ122" s="147">
        <f t="shared" ref="PJ122:PJ130" si="1193">BQ31</f>
        <v>2E-3</v>
      </c>
      <c r="PK122" s="147">
        <f t="shared" ref="PK122:PK130" si="1194">BR31</f>
        <v>2E-3</v>
      </c>
      <c r="PL122" s="147">
        <f t="shared" ref="PL122:PL130" si="1195">BS31</f>
        <v>2E-3</v>
      </c>
      <c r="PM122" s="147">
        <f t="shared" ref="PM122:PM130" si="1196">BT31</f>
        <v>2E-3</v>
      </c>
      <c r="PN122" s="147">
        <f t="shared" ref="PN122:PN130" si="1197">BU31</f>
        <v>2E-3</v>
      </c>
      <c r="PO122" s="147">
        <f t="shared" ref="PO122:PO130" si="1198">BV31</f>
        <v>2E-3</v>
      </c>
      <c r="PP122" s="147">
        <f t="shared" ref="PP122:PP130" si="1199">BW31</f>
        <v>2E-3</v>
      </c>
      <c r="PQ122" s="147">
        <f t="shared" ref="PQ122:PQ130" si="1200">BX31</f>
        <v>2E-3</v>
      </c>
      <c r="PR122" s="147">
        <f t="shared" ref="PR122:PR130" si="1201">BY31</f>
        <v>2E-3</v>
      </c>
      <c r="PS122" s="147">
        <f t="shared" ref="PS122:PS130" si="1202">BZ31</f>
        <v>2E-3</v>
      </c>
      <c r="PT122" s="147">
        <f t="shared" ref="PT122:PT130" si="1203">CA31</f>
        <v>2E-3</v>
      </c>
      <c r="PU122" s="147">
        <f t="shared" ref="PU122:PU130" si="1204">CB31</f>
        <v>2E-3</v>
      </c>
      <c r="PV122" s="147">
        <f t="shared" ref="PV122:PV130" si="1205">CC31</f>
        <v>2E-3</v>
      </c>
      <c r="PW122" s="147">
        <f t="shared" ref="PW122:PW130" si="1206">CD31</f>
        <v>2E-3</v>
      </c>
      <c r="PX122" s="147">
        <f t="shared" ref="PX122:PX130" si="1207">CE31</f>
        <v>2E-3</v>
      </c>
      <c r="PY122" s="147">
        <f t="shared" ref="PY122:PY130" si="1208">CF31</f>
        <v>2E-3</v>
      </c>
      <c r="PZ122" s="147">
        <f t="shared" ref="PZ122:PZ130" si="1209">CG31</f>
        <v>2E-3</v>
      </c>
      <c r="QA122" s="147">
        <f t="shared" ref="QA122:QA130" si="1210">CH31</f>
        <v>2E-3</v>
      </c>
      <c r="QB122" s="147">
        <f t="shared" ref="QB122:QB130" si="1211">CI31</f>
        <v>2E-3</v>
      </c>
      <c r="QC122" s="147">
        <f t="shared" ref="QC122:QC130" si="1212">CJ31</f>
        <v>2E-3</v>
      </c>
      <c r="QD122" s="147">
        <f t="shared" ref="QD122:QD130" si="1213">CK31</f>
        <v>2E-3</v>
      </c>
      <c r="QE122" s="147">
        <f t="shared" ref="QE122:QE130" si="1214">CL31</f>
        <v>2E-3</v>
      </c>
      <c r="QF122" s="147">
        <f t="shared" ref="QF122:QF130" si="1215">CM31</f>
        <v>2E-3</v>
      </c>
      <c r="QG122" s="147">
        <f t="shared" ref="QG122:QG130" si="1216">CN31</f>
        <v>2E-3</v>
      </c>
      <c r="QH122" s="147">
        <f t="shared" ref="QH122:QH130" si="1217">CO31</f>
        <v>2E-3</v>
      </c>
      <c r="QI122" s="147">
        <f t="shared" ref="QI122:QI130" si="1218">CP31</f>
        <v>2E-3</v>
      </c>
      <c r="QJ122" s="147">
        <f t="shared" ref="QJ122:QJ130" si="1219">CQ31</f>
        <v>2E-3</v>
      </c>
      <c r="QK122" s="147">
        <f t="shared" ref="QK122:QK130" si="1220">CR31</f>
        <v>2E-3</v>
      </c>
      <c r="QL122" s="147">
        <f t="shared" ref="QL122:QL130" si="1221">CS31</f>
        <v>2E-3</v>
      </c>
      <c r="QM122" s="147">
        <f t="shared" ref="QM122:QM130" si="1222">CT31</f>
        <v>2E-3</v>
      </c>
      <c r="QN122" s="147">
        <f t="shared" ref="QN122:QN130" si="1223">CU31</f>
        <v>2E-3</v>
      </c>
      <c r="QO122" s="147">
        <f t="shared" ref="QO122:QO130" si="1224">CV31</f>
        <v>2E-3</v>
      </c>
      <c r="QP122" s="147">
        <f t="shared" ref="QP122:QP130" si="1225">CW31</f>
        <v>2E-3</v>
      </c>
      <c r="QQ122" s="147">
        <f t="shared" ref="QQ122:QQ130" si="1226">CX31</f>
        <v>2E-3</v>
      </c>
      <c r="QR122" s="147">
        <f t="shared" ref="QR122:QR130" si="1227">CY31</f>
        <v>2E-3</v>
      </c>
      <c r="QS122" s="147">
        <f t="shared" ref="QS122:QS130" si="1228">CZ31</f>
        <v>2E-3</v>
      </c>
      <c r="QT122" s="157">
        <f t="shared" ref="QT122:QT130" si="1229">DA31</f>
        <v>2E-3</v>
      </c>
      <c r="QU122" s="157">
        <f t="shared" ref="QU122:QU130" si="1230">DB31</f>
        <v>2E-3</v>
      </c>
      <c r="QV122" s="157">
        <f t="shared" ref="QV122:QV130" si="1231">DC31</f>
        <v>2E-3</v>
      </c>
      <c r="QW122" s="157">
        <f t="shared" ref="QW122:QW130" si="1232">DD31</f>
        <v>2E-3</v>
      </c>
      <c r="QX122" s="157">
        <f t="shared" ref="QX122:QX130" si="1233">DE31</f>
        <v>2E-3</v>
      </c>
      <c r="QY122" s="157">
        <f t="shared" ref="QY122:QY130" si="1234">DF31</f>
        <v>2E-3</v>
      </c>
      <c r="QZ122" s="157">
        <f t="shared" ref="QZ122:QZ130" si="1235">DG31</f>
        <v>2E-3</v>
      </c>
      <c r="RA122" s="157">
        <f t="shared" ref="RA122:RA130" si="1236">DH31</f>
        <v>2E-3</v>
      </c>
      <c r="RB122" s="157">
        <f t="shared" ref="RB122:RB130" si="1237">DI31</f>
        <v>2E-3</v>
      </c>
      <c r="RC122" s="157">
        <f t="shared" ref="RC122:RC130" si="1238">DJ31</f>
        <v>2E-3</v>
      </c>
      <c r="RD122" s="157">
        <f t="shared" ref="RD122:RD130" si="1239">DK31</f>
        <v>2E-3</v>
      </c>
      <c r="RE122" s="157">
        <f t="shared" ref="RE122:RE130" si="1240">DL31</f>
        <v>2E-3</v>
      </c>
      <c r="RF122" s="157">
        <f t="shared" ref="RF122:RF130" si="1241">DM31</f>
        <v>2E-3</v>
      </c>
      <c r="RG122" s="157">
        <f t="shared" ref="RG122:RG130" si="1242">DN31</f>
        <v>2E-3</v>
      </c>
      <c r="RH122" s="157">
        <f t="shared" ref="RH122:RH130" si="1243">DO31</f>
        <v>2E-3</v>
      </c>
      <c r="RI122" s="157">
        <f t="shared" ref="RI122:RI130" si="1244">DP31</f>
        <v>2E-3</v>
      </c>
      <c r="RJ122" s="157">
        <f t="shared" ref="RJ122:RJ130" si="1245">DQ31</f>
        <v>2E-3</v>
      </c>
      <c r="RK122" s="157">
        <f t="shared" ref="RK122:RK130" si="1246">DR31</f>
        <v>2E-3</v>
      </c>
      <c r="RL122" s="157">
        <f t="shared" ref="RL122:RL130" si="1247">DS31</f>
        <v>2E-3</v>
      </c>
      <c r="RM122" s="157">
        <f t="shared" ref="RM122:RM130" si="1248">DT31</f>
        <v>2E-3</v>
      </c>
      <c r="RN122" s="157">
        <f t="shared" ref="RN122:RN130" si="1249">DU31</f>
        <v>2E-3</v>
      </c>
      <c r="RO122" s="157">
        <f t="shared" ref="RO122:RO130" si="1250">DV31</f>
        <v>2E-3</v>
      </c>
      <c r="RP122" s="157">
        <f t="shared" ref="RP122:RP130" si="1251">DW31</f>
        <v>2E-3</v>
      </c>
      <c r="RQ122" s="157">
        <f t="shared" ref="RQ122:RQ130" si="1252">DX31</f>
        <v>2E-3</v>
      </c>
      <c r="RR122" s="157">
        <f t="shared" ref="RR122:RR130" si="1253">DY31</f>
        <v>2E-3</v>
      </c>
      <c r="RS122" s="157">
        <f t="shared" ref="RS122:RS130" si="1254">DZ31</f>
        <v>2E-3</v>
      </c>
      <c r="RT122" s="157">
        <f t="shared" si="1131"/>
        <v>2E-3</v>
      </c>
      <c r="RU122" s="180">
        <f t="shared" si="1127"/>
        <v>2E-3</v>
      </c>
      <c r="RV122" s="157">
        <f t="shared" si="1127"/>
        <v>2E-3</v>
      </c>
      <c r="RW122" s="180">
        <f t="shared" si="1127"/>
        <v>2E-3</v>
      </c>
      <c r="RX122" s="157">
        <f t="shared" si="1127"/>
        <v>2E-3</v>
      </c>
      <c r="RY122" s="157">
        <f t="shared" si="1127"/>
        <v>2E-3</v>
      </c>
      <c r="RZ122" s="157">
        <f t="shared" si="1127"/>
        <v>2E-3</v>
      </c>
      <c r="SA122" s="157">
        <f t="shared" si="1127"/>
        <v>2E-3</v>
      </c>
      <c r="SB122" s="180">
        <f t="shared" si="1127"/>
        <v>2E-3</v>
      </c>
      <c r="SC122" s="157">
        <f t="shared" si="1127"/>
        <v>2E-3</v>
      </c>
      <c r="SD122" s="180">
        <f t="shared" si="1127"/>
        <v>2E-3</v>
      </c>
      <c r="SE122" s="157">
        <f t="shared" si="1128"/>
        <v>2E-3</v>
      </c>
      <c r="SF122" s="157">
        <f t="shared" si="1128"/>
        <v>2E-3</v>
      </c>
      <c r="SG122" s="157">
        <f t="shared" si="1128"/>
        <v>2E-3</v>
      </c>
      <c r="SH122" s="157">
        <f t="shared" si="1128"/>
        <v>2E-3</v>
      </c>
      <c r="SI122" s="180">
        <f t="shared" si="1128"/>
        <v>2E-3</v>
      </c>
      <c r="SJ122" s="157">
        <f t="shared" si="1128"/>
        <v>2E-3</v>
      </c>
      <c r="SK122" s="180">
        <f t="shared" si="1128"/>
        <v>2E-3</v>
      </c>
      <c r="SL122" s="157">
        <f t="shared" si="1128"/>
        <v>2E-3</v>
      </c>
      <c r="SM122" s="157">
        <f t="shared" si="1128"/>
        <v>2E-3</v>
      </c>
      <c r="SN122" s="157">
        <f t="shared" si="1128"/>
        <v>2E-3</v>
      </c>
      <c r="SO122" s="157">
        <f t="shared" si="1129"/>
        <v>2E-3</v>
      </c>
      <c r="SP122" s="180">
        <f t="shared" si="1129"/>
        <v>2E-3</v>
      </c>
      <c r="SQ122" s="157">
        <f t="shared" si="1129"/>
        <v>2E-3</v>
      </c>
      <c r="SR122" s="180">
        <f t="shared" si="1129"/>
        <v>2E-3</v>
      </c>
      <c r="SS122" s="36"/>
      <c r="ST122" s="36"/>
      <c r="SU122" s="36"/>
      <c r="SV122" s="36"/>
      <c r="SW122" s="36"/>
      <c r="SX122" s="36"/>
      <c r="SY122" s="36"/>
      <c r="SZ122" s="36"/>
      <c r="TA122" s="36"/>
      <c r="TB122" s="36"/>
      <c r="TC122" s="36"/>
      <c r="TD122" s="36"/>
      <c r="TE122" s="36"/>
      <c r="TF122" s="36"/>
      <c r="TG122" s="36"/>
      <c r="TH122" s="36"/>
      <c r="TI122" s="36"/>
    </row>
    <row r="123" spans="1:529" ht="18.75" x14ac:dyDescent="0.25">
      <c r="A123" s="298"/>
      <c r="B123" s="25" t="s">
        <v>15</v>
      </c>
      <c r="BY123" s="18"/>
      <c r="BZ123" s="18"/>
      <c r="CA123" s="18"/>
      <c r="CB123" s="18"/>
      <c r="CC123" s="18"/>
      <c r="CD123" s="18"/>
      <c r="CE123" s="18"/>
      <c r="CF123" s="18"/>
      <c r="CG123" s="18"/>
      <c r="CH123" s="18"/>
      <c r="CI123" s="18"/>
      <c r="CJ123" s="18"/>
      <c r="CK123" s="18"/>
      <c r="CL123" s="18"/>
      <c r="CM123" s="18"/>
      <c r="CN123" s="18"/>
      <c r="CO123" s="18"/>
      <c r="CP123" s="18"/>
      <c r="CQ123" s="18"/>
      <c r="CR123" s="18"/>
      <c r="CS123" s="18"/>
      <c r="CT123" s="18"/>
      <c r="CU123" s="18"/>
      <c r="CV123" s="18"/>
      <c r="CW123" s="18"/>
      <c r="CX123" s="18"/>
      <c r="CY123" s="18"/>
      <c r="CZ123" s="18"/>
      <c r="DA123" s="18"/>
      <c r="DB123" s="18"/>
      <c r="DC123" s="18"/>
      <c r="DD123" s="18"/>
      <c r="DE123" s="18"/>
      <c r="DF123" s="18"/>
      <c r="DG123" s="18"/>
      <c r="DH123" s="18"/>
      <c r="DI123" s="18"/>
      <c r="DJ123" s="18"/>
      <c r="DK123" s="18"/>
      <c r="DL123" s="18"/>
      <c r="DM123" s="18"/>
      <c r="DN123" s="18"/>
      <c r="DO123" s="18"/>
      <c r="DP123" s="18"/>
      <c r="DQ123" s="18"/>
      <c r="DR123" s="18"/>
      <c r="DS123" s="18"/>
      <c r="DT123" s="18"/>
      <c r="DU123" s="18"/>
      <c r="DV123" s="18"/>
      <c r="DW123" s="18"/>
      <c r="DX123" s="18"/>
      <c r="DY123" s="18"/>
      <c r="DZ123" s="18"/>
      <c r="EA123" s="18"/>
      <c r="EB123" s="18"/>
      <c r="EC123" s="18"/>
      <c r="ED123" s="18"/>
      <c r="EE123" s="18"/>
      <c r="EF123" s="18"/>
      <c r="EG123" s="18"/>
      <c r="EH123" s="18"/>
      <c r="EI123" s="18"/>
      <c r="EJ123" s="18"/>
      <c r="EK123" s="18"/>
      <c r="EL123" s="18"/>
      <c r="EM123" s="18"/>
      <c r="EN123" s="18"/>
      <c r="EO123" s="18"/>
      <c r="EP123" s="18"/>
      <c r="EQ123" s="18"/>
      <c r="ER123" s="18"/>
      <c r="ES123" s="18"/>
      <c r="ET123" s="18"/>
      <c r="EU123" s="18"/>
      <c r="EV123" s="18"/>
      <c r="EW123" s="18"/>
      <c r="EX123" s="18"/>
      <c r="EY123" s="18"/>
      <c r="EZ123" s="18"/>
      <c r="FA123" s="18"/>
      <c r="FB123" s="18"/>
      <c r="FC123" s="18"/>
      <c r="FD123" s="18"/>
      <c r="FE123" s="18"/>
      <c r="FF123" s="18"/>
      <c r="FG123" s="18"/>
      <c r="FH123" s="18"/>
      <c r="FI123" s="18"/>
      <c r="FJ123" s="18"/>
      <c r="FK123" s="18"/>
      <c r="FL123" s="18"/>
      <c r="FM123" s="18"/>
      <c r="FN123" s="18"/>
      <c r="FO123" s="18"/>
      <c r="FP123" s="18"/>
      <c r="FQ123" s="18"/>
      <c r="FR123" s="18"/>
      <c r="FS123" s="18"/>
      <c r="FT123" s="18"/>
      <c r="FU123" s="18"/>
      <c r="FV123" s="18"/>
      <c r="FW123" s="18"/>
      <c r="FX123" s="18"/>
      <c r="FY123" s="18"/>
      <c r="FZ123" s="18"/>
      <c r="GA123" s="18"/>
      <c r="GB123" s="18"/>
      <c r="GC123" s="18"/>
      <c r="GD123" s="18"/>
      <c r="GE123" s="18"/>
      <c r="GF123" s="18"/>
      <c r="GG123" s="18"/>
      <c r="GH123" s="18"/>
      <c r="GI123" s="18"/>
      <c r="GJ123" s="18"/>
      <c r="GK123" s="18"/>
      <c r="GL123" s="18"/>
      <c r="GM123" s="18"/>
      <c r="GN123" s="18"/>
      <c r="GO123" s="18"/>
      <c r="GP123" s="18"/>
      <c r="GQ123" s="18"/>
      <c r="GR123" s="18"/>
      <c r="GS123" s="18"/>
      <c r="GT123" s="18"/>
      <c r="GU123" s="18"/>
      <c r="GV123" s="18"/>
      <c r="GW123" s="18"/>
      <c r="GX123" s="18"/>
      <c r="GY123" s="18"/>
      <c r="GZ123" s="18"/>
      <c r="HA123" s="18"/>
      <c r="HB123" s="18"/>
      <c r="HC123" s="18"/>
      <c r="HD123" s="18"/>
      <c r="HE123" s="18"/>
      <c r="HF123" s="18"/>
      <c r="HG123" s="18"/>
      <c r="HH123" s="18"/>
      <c r="HI123" s="18"/>
      <c r="HJ123" s="18"/>
      <c r="HK123" s="18"/>
      <c r="HL123" s="18"/>
      <c r="HM123" s="18"/>
      <c r="HN123" s="18"/>
      <c r="HO123" s="18"/>
      <c r="HP123" s="18"/>
      <c r="HQ123" s="18"/>
      <c r="HR123" s="18"/>
      <c r="HS123" s="18"/>
      <c r="HT123" s="18"/>
      <c r="HU123" s="18"/>
      <c r="HV123" s="18"/>
      <c r="HW123" s="18"/>
      <c r="HX123" s="18"/>
      <c r="HY123" s="18"/>
      <c r="HZ123" s="18"/>
      <c r="IA123" s="18"/>
      <c r="IB123" s="18"/>
      <c r="IC123" s="18"/>
      <c r="ID123" s="18"/>
      <c r="IE123" s="18"/>
      <c r="IF123" s="18"/>
      <c r="IG123" s="18"/>
      <c r="IH123" s="18"/>
      <c r="II123" s="18"/>
      <c r="IJ123" s="18"/>
      <c r="IK123" s="18"/>
      <c r="IL123" s="18"/>
      <c r="IM123" s="18"/>
      <c r="IN123" s="18"/>
      <c r="IO123" s="18"/>
      <c r="IP123" s="18"/>
      <c r="IQ123" s="18"/>
      <c r="IR123" s="18"/>
      <c r="IS123" s="18"/>
      <c r="IT123" s="18"/>
      <c r="IU123" s="18"/>
      <c r="IV123" s="18"/>
      <c r="IW123" s="18"/>
      <c r="IX123" s="18"/>
      <c r="IY123" s="18"/>
      <c r="IZ123" s="18"/>
      <c r="JA123" s="18"/>
      <c r="JB123" s="18"/>
      <c r="JC123" s="18"/>
      <c r="JD123" s="18"/>
      <c r="JE123" s="18"/>
      <c r="JF123" s="18"/>
      <c r="JG123" s="18"/>
      <c r="JH123" s="18"/>
      <c r="JI123" s="18"/>
      <c r="JJ123" s="18"/>
      <c r="JK123" s="18"/>
      <c r="JL123" s="18"/>
      <c r="JM123" s="18"/>
      <c r="JN123" s="18"/>
      <c r="JO123" s="18"/>
      <c r="JP123" s="18"/>
      <c r="JQ123" s="18"/>
      <c r="JR123" s="18"/>
      <c r="JS123" s="18"/>
      <c r="JT123" s="18"/>
      <c r="JU123" s="18"/>
      <c r="JV123" s="18"/>
      <c r="JW123" s="18"/>
      <c r="JX123" s="18"/>
      <c r="JY123" s="18"/>
      <c r="JZ123" s="18"/>
      <c r="KA123" s="18"/>
      <c r="KB123" s="18"/>
      <c r="KC123" s="18"/>
      <c r="KD123" s="18"/>
      <c r="KE123" s="18"/>
      <c r="KF123" s="18"/>
      <c r="KG123" s="18"/>
      <c r="KH123" s="18"/>
      <c r="KI123" s="18"/>
      <c r="KJ123" s="18"/>
      <c r="KK123" s="18"/>
      <c r="KL123" s="18"/>
      <c r="KM123" s="18"/>
      <c r="KN123" s="18"/>
      <c r="KO123" s="18"/>
      <c r="KP123" s="18"/>
      <c r="KQ123" s="18"/>
      <c r="KR123" s="18"/>
      <c r="KS123" s="18"/>
      <c r="KT123" s="18"/>
      <c r="KU123" s="18"/>
      <c r="KV123" s="18"/>
      <c r="KW123" s="18"/>
      <c r="KX123" s="18"/>
      <c r="KY123" s="18"/>
      <c r="KZ123" s="18"/>
      <c r="LA123" s="18"/>
      <c r="LB123" s="18"/>
      <c r="LC123" s="18"/>
      <c r="LD123" s="18"/>
      <c r="LE123" s="18"/>
      <c r="LF123" s="18"/>
      <c r="LG123" s="18"/>
      <c r="LH123" s="18"/>
      <c r="LI123" s="18"/>
      <c r="LJ123" s="18"/>
      <c r="LK123" s="18"/>
      <c r="LL123" s="18"/>
      <c r="LM123" s="18"/>
      <c r="LN123" s="18"/>
      <c r="LO123" s="18"/>
      <c r="LP123" s="18"/>
      <c r="LQ123" s="18"/>
      <c r="LR123" s="18"/>
      <c r="LS123" s="18"/>
      <c r="LT123" s="18"/>
      <c r="LU123" s="18"/>
      <c r="LV123" s="18"/>
      <c r="LW123" s="18"/>
      <c r="LX123" s="18"/>
      <c r="LY123" s="18"/>
      <c r="LZ123" s="18"/>
      <c r="MA123" s="18"/>
      <c r="MB123" s="18"/>
      <c r="MC123" s="18"/>
      <c r="MD123" s="18"/>
      <c r="ME123" s="18"/>
      <c r="MF123" s="18"/>
      <c r="MG123" s="18"/>
      <c r="MH123" s="18"/>
      <c r="MI123" s="18"/>
      <c r="MJ123" s="18"/>
      <c r="MK123" s="18"/>
      <c r="ML123" s="18"/>
      <c r="MM123" s="18"/>
      <c r="MN123" s="18"/>
      <c r="MO123" s="18"/>
      <c r="MP123" s="18"/>
      <c r="MQ123" s="18"/>
      <c r="MR123" s="18"/>
      <c r="MS123" s="18"/>
      <c r="MT123" s="18"/>
      <c r="MU123" s="18"/>
      <c r="MV123" s="139">
        <f t="shared" si="1121"/>
        <v>0.5</v>
      </c>
      <c r="MW123" s="110">
        <f t="shared" si="1122"/>
        <v>0.499</v>
      </c>
      <c r="MX123" s="110">
        <f t="shared" si="1123"/>
        <v>0.498002</v>
      </c>
      <c r="MY123" s="110">
        <f t="shared" si="1124"/>
        <v>0.49700599600000001</v>
      </c>
      <c r="MZ123" s="110">
        <f t="shared" si="1132"/>
        <v>0.49601198400799995</v>
      </c>
      <c r="NA123" s="110">
        <f t="shared" si="1133"/>
        <v>0.495019960039984</v>
      </c>
      <c r="NB123" s="110">
        <f t="shared" si="1134"/>
        <v>0.49402992011990399</v>
      </c>
      <c r="NC123" s="110">
        <f t="shared" si="1135"/>
        <v>0.49304186027966418</v>
      </c>
      <c r="ND123" s="110">
        <f t="shared" si="1136"/>
        <v>0.49205577655910482</v>
      </c>
      <c r="NE123" s="110">
        <f t="shared" si="1137"/>
        <v>0.49107166500598659</v>
      </c>
      <c r="NF123" s="110">
        <f t="shared" si="1138"/>
        <v>0.49008952167597458</v>
      </c>
      <c r="NG123" s="110">
        <f t="shared" si="1139"/>
        <v>0.48910934263262268</v>
      </c>
      <c r="NH123" s="110">
        <f t="shared" si="1140"/>
        <v>0.48813112394735741</v>
      </c>
      <c r="NI123" s="110">
        <f t="shared" si="1141"/>
        <v>0.4871548616994627</v>
      </c>
      <c r="NJ123" s="110">
        <f t="shared" si="1142"/>
        <v>0.4861805519760638</v>
      </c>
      <c r="NK123" s="110">
        <f t="shared" si="1143"/>
        <v>0.48520819087211164</v>
      </c>
      <c r="NL123" s="110">
        <f t="shared" si="1144"/>
        <v>0.48423777449036742</v>
      </c>
      <c r="NM123" s="110">
        <f t="shared" si="1145"/>
        <v>0.4832692989413867</v>
      </c>
      <c r="NN123" s="110">
        <f t="shared" si="1146"/>
        <v>0.48230276034350389</v>
      </c>
      <c r="NO123" s="110">
        <f t="shared" si="1147"/>
        <v>0.48133815482281689</v>
      </c>
      <c r="NP123" s="110">
        <f t="shared" si="1148"/>
        <v>0.48037547851317125</v>
      </c>
      <c r="NQ123" s="110">
        <f t="shared" si="1149"/>
        <v>0.47941472755614489</v>
      </c>
      <c r="NR123" s="110">
        <f t="shared" si="1150"/>
        <v>0.47845589810103262</v>
      </c>
      <c r="NS123" s="110">
        <f t="shared" si="1151"/>
        <v>0.47749898630483056</v>
      </c>
      <c r="NT123" s="110">
        <f t="shared" si="1152"/>
        <v>0.47654398833222095</v>
      </c>
      <c r="NU123" s="110">
        <f t="shared" si="1153"/>
        <v>0.47559090035555646</v>
      </c>
      <c r="NV123" s="110">
        <f t="shared" si="1154"/>
        <v>0.47463971855484532</v>
      </c>
      <c r="NW123" s="110">
        <f t="shared" si="1155"/>
        <v>0.47369043911773567</v>
      </c>
      <c r="NX123" s="110">
        <f t="shared" si="1156"/>
        <v>0.47274305823950019</v>
      </c>
      <c r="NY123" s="110">
        <f t="shared" si="1157"/>
        <v>0.47179757212302115</v>
      </c>
      <c r="NZ123" s="110">
        <f t="shared" si="1158"/>
        <v>0.47085397697877512</v>
      </c>
      <c r="OA123" s="110">
        <f t="shared" si="1159"/>
        <v>0.46991226902481753</v>
      </c>
      <c r="OB123" s="110">
        <f t="shared" si="1160"/>
        <v>0.46897244448676789</v>
      </c>
      <c r="OC123" s="110">
        <f t="shared" si="1161"/>
        <v>0.46803449959779431</v>
      </c>
      <c r="OD123" s="110">
        <f t="shared" si="1162"/>
        <v>0.46709843059859874</v>
      </c>
      <c r="OE123" s="110">
        <f t="shared" si="1163"/>
        <v>0.46616423373740151</v>
      </c>
      <c r="OF123" s="110">
        <f t="shared" si="1164"/>
        <v>0.46523190526992669</v>
      </c>
      <c r="OG123" s="110">
        <f t="shared" si="1165"/>
        <v>0.4643014414593869</v>
      </c>
      <c r="OH123" s="110">
        <f t="shared" si="1166"/>
        <v>0.4633728385764681</v>
      </c>
      <c r="OI123" s="110">
        <f t="shared" si="1167"/>
        <v>0.46244609289931515</v>
      </c>
      <c r="OJ123" s="110">
        <f t="shared" si="1168"/>
        <v>0.46152120071351654</v>
      </c>
      <c r="OK123" s="110">
        <f t="shared" si="1169"/>
        <v>0.4605981583120895</v>
      </c>
      <c r="OL123" s="110">
        <f t="shared" si="1170"/>
        <v>0.45967696199546532</v>
      </c>
      <c r="OM123" s="110">
        <f t="shared" si="1171"/>
        <v>0.45875760807147442</v>
      </c>
      <c r="ON123" s="110">
        <f t="shared" si="1172"/>
        <v>0.4578400928553315</v>
      </c>
      <c r="OO123" s="110">
        <f t="shared" si="1173"/>
        <v>0.45692441266962086</v>
      </c>
      <c r="OP123" s="110">
        <f t="shared" si="1174"/>
        <v>0.45601056384428162</v>
      </c>
      <c r="OQ123" s="110">
        <f t="shared" si="1175"/>
        <v>0.45509854271659306</v>
      </c>
      <c r="OR123" s="110">
        <f t="shared" si="1176"/>
        <v>0.45418834563115984</v>
      </c>
      <c r="OS123" s="110">
        <f t="shared" si="1177"/>
        <v>0.45327996893989753</v>
      </c>
      <c r="OT123" s="110">
        <f t="shared" si="1178"/>
        <v>0.45237340900201772</v>
      </c>
      <c r="OU123" s="148">
        <f t="shared" si="1179"/>
        <v>0.45146866218401371</v>
      </c>
      <c r="OV123" s="148">
        <f t="shared" si="1180"/>
        <v>0.45056572485964563</v>
      </c>
      <c r="OW123" s="148">
        <f t="shared" si="1181"/>
        <v>0.44966459340992637</v>
      </c>
      <c r="OX123" s="148">
        <f t="shared" si="1182"/>
        <v>0.44876526422310653</v>
      </c>
      <c r="OY123" s="148">
        <f t="shared" si="1183"/>
        <v>0.44786773369466026</v>
      </c>
      <c r="OZ123" s="148">
        <f t="shared" si="1184"/>
        <v>0.44697199822727096</v>
      </c>
      <c r="PA123" s="148">
        <f t="shared" si="1185"/>
        <v>0.44607805423081642</v>
      </c>
      <c r="PB123" s="148">
        <f t="shared" si="1186"/>
        <v>0.44518589812235482</v>
      </c>
      <c r="PC123" s="148">
        <f t="shared" si="1187"/>
        <v>0.44429552632611008</v>
      </c>
      <c r="PD123" s="148">
        <f t="shared" si="1188"/>
        <v>0.44340693527345787</v>
      </c>
      <c r="PE123" s="148">
        <f t="shared" si="1189"/>
        <v>0.44252012140291097</v>
      </c>
      <c r="PF123" s="148">
        <f t="shared" si="1190"/>
        <v>0.44163508116010514</v>
      </c>
      <c r="PG123" s="148">
        <f t="shared" si="1191"/>
        <v>0.44075181099778493</v>
      </c>
      <c r="PH123" s="148">
        <f t="shared" si="1130"/>
        <v>0.4398703073757893</v>
      </c>
      <c r="PI123" s="148">
        <f t="shared" si="1192"/>
        <v>0.4389905667610377</v>
      </c>
      <c r="PJ123" s="148">
        <f t="shared" si="1193"/>
        <v>0.43811258562751565</v>
      </c>
      <c r="PK123" s="148">
        <f t="shared" si="1194"/>
        <v>0.43723636045626058</v>
      </c>
      <c r="PL123" s="148">
        <f t="shared" si="1195"/>
        <v>0.43636188773534806</v>
      </c>
      <c r="PM123" s="148">
        <f t="shared" si="1196"/>
        <v>0.4354891639598773</v>
      </c>
      <c r="PN123" s="148">
        <f t="shared" si="1197"/>
        <v>0.43461818563195753</v>
      </c>
      <c r="PO123" s="148">
        <f t="shared" si="1198"/>
        <v>0.43374894926069363</v>
      </c>
      <c r="PP123" s="148">
        <f t="shared" si="1199"/>
        <v>0.43288145136217226</v>
      </c>
      <c r="PQ123" s="148">
        <f t="shared" si="1200"/>
        <v>0.43201568845944793</v>
      </c>
      <c r="PR123" s="148">
        <f t="shared" si="1201"/>
        <v>0.43115165708252906</v>
      </c>
      <c r="PS123" s="148">
        <f t="shared" si="1202"/>
        <v>0.43028935376836397</v>
      </c>
      <c r="PT123" s="148">
        <f t="shared" si="1203"/>
        <v>0.42942877506082727</v>
      </c>
      <c r="PU123" s="148">
        <f t="shared" si="1204"/>
        <v>0.42856991751070567</v>
      </c>
      <c r="PV123" s="148">
        <f t="shared" si="1205"/>
        <v>0.42771277767568422</v>
      </c>
      <c r="PW123" s="148">
        <f t="shared" si="1206"/>
        <v>0.42685735212033288</v>
      </c>
      <c r="PX123" s="148">
        <f t="shared" si="1207"/>
        <v>0.42600363741609221</v>
      </c>
      <c r="PY123" s="148">
        <f t="shared" si="1208"/>
        <v>0.42515163014126001</v>
      </c>
      <c r="PZ123" s="148">
        <f t="shared" si="1209"/>
        <v>0.42430132688097749</v>
      </c>
      <c r="QA123" s="148">
        <f t="shared" si="1210"/>
        <v>0.42345272422721553</v>
      </c>
      <c r="QB123" s="148">
        <f t="shared" si="1211"/>
        <v>0.42260581877876108</v>
      </c>
      <c r="QC123" s="148">
        <f t="shared" si="1212"/>
        <v>0.42176060714120361</v>
      </c>
      <c r="QD123" s="148">
        <f t="shared" si="1213"/>
        <v>0.42091708592692118</v>
      </c>
      <c r="QE123" s="148">
        <f t="shared" si="1214"/>
        <v>0.42007525175506732</v>
      </c>
      <c r="QF123" s="148">
        <f t="shared" si="1215"/>
        <v>0.41923510125155722</v>
      </c>
      <c r="QG123" s="148">
        <f t="shared" si="1216"/>
        <v>0.41839663104905406</v>
      </c>
      <c r="QH123" s="148">
        <f t="shared" si="1217"/>
        <v>0.41755983778695593</v>
      </c>
      <c r="QI123" s="148">
        <f t="shared" si="1218"/>
        <v>0.41672471811138201</v>
      </c>
      <c r="QJ123" s="148">
        <f t="shared" si="1219"/>
        <v>0.4158912686751593</v>
      </c>
      <c r="QK123" s="148">
        <f t="shared" si="1220"/>
        <v>0.41505948613780896</v>
      </c>
      <c r="QL123" s="148">
        <f t="shared" si="1221"/>
        <v>0.41422936716553338</v>
      </c>
      <c r="QM123" s="148">
        <f t="shared" si="1222"/>
        <v>0.41340090843120225</v>
      </c>
      <c r="QN123" s="148">
        <f t="shared" si="1223"/>
        <v>0.41257410661433985</v>
      </c>
      <c r="QO123" s="148">
        <f t="shared" si="1224"/>
        <v>0.4117489584011112</v>
      </c>
      <c r="QP123" s="148">
        <f t="shared" si="1225"/>
        <v>0.41092546048430895</v>
      </c>
      <c r="QQ123" s="148">
        <f t="shared" si="1226"/>
        <v>0.4101036095633403</v>
      </c>
      <c r="QR123" s="148">
        <f t="shared" si="1227"/>
        <v>0.40928340234421362</v>
      </c>
      <c r="QS123" s="148">
        <f t="shared" si="1228"/>
        <v>0.40846483553952517</v>
      </c>
      <c r="QT123" s="158">
        <f t="shared" si="1229"/>
        <v>0.40764790586844613</v>
      </c>
      <c r="QU123" s="158">
        <f t="shared" si="1230"/>
        <v>0.40683261005670923</v>
      </c>
      <c r="QV123" s="158">
        <f t="shared" si="1231"/>
        <v>0.40601894483659579</v>
      </c>
      <c r="QW123" s="158">
        <f t="shared" si="1232"/>
        <v>0.40520690694692257</v>
      </c>
      <c r="QX123" s="158">
        <f t="shared" si="1233"/>
        <v>0.40439649313302872</v>
      </c>
      <c r="QY123" s="158">
        <f t="shared" si="1234"/>
        <v>0.40358770014676271</v>
      </c>
      <c r="QZ123" s="158">
        <f t="shared" si="1235"/>
        <v>0.40278052474646914</v>
      </c>
      <c r="RA123" s="158">
        <f t="shared" si="1236"/>
        <v>0.40197496369697622</v>
      </c>
      <c r="RB123" s="158">
        <f t="shared" si="1237"/>
        <v>0.40117101376958225</v>
      </c>
      <c r="RC123" s="158">
        <f t="shared" si="1238"/>
        <v>0.4003686717420431</v>
      </c>
      <c r="RD123" s="158">
        <f t="shared" si="1239"/>
        <v>0.39956793439855903</v>
      </c>
      <c r="RE123" s="158">
        <f t="shared" si="1240"/>
        <v>0.39876879852976194</v>
      </c>
      <c r="RF123" s="158">
        <f t="shared" si="1241"/>
        <v>0.39797126093270235</v>
      </c>
      <c r="RG123" s="158">
        <f t="shared" si="1242"/>
        <v>0.39717531841083697</v>
      </c>
      <c r="RH123" s="158">
        <f t="shared" si="1243"/>
        <v>0.39638096777401532</v>
      </c>
      <c r="RI123" s="158">
        <f t="shared" si="1244"/>
        <v>0.39558820583846727</v>
      </c>
      <c r="RJ123" s="158">
        <f t="shared" si="1245"/>
        <v>0.39479702942679035</v>
      </c>
      <c r="RK123" s="158">
        <f t="shared" si="1246"/>
        <v>0.39400743536793675</v>
      </c>
      <c r="RL123" s="158">
        <f t="shared" si="1247"/>
        <v>0.39321942049720088</v>
      </c>
      <c r="RM123" s="158">
        <f t="shared" si="1248"/>
        <v>0.39243298165620649</v>
      </c>
      <c r="RN123" s="158">
        <f t="shared" si="1249"/>
        <v>0.39164811569289409</v>
      </c>
      <c r="RO123" s="158">
        <f t="shared" si="1250"/>
        <v>0.39086481946150825</v>
      </c>
      <c r="RP123" s="158">
        <f t="shared" si="1251"/>
        <v>0.39008308982258527</v>
      </c>
      <c r="RQ123" s="158">
        <f t="shared" si="1252"/>
        <v>0.38930292364294006</v>
      </c>
      <c r="RR123" s="158">
        <f t="shared" si="1253"/>
        <v>0.38852431779565422</v>
      </c>
      <c r="RS123" s="158">
        <f t="shared" si="1254"/>
        <v>0.38774726916006291</v>
      </c>
      <c r="RT123" s="158">
        <f t="shared" si="1131"/>
        <v>0.38697177462174281</v>
      </c>
      <c r="RU123" s="158">
        <f t="shared" si="1127"/>
        <v>0.33782635924478144</v>
      </c>
      <c r="RV123" s="158">
        <f t="shared" si="1127"/>
        <v>0.33715070652629187</v>
      </c>
      <c r="RW123" s="158">
        <f t="shared" si="1127"/>
        <v>0.28831201846662613</v>
      </c>
      <c r="RX123" s="158">
        <f t="shared" si="1127"/>
        <v>0.28773539442969287</v>
      </c>
      <c r="RY123" s="158">
        <f t="shared" si="1127"/>
        <v>0.28715992364083348</v>
      </c>
      <c r="RZ123" s="158">
        <f t="shared" si="1127"/>
        <v>0.2865856037935518</v>
      </c>
      <c r="SA123" s="158">
        <f t="shared" si="1127"/>
        <v>0.2860124325859647</v>
      </c>
      <c r="SB123" s="158">
        <f t="shared" si="1127"/>
        <v>0.23777166895646529</v>
      </c>
      <c r="SC123" s="158">
        <f t="shared" si="1127"/>
        <v>0.23729612561855234</v>
      </c>
      <c r="SD123" s="158">
        <f t="shared" si="1127"/>
        <v>0.18936230824360475</v>
      </c>
      <c r="SE123" s="158">
        <f t="shared" si="1128"/>
        <v>0.18898358362711756</v>
      </c>
      <c r="SF123" s="158">
        <f t="shared" si="1128"/>
        <v>0.18860561645986332</v>
      </c>
      <c r="SG123" s="158">
        <f t="shared" si="1128"/>
        <v>0.18822840522694359</v>
      </c>
      <c r="SH123" s="158">
        <f t="shared" si="1128"/>
        <v>0.18785194841648972</v>
      </c>
      <c r="SI123" s="158">
        <f t="shared" si="1128"/>
        <v>0.1405132574155343</v>
      </c>
      <c r="SJ123" s="158">
        <f t="shared" si="1128"/>
        <v>0.14023223090070322</v>
      </c>
      <c r="SK123" s="158">
        <f t="shared" si="1128"/>
        <v>9.320768947200074E-2</v>
      </c>
      <c r="SL123" s="158">
        <f t="shared" si="1128"/>
        <v>9.302127409305673E-2</v>
      </c>
      <c r="SM123" s="158">
        <f t="shared" si="1128"/>
        <v>9.2835231544870625E-2</v>
      </c>
      <c r="SN123" s="158">
        <f t="shared" si="1128"/>
        <v>9.2649561081780893E-2</v>
      </c>
      <c r="SO123" s="158">
        <f t="shared" si="1129"/>
        <v>9.2464261959617336E-2</v>
      </c>
      <c r="SP123" s="158">
        <f t="shared" si="1129"/>
        <v>4.6047202455889426E-2</v>
      </c>
      <c r="SQ123" s="158">
        <f t="shared" si="1129"/>
        <v>4.5955108050977654E-2</v>
      </c>
      <c r="SR123" s="158">
        <f t="shared" si="1129"/>
        <v>-9.1910216101958044E-5</v>
      </c>
      <c r="SS123" s="36"/>
      <c r="ST123" s="36"/>
      <c r="SU123" s="36"/>
      <c r="SV123" s="36"/>
      <c r="SW123" s="36"/>
      <c r="SX123" s="36"/>
      <c r="SY123" s="36"/>
      <c r="SZ123" s="36"/>
      <c r="TA123" s="36"/>
      <c r="TB123" s="36"/>
      <c r="TC123" s="36"/>
      <c r="TD123" s="36"/>
      <c r="TE123" s="36"/>
      <c r="TF123" s="36"/>
      <c r="TG123" s="36"/>
      <c r="TH123" s="36"/>
      <c r="TI123" s="36"/>
    </row>
    <row r="124" spans="1:529" ht="18.75" x14ac:dyDescent="0.25">
      <c r="A124" s="298"/>
      <c r="B124" s="25" t="s">
        <v>10</v>
      </c>
      <c r="BY124" s="18"/>
      <c r="BZ124" s="18"/>
      <c r="CA124" s="18"/>
      <c r="CB124" s="18"/>
      <c r="CC124" s="18"/>
      <c r="CD124" s="18"/>
      <c r="CE124" s="18"/>
      <c r="CF124" s="18"/>
      <c r="CG124" s="18"/>
      <c r="CH124" s="18"/>
      <c r="CI124" s="18"/>
      <c r="CJ124" s="18"/>
      <c r="CK124" s="18"/>
      <c r="CL124" s="18"/>
      <c r="CM124" s="18"/>
      <c r="CN124" s="18"/>
      <c r="CO124" s="18"/>
      <c r="CP124" s="18"/>
      <c r="CQ124" s="18"/>
      <c r="CR124" s="18"/>
      <c r="CS124" s="18"/>
      <c r="CT124" s="18"/>
      <c r="CU124" s="18"/>
      <c r="CV124" s="18"/>
      <c r="CW124" s="18"/>
      <c r="CX124" s="18"/>
      <c r="CY124" s="18"/>
      <c r="CZ124" s="18"/>
      <c r="DA124" s="18"/>
      <c r="DB124" s="18"/>
      <c r="DC124" s="18"/>
      <c r="DD124" s="18"/>
      <c r="DE124" s="18"/>
      <c r="DF124" s="18"/>
      <c r="DG124" s="18"/>
      <c r="DH124" s="18"/>
      <c r="DI124" s="18"/>
      <c r="DJ124" s="18"/>
      <c r="DK124" s="18"/>
      <c r="DL124" s="18"/>
      <c r="DM124" s="18"/>
      <c r="DN124" s="18"/>
      <c r="DO124" s="18"/>
      <c r="DP124" s="18"/>
      <c r="DQ124" s="18"/>
      <c r="DR124" s="18"/>
      <c r="DS124" s="18"/>
      <c r="DT124" s="18"/>
      <c r="DU124" s="18"/>
      <c r="DV124" s="18"/>
      <c r="DW124" s="18"/>
      <c r="DX124" s="18"/>
      <c r="DY124" s="18"/>
      <c r="DZ124" s="18"/>
      <c r="EA124" s="18"/>
      <c r="EB124" s="18"/>
      <c r="EC124" s="18"/>
      <c r="ED124" s="18"/>
      <c r="EE124" s="18"/>
      <c r="EF124" s="18"/>
      <c r="EG124" s="18"/>
      <c r="EH124" s="18"/>
      <c r="EI124" s="18"/>
      <c r="EJ124" s="18"/>
      <c r="EK124" s="18"/>
      <c r="EL124" s="18"/>
      <c r="EM124" s="18"/>
      <c r="EN124" s="18"/>
      <c r="EO124" s="18"/>
      <c r="EP124" s="18"/>
      <c r="EQ124" s="18"/>
      <c r="ER124" s="18"/>
      <c r="ES124" s="18"/>
      <c r="ET124" s="18"/>
      <c r="EU124" s="18"/>
      <c r="EV124" s="18"/>
      <c r="EW124" s="18"/>
      <c r="EX124" s="18"/>
      <c r="EY124" s="18"/>
      <c r="EZ124" s="18"/>
      <c r="FA124" s="18"/>
      <c r="FB124" s="18"/>
      <c r="FC124" s="18"/>
      <c r="FD124" s="18"/>
      <c r="FE124" s="18"/>
      <c r="FF124" s="18"/>
      <c r="FG124" s="18"/>
      <c r="FH124" s="18"/>
      <c r="FI124" s="18"/>
      <c r="FJ124" s="18"/>
      <c r="FK124" s="18"/>
      <c r="FL124" s="18"/>
      <c r="FM124" s="18"/>
      <c r="FN124" s="18"/>
      <c r="FO124" s="18"/>
      <c r="FP124" s="18"/>
      <c r="FQ124" s="18"/>
      <c r="FR124" s="18"/>
      <c r="FS124" s="18"/>
      <c r="FT124" s="18"/>
      <c r="FU124" s="18"/>
      <c r="FV124" s="18"/>
      <c r="FW124" s="18"/>
      <c r="FX124" s="18"/>
      <c r="FY124" s="18"/>
      <c r="FZ124" s="18"/>
      <c r="GA124" s="18"/>
      <c r="GB124" s="18"/>
      <c r="GC124" s="18"/>
      <c r="GD124" s="18"/>
      <c r="GE124" s="18"/>
      <c r="GF124" s="18"/>
      <c r="GG124" s="18"/>
      <c r="GH124" s="18"/>
      <c r="GI124" s="18"/>
      <c r="GJ124" s="18"/>
      <c r="GK124" s="18"/>
      <c r="GL124" s="18"/>
      <c r="GM124" s="18"/>
      <c r="GN124" s="18"/>
      <c r="GO124" s="18"/>
      <c r="GP124" s="18"/>
      <c r="GQ124" s="18"/>
      <c r="GR124" s="18"/>
      <c r="GS124" s="18"/>
      <c r="GT124" s="18"/>
      <c r="GU124" s="18"/>
      <c r="GV124" s="18"/>
      <c r="GW124" s="18"/>
      <c r="GX124" s="18"/>
      <c r="GY124" s="18"/>
      <c r="GZ124" s="18"/>
      <c r="HA124" s="18"/>
      <c r="HB124" s="18"/>
      <c r="HC124" s="18"/>
      <c r="HD124" s="18"/>
      <c r="HE124" s="18"/>
      <c r="HF124" s="18"/>
      <c r="HG124" s="18"/>
      <c r="HH124" s="18"/>
      <c r="HI124" s="18"/>
      <c r="HJ124" s="18"/>
      <c r="HK124" s="18"/>
      <c r="HL124" s="18"/>
      <c r="HM124" s="18"/>
      <c r="HN124" s="18"/>
      <c r="HO124" s="18"/>
      <c r="HP124" s="18"/>
      <c r="HQ124" s="18"/>
      <c r="HR124" s="18"/>
      <c r="HS124" s="18"/>
      <c r="HT124" s="18"/>
      <c r="HU124" s="18"/>
      <c r="HV124" s="18"/>
      <c r="HW124" s="18"/>
      <c r="HX124" s="18"/>
      <c r="HY124" s="18"/>
      <c r="HZ124" s="18"/>
      <c r="IA124" s="18"/>
      <c r="IB124" s="18"/>
      <c r="IC124" s="18"/>
      <c r="ID124" s="18"/>
      <c r="IE124" s="18"/>
      <c r="IF124" s="18"/>
      <c r="IG124" s="18"/>
      <c r="IH124" s="18"/>
      <c r="II124" s="18"/>
      <c r="IJ124" s="18"/>
      <c r="IK124" s="18"/>
      <c r="IL124" s="18"/>
      <c r="IM124" s="18"/>
      <c r="IN124" s="18"/>
      <c r="IO124" s="18"/>
      <c r="IP124" s="18"/>
      <c r="IQ124" s="18"/>
      <c r="IR124" s="18"/>
      <c r="IS124" s="18"/>
      <c r="IT124" s="18"/>
      <c r="IU124" s="18"/>
      <c r="IV124" s="18"/>
      <c r="IW124" s="18"/>
      <c r="IX124" s="18"/>
      <c r="IY124" s="18"/>
      <c r="IZ124" s="18"/>
      <c r="JA124" s="18"/>
      <c r="JB124" s="18"/>
      <c r="JC124" s="18"/>
      <c r="JD124" s="18"/>
      <c r="JE124" s="18"/>
      <c r="JF124" s="18"/>
      <c r="JG124" s="18"/>
      <c r="JH124" s="18"/>
      <c r="JI124" s="18"/>
      <c r="JJ124" s="18"/>
      <c r="JK124" s="18"/>
      <c r="JL124" s="18"/>
      <c r="JM124" s="18"/>
      <c r="JN124" s="18"/>
      <c r="JO124" s="18"/>
      <c r="JP124" s="18"/>
      <c r="JQ124" s="18"/>
      <c r="JR124" s="18"/>
      <c r="JS124" s="18"/>
      <c r="JT124" s="18"/>
      <c r="JU124" s="18"/>
      <c r="JV124" s="18"/>
      <c r="JW124" s="18"/>
      <c r="JX124" s="18"/>
      <c r="JY124" s="18"/>
      <c r="JZ124" s="18"/>
      <c r="KA124" s="18"/>
      <c r="KB124" s="18"/>
      <c r="KC124" s="18"/>
      <c r="KD124" s="18"/>
      <c r="KE124" s="18"/>
      <c r="KF124" s="18"/>
      <c r="KG124" s="18"/>
      <c r="KH124" s="18"/>
      <c r="KI124" s="18"/>
      <c r="KJ124" s="18"/>
      <c r="KK124" s="18"/>
      <c r="KL124" s="18"/>
      <c r="KM124" s="18"/>
      <c r="KN124" s="18"/>
      <c r="KO124" s="18"/>
      <c r="KP124" s="18"/>
      <c r="KQ124" s="18"/>
      <c r="KR124" s="18"/>
      <c r="KS124" s="18"/>
      <c r="KT124" s="18"/>
      <c r="KU124" s="18"/>
      <c r="KV124" s="18"/>
      <c r="KW124" s="18"/>
      <c r="KX124" s="18"/>
      <c r="KY124" s="18"/>
      <c r="KZ124" s="18"/>
      <c r="LA124" s="18"/>
      <c r="LB124" s="18"/>
      <c r="LC124" s="18"/>
      <c r="LD124" s="18"/>
      <c r="LE124" s="18"/>
      <c r="LF124" s="18"/>
      <c r="LG124" s="18"/>
      <c r="LH124" s="18"/>
      <c r="LI124" s="18"/>
      <c r="LJ124" s="18"/>
      <c r="LK124" s="18"/>
      <c r="LL124" s="18"/>
      <c r="LM124" s="18"/>
      <c r="LN124" s="18"/>
      <c r="LO124" s="18"/>
      <c r="LP124" s="18"/>
      <c r="LQ124" s="18"/>
      <c r="LR124" s="18"/>
      <c r="LS124" s="18"/>
      <c r="LT124" s="18"/>
      <c r="LU124" s="18"/>
      <c r="LV124" s="18"/>
      <c r="LW124" s="18"/>
      <c r="LX124" s="18"/>
      <c r="LY124" s="18"/>
      <c r="LZ124" s="18"/>
      <c r="MA124" s="18"/>
      <c r="MB124" s="18"/>
      <c r="MC124" s="18"/>
      <c r="MD124" s="18"/>
      <c r="ME124" s="18"/>
      <c r="MF124" s="18"/>
      <c r="MG124" s="18"/>
      <c r="MH124" s="18"/>
      <c r="MI124" s="18"/>
      <c r="MJ124" s="18"/>
      <c r="MK124" s="18"/>
      <c r="ML124" s="18"/>
      <c r="MM124" s="18"/>
      <c r="MN124" s="18"/>
      <c r="MO124" s="18"/>
      <c r="MP124" s="18"/>
      <c r="MQ124" s="18"/>
      <c r="MR124" s="18"/>
      <c r="MS124" s="18"/>
      <c r="MT124" s="18"/>
      <c r="MU124" s="18"/>
      <c r="MV124" s="122">
        <f t="shared" si="1121"/>
        <v>0.01</v>
      </c>
      <c r="MW124" s="115">
        <f t="shared" si="1122"/>
        <v>1.1005582593758946E-2</v>
      </c>
      <c r="MX124" s="115">
        <f t="shared" si="1123"/>
        <v>1.2106377159660616E-2</v>
      </c>
      <c r="MY124" s="115">
        <f t="shared" si="1124"/>
        <v>1.329177463494996E-2</v>
      </c>
      <c r="MZ124" s="115">
        <f t="shared" si="1132"/>
        <v>1.4588567329531619E-2</v>
      </c>
      <c r="NA124" s="115">
        <f t="shared" si="1133"/>
        <v>1.6001621613287186E-2</v>
      </c>
      <c r="NB124" s="115">
        <f t="shared" si="1134"/>
        <v>1.7513764350912106E-2</v>
      </c>
      <c r="NC124" s="115">
        <f t="shared" si="1135"/>
        <v>1.9159726586917943E-2</v>
      </c>
      <c r="ND124" s="115">
        <f t="shared" si="1136"/>
        <v>2.0916842913967924E-2</v>
      </c>
      <c r="NE124" s="115">
        <f t="shared" si="1137"/>
        <v>2.2820893014488763E-2</v>
      </c>
      <c r="NF124" s="115">
        <f t="shared" si="1138"/>
        <v>2.4875013679153523E-2</v>
      </c>
      <c r="NG124" s="115">
        <f t="shared" si="1139"/>
        <v>2.7051785083274507E-2</v>
      </c>
      <c r="NH124" s="115">
        <f t="shared" si="1140"/>
        <v>2.9391936164292577E-2</v>
      </c>
      <c r="NI124" s="115">
        <f t="shared" si="1141"/>
        <v>3.1863875340368962E-2</v>
      </c>
      <c r="NJ124" s="115">
        <f t="shared" si="1142"/>
        <v>3.4512306780663762E-2</v>
      </c>
      <c r="NK124" s="115">
        <f t="shared" si="1143"/>
        <v>3.7295557327491485E-2</v>
      </c>
      <c r="NL124" s="115">
        <f t="shared" si="1144"/>
        <v>4.026107129173058E-2</v>
      </c>
      <c r="NM124" s="115">
        <f t="shared" si="1145"/>
        <v>4.3360342612975861E-2</v>
      </c>
      <c r="NN124" s="115">
        <f t="shared" si="1146"/>
        <v>4.664991913528866E-2</v>
      </c>
      <c r="NO124" s="115">
        <f t="shared" si="1147"/>
        <v>5.0082638009534913E-2</v>
      </c>
      <c r="NP124" s="115">
        <f t="shared" si="1148"/>
        <v>5.3713064706430995E-2</v>
      </c>
      <c r="NQ124" s="115">
        <f t="shared" si="1149"/>
        <v>5.7488794243371416E-2</v>
      </c>
      <c r="NR124" s="115">
        <f t="shared" si="1150"/>
        <v>6.1459039321378257E-2</v>
      </c>
      <c r="NS124" s="115">
        <f t="shared" si="1151"/>
        <v>6.5573850206895934E-2</v>
      </c>
      <c r="NT124" s="115">
        <f t="shared" si="1152"/>
        <v>6.9894468866911849E-2</v>
      </c>
      <c r="NU124" s="115">
        <f t="shared" si="1153"/>
        <v>7.4436102539565979E-2</v>
      </c>
      <c r="NV124" s="115">
        <f t="shared" si="1154"/>
        <v>7.9133861530936309E-2</v>
      </c>
      <c r="NW124" s="115">
        <f t="shared" si="1155"/>
        <v>8.405709402530856E-2</v>
      </c>
      <c r="NX124" s="115">
        <f t="shared" si="1156"/>
        <v>8.9135398951392567E-2</v>
      </c>
      <c r="NY124" s="115">
        <f t="shared" si="1157"/>
        <v>9.4441702908772407E-2</v>
      </c>
      <c r="NZ124" s="115">
        <f t="shared" si="1158"/>
        <v>9.9980397615493405E-2</v>
      </c>
      <c r="OA124" s="115">
        <f t="shared" si="1159"/>
        <v>0.10567182625033895</v>
      </c>
      <c r="OB124" s="115">
        <f t="shared" si="1160"/>
        <v>0.11159516930349321</v>
      </c>
      <c r="OC124" s="115">
        <f t="shared" si="1161"/>
        <v>0.11775330649604171</v>
      </c>
      <c r="OD124" s="115">
        <f t="shared" si="1162"/>
        <v>0.12405730544100586</v>
      </c>
      <c r="OE124" s="115">
        <f t="shared" si="1163"/>
        <v>0.13059224509206371</v>
      </c>
      <c r="OF124" s="115">
        <f t="shared" si="1164"/>
        <v>0.13724552354731717</v>
      </c>
      <c r="OG124" s="115">
        <f t="shared" si="1165"/>
        <v>0.14412155178115069</v>
      </c>
      <c r="OH124" s="115">
        <f t="shared" si="1166"/>
        <v>0.15119969398384345</v>
      </c>
      <c r="OI124" s="115">
        <f t="shared" si="1167"/>
        <v>0.15839607220451735</v>
      </c>
      <c r="OJ124" s="115">
        <f t="shared" si="1168"/>
        <v>0.16580270216732043</v>
      </c>
      <c r="OK124" s="115">
        <f t="shared" si="1169"/>
        <v>0.17339414742075068</v>
      </c>
      <c r="OL124" s="115">
        <f t="shared" si="1170"/>
        <v>0.18108161957284974</v>
      </c>
      <c r="OM124" s="115">
        <f t="shared" si="1171"/>
        <v>0.18893592980770582</v>
      </c>
      <c r="ON124" s="115">
        <f t="shared" si="1172"/>
        <v>0.19697531518673633</v>
      </c>
      <c r="OO124" s="115">
        <f t="shared" si="1173"/>
        <v>0.20508349043138344</v>
      </c>
      <c r="OP124" s="115">
        <f t="shared" si="1174"/>
        <v>0.21335880865547383</v>
      </c>
      <c r="OQ124" s="115">
        <f t="shared" si="1175"/>
        <v>0.22179470370603419</v>
      </c>
      <c r="OR124" s="115">
        <f t="shared" si="1176"/>
        <v>0.2302694245156435</v>
      </c>
      <c r="OS124" s="115">
        <f t="shared" si="1177"/>
        <v>0.23888337760373704</v>
      </c>
      <c r="OT124" s="115">
        <f t="shared" si="1178"/>
        <v>0.24751301127415998</v>
      </c>
      <c r="OU124" s="149">
        <f t="shared" si="1179"/>
        <v>0.24751301127415998</v>
      </c>
      <c r="OV124" s="149">
        <f t="shared" si="1180"/>
        <v>0.25606279623273898</v>
      </c>
      <c r="OW124" s="149">
        <f t="shared" si="1181"/>
        <v>0.26459311346923547</v>
      </c>
      <c r="OX124" s="149">
        <f t="shared" si="1182"/>
        <v>0.27320101477409309</v>
      </c>
      <c r="OY124" s="149">
        <f t="shared" si="1183"/>
        <v>0.28194674644970757</v>
      </c>
      <c r="OZ124" s="149">
        <f t="shared" si="1184"/>
        <v>0.29071185521092607</v>
      </c>
      <c r="PA124" s="149">
        <f t="shared" si="1185"/>
        <v>0.29956272485855329</v>
      </c>
      <c r="PB124" s="149">
        <f t="shared" si="1186"/>
        <v>0.3085291339449367</v>
      </c>
      <c r="PC124" s="149">
        <f t="shared" si="1187"/>
        <v>0.31760538538029337</v>
      </c>
      <c r="PD124" s="149">
        <f t="shared" si="1188"/>
        <v>0.32666923608303633</v>
      </c>
      <c r="PE124" s="149">
        <f t="shared" si="1189"/>
        <v>0.33582601815025315</v>
      </c>
      <c r="PF124" s="149">
        <f t="shared" si="1190"/>
        <v>0.34502649758005638</v>
      </c>
      <c r="PG124" s="149">
        <f t="shared" si="1191"/>
        <v>0.35430399149027836</v>
      </c>
      <c r="PH124" s="149">
        <f t="shared" si="1130"/>
        <v>0.36353435599804113</v>
      </c>
      <c r="PI124" s="149">
        <f t="shared" si="1192"/>
        <v>0.3728685923431812</v>
      </c>
      <c r="PJ124" s="149">
        <f t="shared" si="1193"/>
        <v>0.38230239189895809</v>
      </c>
      <c r="PK124" s="149">
        <f t="shared" si="1194"/>
        <v>0.39183122155676026</v>
      </c>
      <c r="PL124" s="149">
        <f t="shared" si="1195"/>
        <v>0.4014503246911697</v>
      </c>
      <c r="PM124" s="149">
        <f t="shared" si="1196"/>
        <v>0.41103491518888063</v>
      </c>
      <c r="PN124" s="149">
        <f t="shared" si="1197"/>
        <v>0.42069579669088308</v>
      </c>
      <c r="PO124" s="149">
        <f t="shared" si="1198"/>
        <v>0.43042762008844304</v>
      </c>
      <c r="PP124" s="149">
        <f t="shared" si="1199"/>
        <v>0.44022482958104225</v>
      </c>
      <c r="PQ124" s="149">
        <f t="shared" si="1200"/>
        <v>0.44996146066689308</v>
      </c>
      <c r="PR124" s="149">
        <f t="shared" si="1201"/>
        <v>0.45974849082461178</v>
      </c>
      <c r="PS124" s="149">
        <f t="shared" si="1202"/>
        <v>0.46963603840576573</v>
      </c>
      <c r="PT124" s="149">
        <f t="shared" si="1203"/>
        <v>0.47962145688694802</v>
      </c>
      <c r="PU124" s="149">
        <f t="shared" si="1204"/>
        <v>0.48970197042433439</v>
      </c>
      <c r="PV124" s="149">
        <f t="shared" si="1205"/>
        <v>0.49975211106370188</v>
      </c>
      <c r="PW124" s="149">
        <f t="shared" si="1206"/>
        <v>0.50988784695218992</v>
      </c>
      <c r="PX124" s="149">
        <f t="shared" si="1207"/>
        <v>0.5201060402778851</v>
      </c>
      <c r="PY124" s="149">
        <f t="shared" si="1208"/>
        <v>0.53040342910440241</v>
      </c>
      <c r="PZ124" s="149">
        <f t="shared" si="1209"/>
        <v>0.54077662797381754</v>
      </c>
      <c r="QA124" s="149">
        <f t="shared" si="1210"/>
        <v>0.55122212867109288</v>
      </c>
      <c r="QB124" s="149">
        <f t="shared" si="1211"/>
        <v>0.56173630115220363</v>
      </c>
      <c r="QC124" s="149">
        <f t="shared" si="1212"/>
        <v>0.57225646043277623</v>
      </c>
      <c r="QD124" s="149">
        <f t="shared" si="1213"/>
        <v>0.58290537824787225</v>
      </c>
      <c r="QE124" s="149">
        <f t="shared" si="1214"/>
        <v>0.59368292544087975</v>
      </c>
      <c r="QF124" s="149">
        <f t="shared" si="1215"/>
        <v>0.6045889244052246</v>
      </c>
      <c r="QG124" s="149">
        <f t="shared" si="1216"/>
        <v>0.61562314826174713</v>
      </c>
      <c r="QH124" s="149">
        <f t="shared" si="1217"/>
        <v>0.62678532005006016</v>
      </c>
      <c r="QI124" s="149">
        <f t="shared" si="1218"/>
        <v>0.63794229085373333</v>
      </c>
      <c r="QJ124" s="149">
        <f t="shared" si="1219"/>
        <v>0.64922265671817514</v>
      </c>
      <c r="QK124" s="149">
        <f t="shared" si="1220"/>
        <v>0.66062595459050899</v>
      </c>
      <c r="QL124" s="149">
        <f t="shared" si="1221"/>
        <v>0.67215166970065821</v>
      </c>
      <c r="QM124" s="149">
        <f t="shared" si="1222"/>
        <v>0.68379923488349403</v>
      </c>
      <c r="QN124" s="149">
        <f t="shared" si="1223"/>
        <v>0.69556802991980082</v>
      </c>
      <c r="QO124" s="149">
        <f t="shared" si="1224"/>
        <v>0.70745738089685739</v>
      </c>
      <c r="QP124" s="149">
        <f t="shared" si="1225"/>
        <v>0.71946655958943639</v>
      </c>
      <c r="QQ124" s="149">
        <f t="shared" si="1226"/>
        <v>0.73145375701000881</v>
      </c>
      <c r="QR124" s="149">
        <f t="shared" si="1227"/>
        <v>0.74355545266823475</v>
      </c>
      <c r="QS124" s="149">
        <f t="shared" si="1228"/>
        <v>0.75577073425771846</v>
      </c>
      <c r="QT124" s="159">
        <f t="shared" si="1229"/>
        <v>0.75577073425771846</v>
      </c>
      <c r="QU124" s="159">
        <f t="shared" si="1230"/>
        <v>0.76801057813871565</v>
      </c>
      <c r="QV124" s="159">
        <f t="shared" si="1231"/>
        <v>0.78035916598687038</v>
      </c>
      <c r="QW124" s="159">
        <f t="shared" si="1232"/>
        <v>0.7928153814107648</v>
      </c>
      <c r="QX124" s="159">
        <f t="shared" si="1233"/>
        <v>0.80537805231907722</v>
      </c>
      <c r="QY124" s="159">
        <f t="shared" si="1234"/>
        <v>0.81790034253895094</v>
      </c>
      <c r="QZ124" s="159">
        <f t="shared" si="1235"/>
        <v>0.83052313362689922</v>
      </c>
      <c r="RA124" s="159">
        <f t="shared" si="1236"/>
        <v>0.84334073433475221</v>
      </c>
      <c r="RB124" s="159">
        <f t="shared" si="1237"/>
        <v>0.85625902121500952</v>
      </c>
      <c r="RC124" s="159">
        <f t="shared" si="1238"/>
        <v>0.86927657250153445</v>
      </c>
      <c r="RD124" s="159">
        <f t="shared" si="1239"/>
        <v>0.88239191018813767</v>
      </c>
      <c r="RE124" s="159">
        <f t="shared" si="1240"/>
        <v>0.8956034998415201</v>
      </c>
      <c r="RF124" s="159">
        <f t="shared" si="1241"/>
        <v>0.9087585430506151</v>
      </c>
      <c r="RG124" s="159">
        <f t="shared" si="1242"/>
        <v>0.92200333872269546</v>
      </c>
      <c r="RH124" s="159">
        <f t="shared" si="1243"/>
        <v>0.93533618897066662</v>
      </c>
      <c r="RI124" s="159">
        <f t="shared" si="1244"/>
        <v>0.94886184209501467</v>
      </c>
      <c r="RJ124" s="159">
        <f t="shared" si="1245"/>
        <v>0.96247504487602809</v>
      </c>
      <c r="RK124" s="159">
        <f t="shared" si="1246"/>
        <v>0.97617396323655636</v>
      </c>
      <c r="RL124" s="159">
        <f t="shared" si="1247"/>
        <v>0.98995670729755714</v>
      </c>
      <c r="RM124" s="159">
        <f t="shared" si="1248"/>
        <v>1.0036655491382722</v>
      </c>
      <c r="RN124" s="159">
        <f t="shared" si="1249"/>
        <v>1.0175642299317702</v>
      </c>
      <c r="RO124" s="159">
        <f t="shared" si="1250"/>
        <v>1.0315408163688777</v>
      </c>
      <c r="RP124" s="159">
        <f t="shared" si="1251"/>
        <v>1.0455932401806174</v>
      </c>
      <c r="RQ124" s="159">
        <f t="shared" si="1252"/>
        <v>1.0597193788423986</v>
      </c>
      <c r="RR124" s="159">
        <f t="shared" si="1253"/>
        <v>1.0739170557785458</v>
      </c>
      <c r="RS124" s="159">
        <f t="shared" si="1254"/>
        <v>1.0881840406000842</v>
      </c>
      <c r="RT124" s="159">
        <f t="shared" si="1131"/>
        <v>1.102358782611909</v>
      </c>
      <c r="RU124" s="159">
        <f t="shared" ref="RU124:SC124" si="1255">EB33</f>
        <v>1.1187742054915824</v>
      </c>
      <c r="RV124" s="159">
        <f t="shared" si="1255"/>
        <v>1.1332228592253859</v>
      </c>
      <c r="RW124" s="159">
        <f t="shared" si="1255"/>
        <v>1.1501557842295889</v>
      </c>
      <c r="RX124" s="159">
        <f t="shared" si="1255"/>
        <v>1.1647536198343733</v>
      </c>
      <c r="RY124" s="159">
        <f t="shared" si="1255"/>
        <v>1.1794070554880456</v>
      </c>
      <c r="RZ124" s="159">
        <f t="shared" si="1255"/>
        <v>1.1941135340245252</v>
      </c>
      <c r="SA124" s="159">
        <f t="shared" si="1255"/>
        <v>1.2087082842146553</v>
      </c>
      <c r="SB124" s="159">
        <f t="shared" si="1255"/>
        <v>1.2262833758099052</v>
      </c>
      <c r="SC124" s="159">
        <f t="shared" si="1255"/>
        <v>1.2411362872744927</v>
      </c>
      <c r="SD124" s="159">
        <f t="shared" ref="SD124:SD130" si="1256">EK33</f>
        <v>1.2597658082352627</v>
      </c>
      <c r="SE124" s="159">
        <f t="shared" ref="SE124:SE130" si="1257">EL33</f>
        <v>1.274746837027948</v>
      </c>
      <c r="SF124" s="159">
        <f t="shared" ref="SF124:SF130" si="1258">EM33</f>
        <v>1.2897656561565338</v>
      </c>
      <c r="SG124" s="159">
        <f t="shared" ref="SG124:SG130" si="1259">EN33</f>
        <v>1.3048194075662316</v>
      </c>
      <c r="SH124" s="159">
        <f t="shared" ref="SH124:SH130" si="1260">EO33</f>
        <v>1.3200488617715675</v>
      </c>
      <c r="SI124" s="159">
        <f t="shared" ref="SI124:SI130" si="1261">EP33</f>
        <v>1.3404116064513016</v>
      </c>
      <c r="SJ124" s="159">
        <f t="shared" ref="SJ124:SJ130" si="1262">EQ33</f>
        <v>1.3557612956176492</v>
      </c>
      <c r="SK124" s="159">
        <f t="shared" ref="SK124:SK130" si="1263">ER33</f>
        <v>1.3788487029134848</v>
      </c>
      <c r="SL124" s="159">
        <f t="shared" ref="SL124:SL130" si="1264">ES33</f>
        <v>1.3943167494848983</v>
      </c>
      <c r="SM124" s="159">
        <f t="shared" ref="SM124:SM130" si="1265">ET33</f>
        <v>1.4098064580811625</v>
      </c>
      <c r="SN124" s="159">
        <f t="shared" ref="SN124:SN130" si="1266">EU33</f>
        <v>1.4254682445589308</v>
      </c>
      <c r="SO124" s="159">
        <f t="shared" ref="SO124:SO130" si="1267">EV33</f>
        <v>1.4411487678555732</v>
      </c>
      <c r="SP124" s="159">
        <f t="shared" ref="SP124:SP130" si="1268">EW33</f>
        <v>1.4726039094623389</v>
      </c>
      <c r="SQ124" s="159">
        <f t="shared" ref="SQ124:SQ130" si="1269">EX33</f>
        <v>1.4886425509786578</v>
      </c>
      <c r="SR124" s="159">
        <f t="shared" ref="SR124:SR130" si="1270">EY33</f>
        <v>1.5046616392989716</v>
      </c>
      <c r="SS124" s="36"/>
      <c r="ST124" s="36"/>
      <c r="SU124" s="36"/>
      <c r="SV124" s="36"/>
      <c r="SW124" s="36"/>
      <c r="SX124" s="36"/>
      <c r="SY124" s="36"/>
      <c r="SZ124" s="36"/>
      <c r="TA124" s="36"/>
      <c r="TB124" s="36"/>
      <c r="TC124" s="36"/>
      <c r="TD124" s="36"/>
      <c r="TE124" s="36"/>
      <c r="TF124" s="36"/>
      <c r="TG124" s="36"/>
      <c r="TH124" s="36"/>
      <c r="TI124" s="36"/>
    </row>
    <row r="125" spans="1:529" ht="19.5" thickBot="1" x14ac:dyDescent="0.3">
      <c r="A125" s="298"/>
      <c r="B125" s="25" t="s">
        <v>11</v>
      </c>
      <c r="BY125" s="18"/>
      <c r="BZ125" s="18"/>
      <c r="CA125" s="18"/>
      <c r="CB125" s="18"/>
      <c r="CC125" s="18"/>
      <c r="CD125" s="18"/>
      <c r="CE125" s="18"/>
      <c r="CF125" s="18"/>
      <c r="CG125" s="18"/>
      <c r="CH125" s="18"/>
      <c r="CI125" s="18"/>
      <c r="CJ125" s="18"/>
      <c r="CK125" s="18"/>
      <c r="CL125" s="18"/>
      <c r="CM125" s="18"/>
      <c r="CN125" s="18"/>
      <c r="CO125" s="18"/>
      <c r="CP125" s="18"/>
      <c r="CQ125" s="18"/>
      <c r="CR125" s="18"/>
      <c r="CS125" s="18"/>
      <c r="CT125" s="18"/>
      <c r="CU125" s="18"/>
      <c r="CV125" s="18"/>
      <c r="CW125" s="18"/>
      <c r="CX125" s="18"/>
      <c r="CY125" s="18"/>
      <c r="CZ125" s="18"/>
      <c r="DA125" s="18"/>
      <c r="DB125" s="18"/>
      <c r="DC125" s="18"/>
      <c r="DD125" s="18"/>
      <c r="DE125" s="18"/>
      <c r="DF125" s="18"/>
      <c r="DG125" s="18"/>
      <c r="DH125" s="18"/>
      <c r="DI125" s="18"/>
      <c r="DJ125" s="18"/>
      <c r="DK125" s="18"/>
      <c r="DL125" s="18"/>
      <c r="DM125" s="18"/>
      <c r="DN125" s="18"/>
      <c r="DO125" s="18"/>
      <c r="DP125" s="18"/>
      <c r="DQ125" s="18"/>
      <c r="DR125" s="18"/>
      <c r="DS125" s="18"/>
      <c r="DT125" s="18"/>
      <c r="DU125" s="18"/>
      <c r="DV125" s="18"/>
      <c r="DW125" s="18"/>
      <c r="DX125" s="18"/>
      <c r="DY125" s="18"/>
      <c r="DZ125" s="18"/>
      <c r="EA125" s="18"/>
      <c r="EB125" s="18"/>
      <c r="EC125" s="18"/>
      <c r="ED125" s="18"/>
      <c r="EE125" s="18"/>
      <c r="EF125" s="18"/>
      <c r="EG125" s="18"/>
      <c r="EH125" s="18"/>
      <c r="EI125" s="18"/>
      <c r="EJ125" s="18"/>
      <c r="EK125" s="18"/>
      <c r="EL125" s="18"/>
      <c r="EM125" s="18"/>
      <c r="EN125" s="18"/>
      <c r="EO125" s="18"/>
      <c r="EP125" s="18"/>
      <c r="EQ125" s="18"/>
      <c r="ER125" s="18"/>
      <c r="ES125" s="18"/>
      <c r="ET125" s="18"/>
      <c r="EU125" s="18"/>
      <c r="EV125" s="18"/>
      <c r="EW125" s="18"/>
      <c r="EX125" s="18"/>
      <c r="EY125" s="18"/>
      <c r="EZ125" s="18"/>
      <c r="FA125" s="18"/>
      <c r="FB125" s="18"/>
      <c r="FC125" s="18"/>
      <c r="FD125" s="18"/>
      <c r="FE125" s="18"/>
      <c r="FF125" s="18"/>
      <c r="FG125" s="18"/>
      <c r="FH125" s="18"/>
      <c r="FI125" s="18"/>
      <c r="FJ125" s="18"/>
      <c r="FK125" s="18"/>
      <c r="FL125" s="18"/>
      <c r="FM125" s="18"/>
      <c r="FN125" s="18"/>
      <c r="FO125" s="18"/>
      <c r="FP125" s="18"/>
      <c r="FQ125" s="18"/>
      <c r="FR125" s="18"/>
      <c r="FS125" s="18"/>
      <c r="FT125" s="18"/>
      <c r="FU125" s="18"/>
      <c r="FV125" s="18"/>
      <c r="FW125" s="18"/>
      <c r="FX125" s="18"/>
      <c r="FY125" s="18"/>
      <c r="FZ125" s="18"/>
      <c r="GA125" s="18"/>
      <c r="GB125" s="18"/>
      <c r="GC125" s="18"/>
      <c r="GD125" s="18"/>
      <c r="GE125" s="18"/>
      <c r="GF125" s="18"/>
      <c r="GG125" s="18"/>
      <c r="GH125" s="18"/>
      <c r="GI125" s="18"/>
      <c r="GJ125" s="18"/>
      <c r="GK125" s="18"/>
      <c r="GL125" s="18"/>
      <c r="GM125" s="18"/>
      <c r="GN125" s="18"/>
      <c r="GO125" s="18"/>
      <c r="GP125" s="18"/>
      <c r="GQ125" s="18"/>
      <c r="GR125" s="18"/>
      <c r="GS125" s="18"/>
      <c r="GT125" s="18"/>
      <c r="GU125" s="18"/>
      <c r="GV125" s="18"/>
      <c r="GW125" s="18"/>
      <c r="GX125" s="18"/>
      <c r="GY125" s="18"/>
      <c r="GZ125" s="18"/>
      <c r="HA125" s="18"/>
      <c r="HB125" s="18"/>
      <c r="HC125" s="18"/>
      <c r="HD125" s="18"/>
      <c r="HE125" s="18"/>
      <c r="HF125" s="18"/>
      <c r="HG125" s="18"/>
      <c r="HH125" s="18"/>
      <c r="HI125" s="18"/>
      <c r="HJ125" s="18"/>
      <c r="HK125" s="18"/>
      <c r="HL125" s="18"/>
      <c r="HM125" s="18"/>
      <c r="HN125" s="18"/>
      <c r="HO125" s="18"/>
      <c r="HP125" s="18"/>
      <c r="HQ125" s="18"/>
      <c r="HR125" s="18"/>
      <c r="HS125" s="18"/>
      <c r="HT125" s="18"/>
      <c r="HU125" s="18"/>
      <c r="HV125" s="18"/>
      <c r="HW125" s="18"/>
      <c r="HX125" s="18"/>
      <c r="HY125" s="18"/>
      <c r="HZ125" s="18"/>
      <c r="IA125" s="18"/>
      <c r="IB125" s="18"/>
      <c r="IC125" s="18"/>
      <c r="ID125" s="18"/>
      <c r="IE125" s="18"/>
      <c r="IF125" s="18"/>
      <c r="IG125" s="18"/>
      <c r="IH125" s="18"/>
      <c r="II125" s="18"/>
      <c r="IJ125" s="18"/>
      <c r="IK125" s="18"/>
      <c r="IL125" s="18"/>
      <c r="IM125" s="18"/>
      <c r="IN125" s="18"/>
      <c r="IO125" s="18"/>
      <c r="IP125" s="18"/>
      <c r="IQ125" s="18"/>
      <c r="IR125" s="18"/>
      <c r="IS125" s="18"/>
      <c r="IT125" s="18"/>
      <c r="IU125" s="18"/>
      <c r="IV125" s="18"/>
      <c r="IW125" s="18"/>
      <c r="IX125" s="18"/>
      <c r="IY125" s="18"/>
      <c r="IZ125" s="18"/>
      <c r="JA125" s="18"/>
      <c r="JB125" s="18"/>
      <c r="JC125" s="18"/>
      <c r="JD125" s="18"/>
      <c r="JE125" s="18"/>
      <c r="JF125" s="18"/>
      <c r="JG125" s="18"/>
      <c r="JH125" s="18"/>
      <c r="JI125" s="18"/>
      <c r="JJ125" s="18"/>
      <c r="JK125" s="18"/>
      <c r="JL125" s="18"/>
      <c r="JM125" s="18"/>
      <c r="JN125" s="18"/>
      <c r="JO125" s="18"/>
      <c r="JP125" s="18"/>
      <c r="JQ125" s="18"/>
      <c r="JR125" s="18"/>
      <c r="JS125" s="18"/>
      <c r="JT125" s="18"/>
      <c r="JU125" s="18"/>
      <c r="JV125" s="18"/>
      <c r="JW125" s="18"/>
      <c r="JX125" s="18"/>
      <c r="JY125" s="18"/>
      <c r="JZ125" s="18"/>
      <c r="KA125" s="18"/>
      <c r="KB125" s="18"/>
      <c r="KC125" s="18"/>
      <c r="KD125" s="18"/>
      <c r="KE125" s="18"/>
      <c r="KF125" s="18"/>
      <c r="KG125" s="18"/>
      <c r="KH125" s="18"/>
      <c r="KI125" s="18"/>
      <c r="KJ125" s="18"/>
      <c r="KK125" s="18"/>
      <c r="KL125" s="18"/>
      <c r="KM125" s="18"/>
      <c r="KN125" s="18"/>
      <c r="KO125" s="18"/>
      <c r="KP125" s="18"/>
      <c r="KQ125" s="18"/>
      <c r="KR125" s="18"/>
      <c r="KS125" s="18"/>
      <c r="KT125" s="18"/>
      <c r="KU125" s="18"/>
      <c r="KV125" s="18"/>
      <c r="KW125" s="18"/>
      <c r="KX125" s="18"/>
      <c r="KY125" s="18"/>
      <c r="KZ125" s="18"/>
      <c r="LA125" s="18"/>
      <c r="LB125" s="18"/>
      <c r="LC125" s="18"/>
      <c r="LD125" s="18"/>
      <c r="LE125" s="18"/>
      <c r="LF125" s="18"/>
      <c r="LG125" s="18"/>
      <c r="LH125" s="18"/>
      <c r="LI125" s="18"/>
      <c r="LJ125" s="18"/>
      <c r="LK125" s="18"/>
      <c r="LL125" s="18"/>
      <c r="LM125" s="18"/>
      <c r="LN125" s="18"/>
      <c r="LO125" s="18"/>
      <c r="LP125" s="18"/>
      <c r="LQ125" s="18"/>
      <c r="LR125" s="18"/>
      <c r="LS125" s="18"/>
      <c r="LT125" s="18"/>
      <c r="LU125" s="18"/>
      <c r="LV125" s="18"/>
      <c r="LW125" s="18"/>
      <c r="LX125" s="18"/>
      <c r="LY125" s="18"/>
      <c r="LZ125" s="18"/>
      <c r="MA125" s="18"/>
      <c r="MB125" s="18"/>
      <c r="MC125" s="18"/>
      <c r="MD125" s="18"/>
      <c r="ME125" s="18"/>
      <c r="MF125" s="18"/>
      <c r="MG125" s="18"/>
      <c r="MH125" s="18"/>
      <c r="MI125" s="18"/>
      <c r="MJ125" s="18"/>
      <c r="MK125" s="18"/>
      <c r="ML125" s="18"/>
      <c r="MM125" s="18"/>
      <c r="MN125" s="18"/>
      <c r="MO125" s="18"/>
      <c r="MP125" s="18"/>
      <c r="MQ125" s="18"/>
      <c r="MR125" s="18"/>
      <c r="MS125" s="18"/>
      <c r="MT125" s="18"/>
      <c r="MU125" s="18"/>
      <c r="MV125" s="123">
        <f t="shared" si="1121"/>
        <v>2.5</v>
      </c>
      <c r="MW125" s="110">
        <f t="shared" si="1122"/>
        <v>2.7458928571428571</v>
      </c>
      <c r="MX125" s="110">
        <f t="shared" si="1123"/>
        <v>3.0145000191326532</v>
      </c>
      <c r="MY125" s="110">
        <f t="shared" si="1124"/>
        <v>3.3030458455254204</v>
      </c>
      <c r="MZ125" s="110">
        <f t="shared" si="1132"/>
        <v>3.6180521124776339</v>
      </c>
      <c r="NA125" s="110">
        <f t="shared" si="1133"/>
        <v>3.9605610457921832</v>
      </c>
      <c r="NB125" s="110">
        <f t="shared" si="1134"/>
        <v>4.326161801639965</v>
      </c>
      <c r="NC125" s="110">
        <f t="shared" si="1135"/>
        <v>4.7232736194318816</v>
      </c>
      <c r="ND125" s="110">
        <f t="shared" si="1136"/>
        <v>5.1461266915986474</v>
      </c>
      <c r="NE125" s="110">
        <f t="shared" si="1137"/>
        <v>5.603346964774242</v>
      </c>
      <c r="NF125" s="110">
        <f t="shared" si="1138"/>
        <v>6.0954917778498379</v>
      </c>
      <c r="NG125" s="110">
        <f t="shared" si="1139"/>
        <v>6.615640409559691</v>
      </c>
      <c r="NH125" s="110">
        <f t="shared" si="1140"/>
        <v>7.1735594174325588</v>
      </c>
      <c r="NI125" s="110">
        <f t="shared" si="1141"/>
        <v>7.7613208923231802</v>
      </c>
      <c r="NJ125" s="110">
        <f t="shared" si="1142"/>
        <v>8.3896061802951785</v>
      </c>
      <c r="NK125" s="110">
        <f t="shared" si="1143"/>
        <v>9.0480549492196349</v>
      </c>
      <c r="NL125" s="110">
        <f t="shared" si="1144"/>
        <v>9.7479657804528195</v>
      </c>
      <c r="NM125" s="110">
        <f t="shared" si="1145"/>
        <v>10.477361188215589</v>
      </c>
      <c r="NN125" s="110">
        <f t="shared" si="1146"/>
        <v>11.249692384375482</v>
      </c>
      <c r="NO125" s="110">
        <f t="shared" si="1147"/>
        <v>12.053342284084305</v>
      </c>
      <c r="NP125" s="110">
        <f t="shared" si="1148"/>
        <v>12.90121958038036</v>
      </c>
      <c r="NQ125" s="110">
        <f t="shared" si="1149"/>
        <v>13.78048731485859</v>
      </c>
      <c r="NR125" s="110">
        <f t="shared" si="1150"/>
        <v>14.702719927468356</v>
      </c>
      <c r="NS125" s="110">
        <f t="shared" si="1151"/>
        <v>15.655723500948806</v>
      </c>
      <c r="NT125" s="110">
        <f t="shared" si="1152"/>
        <v>16.653894478100209</v>
      </c>
      <c r="NU125" s="110">
        <f t="shared" si="1153"/>
        <v>17.700566512875355</v>
      </c>
      <c r="NV125" s="110">
        <f t="shared" si="1154"/>
        <v>18.780036882600857</v>
      </c>
      <c r="NW125" s="110">
        <f t="shared" si="1155"/>
        <v>19.908520889904604</v>
      </c>
      <c r="NX125" s="110">
        <f t="shared" si="1156"/>
        <v>21.06907054883963</v>
      </c>
      <c r="NY125" s="110">
        <f t="shared" si="1157"/>
        <v>22.278683069761243</v>
      </c>
      <c r="NZ125" s="110">
        <f t="shared" si="1158"/>
        <v>23.538083918587155</v>
      </c>
      <c r="OA125" s="110">
        <f t="shared" si="1159"/>
        <v>24.828243822646527</v>
      </c>
      <c r="OB125" s="110">
        <f t="shared" si="1160"/>
        <v>26.167529670586966</v>
      </c>
      <c r="OC125" s="110">
        <f t="shared" si="1161"/>
        <v>27.556304940930293</v>
      </c>
      <c r="OD125" s="110">
        <f t="shared" si="1162"/>
        <v>28.973486337892421</v>
      </c>
      <c r="OE125" s="110">
        <f t="shared" si="1163"/>
        <v>30.438716932694408</v>
      </c>
      <c r="OF125" s="110">
        <f t="shared" si="1164"/>
        <v>31.925498204843478</v>
      </c>
      <c r="OG125" s="110">
        <f t="shared" si="1165"/>
        <v>33.457922118675967</v>
      </c>
      <c r="OH125" s="110">
        <f t="shared" si="1166"/>
        <v>35.030915696593432</v>
      </c>
      <c r="OI125" s="110">
        <f t="shared" si="1167"/>
        <v>36.624822360788428</v>
      </c>
      <c r="OJ125" s="110">
        <f t="shared" si="1168"/>
        <v>38.260731092903647</v>
      </c>
      <c r="OK125" s="110">
        <f t="shared" si="1169"/>
        <v>39.932512482046356</v>
      </c>
      <c r="OL125" s="110">
        <f t="shared" si="1170"/>
        <v>41.619524379233077</v>
      </c>
      <c r="OM125" s="110">
        <f t="shared" si="1171"/>
        <v>43.337897618671555</v>
      </c>
      <c r="ON125" s="110">
        <f t="shared" si="1172"/>
        <v>45.091598297651771</v>
      </c>
      <c r="OO125" s="110">
        <f t="shared" si="1173"/>
        <v>46.85382670679784</v>
      </c>
      <c r="OP125" s="110">
        <f t="shared" si="1174"/>
        <v>48.646935318063406</v>
      </c>
      <c r="OQ125" s="110">
        <f t="shared" si="1175"/>
        <v>50.469223219437346</v>
      </c>
      <c r="OR125" s="110">
        <f t="shared" si="1176"/>
        <v>52.292844485099678</v>
      </c>
      <c r="OS125" s="110">
        <f t="shared" si="1177"/>
        <v>54.140524990239868</v>
      </c>
      <c r="OT125" s="110">
        <f t="shared" si="1178"/>
        <v>55.984152341223293</v>
      </c>
      <c r="OU125" s="148">
        <f t="shared" si="1179"/>
        <v>55.872184036540851</v>
      </c>
      <c r="OV125" s="148">
        <f t="shared" si="1180"/>
        <v>57.686559697095888</v>
      </c>
      <c r="OW125" s="148">
        <f t="shared" si="1181"/>
        <v>59.489077393605136</v>
      </c>
      <c r="OX125" s="148">
        <f t="shared" si="1182"/>
        <v>61.30156279055835</v>
      </c>
      <c r="OY125" s="148">
        <f t="shared" si="1183"/>
        <v>63.137425177506771</v>
      </c>
      <c r="OZ125" s="148">
        <f t="shared" si="1184"/>
        <v>64.970029415992343</v>
      </c>
      <c r="PA125" s="148">
        <f t="shared" si="1185"/>
        <v>66.814178712492435</v>
      </c>
      <c r="PB125" s="148">
        <f t="shared" si="1186"/>
        <v>68.676409796094475</v>
      </c>
      <c r="PC125" s="148">
        <f t="shared" si="1187"/>
        <v>70.555325930772227</v>
      </c>
      <c r="PD125" s="148">
        <f t="shared" si="1188"/>
        <v>72.423702409850407</v>
      </c>
      <c r="PE125" s="148">
        <f t="shared" si="1189"/>
        <v>74.304885161053093</v>
      </c>
      <c r="PF125" s="148">
        <f t="shared" si="1190"/>
        <v>76.187902630577511</v>
      </c>
      <c r="PG125" s="148">
        <f t="shared" si="1191"/>
        <v>78.080062946541972</v>
      </c>
      <c r="PH125" s="148">
        <f t="shared" si="1130"/>
        <v>79.953984457258983</v>
      </c>
      <c r="PI125" s="148">
        <f t="shared" si="1192"/>
        <v>81.842897340061725</v>
      </c>
      <c r="PJ125" s="148">
        <f t="shared" si="1193"/>
        <v>83.745744703218151</v>
      </c>
      <c r="PK125" s="148">
        <f t="shared" si="1194"/>
        <v>85.661428613304267</v>
      </c>
      <c r="PL125" s="148">
        <f t="shared" si="1195"/>
        <v>87.588810757103602</v>
      </c>
      <c r="PM125" s="148">
        <f t="shared" si="1196"/>
        <v>89.50062578696236</v>
      </c>
      <c r="PN125" s="148">
        <f t="shared" si="1197"/>
        <v>91.421021930391248</v>
      </c>
      <c r="PO125" s="148">
        <f t="shared" si="1198"/>
        <v>93.348763973071598</v>
      </c>
      <c r="PP125" s="148">
        <f t="shared" si="1199"/>
        <v>95.282581577353255</v>
      </c>
      <c r="PQ125" s="148">
        <f t="shared" si="1200"/>
        <v>97.195205105113303</v>
      </c>
      <c r="PR125" s="148">
        <f t="shared" si="1201"/>
        <v>99.110661830111624</v>
      </c>
      <c r="PS125" s="148">
        <f t="shared" si="1202"/>
        <v>101.03969373597575</v>
      </c>
      <c r="PT125" s="148">
        <f t="shared" si="1203"/>
        <v>102.98162736192573</v>
      </c>
      <c r="PU125" s="148">
        <f t="shared" si="1204"/>
        <v>104.9357665347935</v>
      </c>
      <c r="PV125" s="148">
        <f t="shared" si="1205"/>
        <v>106.87518178617148</v>
      </c>
      <c r="PW125" s="148">
        <f t="shared" si="1206"/>
        <v>108.82468811417466</v>
      </c>
      <c r="PX125" s="148">
        <f t="shared" si="1207"/>
        <v>110.78353250022981</v>
      </c>
      <c r="PY125" s="148">
        <f t="shared" si="1208"/>
        <v>112.75094125812545</v>
      </c>
      <c r="PZ125" s="148">
        <f t="shared" si="1209"/>
        <v>114.72612039775575</v>
      </c>
      <c r="QA125" s="148">
        <f t="shared" si="1210"/>
        <v>116.7082560200495</v>
      </c>
      <c r="QB125" s="148">
        <f t="shared" si="1211"/>
        <v>118.69651474308986</v>
      </c>
      <c r="QC125" s="148">
        <f t="shared" si="1212"/>
        <v>120.67761609630193</v>
      </c>
      <c r="QD125" s="148">
        <f t="shared" si="1213"/>
        <v>122.67741659161207</v>
      </c>
      <c r="QE125" s="148">
        <f t="shared" si="1214"/>
        <v>124.69575218363121</v>
      </c>
      <c r="QF125" s="148">
        <f t="shared" si="1215"/>
        <v>126.73244946929719</v>
      </c>
      <c r="QG125" s="148">
        <f t="shared" si="1216"/>
        <v>128.78732561426366</v>
      </c>
      <c r="QH125" s="148">
        <f t="shared" si="1217"/>
        <v>130.86018828367418</v>
      </c>
      <c r="QI125" s="148">
        <f t="shared" si="1218"/>
        <v>132.92316066367565</v>
      </c>
      <c r="QJ125" s="148">
        <f t="shared" si="1219"/>
        <v>135.00301717758964</v>
      </c>
      <c r="QK125" s="148">
        <f t="shared" si="1220"/>
        <v>137.09953462081808</v>
      </c>
      <c r="QL125" s="148">
        <f t="shared" si="1221"/>
        <v>139.21248038968011</v>
      </c>
      <c r="QM125" s="148">
        <f t="shared" si="1222"/>
        <v>141.34161244269873</v>
      </c>
      <c r="QN125" s="148">
        <f t="shared" si="1223"/>
        <v>143.4866792668291</v>
      </c>
      <c r="QO125" s="148">
        <f t="shared" si="1224"/>
        <v>145.64741984872958</v>
      </c>
      <c r="QP125" s="148">
        <f t="shared" si="1225"/>
        <v>147.82356365117531</v>
      </c>
      <c r="QQ125" s="148">
        <f t="shared" si="1226"/>
        <v>149.98591298923552</v>
      </c>
      <c r="QR125" s="148">
        <f t="shared" si="1227"/>
        <v>152.1624527498235</v>
      </c>
      <c r="QS125" s="148">
        <f t="shared" si="1228"/>
        <v>154.35288433708257</v>
      </c>
      <c r="QT125" s="158">
        <f t="shared" si="1229"/>
        <v>154.0441785684084</v>
      </c>
      <c r="QU125" s="158">
        <f t="shared" si="1230"/>
        <v>156.22587402766794</v>
      </c>
      <c r="QV125" s="158">
        <f t="shared" si="1231"/>
        <v>158.4203025837775</v>
      </c>
      <c r="QW125" s="158">
        <f t="shared" si="1232"/>
        <v>160.62713424070034</v>
      </c>
      <c r="QX125" s="158">
        <f t="shared" si="1233"/>
        <v>162.8460300020719</v>
      </c>
      <c r="QY125" s="158">
        <f t="shared" si="1234"/>
        <v>165.0472590972723</v>
      </c>
      <c r="QZ125" s="158">
        <f t="shared" si="1235"/>
        <v>167.25927178816221</v>
      </c>
      <c r="RA125" s="158">
        <f t="shared" si="1236"/>
        <v>169.50093053419664</v>
      </c>
      <c r="RB125" s="158">
        <f t="shared" si="1237"/>
        <v>171.75314979508781</v>
      </c>
      <c r="RC125" s="158">
        <f t="shared" si="1238"/>
        <v>174.01555335445758</v>
      </c>
      <c r="RD125" s="158">
        <f t="shared" si="1239"/>
        <v>176.28775644193649</v>
      </c>
      <c r="RE125" s="158">
        <f t="shared" si="1240"/>
        <v>178.56936579542639</v>
      </c>
      <c r="RF125" s="158">
        <f t="shared" si="1241"/>
        <v>180.82989163060938</v>
      </c>
      <c r="RG125" s="158">
        <f t="shared" si="1242"/>
        <v>183.09848481652065</v>
      </c>
      <c r="RH125" s="158">
        <f t="shared" si="1243"/>
        <v>185.37473188912605</v>
      </c>
      <c r="RI125" s="158">
        <f t="shared" si="1244"/>
        <v>187.67927685147495</v>
      </c>
      <c r="RJ125" s="158">
        <f t="shared" si="1245"/>
        <v>189.99114430723631</v>
      </c>
      <c r="RK125" s="158">
        <f t="shared" si="1246"/>
        <v>192.30989986389508</v>
      </c>
      <c r="RL125" s="158">
        <f t="shared" si="1247"/>
        <v>194.63510138043125</v>
      </c>
      <c r="RM125" s="158">
        <f t="shared" si="1248"/>
        <v>196.93573201697299</v>
      </c>
      <c r="RN125" s="158">
        <f t="shared" si="1249"/>
        <v>199.2635566246343</v>
      </c>
      <c r="RO125" s="158">
        <f t="shared" si="1250"/>
        <v>201.59650747859911</v>
      </c>
      <c r="RP125" s="158">
        <f t="shared" si="1251"/>
        <v>203.93412091363186</v>
      </c>
      <c r="RQ125" s="158">
        <f t="shared" si="1252"/>
        <v>206.27592621221311</v>
      </c>
      <c r="RR125" s="158">
        <f t="shared" si="1253"/>
        <v>208.62144573273852</v>
      </c>
      <c r="RS125" s="158">
        <f t="shared" si="1254"/>
        <v>210.97019504312283</v>
      </c>
      <c r="RT125" s="158">
        <f t="shared" si="1131"/>
        <v>213.29086718859719</v>
      </c>
      <c r="RU125" s="158">
        <f t="shared" ref="RU125:RU130" si="1271">EB34</f>
        <v>188.9757083290971</v>
      </c>
      <c r="RV125" s="158">
        <f t="shared" ref="RV125:RV130" si="1272">EC34</f>
        <v>191.03344381979173</v>
      </c>
      <c r="RW125" s="158">
        <f t="shared" ref="RW125:RW130" si="1273">ED34</f>
        <v>165.80186785114904</v>
      </c>
      <c r="RX125" s="158">
        <f t="shared" ref="RX125:RX130" si="1274">EE34</f>
        <v>167.57042110822798</v>
      </c>
      <c r="RY125" s="158">
        <f t="shared" ref="RY125:RY130" si="1275">EF34</f>
        <v>169.33921999770371</v>
      </c>
      <c r="RZ125" s="158">
        <f t="shared" ref="RZ125:RZ130" si="1276">EG34</f>
        <v>171.10787407323525</v>
      </c>
      <c r="SA125" s="158">
        <f t="shared" ref="SA125:SA130" si="1277">EH34</f>
        <v>172.85279832752056</v>
      </c>
      <c r="SB125" s="158">
        <f t="shared" ref="SB125:SB130" si="1278">EI34</f>
        <v>145.78772243994473</v>
      </c>
      <c r="SC125" s="158">
        <f t="shared" ref="SC125:SC130" si="1279">EJ34</f>
        <v>147.25841616741585</v>
      </c>
      <c r="SD125" s="158">
        <f t="shared" si="1256"/>
        <v>119.27608064689986</v>
      </c>
      <c r="SE125" s="158">
        <f t="shared" si="1257"/>
        <v>120.4531127394374</v>
      </c>
      <c r="SF125" s="158">
        <f t="shared" si="1258"/>
        <v>121.62852333408158</v>
      </c>
      <c r="SG125" s="158">
        <f t="shared" si="1259"/>
        <v>122.80203809767855</v>
      </c>
      <c r="SH125" s="158">
        <f t="shared" si="1260"/>
        <v>123.98687534437923</v>
      </c>
      <c r="SI125" s="158">
        <f t="shared" si="1261"/>
        <v>94.1728005500308</v>
      </c>
      <c r="SJ125" s="158">
        <f t="shared" si="1262"/>
        <v>95.060715526645382</v>
      </c>
      <c r="SK125" s="158">
        <f t="shared" si="1263"/>
        <v>64.259650865015544</v>
      </c>
      <c r="SL125" s="158">
        <f t="shared" si="1264"/>
        <v>64.850560263187319</v>
      </c>
      <c r="SM125" s="158">
        <f t="shared" si="1265"/>
        <v>65.439854484709329</v>
      </c>
      <c r="SN125" s="158">
        <f t="shared" si="1266"/>
        <v>66.034503597200825</v>
      </c>
      <c r="SO125" s="158">
        <f t="shared" si="1267"/>
        <v>66.627378596888732</v>
      </c>
      <c r="SP125" s="158">
        <f t="shared" si="1268"/>
        <v>33.90464517817329</v>
      </c>
      <c r="SQ125" s="158">
        <f t="shared" si="1269"/>
        <v>34.205364639753611</v>
      </c>
      <c r="SR125" s="160">
        <f t="shared" si="1270"/>
        <v>-6.9146888214147453E-2</v>
      </c>
      <c r="SS125" s="36"/>
      <c r="ST125" s="36"/>
      <c r="SU125" s="36"/>
      <c r="SV125" s="36"/>
      <c r="SW125" s="36"/>
      <c r="SX125" s="36"/>
      <c r="SY125" s="36"/>
      <c r="SZ125" s="36"/>
      <c r="TA125" s="36"/>
      <c r="TB125" s="36"/>
      <c r="TC125" s="36"/>
      <c r="TD125" s="36"/>
      <c r="TE125" s="36"/>
      <c r="TF125" s="36"/>
      <c r="TG125" s="36"/>
      <c r="TH125" s="36"/>
      <c r="TI125" s="36"/>
    </row>
    <row r="126" spans="1:529" ht="19.5" thickBot="1" x14ac:dyDescent="0.3">
      <c r="A126" s="298"/>
      <c r="B126" s="25" t="s">
        <v>12</v>
      </c>
      <c r="BY126" s="18"/>
      <c r="BZ126" s="18"/>
      <c r="CA126" s="18"/>
      <c r="CB126" s="18"/>
      <c r="CC126" s="18"/>
      <c r="CD126" s="18"/>
      <c r="CE126" s="18"/>
      <c r="CF126" s="18"/>
      <c r="CG126" s="18"/>
      <c r="CH126" s="18"/>
      <c r="CI126" s="18"/>
      <c r="CJ126" s="18"/>
      <c r="CK126" s="18"/>
      <c r="CL126" s="18"/>
      <c r="CM126" s="18"/>
      <c r="CN126" s="18"/>
      <c r="CO126" s="18"/>
      <c r="CP126" s="18"/>
      <c r="CQ126" s="18"/>
      <c r="CR126" s="18"/>
      <c r="CS126" s="18"/>
      <c r="CT126" s="18"/>
      <c r="CU126" s="18"/>
      <c r="CV126" s="18"/>
      <c r="CW126" s="18"/>
      <c r="CX126" s="18"/>
      <c r="CY126" s="18"/>
      <c r="CZ126" s="18"/>
      <c r="DA126" s="18"/>
      <c r="DB126" s="18"/>
      <c r="DC126" s="18"/>
      <c r="DD126" s="18"/>
      <c r="DE126" s="18"/>
      <c r="DF126" s="18"/>
      <c r="DG126" s="18"/>
      <c r="DH126" s="18"/>
      <c r="DI126" s="18"/>
      <c r="DJ126" s="18"/>
      <c r="DK126" s="18"/>
      <c r="DL126" s="18"/>
      <c r="DM126" s="18"/>
      <c r="DN126" s="18"/>
      <c r="DO126" s="18"/>
      <c r="DP126" s="18"/>
      <c r="DQ126" s="18"/>
      <c r="DR126" s="18"/>
      <c r="DS126" s="18"/>
      <c r="DT126" s="18"/>
      <c r="DU126" s="18"/>
      <c r="DV126" s="18"/>
      <c r="DW126" s="18"/>
      <c r="DX126" s="18"/>
      <c r="DY126" s="18"/>
      <c r="DZ126" s="18"/>
      <c r="EA126" s="18"/>
      <c r="EB126" s="18"/>
      <c r="EC126" s="18"/>
      <c r="ED126" s="18"/>
      <c r="EE126" s="18"/>
      <c r="EF126" s="18"/>
      <c r="EG126" s="18"/>
      <c r="EH126" s="18"/>
      <c r="EI126" s="18"/>
      <c r="EJ126" s="18"/>
      <c r="EK126" s="18"/>
      <c r="EL126" s="18"/>
      <c r="EM126" s="18"/>
      <c r="EN126" s="18"/>
      <c r="EO126" s="18"/>
      <c r="EP126" s="18"/>
      <c r="EQ126" s="18"/>
      <c r="ER126" s="18"/>
      <c r="ES126" s="18"/>
      <c r="ET126" s="18"/>
      <c r="EU126" s="18"/>
      <c r="EV126" s="18"/>
      <c r="EW126" s="18"/>
      <c r="EX126" s="18"/>
      <c r="EY126" s="18"/>
      <c r="EZ126" s="18"/>
      <c r="FA126" s="18"/>
      <c r="FB126" s="18"/>
      <c r="FC126" s="18"/>
      <c r="FD126" s="18"/>
      <c r="FE126" s="18"/>
      <c r="FF126" s="18"/>
      <c r="FG126" s="18"/>
      <c r="FH126" s="18"/>
      <c r="FI126" s="18"/>
      <c r="FJ126" s="18"/>
      <c r="FK126" s="18"/>
      <c r="FL126" s="18"/>
      <c r="FM126" s="18"/>
      <c r="FN126" s="18"/>
      <c r="FO126" s="18"/>
      <c r="FP126" s="18"/>
      <c r="FQ126" s="18"/>
      <c r="FR126" s="18"/>
      <c r="FS126" s="18"/>
      <c r="FT126" s="18"/>
      <c r="FU126" s="18"/>
      <c r="FV126" s="18"/>
      <c r="FW126" s="18"/>
      <c r="FX126" s="18"/>
      <c r="FY126" s="18"/>
      <c r="FZ126" s="18"/>
      <c r="GA126" s="18"/>
      <c r="GB126" s="18"/>
      <c r="GC126" s="18"/>
      <c r="GD126" s="18"/>
      <c r="GE126" s="18"/>
      <c r="GF126" s="18"/>
      <c r="GG126" s="18"/>
      <c r="GH126" s="18"/>
      <c r="GI126" s="18"/>
      <c r="GJ126" s="18"/>
      <c r="GK126" s="18"/>
      <c r="GL126" s="18"/>
      <c r="GM126" s="18"/>
      <c r="GN126" s="18"/>
      <c r="GO126" s="18"/>
      <c r="GP126" s="18"/>
      <c r="GQ126" s="18"/>
      <c r="GR126" s="18"/>
      <c r="GS126" s="18"/>
      <c r="GT126" s="18"/>
      <c r="GU126" s="18"/>
      <c r="GV126" s="18"/>
      <c r="GW126" s="18"/>
      <c r="GX126" s="18"/>
      <c r="GY126" s="18"/>
      <c r="GZ126" s="18"/>
      <c r="HA126" s="18"/>
      <c r="HB126" s="18"/>
      <c r="HC126" s="18"/>
      <c r="HD126" s="18"/>
      <c r="HE126" s="18"/>
      <c r="HF126" s="18"/>
      <c r="HG126" s="18"/>
      <c r="HH126" s="18"/>
      <c r="HI126" s="18"/>
      <c r="HJ126" s="18"/>
      <c r="HK126" s="18"/>
      <c r="HL126" s="18"/>
      <c r="HM126" s="18"/>
      <c r="HN126" s="18"/>
      <c r="HO126" s="18"/>
      <c r="HP126" s="18"/>
      <c r="HQ126" s="18"/>
      <c r="HR126" s="18"/>
      <c r="HS126" s="18"/>
      <c r="HT126" s="18"/>
      <c r="HU126" s="18"/>
      <c r="HV126" s="18"/>
      <c r="HW126" s="18"/>
      <c r="HX126" s="18"/>
      <c r="HY126" s="18"/>
      <c r="HZ126" s="18"/>
      <c r="IA126" s="18"/>
      <c r="IB126" s="18"/>
      <c r="IC126" s="18"/>
      <c r="ID126" s="18"/>
      <c r="IE126" s="18"/>
      <c r="IF126" s="18"/>
      <c r="IG126" s="18"/>
      <c r="IH126" s="18"/>
      <c r="II126" s="18"/>
      <c r="IJ126" s="18"/>
      <c r="IK126" s="18"/>
      <c r="IL126" s="18"/>
      <c r="IM126" s="18"/>
      <c r="IN126" s="18"/>
      <c r="IO126" s="18"/>
      <c r="IP126" s="18"/>
      <c r="IQ126" s="18"/>
      <c r="IR126" s="18"/>
      <c r="IS126" s="18"/>
      <c r="IT126" s="18"/>
      <c r="IU126" s="18"/>
      <c r="IV126" s="18"/>
      <c r="IW126" s="18"/>
      <c r="IX126" s="18"/>
      <c r="IY126" s="18"/>
      <c r="IZ126" s="18"/>
      <c r="JA126" s="18"/>
      <c r="JB126" s="18"/>
      <c r="JC126" s="18"/>
      <c r="JD126" s="18"/>
      <c r="JE126" s="18"/>
      <c r="JF126" s="18"/>
      <c r="JG126" s="18"/>
      <c r="JH126" s="18"/>
      <c r="JI126" s="18"/>
      <c r="JJ126" s="18"/>
      <c r="JK126" s="18"/>
      <c r="JL126" s="18"/>
      <c r="JM126" s="18"/>
      <c r="JN126" s="18"/>
      <c r="JO126" s="18"/>
      <c r="JP126" s="18"/>
      <c r="JQ126" s="18"/>
      <c r="JR126" s="18"/>
      <c r="JS126" s="18"/>
      <c r="JT126" s="18"/>
      <c r="JU126" s="18"/>
      <c r="JV126" s="18"/>
      <c r="JW126" s="18"/>
      <c r="JX126" s="18"/>
      <c r="JY126" s="18"/>
      <c r="JZ126" s="18"/>
      <c r="KA126" s="18"/>
      <c r="KB126" s="18"/>
      <c r="KC126" s="18"/>
      <c r="KD126" s="18"/>
      <c r="KE126" s="18"/>
      <c r="KF126" s="18"/>
      <c r="KG126" s="18"/>
      <c r="KH126" s="18"/>
      <c r="KI126" s="18"/>
      <c r="KJ126" s="18"/>
      <c r="KK126" s="18"/>
      <c r="KL126" s="18"/>
      <c r="KM126" s="18"/>
      <c r="KN126" s="18"/>
      <c r="KO126" s="18"/>
      <c r="KP126" s="18"/>
      <c r="KQ126" s="18"/>
      <c r="KR126" s="18"/>
      <c r="KS126" s="18"/>
      <c r="KT126" s="18"/>
      <c r="KU126" s="18"/>
      <c r="KV126" s="18"/>
      <c r="KW126" s="18"/>
      <c r="KX126" s="18"/>
      <c r="KY126" s="18"/>
      <c r="KZ126" s="18"/>
      <c r="LA126" s="18"/>
      <c r="LB126" s="18"/>
      <c r="LC126" s="18"/>
      <c r="LD126" s="18"/>
      <c r="LE126" s="18"/>
      <c r="LF126" s="18"/>
      <c r="LG126" s="18"/>
      <c r="LH126" s="18"/>
      <c r="LI126" s="18"/>
      <c r="LJ126" s="18"/>
      <c r="LK126" s="18"/>
      <c r="LL126" s="18"/>
      <c r="LM126" s="18"/>
      <c r="LN126" s="18"/>
      <c r="LO126" s="18"/>
      <c r="LP126" s="18"/>
      <c r="LQ126" s="18"/>
      <c r="LR126" s="18"/>
      <c r="LS126" s="18"/>
      <c r="LT126" s="18"/>
      <c r="LU126" s="18"/>
      <c r="LV126" s="18"/>
      <c r="LW126" s="18"/>
      <c r="LX126" s="18"/>
      <c r="LY126" s="18"/>
      <c r="LZ126" s="18"/>
      <c r="MA126" s="18"/>
      <c r="MB126" s="18"/>
      <c r="MC126" s="18"/>
      <c r="MD126" s="18"/>
      <c r="ME126" s="18"/>
      <c r="MF126" s="18"/>
      <c r="MG126" s="18"/>
      <c r="MH126" s="18"/>
      <c r="MI126" s="18"/>
      <c r="MJ126" s="18"/>
      <c r="MK126" s="18"/>
      <c r="ML126" s="18"/>
      <c r="MM126" s="18"/>
      <c r="MN126" s="18"/>
      <c r="MO126" s="18"/>
      <c r="MP126" s="18"/>
      <c r="MQ126" s="18"/>
      <c r="MR126" s="18"/>
      <c r="MS126" s="18"/>
      <c r="MT126" s="18"/>
      <c r="MU126" s="18"/>
      <c r="MV126" s="118">
        <f t="shared" si="1121"/>
        <v>5.62E-2</v>
      </c>
      <c r="MW126" s="116">
        <f t="shared" si="1122"/>
        <v>5.5899999999999998E-2</v>
      </c>
      <c r="MX126" s="116">
        <f t="shared" si="1123"/>
        <v>5.57E-2</v>
      </c>
      <c r="MY126" s="116">
        <f t="shared" si="1124"/>
        <v>5.5500000000000001E-2</v>
      </c>
      <c r="MZ126" s="116">
        <f t="shared" si="1132"/>
        <v>5.5099999999999996E-2</v>
      </c>
      <c r="NA126" s="116">
        <f t="shared" si="1133"/>
        <v>5.4699999999999999E-2</v>
      </c>
      <c r="NB126" s="116">
        <f t="shared" si="1134"/>
        <v>5.4400000000000004E-2</v>
      </c>
      <c r="NC126" s="116">
        <f t="shared" si="1135"/>
        <v>5.4000000000000006E-2</v>
      </c>
      <c r="ND126" s="116">
        <f t="shared" si="1136"/>
        <v>5.3600000000000002E-2</v>
      </c>
      <c r="NE126" s="116">
        <f t="shared" si="1137"/>
        <v>5.2999999999999999E-2</v>
      </c>
      <c r="NF126" s="116">
        <f t="shared" si="1138"/>
        <v>5.2400000000000002E-2</v>
      </c>
      <c r="NG126" s="116">
        <f t="shared" si="1139"/>
        <v>5.1799999999999999E-2</v>
      </c>
      <c r="NH126" s="116">
        <f t="shared" si="1140"/>
        <v>5.1200000000000002E-2</v>
      </c>
      <c r="NI126" s="116">
        <f t="shared" si="1141"/>
        <v>5.0599999999999999E-2</v>
      </c>
      <c r="NJ126" s="116">
        <f t="shared" si="1142"/>
        <v>4.99E-2</v>
      </c>
      <c r="NK126" s="116">
        <f t="shared" si="1143"/>
        <v>4.9200000000000001E-2</v>
      </c>
      <c r="NL126" s="116">
        <f t="shared" si="1144"/>
        <v>4.8399999999999999E-2</v>
      </c>
      <c r="NM126" s="116">
        <f t="shared" si="1145"/>
        <v>4.7699999999999992E-2</v>
      </c>
      <c r="NN126" s="116">
        <f t="shared" si="1146"/>
        <v>4.7E-2</v>
      </c>
      <c r="NO126" s="116">
        <f t="shared" si="1147"/>
        <v>4.6300000000000001E-2</v>
      </c>
      <c r="NP126" s="116">
        <f t="shared" si="1148"/>
        <v>4.5599999999999995E-2</v>
      </c>
      <c r="NQ126" s="116">
        <f t="shared" si="1149"/>
        <v>4.4800000000000006E-2</v>
      </c>
      <c r="NR126" s="116">
        <f t="shared" si="1150"/>
        <v>4.41E-2</v>
      </c>
      <c r="NS126" s="116">
        <f t="shared" si="1151"/>
        <v>4.3400000000000001E-2</v>
      </c>
      <c r="NT126" s="116">
        <f t="shared" si="1152"/>
        <v>4.2800000000000005E-2</v>
      </c>
      <c r="NU126" s="116">
        <f t="shared" si="1153"/>
        <v>4.2199999999999994E-2</v>
      </c>
      <c r="NV126" s="116">
        <f t="shared" si="1154"/>
        <v>4.1599999999999998E-2</v>
      </c>
      <c r="NW126" s="116">
        <f t="shared" si="1155"/>
        <v>4.0999999999999995E-2</v>
      </c>
      <c r="NX126" s="116">
        <f t="shared" si="1156"/>
        <v>4.0399999999999998E-2</v>
      </c>
      <c r="NY126" s="116">
        <f t="shared" si="1157"/>
        <v>3.9800000000000002E-2</v>
      </c>
      <c r="NZ126" s="116">
        <f t="shared" si="1158"/>
        <v>3.9199999999999999E-2</v>
      </c>
      <c r="OA126" s="116">
        <f t="shared" si="1159"/>
        <v>3.8599999999999995E-2</v>
      </c>
      <c r="OB126" s="116">
        <f t="shared" si="1160"/>
        <v>3.7999999999999999E-2</v>
      </c>
      <c r="OC126" s="116">
        <f t="shared" si="1161"/>
        <v>3.7400000000000003E-2</v>
      </c>
      <c r="OD126" s="116">
        <f t="shared" si="1162"/>
        <v>3.6799999999999999E-2</v>
      </c>
      <c r="OE126" s="116">
        <f t="shared" si="1163"/>
        <v>3.61E-2</v>
      </c>
      <c r="OF126" s="116">
        <f t="shared" si="1164"/>
        <v>3.5499999999999997E-2</v>
      </c>
      <c r="OG126" s="116">
        <f t="shared" si="1165"/>
        <v>3.4799999999999998E-2</v>
      </c>
      <c r="OH126" s="116">
        <f t="shared" si="1166"/>
        <v>3.4200000000000001E-2</v>
      </c>
      <c r="OI126" s="116">
        <f t="shared" si="1167"/>
        <v>3.3599999999999998E-2</v>
      </c>
      <c r="OJ126" s="116">
        <f t="shared" si="1168"/>
        <v>3.2899999999999999E-2</v>
      </c>
      <c r="OK126" s="116">
        <f t="shared" si="1169"/>
        <v>3.2300000000000002E-2</v>
      </c>
      <c r="OL126" s="116">
        <f t="shared" si="1170"/>
        <v>3.1600000000000003E-2</v>
      </c>
      <c r="OM126" s="116">
        <f t="shared" si="1171"/>
        <v>3.1E-2</v>
      </c>
      <c r="ON126" s="116">
        <f t="shared" si="1172"/>
        <v>3.04E-2</v>
      </c>
      <c r="OO126" s="116">
        <f t="shared" si="1173"/>
        <v>2.98E-2</v>
      </c>
      <c r="OP126" s="116">
        <f t="shared" si="1174"/>
        <v>2.92E-2</v>
      </c>
      <c r="OQ126" s="116">
        <f t="shared" si="1175"/>
        <v>2.86E-2</v>
      </c>
      <c r="OR126" s="116">
        <f t="shared" si="1176"/>
        <v>2.7999999999999997E-2</v>
      </c>
      <c r="OS126" s="116">
        <f t="shared" si="1177"/>
        <v>2.7400000000000001E-2</v>
      </c>
      <c r="OT126" s="171">
        <f t="shared" si="1178"/>
        <v>2.6800000000000001E-2</v>
      </c>
      <c r="OU126" s="150">
        <f t="shared" si="1179"/>
        <v>2.6200000000000001E-2</v>
      </c>
      <c r="OV126" s="150">
        <f t="shared" si="1180"/>
        <v>2.5600000000000001E-2</v>
      </c>
      <c r="OW126" s="150">
        <f t="shared" si="1181"/>
        <v>2.5000000000000001E-2</v>
      </c>
      <c r="OX126" s="150">
        <f t="shared" si="1182"/>
        <v>2.46E-2</v>
      </c>
      <c r="OY126" s="150">
        <f t="shared" si="1183"/>
        <v>2.4199999999999999E-2</v>
      </c>
      <c r="OZ126" s="150">
        <f t="shared" si="1184"/>
        <v>2.3700000000000002E-2</v>
      </c>
      <c r="PA126" s="150">
        <f t="shared" si="1185"/>
        <v>2.3300000000000001E-2</v>
      </c>
      <c r="PB126" s="150">
        <f t="shared" si="1186"/>
        <v>2.29E-2</v>
      </c>
      <c r="PC126" s="150">
        <f t="shared" si="1187"/>
        <v>2.2499999999999999E-2</v>
      </c>
      <c r="PD126" s="150">
        <f t="shared" si="1188"/>
        <v>2.2099999999999998E-2</v>
      </c>
      <c r="PE126" s="150">
        <f t="shared" si="1189"/>
        <v>2.1600000000000001E-2</v>
      </c>
      <c r="PF126" s="150">
        <f t="shared" si="1190"/>
        <v>2.12E-2</v>
      </c>
      <c r="PG126" s="150">
        <f t="shared" si="1191"/>
        <v>2.0799999999999999E-2</v>
      </c>
      <c r="PH126" s="150">
        <f t="shared" si="1130"/>
        <v>2.0499999999999997E-2</v>
      </c>
      <c r="PI126" s="150">
        <f t="shared" si="1192"/>
        <v>2.0199999999999999E-2</v>
      </c>
      <c r="PJ126" s="150">
        <f t="shared" si="1193"/>
        <v>1.9900000000000001E-2</v>
      </c>
      <c r="PK126" s="150">
        <f t="shared" si="1194"/>
        <v>1.9599999999999999E-2</v>
      </c>
      <c r="PL126" s="150">
        <f t="shared" si="1195"/>
        <v>1.9299999999999998E-2</v>
      </c>
      <c r="PM126" s="150">
        <f t="shared" si="1196"/>
        <v>1.9E-2</v>
      </c>
      <c r="PN126" s="150">
        <f t="shared" si="1197"/>
        <v>1.8700000000000001E-2</v>
      </c>
      <c r="PO126" s="150">
        <f t="shared" si="1198"/>
        <v>1.84E-2</v>
      </c>
      <c r="PP126" s="150">
        <f t="shared" si="1199"/>
        <v>1.8100000000000002E-2</v>
      </c>
      <c r="PQ126" s="150">
        <f t="shared" si="1200"/>
        <v>1.78E-2</v>
      </c>
      <c r="PR126" s="150">
        <f t="shared" si="1201"/>
        <v>1.7600000000000001E-2</v>
      </c>
      <c r="PS126" s="150">
        <f t="shared" si="1202"/>
        <v>1.7399999999999999E-2</v>
      </c>
      <c r="PT126" s="150">
        <f t="shared" si="1203"/>
        <v>1.72E-2</v>
      </c>
      <c r="PU126" s="150">
        <f t="shared" si="1204"/>
        <v>1.7000000000000001E-2</v>
      </c>
      <c r="PV126" s="150">
        <f t="shared" si="1205"/>
        <v>1.6799999999999999E-2</v>
      </c>
      <c r="PW126" s="150">
        <f t="shared" si="1206"/>
        <v>1.66E-2</v>
      </c>
      <c r="PX126" s="150">
        <f t="shared" si="1207"/>
        <v>1.6399999999999998E-2</v>
      </c>
      <c r="PY126" s="150">
        <f t="shared" si="1208"/>
        <v>1.6200000000000003E-2</v>
      </c>
      <c r="PZ126" s="150">
        <f t="shared" si="1209"/>
        <v>1.6E-2</v>
      </c>
      <c r="QA126" s="150">
        <f t="shared" si="1210"/>
        <v>1.5800000000000002E-2</v>
      </c>
      <c r="QB126" s="150">
        <f t="shared" si="1211"/>
        <v>1.5700000000000002E-2</v>
      </c>
      <c r="QC126" s="150">
        <f t="shared" si="1212"/>
        <v>1.5600000000000001E-2</v>
      </c>
      <c r="QD126" s="150">
        <f t="shared" si="1213"/>
        <v>1.55E-2</v>
      </c>
      <c r="QE126" s="150">
        <f t="shared" si="1214"/>
        <v>1.54E-2</v>
      </c>
      <c r="QF126" s="150">
        <f t="shared" si="1215"/>
        <v>1.5300000000000001E-2</v>
      </c>
      <c r="QG126" s="150">
        <f t="shared" si="1216"/>
        <v>1.52E-2</v>
      </c>
      <c r="QH126" s="150">
        <f t="shared" si="1217"/>
        <v>1.5100000000000001E-2</v>
      </c>
      <c r="QI126" s="150">
        <f t="shared" si="1218"/>
        <v>1.4999999999999999E-2</v>
      </c>
      <c r="QJ126" s="150">
        <f t="shared" si="1219"/>
        <v>1.49E-2</v>
      </c>
      <c r="QK126" s="150">
        <f t="shared" si="1220"/>
        <v>1.4800000000000001E-2</v>
      </c>
      <c r="QL126" s="150">
        <f t="shared" si="1221"/>
        <v>1.47E-2</v>
      </c>
      <c r="QM126" s="150">
        <f t="shared" si="1222"/>
        <v>1.46E-2</v>
      </c>
      <c r="QN126" s="150">
        <f t="shared" si="1223"/>
        <v>1.4499999999999999E-2</v>
      </c>
      <c r="QO126" s="150">
        <f t="shared" si="1224"/>
        <v>1.44E-2</v>
      </c>
      <c r="QP126" s="150">
        <f t="shared" si="1225"/>
        <v>1.43E-2</v>
      </c>
      <c r="QQ126" s="150">
        <f t="shared" si="1226"/>
        <v>1.4199999999999999E-2</v>
      </c>
      <c r="QR126" s="150">
        <f t="shared" si="1227"/>
        <v>1.41E-2</v>
      </c>
      <c r="QS126" s="175">
        <f t="shared" si="1228"/>
        <v>1.3999999999999999E-2</v>
      </c>
      <c r="QT126" s="161">
        <f t="shared" si="1229"/>
        <v>1.3899999999999999E-2</v>
      </c>
      <c r="QU126" s="161">
        <f t="shared" si="1230"/>
        <v>1.38E-2</v>
      </c>
      <c r="QV126" s="161">
        <f t="shared" si="1231"/>
        <v>1.37E-2</v>
      </c>
      <c r="QW126" s="161">
        <f t="shared" si="1232"/>
        <v>1.3600000000000001E-2</v>
      </c>
      <c r="QX126" s="161">
        <f t="shared" si="1233"/>
        <v>1.3500000000000002E-2</v>
      </c>
      <c r="QY126" s="161">
        <f t="shared" si="1234"/>
        <v>1.34E-2</v>
      </c>
      <c r="QZ126" s="161">
        <f t="shared" si="1235"/>
        <v>1.34E-2</v>
      </c>
      <c r="RA126" s="161">
        <f t="shared" si="1236"/>
        <v>1.3300000000000001E-2</v>
      </c>
      <c r="RB126" s="161">
        <f t="shared" si="1237"/>
        <v>1.32E-2</v>
      </c>
      <c r="RC126" s="161">
        <f t="shared" si="1238"/>
        <v>1.3100000000000001E-2</v>
      </c>
      <c r="RD126" s="161">
        <f t="shared" si="1239"/>
        <v>1.3000000000000001E-2</v>
      </c>
      <c r="RE126" s="161">
        <f t="shared" si="1240"/>
        <v>1.29E-2</v>
      </c>
      <c r="RF126" s="161">
        <f t="shared" si="1241"/>
        <v>1.2800000000000001E-2</v>
      </c>
      <c r="RG126" s="161">
        <f t="shared" si="1242"/>
        <v>1.2699999999999999E-2</v>
      </c>
      <c r="RH126" s="161">
        <f t="shared" si="1243"/>
        <v>1.2699999999999999E-2</v>
      </c>
      <c r="RI126" s="161">
        <f t="shared" si="1244"/>
        <v>1.26E-2</v>
      </c>
      <c r="RJ126" s="161">
        <f t="shared" si="1245"/>
        <v>1.2500000000000001E-2</v>
      </c>
      <c r="RK126" s="161">
        <f t="shared" si="1246"/>
        <v>1.24E-2</v>
      </c>
      <c r="RL126" s="161">
        <f t="shared" si="1247"/>
        <v>1.23E-2</v>
      </c>
      <c r="RM126" s="161">
        <f t="shared" si="1248"/>
        <v>1.23E-2</v>
      </c>
      <c r="RN126" s="161">
        <f t="shared" si="1249"/>
        <v>1.2199999999999999E-2</v>
      </c>
      <c r="RO126" s="161">
        <f t="shared" si="1250"/>
        <v>1.21E-2</v>
      </c>
      <c r="RP126" s="161">
        <f t="shared" si="1251"/>
        <v>1.2E-2</v>
      </c>
      <c r="RQ126" s="161">
        <f t="shared" si="1252"/>
        <v>1.1899999999999999E-2</v>
      </c>
      <c r="RR126" s="161">
        <f t="shared" si="1253"/>
        <v>1.18E-2</v>
      </c>
      <c r="RS126" s="161">
        <f t="shared" si="1254"/>
        <v>1.1699999999999999E-2</v>
      </c>
      <c r="RT126" s="161">
        <f t="shared" si="1131"/>
        <v>1.1699999999999999E-2</v>
      </c>
      <c r="RU126" s="161">
        <f t="shared" si="1271"/>
        <v>1.1599999999999999E-2</v>
      </c>
      <c r="RV126" s="161">
        <f t="shared" si="1272"/>
        <v>1.15E-2</v>
      </c>
      <c r="RW126" s="161">
        <f t="shared" si="1273"/>
        <v>1.1399999999999999E-2</v>
      </c>
      <c r="RX126" s="161">
        <f t="shared" si="1274"/>
        <v>1.1299999999999999E-2</v>
      </c>
      <c r="RY126" s="161">
        <f t="shared" si="1275"/>
        <v>1.1200000000000002E-2</v>
      </c>
      <c r="RZ126" s="161">
        <f t="shared" si="1276"/>
        <v>1.11E-2</v>
      </c>
      <c r="SA126" s="161">
        <f t="shared" si="1277"/>
        <v>1.1000000000000001E-2</v>
      </c>
      <c r="SB126" s="161">
        <f t="shared" si="1278"/>
        <v>1.1000000000000001E-2</v>
      </c>
      <c r="SC126" s="161">
        <f t="shared" si="1279"/>
        <v>1.09E-2</v>
      </c>
      <c r="SD126" s="161">
        <f t="shared" si="1256"/>
        <v>1.0800000000000001E-2</v>
      </c>
      <c r="SE126" s="161">
        <f t="shared" si="1257"/>
        <v>1.0700000000000001E-2</v>
      </c>
      <c r="SF126" s="161">
        <f t="shared" si="1258"/>
        <v>1.06E-2</v>
      </c>
      <c r="SG126" s="161">
        <f t="shared" si="1259"/>
        <v>1.06E-2</v>
      </c>
      <c r="SH126" s="161">
        <f t="shared" si="1260"/>
        <v>1.0500000000000001E-2</v>
      </c>
      <c r="SI126" s="161">
        <f t="shared" si="1261"/>
        <v>1.04E-2</v>
      </c>
      <c r="SJ126" s="161">
        <f t="shared" si="1262"/>
        <v>1.03E-2</v>
      </c>
      <c r="SK126" s="161">
        <f t="shared" si="1263"/>
        <v>1.03E-2</v>
      </c>
      <c r="SL126" s="161">
        <f t="shared" si="1264"/>
        <v>1.0200000000000001E-2</v>
      </c>
      <c r="SM126" s="161">
        <f t="shared" si="1265"/>
        <v>1.0200000000000001E-2</v>
      </c>
      <c r="SN126" s="161">
        <f t="shared" si="1266"/>
        <v>1.01E-2</v>
      </c>
      <c r="SO126" s="161">
        <f t="shared" si="1267"/>
        <v>0.01</v>
      </c>
      <c r="SP126" s="161">
        <f t="shared" si="1268"/>
        <v>0.01</v>
      </c>
      <c r="SQ126" s="161">
        <f t="shared" si="1269"/>
        <v>9.8999999999999991E-3</v>
      </c>
      <c r="SR126" s="118">
        <f t="shared" si="1270"/>
        <v>9.8999999999999991E-3</v>
      </c>
      <c r="SS126" s="36"/>
      <c r="ST126" s="36"/>
      <c r="SU126" s="36"/>
      <c r="SV126" s="36"/>
      <c r="SW126" s="36"/>
      <c r="SX126" s="36"/>
      <c r="SY126" s="36"/>
      <c r="SZ126" s="36"/>
      <c r="TA126" s="36"/>
      <c r="TB126" s="36"/>
      <c r="TC126" s="36"/>
      <c r="TD126" s="36"/>
      <c r="TE126" s="36"/>
      <c r="TF126" s="36"/>
      <c r="TG126" s="36"/>
      <c r="TH126" s="36"/>
      <c r="TI126" s="36"/>
    </row>
    <row r="127" spans="1:529" ht="19.5" thickBot="1" x14ac:dyDescent="0.3">
      <c r="A127" s="298"/>
      <c r="B127" s="25" t="s">
        <v>105</v>
      </c>
      <c r="BY127" s="18"/>
      <c r="BZ127" s="18"/>
      <c r="CA127" s="18"/>
      <c r="CB127" s="18"/>
      <c r="CC127" s="18"/>
      <c r="CD127" s="18"/>
      <c r="CE127" s="18"/>
      <c r="CF127" s="18"/>
      <c r="CG127" s="18"/>
      <c r="CH127" s="18"/>
      <c r="CI127" s="18"/>
      <c r="CJ127" s="18"/>
      <c r="CK127" s="18"/>
      <c r="CL127" s="18"/>
      <c r="CM127" s="18"/>
      <c r="CN127" s="18"/>
      <c r="CO127" s="18"/>
      <c r="CP127" s="18"/>
      <c r="CQ127" s="18"/>
      <c r="CR127" s="18"/>
      <c r="CS127" s="18"/>
      <c r="CT127" s="18"/>
      <c r="CU127" s="18"/>
      <c r="CV127" s="18"/>
      <c r="CW127" s="18"/>
      <c r="CX127" s="18"/>
      <c r="CY127" s="18"/>
      <c r="CZ127" s="18"/>
      <c r="DA127" s="18"/>
      <c r="DB127" s="18"/>
      <c r="DC127" s="18"/>
      <c r="DD127" s="18"/>
      <c r="DE127" s="18"/>
      <c r="DF127" s="18"/>
      <c r="DG127" s="18"/>
      <c r="DH127" s="18"/>
      <c r="DI127" s="18"/>
      <c r="DJ127" s="18"/>
      <c r="DK127" s="18"/>
      <c r="DL127" s="18"/>
      <c r="DM127" s="18"/>
      <c r="DN127" s="18"/>
      <c r="DO127" s="18"/>
      <c r="DP127" s="18"/>
      <c r="DQ127" s="18"/>
      <c r="DR127" s="18"/>
      <c r="DS127" s="18"/>
      <c r="DT127" s="18"/>
      <c r="DU127" s="18"/>
      <c r="DV127" s="18"/>
      <c r="DW127" s="18"/>
      <c r="DX127" s="18"/>
      <c r="DY127" s="18"/>
      <c r="DZ127" s="18"/>
      <c r="EA127" s="18"/>
      <c r="EB127" s="18"/>
      <c r="EC127" s="18"/>
      <c r="ED127" s="18"/>
      <c r="EE127" s="18"/>
      <c r="EF127" s="18"/>
      <c r="EG127" s="18"/>
      <c r="EH127" s="18"/>
      <c r="EI127" s="18"/>
      <c r="EJ127" s="18"/>
      <c r="EK127" s="18"/>
      <c r="EL127" s="18"/>
      <c r="EM127" s="18"/>
      <c r="EN127" s="18"/>
      <c r="EO127" s="18"/>
      <c r="EP127" s="18"/>
      <c r="EQ127" s="18"/>
      <c r="ER127" s="18"/>
      <c r="ES127" s="18"/>
      <c r="ET127" s="18"/>
      <c r="EU127" s="18"/>
      <c r="EV127" s="18"/>
      <c r="EW127" s="18"/>
      <c r="EX127" s="18"/>
      <c r="EY127" s="18"/>
      <c r="EZ127" s="18"/>
      <c r="FA127" s="18"/>
      <c r="FB127" s="18"/>
      <c r="FC127" s="18"/>
      <c r="FD127" s="18"/>
      <c r="FE127" s="18"/>
      <c r="FF127" s="18"/>
      <c r="FG127" s="18"/>
      <c r="FH127" s="18"/>
      <c r="FI127" s="18"/>
      <c r="FJ127" s="18"/>
      <c r="FK127" s="18"/>
      <c r="FL127" s="18"/>
      <c r="FM127" s="18"/>
      <c r="FN127" s="18"/>
      <c r="FO127" s="18"/>
      <c r="FP127" s="18"/>
      <c r="FQ127" s="18"/>
      <c r="FR127" s="18"/>
      <c r="FS127" s="18"/>
      <c r="FT127" s="18"/>
      <c r="FU127" s="18"/>
      <c r="FV127" s="18"/>
      <c r="FW127" s="18"/>
      <c r="FX127" s="18"/>
      <c r="FY127" s="18"/>
      <c r="FZ127" s="18"/>
      <c r="GA127" s="18"/>
      <c r="GB127" s="18"/>
      <c r="GC127" s="18"/>
      <c r="GD127" s="18"/>
      <c r="GE127" s="18"/>
      <c r="GF127" s="18"/>
      <c r="GG127" s="18"/>
      <c r="GH127" s="18"/>
      <c r="GI127" s="18"/>
      <c r="GJ127" s="18"/>
      <c r="GK127" s="18"/>
      <c r="GL127" s="18"/>
      <c r="GM127" s="18"/>
      <c r="GN127" s="18"/>
      <c r="GO127" s="18"/>
      <c r="GP127" s="18"/>
      <c r="GQ127" s="18"/>
      <c r="GR127" s="18"/>
      <c r="GS127" s="18"/>
      <c r="GT127" s="18"/>
      <c r="GU127" s="18"/>
      <c r="GV127" s="18"/>
      <c r="GW127" s="18"/>
      <c r="GX127" s="18"/>
      <c r="GY127" s="18"/>
      <c r="GZ127" s="18"/>
      <c r="HA127" s="18"/>
      <c r="HB127" s="18"/>
      <c r="HC127" s="18"/>
      <c r="HD127" s="18"/>
      <c r="HE127" s="18"/>
      <c r="HF127" s="18"/>
      <c r="HG127" s="18"/>
      <c r="HH127" s="18"/>
      <c r="HI127" s="18"/>
      <c r="HJ127" s="18"/>
      <c r="HK127" s="18"/>
      <c r="HL127" s="18"/>
      <c r="HM127" s="18"/>
      <c r="HN127" s="18"/>
      <c r="HO127" s="18"/>
      <c r="HP127" s="18"/>
      <c r="HQ127" s="18"/>
      <c r="HR127" s="18"/>
      <c r="HS127" s="18"/>
      <c r="HT127" s="18"/>
      <c r="HU127" s="18"/>
      <c r="HV127" s="18"/>
      <c r="HW127" s="18"/>
      <c r="HX127" s="18"/>
      <c r="HY127" s="18"/>
      <c r="HZ127" s="18"/>
      <c r="IA127" s="18"/>
      <c r="IB127" s="18"/>
      <c r="IC127" s="18"/>
      <c r="ID127" s="18"/>
      <c r="IE127" s="18"/>
      <c r="IF127" s="18"/>
      <c r="IG127" s="18"/>
      <c r="IH127" s="18"/>
      <c r="II127" s="18"/>
      <c r="IJ127" s="18"/>
      <c r="IK127" s="18"/>
      <c r="IL127" s="18"/>
      <c r="IM127" s="18"/>
      <c r="IN127" s="18"/>
      <c r="IO127" s="18"/>
      <c r="IP127" s="18"/>
      <c r="IQ127" s="18"/>
      <c r="IR127" s="18"/>
      <c r="IS127" s="18"/>
      <c r="IT127" s="18"/>
      <c r="IU127" s="18"/>
      <c r="IV127" s="18"/>
      <c r="IW127" s="18"/>
      <c r="IX127" s="18"/>
      <c r="IY127" s="18"/>
      <c r="IZ127" s="18"/>
      <c r="JA127" s="18"/>
      <c r="JB127" s="18"/>
      <c r="JC127" s="18"/>
      <c r="JD127" s="18"/>
      <c r="JE127" s="18"/>
      <c r="JF127" s="18"/>
      <c r="JG127" s="18"/>
      <c r="JH127" s="18"/>
      <c r="JI127" s="18"/>
      <c r="JJ127" s="18"/>
      <c r="JK127" s="18"/>
      <c r="JL127" s="18"/>
      <c r="JM127" s="18"/>
      <c r="JN127" s="18"/>
      <c r="JO127" s="18"/>
      <c r="JP127" s="18"/>
      <c r="JQ127" s="18"/>
      <c r="JR127" s="18"/>
      <c r="JS127" s="18"/>
      <c r="JT127" s="18"/>
      <c r="JU127" s="18"/>
      <c r="JV127" s="18"/>
      <c r="JW127" s="18"/>
      <c r="JX127" s="18"/>
      <c r="JY127" s="18"/>
      <c r="JZ127" s="18"/>
      <c r="KA127" s="18"/>
      <c r="KB127" s="18"/>
      <c r="KC127" s="18"/>
      <c r="KD127" s="18"/>
      <c r="KE127" s="18"/>
      <c r="KF127" s="18"/>
      <c r="KG127" s="18"/>
      <c r="KH127" s="18"/>
      <c r="KI127" s="18"/>
      <c r="KJ127" s="18"/>
      <c r="KK127" s="18"/>
      <c r="KL127" s="18"/>
      <c r="KM127" s="18"/>
      <c r="KN127" s="18"/>
      <c r="KO127" s="18"/>
      <c r="KP127" s="18"/>
      <c r="KQ127" s="18"/>
      <c r="KR127" s="18"/>
      <c r="KS127" s="18"/>
      <c r="KT127" s="18"/>
      <c r="KU127" s="18"/>
      <c r="KV127" s="18"/>
      <c r="KW127" s="18"/>
      <c r="KX127" s="18"/>
      <c r="KY127" s="18"/>
      <c r="KZ127" s="18"/>
      <c r="LA127" s="18"/>
      <c r="LB127" s="18"/>
      <c r="LC127" s="18"/>
      <c r="LD127" s="18"/>
      <c r="LE127" s="18"/>
      <c r="LF127" s="18"/>
      <c r="LG127" s="18"/>
      <c r="LH127" s="18"/>
      <c r="LI127" s="18"/>
      <c r="LJ127" s="18"/>
      <c r="LK127" s="18"/>
      <c r="LL127" s="18"/>
      <c r="LM127" s="18"/>
      <c r="LN127" s="18"/>
      <c r="LO127" s="18"/>
      <c r="LP127" s="18"/>
      <c r="LQ127" s="18"/>
      <c r="LR127" s="18"/>
      <c r="LS127" s="18"/>
      <c r="LT127" s="18"/>
      <c r="LU127" s="18"/>
      <c r="LV127" s="18"/>
      <c r="LW127" s="18"/>
      <c r="LX127" s="18"/>
      <c r="LY127" s="18"/>
      <c r="LZ127" s="18"/>
      <c r="MA127" s="18"/>
      <c r="MB127" s="18"/>
      <c r="MC127" s="18"/>
      <c r="MD127" s="18"/>
      <c r="ME127" s="18"/>
      <c r="MF127" s="18"/>
      <c r="MG127" s="18"/>
      <c r="MH127" s="18"/>
      <c r="MI127" s="18"/>
      <c r="MJ127" s="18"/>
      <c r="MK127" s="18"/>
      <c r="ML127" s="18"/>
      <c r="MM127" s="18"/>
      <c r="MN127" s="18"/>
      <c r="MO127" s="18"/>
      <c r="MP127" s="18"/>
      <c r="MQ127" s="18"/>
      <c r="MR127" s="18"/>
      <c r="MS127" s="18"/>
      <c r="MT127" s="18"/>
      <c r="MU127" s="18"/>
      <c r="MV127" s="124">
        <f t="shared" si="1121"/>
        <v>0.14050000000000001</v>
      </c>
      <c r="MW127" s="115">
        <f t="shared" si="1122"/>
        <v>0.15349541071428571</v>
      </c>
      <c r="MX127" s="115">
        <f t="shared" si="1123"/>
        <v>0.16790765106568878</v>
      </c>
      <c r="MY127" s="115">
        <f t="shared" si="1124"/>
        <v>0.18331904442666083</v>
      </c>
      <c r="MZ127" s="115">
        <f t="shared" si="1132"/>
        <v>0.19935467139751761</v>
      </c>
      <c r="NA127" s="115">
        <f t="shared" si="1133"/>
        <v>0.2166426892048324</v>
      </c>
      <c r="NB127" s="115">
        <f t="shared" si="1134"/>
        <v>0.2353432020092141</v>
      </c>
      <c r="NC127" s="115">
        <f t="shared" si="1135"/>
        <v>0.25505677544932165</v>
      </c>
      <c r="ND127" s="115">
        <f t="shared" si="1136"/>
        <v>0.27583239066968751</v>
      </c>
      <c r="NE127" s="115">
        <f t="shared" si="1137"/>
        <v>0.29697738913303484</v>
      </c>
      <c r="NF127" s="115">
        <f t="shared" si="1138"/>
        <v>0.3194037691593315</v>
      </c>
      <c r="NG127" s="115">
        <f t="shared" si="1139"/>
        <v>0.34269017321519196</v>
      </c>
      <c r="NH127" s="115">
        <f t="shared" si="1140"/>
        <v>0.36728624217254702</v>
      </c>
      <c r="NI127" s="115">
        <f t="shared" si="1141"/>
        <v>0.39272283715155293</v>
      </c>
      <c r="NJ127" s="115">
        <f t="shared" si="1142"/>
        <v>0.4186413483967294</v>
      </c>
      <c r="NK127" s="115">
        <f t="shared" si="1143"/>
        <v>0.44516430350160602</v>
      </c>
      <c r="NL127" s="115">
        <f t="shared" si="1144"/>
        <v>0.47180154377391648</v>
      </c>
      <c r="NM127" s="115">
        <f t="shared" si="1145"/>
        <v>0.49977012867788351</v>
      </c>
      <c r="NN127" s="115">
        <f t="shared" si="1146"/>
        <v>0.52873554206564766</v>
      </c>
      <c r="NO127" s="115">
        <f t="shared" si="1147"/>
        <v>0.55806974775310336</v>
      </c>
      <c r="NP127" s="115">
        <f t="shared" si="1148"/>
        <v>0.58829561286534438</v>
      </c>
      <c r="NQ127" s="115">
        <f t="shared" si="1149"/>
        <v>0.61736583170566495</v>
      </c>
      <c r="NR127" s="115">
        <f t="shared" si="1150"/>
        <v>0.64838994880135448</v>
      </c>
      <c r="NS127" s="115">
        <f t="shared" si="1151"/>
        <v>0.67945839994117818</v>
      </c>
      <c r="NT127" s="115">
        <f t="shared" si="1152"/>
        <v>0.71278668366268905</v>
      </c>
      <c r="NU127" s="115">
        <f t="shared" si="1153"/>
        <v>0.74696390684333991</v>
      </c>
      <c r="NV127" s="115">
        <f t="shared" si="1154"/>
        <v>0.78124953431619559</v>
      </c>
      <c r="NW127" s="115">
        <f t="shared" si="1155"/>
        <v>0.81624935648608865</v>
      </c>
      <c r="NX127" s="115">
        <f t="shared" si="1156"/>
        <v>0.851190450173121</v>
      </c>
      <c r="NY127" s="115">
        <f t="shared" si="1157"/>
        <v>0.88669158617649757</v>
      </c>
      <c r="NZ127" s="115">
        <f t="shared" si="1158"/>
        <v>0.9226928896086164</v>
      </c>
      <c r="OA127" s="115">
        <f t="shared" si="1159"/>
        <v>0.9583702115541558</v>
      </c>
      <c r="OB127" s="115">
        <f t="shared" si="1160"/>
        <v>0.99436612748230468</v>
      </c>
      <c r="OC127" s="115">
        <f t="shared" si="1161"/>
        <v>1.0306058047907931</v>
      </c>
      <c r="OD127" s="115">
        <f t="shared" si="1162"/>
        <v>1.0662242972344411</v>
      </c>
      <c r="OE127" s="115">
        <f t="shared" si="1163"/>
        <v>1.098837681270268</v>
      </c>
      <c r="OF127" s="115">
        <f t="shared" si="1164"/>
        <v>1.1333551862719433</v>
      </c>
      <c r="OG127" s="115">
        <f t="shared" si="1165"/>
        <v>1.1643356897299235</v>
      </c>
      <c r="OH127" s="115">
        <f t="shared" si="1166"/>
        <v>1.1980573168234954</v>
      </c>
      <c r="OI127" s="115">
        <f t="shared" si="1167"/>
        <v>1.230594031322491</v>
      </c>
      <c r="OJ127" s="115">
        <f t="shared" si="1168"/>
        <v>1.25877805295653</v>
      </c>
      <c r="OK127" s="115">
        <f t="shared" si="1169"/>
        <v>1.2898201531700975</v>
      </c>
      <c r="OL127" s="115">
        <f t="shared" si="1170"/>
        <v>1.3151769703837655</v>
      </c>
      <c r="OM127" s="115">
        <f t="shared" si="1171"/>
        <v>1.3434748261788181</v>
      </c>
      <c r="ON127" s="115">
        <f t="shared" si="1172"/>
        <v>1.3707845882486138</v>
      </c>
      <c r="OO127" s="115">
        <f t="shared" si="1173"/>
        <v>1.3962440358625756</v>
      </c>
      <c r="OP127" s="115">
        <f t="shared" si="1174"/>
        <v>1.4204905112874515</v>
      </c>
      <c r="OQ127" s="115">
        <f t="shared" si="1175"/>
        <v>1.4434197840759082</v>
      </c>
      <c r="OR127" s="115">
        <f t="shared" si="1176"/>
        <v>1.4641996455827908</v>
      </c>
      <c r="OS127" s="169">
        <f t="shared" si="1177"/>
        <v>1.4834503847325724</v>
      </c>
      <c r="OT127" s="136">
        <f t="shared" si="1178"/>
        <v>0</v>
      </c>
      <c r="OU127" s="170">
        <f t="shared" si="1179"/>
        <v>1.4638512217573703</v>
      </c>
      <c r="OV127" s="149">
        <f t="shared" si="1180"/>
        <v>1.4767759282456547</v>
      </c>
      <c r="OW127" s="149">
        <f t="shared" si="1181"/>
        <v>1.4872269348401286</v>
      </c>
      <c r="OX127" s="149">
        <f t="shared" si="1182"/>
        <v>1.5080184446477354</v>
      </c>
      <c r="OY127" s="149">
        <f t="shared" si="1183"/>
        <v>1.5279256892956639</v>
      </c>
      <c r="OZ127" s="149">
        <f t="shared" si="1184"/>
        <v>1.5397896971590186</v>
      </c>
      <c r="PA127" s="149">
        <f t="shared" si="1185"/>
        <v>1.5567703640010737</v>
      </c>
      <c r="PB127" s="149">
        <f t="shared" si="1186"/>
        <v>1.5726897843305634</v>
      </c>
      <c r="PC127" s="149">
        <f t="shared" si="1187"/>
        <v>1.5874948334423751</v>
      </c>
      <c r="PD127" s="149">
        <f t="shared" si="1188"/>
        <v>1.6005638232576938</v>
      </c>
      <c r="PE127" s="149">
        <f t="shared" si="1189"/>
        <v>1.6049855194787468</v>
      </c>
      <c r="PF127" s="149">
        <f t="shared" si="1190"/>
        <v>1.6151835357682431</v>
      </c>
      <c r="PG127" s="149">
        <f t="shared" si="1191"/>
        <v>1.624065309288073</v>
      </c>
      <c r="PH127" s="149">
        <f t="shared" si="1130"/>
        <v>1.639056681373809</v>
      </c>
      <c r="PI127" s="149">
        <f t="shared" si="1192"/>
        <v>1.6532265262692467</v>
      </c>
      <c r="PJ127" s="149">
        <f t="shared" si="1193"/>
        <v>1.6665403195940414</v>
      </c>
      <c r="PK127" s="149">
        <f t="shared" si="1194"/>
        <v>1.6789640008207636</v>
      </c>
      <c r="PL127" s="149">
        <f t="shared" si="1195"/>
        <v>1.6904640476120993</v>
      </c>
      <c r="PM127" s="149">
        <f t="shared" si="1196"/>
        <v>1.7005118899522849</v>
      </c>
      <c r="PN127" s="149">
        <f t="shared" si="1197"/>
        <v>1.7095731100983165</v>
      </c>
      <c r="PO127" s="149">
        <f t="shared" si="1198"/>
        <v>1.7176172571045174</v>
      </c>
      <c r="PP127" s="149">
        <f t="shared" si="1199"/>
        <v>1.724614726550094</v>
      </c>
      <c r="PQ127" s="149">
        <f t="shared" si="1200"/>
        <v>1.7300746508710168</v>
      </c>
      <c r="PR127" s="149">
        <f t="shared" si="1201"/>
        <v>1.7443476482099647</v>
      </c>
      <c r="PS127" s="149">
        <f t="shared" si="1202"/>
        <v>1.7580906710059778</v>
      </c>
      <c r="PT127" s="149">
        <f t="shared" si="1203"/>
        <v>1.7712839906251225</v>
      </c>
      <c r="PU127" s="149">
        <f t="shared" si="1204"/>
        <v>1.7839080310914897</v>
      </c>
      <c r="PV127" s="149">
        <f t="shared" si="1205"/>
        <v>1.7955030540076808</v>
      </c>
      <c r="PW127" s="149">
        <f t="shared" si="1206"/>
        <v>1.8064898226952995</v>
      </c>
      <c r="PX127" s="149">
        <f t="shared" si="1207"/>
        <v>1.8168499330037686</v>
      </c>
      <c r="PY127" s="149">
        <f t="shared" si="1208"/>
        <v>1.8265652483816326</v>
      </c>
      <c r="PZ127" s="149">
        <f t="shared" si="1209"/>
        <v>1.8356179263640919</v>
      </c>
      <c r="QA127" s="149">
        <f t="shared" si="1210"/>
        <v>1.8439904451167823</v>
      </c>
      <c r="QB127" s="149">
        <f t="shared" si="1211"/>
        <v>1.8635352814665112</v>
      </c>
      <c r="QC127" s="149">
        <f t="shared" si="1212"/>
        <v>1.8825708111023103</v>
      </c>
      <c r="QD127" s="149">
        <f t="shared" si="1213"/>
        <v>1.9014999571699871</v>
      </c>
      <c r="QE127" s="149">
        <f t="shared" si="1214"/>
        <v>1.9203145836279207</v>
      </c>
      <c r="QF127" s="149">
        <f t="shared" si="1215"/>
        <v>1.9390064768802473</v>
      </c>
      <c r="QG127" s="149">
        <f t="shared" si="1216"/>
        <v>1.9575673493368078</v>
      </c>
      <c r="QH127" s="149">
        <f t="shared" si="1217"/>
        <v>1.9759888430834802</v>
      </c>
      <c r="QI127" s="149">
        <f t="shared" si="1218"/>
        <v>1.9938474099551347</v>
      </c>
      <c r="QJ127" s="149">
        <f t="shared" si="1219"/>
        <v>2.0115449559460856</v>
      </c>
      <c r="QK127" s="149">
        <f t="shared" si="1220"/>
        <v>2.0290731123881076</v>
      </c>
      <c r="QL127" s="149">
        <f t="shared" si="1221"/>
        <v>2.0464234617282977</v>
      </c>
      <c r="QM127" s="149">
        <f t="shared" si="1222"/>
        <v>2.0635875416634013</v>
      </c>
      <c r="QN127" s="149">
        <f t="shared" si="1223"/>
        <v>2.0805568493690219</v>
      </c>
      <c r="QO127" s="149">
        <f t="shared" si="1224"/>
        <v>2.0973228458217061</v>
      </c>
      <c r="QP127" s="149">
        <f t="shared" si="1225"/>
        <v>2.1138769602118068</v>
      </c>
      <c r="QQ127" s="149">
        <f t="shared" si="1226"/>
        <v>2.1297999644471441</v>
      </c>
      <c r="QR127" s="173">
        <f t="shared" si="1227"/>
        <v>2.1454905837725113</v>
      </c>
      <c r="QS127" s="136">
        <f t="shared" si="1228"/>
        <v>0</v>
      </c>
      <c r="QT127" s="174">
        <f t="shared" si="1229"/>
        <v>2.1412140821008765</v>
      </c>
      <c r="QU127" s="159">
        <f t="shared" si="1230"/>
        <v>2.1559170615818175</v>
      </c>
      <c r="QV127" s="159">
        <f t="shared" si="1231"/>
        <v>2.1703581453977518</v>
      </c>
      <c r="QW127" s="159">
        <f t="shared" si="1232"/>
        <v>2.184529025673525</v>
      </c>
      <c r="QX127" s="159">
        <f t="shared" si="1233"/>
        <v>2.1984214050279709</v>
      </c>
      <c r="QY127" s="159">
        <f t="shared" si="1234"/>
        <v>2.211633271903449</v>
      </c>
      <c r="QZ127" s="159">
        <f t="shared" si="1235"/>
        <v>2.2412742419613738</v>
      </c>
      <c r="RA127" s="159">
        <f t="shared" si="1236"/>
        <v>2.2543623761048157</v>
      </c>
      <c r="RB127" s="159">
        <f t="shared" si="1237"/>
        <v>2.2671415772951589</v>
      </c>
      <c r="RC127" s="159">
        <f t="shared" si="1238"/>
        <v>2.2796037489433942</v>
      </c>
      <c r="RD127" s="159">
        <f t="shared" si="1239"/>
        <v>2.2917408337451746</v>
      </c>
      <c r="RE127" s="159">
        <f t="shared" si="1240"/>
        <v>2.3035448187610004</v>
      </c>
      <c r="RF127" s="159">
        <f t="shared" si="1241"/>
        <v>2.3146226128718004</v>
      </c>
      <c r="RG127" s="159">
        <f t="shared" si="1242"/>
        <v>2.325350757169812</v>
      </c>
      <c r="RH127" s="159">
        <f t="shared" si="1243"/>
        <v>2.3542590949919009</v>
      </c>
      <c r="RI127" s="159">
        <f t="shared" si="1244"/>
        <v>2.3647588883285846</v>
      </c>
      <c r="RJ127" s="159">
        <f t="shared" si="1245"/>
        <v>2.3748893038404542</v>
      </c>
      <c r="RK127" s="159">
        <f t="shared" si="1246"/>
        <v>2.3846427583122991</v>
      </c>
      <c r="RL127" s="159">
        <f t="shared" si="1247"/>
        <v>2.3940117469793045</v>
      </c>
      <c r="RM127" s="159">
        <f t="shared" si="1248"/>
        <v>2.4223095038087679</v>
      </c>
      <c r="RN127" s="159">
        <f t="shared" si="1249"/>
        <v>2.4310153908205385</v>
      </c>
      <c r="RO127" s="159">
        <f t="shared" si="1250"/>
        <v>2.4393177404910493</v>
      </c>
      <c r="RP127" s="159">
        <f t="shared" si="1251"/>
        <v>2.4472094509635824</v>
      </c>
      <c r="RQ127" s="159">
        <f t="shared" si="1252"/>
        <v>2.454683521925336</v>
      </c>
      <c r="RR127" s="159">
        <f t="shared" si="1253"/>
        <v>2.4617330596463143</v>
      </c>
      <c r="RS127" s="159">
        <f t="shared" si="1254"/>
        <v>2.4683512820045368</v>
      </c>
      <c r="RT127" s="159">
        <f t="shared" si="1131"/>
        <v>2.4955031461065866</v>
      </c>
      <c r="RU127" s="159">
        <f t="shared" si="1271"/>
        <v>2.1921182166175264</v>
      </c>
      <c r="RV127" s="159">
        <f t="shared" si="1272"/>
        <v>2.1968846039276047</v>
      </c>
      <c r="RW127" s="159">
        <f t="shared" si="1273"/>
        <v>1.8901412935030988</v>
      </c>
      <c r="RX127" s="159">
        <f t="shared" si="1274"/>
        <v>1.893545758522976</v>
      </c>
      <c r="RY127" s="159">
        <f t="shared" si="1275"/>
        <v>1.8965992639742819</v>
      </c>
      <c r="RZ127" s="159">
        <f t="shared" si="1276"/>
        <v>1.8992974022129114</v>
      </c>
      <c r="SA127" s="159">
        <f t="shared" si="1277"/>
        <v>1.9013807816027264</v>
      </c>
      <c r="SB127" s="159">
        <f t="shared" si="1278"/>
        <v>1.6036649468393922</v>
      </c>
      <c r="SC127" s="159">
        <f t="shared" si="1279"/>
        <v>1.6051167362248326</v>
      </c>
      <c r="SD127" s="159">
        <f t="shared" si="1256"/>
        <v>1.2881816709865186</v>
      </c>
      <c r="SE127" s="159">
        <f t="shared" si="1257"/>
        <v>1.2888483063119804</v>
      </c>
      <c r="SF127" s="159">
        <f t="shared" si="1258"/>
        <v>1.2892623473412648</v>
      </c>
      <c r="SG127" s="159">
        <f t="shared" si="1259"/>
        <v>1.3017016038353926</v>
      </c>
      <c r="SH127" s="159">
        <f t="shared" si="1260"/>
        <v>1.301862191115982</v>
      </c>
      <c r="SI127" s="159">
        <f t="shared" si="1261"/>
        <v>0.97939712572032023</v>
      </c>
      <c r="SJ127" s="159">
        <f t="shared" si="1262"/>
        <v>0.97912536992444743</v>
      </c>
      <c r="SK127" s="159">
        <f t="shared" si="1263"/>
        <v>0.66187440390966013</v>
      </c>
      <c r="SL127" s="159">
        <f t="shared" si="1264"/>
        <v>0.66147571468451072</v>
      </c>
      <c r="SM127" s="159">
        <f t="shared" si="1265"/>
        <v>0.66748651574403517</v>
      </c>
      <c r="SN127" s="159">
        <f t="shared" si="1266"/>
        <v>0.66694848633172832</v>
      </c>
      <c r="SO127" s="159">
        <f t="shared" si="1267"/>
        <v>0.66627378596888731</v>
      </c>
      <c r="SP127" s="159">
        <f t="shared" si="1268"/>
        <v>0.33904645178173293</v>
      </c>
      <c r="SQ127" s="159">
        <f t="shared" si="1269"/>
        <v>0.33863310993356072</v>
      </c>
      <c r="SR127" s="162">
        <f t="shared" si="1270"/>
        <v>-6.845541933200597E-4</v>
      </c>
      <c r="SS127" s="36"/>
      <c r="ST127" s="36"/>
      <c r="SU127" s="36"/>
      <c r="SV127" s="36"/>
      <c r="SW127" s="36"/>
      <c r="SX127" s="36"/>
      <c r="SY127" s="36"/>
      <c r="SZ127" s="36"/>
      <c r="TA127" s="36"/>
      <c r="TB127" s="36"/>
      <c r="TC127" s="36"/>
      <c r="TD127" s="36"/>
      <c r="TE127" s="36"/>
      <c r="TF127" s="36"/>
      <c r="TG127" s="36"/>
      <c r="TH127" s="36"/>
      <c r="TI127" s="36"/>
    </row>
    <row r="128" spans="1:529" ht="19.5" thickBot="1" x14ac:dyDescent="0.3">
      <c r="A128" s="298"/>
      <c r="B128" s="25" t="s">
        <v>13</v>
      </c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  <c r="IW128" s="18"/>
      <c r="IX128" s="18"/>
      <c r="IY128" s="18"/>
      <c r="IZ128" s="18"/>
      <c r="JA128" s="18"/>
      <c r="JB128" s="18"/>
      <c r="JC128" s="18"/>
      <c r="JD128" s="18"/>
      <c r="JE128" s="18"/>
      <c r="JF128" s="18"/>
      <c r="JG128" s="18"/>
      <c r="JH128" s="18"/>
      <c r="JI128" s="18"/>
      <c r="JJ128" s="18"/>
      <c r="JK128" s="18"/>
      <c r="JL128" s="18"/>
      <c r="JM128" s="18"/>
      <c r="JN128" s="18"/>
      <c r="JO128" s="18"/>
      <c r="JP128" s="18"/>
      <c r="JQ128" s="18"/>
      <c r="JR128" s="18"/>
      <c r="JS128" s="18"/>
      <c r="JT128" s="18"/>
      <c r="JU128" s="18"/>
      <c r="JV128" s="18"/>
      <c r="JW128" s="18"/>
      <c r="JX128" s="18"/>
      <c r="JY128" s="18"/>
      <c r="JZ128" s="18"/>
      <c r="KA128" s="18"/>
      <c r="KB128" s="18"/>
      <c r="KC128" s="18"/>
      <c r="KD128" s="18"/>
      <c r="KE128" s="18"/>
      <c r="KF128" s="18"/>
      <c r="KG128" s="18"/>
      <c r="KH128" s="18"/>
      <c r="KI128" s="18"/>
      <c r="KJ128" s="18"/>
      <c r="KK128" s="18"/>
      <c r="KL128" s="18"/>
      <c r="KM128" s="18"/>
      <c r="KN128" s="18"/>
      <c r="KO128" s="18"/>
      <c r="KP128" s="18"/>
      <c r="KQ128" s="18"/>
      <c r="KR128" s="18"/>
      <c r="KS128" s="18"/>
      <c r="KT128" s="18"/>
      <c r="KU128" s="18"/>
      <c r="KV128" s="18"/>
      <c r="KW128" s="18"/>
      <c r="KX128" s="18"/>
      <c r="KY128" s="18"/>
      <c r="KZ128" s="18"/>
      <c r="LA128" s="18"/>
      <c r="LB128" s="18"/>
      <c r="LC128" s="18"/>
      <c r="LD128" s="18"/>
      <c r="LE128" s="18"/>
      <c r="LF128" s="18"/>
      <c r="LG128" s="18"/>
      <c r="LH128" s="18"/>
      <c r="LI128" s="18"/>
      <c r="LJ128" s="18"/>
      <c r="LK128" s="18"/>
      <c r="LL128" s="18"/>
      <c r="LM128" s="18"/>
      <c r="LN128" s="18"/>
      <c r="LO128" s="18"/>
      <c r="LP128" s="18"/>
      <c r="LQ128" s="18"/>
      <c r="LR128" s="18"/>
      <c r="LS128" s="18"/>
      <c r="LT128" s="18"/>
      <c r="LU128" s="18"/>
      <c r="LV128" s="18"/>
      <c r="LW128" s="18"/>
      <c r="LX128" s="18"/>
      <c r="LY128" s="18"/>
      <c r="LZ128" s="18"/>
      <c r="MA128" s="18"/>
      <c r="MB128" s="18"/>
      <c r="MC128" s="18"/>
      <c r="MD128" s="18"/>
      <c r="ME128" s="18"/>
      <c r="MF128" s="18"/>
      <c r="MG128" s="18"/>
      <c r="MH128" s="18"/>
      <c r="MI128" s="18"/>
      <c r="MJ128" s="18"/>
      <c r="MK128" s="18"/>
      <c r="ML128" s="18"/>
      <c r="MM128" s="18"/>
      <c r="MN128" s="18"/>
      <c r="MO128" s="18"/>
      <c r="MP128" s="18"/>
      <c r="MQ128" s="18"/>
      <c r="MR128" s="18"/>
      <c r="MS128" s="18"/>
      <c r="MT128" s="18"/>
      <c r="MU128" s="18"/>
      <c r="MV128" s="117">
        <f t="shared" si="1121"/>
        <v>0.56000000000000005</v>
      </c>
      <c r="MW128" s="114">
        <f t="shared" si="1122"/>
        <v>0.56000000000000005</v>
      </c>
      <c r="MX128" s="114">
        <f t="shared" si="1123"/>
        <v>0.56999999999999995</v>
      </c>
      <c r="MY128" s="114">
        <f t="shared" si="1124"/>
        <v>0.56999999999999995</v>
      </c>
      <c r="MZ128" s="114">
        <f t="shared" si="1132"/>
        <v>0.56999999999999995</v>
      </c>
      <c r="NA128" s="114">
        <f t="shared" si="1133"/>
        <v>0.57999999999999996</v>
      </c>
      <c r="NB128" s="114">
        <f t="shared" si="1134"/>
        <v>0.57999999999999996</v>
      </c>
      <c r="NC128" s="114">
        <f t="shared" si="1135"/>
        <v>0.59</v>
      </c>
      <c r="ND128" s="114">
        <f t="shared" si="1136"/>
        <v>0.59</v>
      </c>
      <c r="NE128" s="114">
        <f t="shared" si="1137"/>
        <v>0.59</v>
      </c>
      <c r="NF128" s="114">
        <f t="shared" si="1138"/>
        <v>0.6</v>
      </c>
      <c r="NG128" s="114">
        <f t="shared" si="1139"/>
        <v>0.6</v>
      </c>
      <c r="NH128" s="114">
        <f t="shared" si="1140"/>
        <v>0.61</v>
      </c>
      <c r="NI128" s="114">
        <f t="shared" si="1141"/>
        <v>0.61</v>
      </c>
      <c r="NJ128" s="114">
        <f t="shared" si="1142"/>
        <v>0.62</v>
      </c>
      <c r="NK128" s="114">
        <f t="shared" si="1143"/>
        <v>0.62</v>
      </c>
      <c r="NL128" s="114">
        <f t="shared" si="1144"/>
        <v>0.63</v>
      </c>
      <c r="NM128" s="114">
        <f t="shared" si="1145"/>
        <v>0.63</v>
      </c>
      <c r="NN128" s="114">
        <f t="shared" si="1146"/>
        <v>0.64</v>
      </c>
      <c r="NO128" s="114">
        <f t="shared" si="1147"/>
        <v>0.64</v>
      </c>
      <c r="NP128" s="114">
        <f t="shared" si="1148"/>
        <v>0.65</v>
      </c>
      <c r="NQ128" s="114">
        <f t="shared" si="1149"/>
        <v>0.65</v>
      </c>
      <c r="NR128" s="114">
        <f t="shared" si="1150"/>
        <v>0.66</v>
      </c>
      <c r="NS128" s="114">
        <f t="shared" si="1151"/>
        <v>0.66</v>
      </c>
      <c r="NT128" s="114">
        <f t="shared" si="1152"/>
        <v>0.66</v>
      </c>
      <c r="NU128" s="114">
        <f t="shared" si="1153"/>
        <v>0.67</v>
      </c>
      <c r="NV128" s="114">
        <f t="shared" si="1154"/>
        <v>0.67</v>
      </c>
      <c r="NW128" s="114">
        <f t="shared" si="1155"/>
        <v>0.68</v>
      </c>
      <c r="NX128" s="114">
        <f t="shared" si="1156"/>
        <v>0.68</v>
      </c>
      <c r="NY128" s="114">
        <f t="shared" si="1157"/>
        <v>0.68</v>
      </c>
      <c r="NZ128" s="114">
        <f t="shared" si="1158"/>
        <v>0.69</v>
      </c>
      <c r="OA128" s="114">
        <f t="shared" si="1159"/>
        <v>0.69</v>
      </c>
      <c r="OB128" s="114">
        <f t="shared" si="1160"/>
        <v>0.69</v>
      </c>
      <c r="OC128" s="114">
        <f t="shared" si="1161"/>
        <v>0.7</v>
      </c>
      <c r="OD128" s="114">
        <f t="shared" si="1162"/>
        <v>0.7</v>
      </c>
      <c r="OE128" s="114">
        <f t="shared" si="1163"/>
        <v>0.71</v>
      </c>
      <c r="OF128" s="114">
        <f t="shared" si="1164"/>
        <v>0.71</v>
      </c>
      <c r="OG128" s="114">
        <f t="shared" si="1165"/>
        <v>0.71</v>
      </c>
      <c r="OH128" s="114">
        <f t="shared" si="1166"/>
        <v>0.72</v>
      </c>
      <c r="OI128" s="114">
        <f t="shared" si="1167"/>
        <v>0.72</v>
      </c>
      <c r="OJ128" s="114">
        <f t="shared" si="1168"/>
        <v>0.72</v>
      </c>
      <c r="OK128" s="114">
        <f t="shared" si="1169"/>
        <v>0.73</v>
      </c>
      <c r="OL128" s="114">
        <f t="shared" si="1170"/>
        <v>0.73</v>
      </c>
      <c r="OM128" s="114">
        <f t="shared" si="1171"/>
        <v>0.73</v>
      </c>
      <c r="ON128" s="114">
        <f t="shared" si="1172"/>
        <v>0.74</v>
      </c>
      <c r="OO128" s="114">
        <f t="shared" si="1173"/>
        <v>0.74</v>
      </c>
      <c r="OP128" s="114">
        <f t="shared" si="1174"/>
        <v>0.74</v>
      </c>
      <c r="OQ128" s="114">
        <f t="shared" si="1175"/>
        <v>0.75</v>
      </c>
      <c r="OR128" s="114">
        <f t="shared" si="1176"/>
        <v>0.75</v>
      </c>
      <c r="OS128" s="114">
        <f t="shared" si="1177"/>
        <v>0.76</v>
      </c>
      <c r="OT128" s="172">
        <f t="shared" si="1178"/>
        <v>0.76</v>
      </c>
      <c r="OU128" s="151">
        <f t="shared" si="1179"/>
        <v>0.76</v>
      </c>
      <c r="OV128" s="151">
        <f t="shared" si="1180"/>
        <v>0.77</v>
      </c>
      <c r="OW128" s="151">
        <f t="shared" si="1181"/>
        <v>0.77</v>
      </c>
      <c r="OX128" s="151">
        <f t="shared" si="1182"/>
        <v>0.77</v>
      </c>
      <c r="OY128" s="151">
        <f t="shared" si="1183"/>
        <v>0.78</v>
      </c>
      <c r="OZ128" s="151">
        <f t="shared" si="1184"/>
        <v>0.78</v>
      </c>
      <c r="PA128" s="151">
        <f t="shared" si="1185"/>
        <v>0.78</v>
      </c>
      <c r="PB128" s="151">
        <f t="shared" si="1186"/>
        <v>0.78</v>
      </c>
      <c r="PC128" s="151">
        <f t="shared" si="1187"/>
        <v>0.79</v>
      </c>
      <c r="PD128" s="151">
        <f t="shared" si="1188"/>
        <v>0.79</v>
      </c>
      <c r="PE128" s="151">
        <f t="shared" si="1189"/>
        <v>0.79</v>
      </c>
      <c r="PF128" s="151">
        <f t="shared" si="1190"/>
        <v>0.79</v>
      </c>
      <c r="PG128" s="151">
        <f t="shared" si="1191"/>
        <v>0.8</v>
      </c>
      <c r="PH128" s="151">
        <f t="shared" si="1130"/>
        <v>0.8</v>
      </c>
      <c r="PI128" s="151">
        <f t="shared" si="1192"/>
        <v>0.8</v>
      </c>
      <c r="PJ128" s="151">
        <f t="shared" si="1193"/>
        <v>0.8</v>
      </c>
      <c r="PK128" s="151">
        <f t="shared" si="1194"/>
        <v>0.8</v>
      </c>
      <c r="PL128" s="151">
        <f t="shared" si="1195"/>
        <v>0.81</v>
      </c>
      <c r="PM128" s="151">
        <f t="shared" si="1196"/>
        <v>0.81</v>
      </c>
      <c r="PN128" s="151">
        <f t="shared" si="1197"/>
        <v>0.81</v>
      </c>
      <c r="PO128" s="151">
        <f t="shared" si="1198"/>
        <v>0.81</v>
      </c>
      <c r="PP128" s="151">
        <f t="shared" si="1199"/>
        <v>0.82</v>
      </c>
      <c r="PQ128" s="151">
        <f t="shared" si="1200"/>
        <v>0.82</v>
      </c>
      <c r="PR128" s="151">
        <f t="shared" si="1201"/>
        <v>0.82</v>
      </c>
      <c r="PS128" s="151">
        <f t="shared" si="1202"/>
        <v>0.82</v>
      </c>
      <c r="PT128" s="151">
        <f t="shared" si="1203"/>
        <v>0.82</v>
      </c>
      <c r="PU128" s="151">
        <f t="shared" si="1204"/>
        <v>0.83</v>
      </c>
      <c r="PV128" s="151">
        <f t="shared" si="1205"/>
        <v>0.83</v>
      </c>
      <c r="PW128" s="151">
        <f t="shared" si="1206"/>
        <v>0.83</v>
      </c>
      <c r="PX128" s="151">
        <f t="shared" si="1207"/>
        <v>0.83</v>
      </c>
      <c r="PY128" s="151">
        <f t="shared" si="1208"/>
        <v>0.83</v>
      </c>
      <c r="PZ128" s="151">
        <f t="shared" si="1209"/>
        <v>0.83</v>
      </c>
      <c r="QA128" s="151">
        <f t="shared" si="1210"/>
        <v>0.83</v>
      </c>
      <c r="QB128" s="151">
        <f t="shared" si="1211"/>
        <v>0.84</v>
      </c>
      <c r="QC128" s="151">
        <f t="shared" si="1212"/>
        <v>0.84</v>
      </c>
      <c r="QD128" s="151">
        <f t="shared" si="1213"/>
        <v>0.84</v>
      </c>
      <c r="QE128" s="151">
        <f t="shared" si="1214"/>
        <v>0.84</v>
      </c>
      <c r="QF128" s="151">
        <f t="shared" si="1215"/>
        <v>0.84</v>
      </c>
      <c r="QG128" s="151">
        <f t="shared" si="1216"/>
        <v>0.84</v>
      </c>
      <c r="QH128" s="151">
        <f t="shared" si="1217"/>
        <v>0.85</v>
      </c>
      <c r="QI128" s="151">
        <f t="shared" si="1218"/>
        <v>0.85</v>
      </c>
      <c r="QJ128" s="151">
        <f t="shared" si="1219"/>
        <v>0.85</v>
      </c>
      <c r="QK128" s="151">
        <f t="shared" si="1220"/>
        <v>0.85</v>
      </c>
      <c r="QL128" s="151">
        <f t="shared" si="1221"/>
        <v>0.85</v>
      </c>
      <c r="QM128" s="151">
        <f t="shared" si="1222"/>
        <v>0.85</v>
      </c>
      <c r="QN128" s="151">
        <f t="shared" si="1223"/>
        <v>0.85</v>
      </c>
      <c r="QO128" s="151">
        <f t="shared" si="1224"/>
        <v>0.85</v>
      </c>
      <c r="QP128" s="151">
        <f t="shared" si="1225"/>
        <v>0.86</v>
      </c>
      <c r="QQ128" s="151">
        <f t="shared" si="1226"/>
        <v>0.86</v>
      </c>
      <c r="QR128" s="151">
        <f t="shared" si="1227"/>
        <v>0.86</v>
      </c>
      <c r="QS128" s="176">
        <f t="shared" si="1228"/>
        <v>0.86</v>
      </c>
      <c r="QT128" s="163">
        <f t="shared" si="1229"/>
        <v>0.86</v>
      </c>
      <c r="QU128" s="163">
        <f t="shared" si="1230"/>
        <v>0.86</v>
      </c>
      <c r="QV128" s="163">
        <f t="shared" si="1231"/>
        <v>0.86</v>
      </c>
      <c r="QW128" s="163">
        <f t="shared" si="1232"/>
        <v>0.86</v>
      </c>
      <c r="QX128" s="163">
        <f t="shared" si="1233"/>
        <v>0.87</v>
      </c>
      <c r="QY128" s="163">
        <f t="shared" si="1234"/>
        <v>0.87</v>
      </c>
      <c r="QZ128" s="163">
        <f t="shared" si="1235"/>
        <v>0.87</v>
      </c>
      <c r="RA128" s="163">
        <f t="shared" si="1236"/>
        <v>0.87</v>
      </c>
      <c r="RB128" s="163">
        <f t="shared" si="1237"/>
        <v>0.87</v>
      </c>
      <c r="RC128" s="163">
        <f t="shared" si="1238"/>
        <v>0.87</v>
      </c>
      <c r="RD128" s="163">
        <f t="shared" si="1239"/>
        <v>0.87</v>
      </c>
      <c r="RE128" s="163">
        <f t="shared" si="1240"/>
        <v>0.88</v>
      </c>
      <c r="RF128" s="163">
        <f t="shared" si="1241"/>
        <v>0.88</v>
      </c>
      <c r="RG128" s="163">
        <f t="shared" si="1242"/>
        <v>0.88</v>
      </c>
      <c r="RH128" s="163">
        <f t="shared" si="1243"/>
        <v>0.88</v>
      </c>
      <c r="RI128" s="163">
        <f t="shared" si="1244"/>
        <v>0.88</v>
      </c>
      <c r="RJ128" s="163">
        <f t="shared" si="1245"/>
        <v>0.88</v>
      </c>
      <c r="RK128" s="163">
        <f t="shared" si="1246"/>
        <v>0.88</v>
      </c>
      <c r="RL128" s="163">
        <f t="shared" si="1247"/>
        <v>0.89</v>
      </c>
      <c r="RM128" s="163">
        <f t="shared" si="1248"/>
        <v>0.89</v>
      </c>
      <c r="RN128" s="163">
        <f t="shared" si="1249"/>
        <v>0.89</v>
      </c>
      <c r="RO128" s="163">
        <f t="shared" si="1250"/>
        <v>0.89</v>
      </c>
      <c r="RP128" s="163">
        <f t="shared" si="1251"/>
        <v>0.89</v>
      </c>
      <c r="RQ128" s="163">
        <f t="shared" si="1252"/>
        <v>0.89</v>
      </c>
      <c r="RR128" s="163">
        <f t="shared" si="1253"/>
        <v>0.89</v>
      </c>
      <c r="RS128" s="163">
        <f t="shared" si="1254"/>
        <v>0.9</v>
      </c>
      <c r="RT128" s="163">
        <f t="shared" si="1131"/>
        <v>0.9</v>
      </c>
      <c r="RU128" s="163">
        <f t="shared" si="1271"/>
        <v>0.9</v>
      </c>
      <c r="RV128" s="163">
        <f t="shared" si="1272"/>
        <v>0.9</v>
      </c>
      <c r="RW128" s="163">
        <f t="shared" si="1273"/>
        <v>0.9</v>
      </c>
      <c r="RX128" s="163">
        <f t="shared" si="1274"/>
        <v>0.9</v>
      </c>
      <c r="RY128" s="163">
        <f t="shared" si="1275"/>
        <v>0.9</v>
      </c>
      <c r="RZ128" s="163">
        <f t="shared" si="1276"/>
        <v>0.91</v>
      </c>
      <c r="SA128" s="163">
        <f t="shared" si="1277"/>
        <v>0.91</v>
      </c>
      <c r="SB128" s="163">
        <f t="shared" si="1278"/>
        <v>0.91</v>
      </c>
      <c r="SC128" s="163">
        <f t="shared" si="1279"/>
        <v>0.91</v>
      </c>
      <c r="SD128" s="163">
        <f t="shared" si="1256"/>
        <v>0.91</v>
      </c>
      <c r="SE128" s="163">
        <f t="shared" si="1257"/>
        <v>0.91</v>
      </c>
      <c r="SF128" s="163">
        <f t="shared" si="1258"/>
        <v>0.91</v>
      </c>
      <c r="SG128" s="163">
        <f t="shared" si="1259"/>
        <v>0.91</v>
      </c>
      <c r="SH128" s="163">
        <f t="shared" si="1260"/>
        <v>0.91</v>
      </c>
      <c r="SI128" s="163">
        <f t="shared" si="1261"/>
        <v>0.91</v>
      </c>
      <c r="SJ128" s="163">
        <f t="shared" si="1262"/>
        <v>0.91</v>
      </c>
      <c r="SK128" s="163">
        <f t="shared" si="1263"/>
        <v>0.92</v>
      </c>
      <c r="SL128" s="163">
        <f t="shared" si="1264"/>
        <v>0.92</v>
      </c>
      <c r="SM128" s="163">
        <f t="shared" si="1265"/>
        <v>0.92</v>
      </c>
      <c r="SN128" s="163">
        <f t="shared" si="1266"/>
        <v>0.92</v>
      </c>
      <c r="SO128" s="163">
        <f t="shared" si="1267"/>
        <v>0.92</v>
      </c>
      <c r="SP128" s="163">
        <f t="shared" si="1268"/>
        <v>0.92</v>
      </c>
      <c r="SQ128" s="163">
        <f t="shared" si="1269"/>
        <v>0.92</v>
      </c>
      <c r="SR128" s="117">
        <f t="shared" si="1270"/>
        <v>0.92</v>
      </c>
      <c r="SS128" s="36"/>
      <c r="ST128" s="36"/>
      <c r="SU128" s="36"/>
      <c r="SV128" s="36"/>
      <c r="SW128" s="36"/>
      <c r="SX128" s="36"/>
      <c r="SY128" s="36"/>
      <c r="SZ128" s="36"/>
      <c r="TA128" s="36"/>
      <c r="TB128" s="36"/>
      <c r="TC128" s="36"/>
      <c r="TD128" s="36"/>
      <c r="TE128" s="36"/>
      <c r="TF128" s="36"/>
      <c r="TG128" s="36"/>
      <c r="TH128" s="36"/>
      <c r="TI128" s="36"/>
    </row>
    <row r="129" spans="1:629" ht="18.75" x14ac:dyDescent="0.25">
      <c r="A129" s="298"/>
      <c r="B129" s="25" t="s">
        <v>3</v>
      </c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  <c r="IX129" s="18"/>
      <c r="IY129" s="18"/>
      <c r="IZ129" s="18"/>
      <c r="JA129" s="18"/>
      <c r="JB129" s="18"/>
      <c r="JC129" s="18"/>
      <c r="JD129" s="18"/>
      <c r="JE129" s="18"/>
      <c r="JF129" s="18"/>
      <c r="JG129" s="18"/>
      <c r="JH129" s="18"/>
      <c r="JI129" s="18"/>
      <c r="JJ129" s="18"/>
      <c r="JK129" s="18"/>
      <c r="JL129" s="18"/>
      <c r="JM129" s="18"/>
      <c r="JN129" s="18"/>
      <c r="JO129" s="18"/>
      <c r="JP129" s="18"/>
      <c r="JQ129" s="18"/>
      <c r="JR129" s="18"/>
      <c r="JS129" s="18"/>
      <c r="JT129" s="18"/>
      <c r="JU129" s="18"/>
      <c r="JV129" s="18"/>
      <c r="JW129" s="18"/>
      <c r="JX129" s="18"/>
      <c r="JY129" s="18"/>
      <c r="JZ129" s="18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18"/>
      <c r="KL129" s="18"/>
      <c r="KM129" s="18"/>
      <c r="KN129" s="18"/>
      <c r="KO129" s="18"/>
      <c r="KP129" s="18"/>
      <c r="KQ129" s="18"/>
      <c r="KR129" s="18"/>
      <c r="KS129" s="18"/>
      <c r="KT129" s="18"/>
      <c r="KU129" s="18"/>
      <c r="KV129" s="18"/>
      <c r="KW129" s="18"/>
      <c r="KX129" s="18"/>
      <c r="KY129" s="18"/>
      <c r="KZ129" s="18"/>
      <c r="LA129" s="18"/>
      <c r="LB129" s="18"/>
      <c r="LC129" s="18"/>
      <c r="LD129" s="18"/>
      <c r="LE129" s="18"/>
      <c r="LF129" s="18"/>
      <c r="LG129" s="18"/>
      <c r="LH129" s="18"/>
      <c r="LI129" s="18"/>
      <c r="LJ129" s="18"/>
      <c r="LK129" s="18"/>
      <c r="LL129" s="18"/>
      <c r="LM129" s="18"/>
      <c r="LN129" s="18"/>
      <c r="LO129" s="18"/>
      <c r="LP129" s="18"/>
      <c r="LQ129" s="18"/>
      <c r="LR129" s="18"/>
      <c r="LS129" s="18"/>
      <c r="LT129" s="18"/>
      <c r="LU129" s="18"/>
      <c r="LV129" s="18"/>
      <c r="LW129" s="18"/>
      <c r="LX129" s="18"/>
      <c r="LY129" s="18"/>
      <c r="LZ129" s="18"/>
      <c r="MA129" s="18"/>
      <c r="MB129" s="18"/>
      <c r="MC129" s="18"/>
      <c r="MD129" s="18"/>
      <c r="ME129" s="18"/>
      <c r="MF129" s="18"/>
      <c r="MG129" s="18"/>
      <c r="MH129" s="18"/>
      <c r="MI129" s="18"/>
      <c r="MJ129" s="18"/>
      <c r="MK129" s="18"/>
      <c r="ML129" s="18"/>
      <c r="MM129" s="18"/>
      <c r="MN129" s="18"/>
      <c r="MO129" s="18"/>
      <c r="MP129" s="18"/>
      <c r="MQ129" s="18"/>
      <c r="MR129" s="18"/>
      <c r="MS129" s="18"/>
      <c r="MT129" s="18"/>
      <c r="MU129" s="18"/>
      <c r="MV129" s="125" t="str">
        <f t="shared" si="1121"/>
        <v>Tank 1</v>
      </c>
      <c r="MW129" s="111" t="str">
        <f t="shared" si="1122"/>
        <v>Tank 1</v>
      </c>
      <c r="MX129" s="111" t="str">
        <f t="shared" si="1123"/>
        <v>Tank 1</v>
      </c>
      <c r="MY129" s="111" t="str">
        <f t="shared" si="1124"/>
        <v>Tank 1</v>
      </c>
      <c r="MZ129" s="111" t="str">
        <f t="shared" si="1132"/>
        <v>Tank 1</v>
      </c>
      <c r="NA129" s="111" t="str">
        <f t="shared" si="1133"/>
        <v>Tank 1</v>
      </c>
      <c r="NB129" s="111" t="str">
        <f t="shared" si="1134"/>
        <v>Tank 1</v>
      </c>
      <c r="NC129" s="111" t="str">
        <f t="shared" si="1135"/>
        <v>Tank 1</v>
      </c>
      <c r="ND129" s="111" t="str">
        <f t="shared" si="1136"/>
        <v>Tank 1</v>
      </c>
      <c r="NE129" s="111" t="str">
        <f t="shared" si="1137"/>
        <v>Tank 1</v>
      </c>
      <c r="NF129" s="111" t="str">
        <f t="shared" si="1138"/>
        <v>Tank 1</v>
      </c>
      <c r="NG129" s="111" t="str">
        <f t="shared" si="1139"/>
        <v>Tank 1</v>
      </c>
      <c r="NH129" s="111" t="str">
        <f t="shared" si="1140"/>
        <v>Tank 1</v>
      </c>
      <c r="NI129" s="111" t="str">
        <f t="shared" si="1141"/>
        <v>Tank 1</v>
      </c>
      <c r="NJ129" s="111" t="str">
        <f t="shared" si="1142"/>
        <v>Tank 1</v>
      </c>
      <c r="NK129" s="111" t="str">
        <f t="shared" si="1143"/>
        <v>Tank 1</v>
      </c>
      <c r="NL129" s="111" t="str">
        <f t="shared" si="1144"/>
        <v>Tank 1</v>
      </c>
      <c r="NM129" s="111" t="str">
        <f t="shared" si="1145"/>
        <v>Tank 1</v>
      </c>
      <c r="NN129" s="111" t="str">
        <f t="shared" si="1146"/>
        <v>Tank 1</v>
      </c>
      <c r="NO129" s="111" t="str">
        <f t="shared" si="1147"/>
        <v>Tank 1</v>
      </c>
      <c r="NP129" s="111" t="str">
        <f t="shared" si="1148"/>
        <v>Tank 1</v>
      </c>
      <c r="NQ129" s="111" t="str">
        <f t="shared" si="1149"/>
        <v>Tank 1</v>
      </c>
      <c r="NR129" s="111" t="str">
        <f t="shared" si="1150"/>
        <v>Tank 1</v>
      </c>
      <c r="NS129" s="111" t="str">
        <f t="shared" si="1151"/>
        <v>Tank 1</v>
      </c>
      <c r="NT129" s="111" t="str">
        <f t="shared" si="1152"/>
        <v>Tank 1</v>
      </c>
      <c r="NU129" s="111" t="str">
        <f t="shared" si="1153"/>
        <v>Tank 1</v>
      </c>
      <c r="NV129" s="111" t="str">
        <f t="shared" si="1154"/>
        <v>Tank 1</v>
      </c>
      <c r="NW129" s="111" t="str">
        <f t="shared" si="1155"/>
        <v>Tank 1</v>
      </c>
      <c r="NX129" s="111" t="str">
        <f t="shared" si="1156"/>
        <v>Tank 1</v>
      </c>
      <c r="NY129" s="111" t="str">
        <f t="shared" si="1157"/>
        <v>Tank 1</v>
      </c>
      <c r="NZ129" s="111" t="str">
        <f t="shared" si="1158"/>
        <v>Tank 1</v>
      </c>
      <c r="OA129" s="111" t="str">
        <f t="shared" si="1159"/>
        <v>Tank 1</v>
      </c>
      <c r="OB129" s="111" t="str">
        <f t="shared" si="1160"/>
        <v>Tank 1</v>
      </c>
      <c r="OC129" s="111" t="str">
        <f t="shared" si="1161"/>
        <v>Tank 1</v>
      </c>
      <c r="OD129" s="111" t="str">
        <f t="shared" si="1162"/>
        <v>Tank 1</v>
      </c>
      <c r="OE129" s="111" t="str">
        <f t="shared" si="1163"/>
        <v>Tank 1</v>
      </c>
      <c r="OF129" s="111" t="str">
        <f t="shared" si="1164"/>
        <v>Tank 1</v>
      </c>
      <c r="OG129" s="111" t="str">
        <f t="shared" si="1165"/>
        <v>Tank 1</v>
      </c>
      <c r="OH129" s="111" t="str">
        <f t="shared" si="1166"/>
        <v>Tank 1</v>
      </c>
      <c r="OI129" s="111" t="str">
        <f t="shared" si="1167"/>
        <v>Tank 1</v>
      </c>
      <c r="OJ129" s="111" t="str">
        <f t="shared" si="1168"/>
        <v>Tank 1</v>
      </c>
      <c r="OK129" s="111" t="str">
        <f t="shared" si="1169"/>
        <v>Tank 1</v>
      </c>
      <c r="OL129" s="111" t="str">
        <f t="shared" si="1170"/>
        <v>Tank 1</v>
      </c>
      <c r="OM129" s="111" t="str">
        <f t="shared" si="1171"/>
        <v>Tank 1</v>
      </c>
      <c r="ON129" s="111" t="str">
        <f t="shared" si="1172"/>
        <v>Tank 1</v>
      </c>
      <c r="OO129" s="111" t="str">
        <f t="shared" si="1173"/>
        <v>Tank 1</v>
      </c>
      <c r="OP129" s="111" t="str">
        <f t="shared" si="1174"/>
        <v>Tank 1</v>
      </c>
      <c r="OQ129" s="111" t="str">
        <f t="shared" si="1175"/>
        <v>Tank 1</v>
      </c>
      <c r="OR129" s="111" t="str">
        <f t="shared" si="1176"/>
        <v>Tank 1</v>
      </c>
      <c r="OS129" s="111" t="str">
        <f t="shared" si="1177"/>
        <v>Tank 1</v>
      </c>
      <c r="OT129" s="111" t="str">
        <f t="shared" si="1178"/>
        <v>Tank 1</v>
      </c>
      <c r="OU129" s="152" t="str">
        <f t="shared" si="1179"/>
        <v>Tank 2 + 3</v>
      </c>
      <c r="OV129" s="152" t="str">
        <f t="shared" si="1180"/>
        <v>Tank 2 + 3</v>
      </c>
      <c r="OW129" s="152" t="str">
        <f t="shared" si="1181"/>
        <v>Tank 2 + 3</v>
      </c>
      <c r="OX129" s="152" t="str">
        <f t="shared" si="1182"/>
        <v>Tank 2 + 3</v>
      </c>
      <c r="OY129" s="152" t="str">
        <f t="shared" si="1183"/>
        <v>Tank 2 + 3</v>
      </c>
      <c r="OZ129" s="152" t="str">
        <f t="shared" si="1184"/>
        <v>Tank 2 + 3</v>
      </c>
      <c r="PA129" s="152" t="str">
        <f t="shared" si="1185"/>
        <v>Tank 2 + 3</v>
      </c>
      <c r="PB129" s="152" t="str">
        <f t="shared" si="1186"/>
        <v>Tank 2 + 3</v>
      </c>
      <c r="PC129" s="152" t="str">
        <f t="shared" si="1187"/>
        <v>Tank 2 + 3</v>
      </c>
      <c r="PD129" s="152" t="str">
        <f t="shared" si="1188"/>
        <v>Tank 2 + 3</v>
      </c>
      <c r="PE129" s="152" t="str">
        <f t="shared" si="1189"/>
        <v>Tank 2 + 3</v>
      </c>
      <c r="PF129" s="152" t="str">
        <f t="shared" si="1190"/>
        <v>Tank 2 + 3</v>
      </c>
      <c r="PG129" s="152" t="str">
        <f t="shared" si="1191"/>
        <v>Tank 2 + 3</v>
      </c>
      <c r="PH129" s="152" t="str">
        <f t="shared" si="1130"/>
        <v>Tank 2 + 3</v>
      </c>
      <c r="PI129" s="152" t="str">
        <f t="shared" si="1192"/>
        <v>Tank 2 + 3</v>
      </c>
      <c r="PJ129" s="152" t="str">
        <f t="shared" si="1193"/>
        <v>Tank 2 + 3</v>
      </c>
      <c r="PK129" s="152" t="str">
        <f t="shared" si="1194"/>
        <v>Tank 2 + 3</v>
      </c>
      <c r="PL129" s="152" t="str">
        <f t="shared" si="1195"/>
        <v>Tank 2 + 3</v>
      </c>
      <c r="PM129" s="152" t="str">
        <f t="shared" si="1196"/>
        <v>Tank 2 + 3</v>
      </c>
      <c r="PN129" s="152" t="str">
        <f t="shared" si="1197"/>
        <v>Tank 2 + 3</v>
      </c>
      <c r="PO129" s="152" t="str">
        <f t="shared" si="1198"/>
        <v>Tank 2 + 3</v>
      </c>
      <c r="PP129" s="152" t="str">
        <f t="shared" si="1199"/>
        <v>Tank 2 + 3</v>
      </c>
      <c r="PQ129" s="152" t="str">
        <f t="shared" si="1200"/>
        <v>Tank 2 + 3</v>
      </c>
      <c r="PR129" s="152" t="str">
        <f t="shared" si="1201"/>
        <v>Tank 2 + 3</v>
      </c>
      <c r="PS129" s="152" t="str">
        <f t="shared" si="1202"/>
        <v>Tank 2 + 3</v>
      </c>
      <c r="PT129" s="152" t="str">
        <f t="shared" si="1203"/>
        <v>Tank 2 + 3</v>
      </c>
      <c r="PU129" s="152" t="str">
        <f t="shared" si="1204"/>
        <v>Tank 2 + 3</v>
      </c>
      <c r="PV129" s="152" t="str">
        <f t="shared" si="1205"/>
        <v>Tank 2 + 3</v>
      </c>
      <c r="PW129" s="152" t="str">
        <f t="shared" si="1206"/>
        <v>Tank 2 + 3</v>
      </c>
      <c r="PX129" s="152" t="str">
        <f t="shared" si="1207"/>
        <v>Tank 2 + 3</v>
      </c>
      <c r="PY129" s="152" t="str">
        <f t="shared" si="1208"/>
        <v>Tank 2 + 3</v>
      </c>
      <c r="PZ129" s="152" t="str">
        <f t="shared" si="1209"/>
        <v>Tank 2 + 3</v>
      </c>
      <c r="QA129" s="152" t="str">
        <f t="shared" si="1210"/>
        <v>Tank 2 + 3</v>
      </c>
      <c r="QB129" s="152" t="str">
        <f t="shared" si="1211"/>
        <v>Tank 2 + 3</v>
      </c>
      <c r="QC129" s="152" t="str">
        <f t="shared" si="1212"/>
        <v>Tank 2 + 3</v>
      </c>
      <c r="QD129" s="152" t="str">
        <f t="shared" si="1213"/>
        <v>Tank 2 + 3</v>
      </c>
      <c r="QE129" s="152" t="str">
        <f t="shared" si="1214"/>
        <v>Tank 2 + 3</v>
      </c>
      <c r="QF129" s="152" t="str">
        <f t="shared" si="1215"/>
        <v>Tank 2 + 3</v>
      </c>
      <c r="QG129" s="152" t="str">
        <f t="shared" si="1216"/>
        <v>Tank 2 + 3</v>
      </c>
      <c r="QH129" s="152" t="str">
        <f t="shared" si="1217"/>
        <v>Tank 2 + 3</v>
      </c>
      <c r="QI129" s="152" t="str">
        <f t="shared" si="1218"/>
        <v>Tank 2 + 3</v>
      </c>
      <c r="QJ129" s="152" t="str">
        <f t="shared" si="1219"/>
        <v>Tank 2 + 3</v>
      </c>
      <c r="QK129" s="152" t="str">
        <f t="shared" si="1220"/>
        <v>Tank 2 + 3</v>
      </c>
      <c r="QL129" s="152" t="str">
        <f t="shared" si="1221"/>
        <v>Tank 2 + 3</v>
      </c>
      <c r="QM129" s="152" t="str">
        <f t="shared" si="1222"/>
        <v>Tank 2 + 3</v>
      </c>
      <c r="QN129" s="152" t="str">
        <f t="shared" si="1223"/>
        <v>Tank 2 + 3</v>
      </c>
      <c r="QO129" s="152" t="str">
        <f t="shared" si="1224"/>
        <v>Tank 2 + 3</v>
      </c>
      <c r="QP129" s="152" t="str">
        <f t="shared" si="1225"/>
        <v>Tank 2 + 3</v>
      </c>
      <c r="QQ129" s="152" t="str">
        <f t="shared" si="1226"/>
        <v>Tank 2 + 3</v>
      </c>
      <c r="QR129" s="152" t="str">
        <f t="shared" si="1227"/>
        <v>Tank 2 + 3</v>
      </c>
      <c r="QS129" s="152" t="str">
        <f t="shared" si="1228"/>
        <v>Tank 2 + 3</v>
      </c>
      <c r="QT129" s="158" t="str">
        <f t="shared" si="1229"/>
        <v xml:space="preserve">Tank 4 + 5 + 6 </v>
      </c>
      <c r="QU129" s="158" t="str">
        <f t="shared" si="1230"/>
        <v xml:space="preserve">Tank 4 + 5 + 6 </v>
      </c>
      <c r="QV129" s="158" t="str">
        <f t="shared" si="1231"/>
        <v xml:space="preserve">Tank 4 + 5 + 6 </v>
      </c>
      <c r="QW129" s="158" t="str">
        <f t="shared" si="1232"/>
        <v xml:space="preserve">Tank 4 + 5 + 6 </v>
      </c>
      <c r="QX129" s="158" t="str">
        <f t="shared" si="1233"/>
        <v xml:space="preserve">Tank 4 + 5 + 6 </v>
      </c>
      <c r="QY129" s="158" t="str">
        <f t="shared" si="1234"/>
        <v xml:space="preserve">Tank 4 + 5 + 6 </v>
      </c>
      <c r="QZ129" s="158" t="str">
        <f t="shared" si="1235"/>
        <v xml:space="preserve">Tank 4 + 5 + 6 </v>
      </c>
      <c r="RA129" s="158" t="str">
        <f t="shared" si="1236"/>
        <v xml:space="preserve">Tank 4 + 5 + 6 </v>
      </c>
      <c r="RB129" s="158" t="str">
        <f t="shared" si="1237"/>
        <v xml:space="preserve">Tank 4 + 5 + 6 </v>
      </c>
      <c r="RC129" s="158" t="str">
        <f t="shared" si="1238"/>
        <v xml:space="preserve">Tank 4 + 5 + 6 </v>
      </c>
      <c r="RD129" s="158" t="str">
        <f t="shared" si="1239"/>
        <v xml:space="preserve">Tank 4 + 5 + 6 </v>
      </c>
      <c r="RE129" s="158" t="str">
        <f t="shared" si="1240"/>
        <v xml:space="preserve">Tank 4 + 5 + 6 </v>
      </c>
      <c r="RF129" s="158" t="str">
        <f t="shared" si="1241"/>
        <v xml:space="preserve">Tank 4 + 5 + 6 </v>
      </c>
      <c r="RG129" s="158" t="str">
        <f t="shared" si="1242"/>
        <v xml:space="preserve">Tank 4 + 5 + 6 </v>
      </c>
      <c r="RH129" s="158" t="str">
        <f t="shared" si="1243"/>
        <v xml:space="preserve">Tank 4 + 5 + 6 </v>
      </c>
      <c r="RI129" s="158" t="str">
        <f t="shared" si="1244"/>
        <v xml:space="preserve">Tank 4 + 5 + 6 </v>
      </c>
      <c r="RJ129" s="158" t="str">
        <f t="shared" si="1245"/>
        <v xml:space="preserve">Tank 4 + 5 + 6 </v>
      </c>
      <c r="RK129" s="158" t="str">
        <f t="shared" si="1246"/>
        <v xml:space="preserve">Tank 4 + 5 + 6 </v>
      </c>
      <c r="RL129" s="158" t="str">
        <f t="shared" si="1247"/>
        <v xml:space="preserve">Tank 4 + 5 + 6 </v>
      </c>
      <c r="RM129" s="158" t="str">
        <f t="shared" si="1248"/>
        <v xml:space="preserve">Tank 4 + 5 + 6 </v>
      </c>
      <c r="RN129" s="158" t="str">
        <f t="shared" si="1249"/>
        <v xml:space="preserve">Tank 4 + 5 + 6 </v>
      </c>
      <c r="RO129" s="158" t="str">
        <f t="shared" si="1250"/>
        <v xml:space="preserve">Tank 4 + 5 + 6 </v>
      </c>
      <c r="RP129" s="158" t="str">
        <f t="shared" si="1251"/>
        <v xml:space="preserve">Tank 4 + 5 + 6 </v>
      </c>
      <c r="RQ129" s="158" t="str">
        <f t="shared" si="1252"/>
        <v xml:space="preserve">Tank 4 + 5 + 6 </v>
      </c>
      <c r="RR129" s="158" t="str">
        <f t="shared" si="1253"/>
        <v xml:space="preserve">Tank 4 + 5 + 6 </v>
      </c>
      <c r="RS129" s="158" t="str">
        <f t="shared" si="1254"/>
        <v xml:space="preserve">Tank 4 + 5 + 6 </v>
      </c>
      <c r="RT129" s="158" t="str">
        <f t="shared" si="1131"/>
        <v xml:space="preserve">Tank 4 + 5 + 6 </v>
      </c>
      <c r="RU129" s="158" t="str">
        <f t="shared" si="1271"/>
        <v xml:space="preserve">Tank 4 + 5 + 6 </v>
      </c>
      <c r="RV129" s="158" t="str">
        <f t="shared" si="1272"/>
        <v xml:space="preserve">Tank 4 + 5 + 6 </v>
      </c>
      <c r="RW129" s="158" t="str">
        <f t="shared" si="1273"/>
        <v xml:space="preserve">Tank 4 + 5 + 6 </v>
      </c>
      <c r="RX129" s="158" t="str">
        <f t="shared" si="1274"/>
        <v xml:space="preserve">Tank 4 + 5 + 6 </v>
      </c>
      <c r="RY129" s="158" t="str">
        <f t="shared" si="1275"/>
        <v xml:space="preserve">Tank 4 + 5 + 6 </v>
      </c>
      <c r="RZ129" s="158" t="str">
        <f t="shared" si="1276"/>
        <v xml:space="preserve">Tank 4 + 5 + 6 </v>
      </c>
      <c r="SA129" s="158" t="str">
        <f t="shared" si="1277"/>
        <v xml:space="preserve">Tank 4 + 5 + 6 </v>
      </c>
      <c r="SB129" s="158" t="str">
        <f t="shared" si="1278"/>
        <v xml:space="preserve">Tank 4 + 5 + 6 </v>
      </c>
      <c r="SC129" s="158" t="str">
        <f t="shared" si="1279"/>
        <v xml:space="preserve">Tank 4 + 5 + 6 </v>
      </c>
      <c r="SD129" s="158" t="str">
        <f t="shared" si="1256"/>
        <v xml:space="preserve">Tank 4 + 5 + 6 </v>
      </c>
      <c r="SE129" s="158" t="str">
        <f t="shared" si="1257"/>
        <v xml:space="preserve">Tank 4 + 5 + 6 </v>
      </c>
      <c r="SF129" s="158" t="str">
        <f t="shared" si="1258"/>
        <v xml:space="preserve">Tank 4 + 5 + 6 </v>
      </c>
      <c r="SG129" s="158" t="str">
        <f t="shared" si="1259"/>
        <v xml:space="preserve">Tank 4 + 5 + 6 </v>
      </c>
      <c r="SH129" s="158" t="str">
        <f t="shared" si="1260"/>
        <v xml:space="preserve">Tank 4 + 5 + 6 </v>
      </c>
      <c r="SI129" s="158" t="str">
        <f t="shared" si="1261"/>
        <v xml:space="preserve">Tank 4 + 5 + 6 </v>
      </c>
      <c r="SJ129" s="158" t="str">
        <f t="shared" si="1262"/>
        <v xml:space="preserve">Tank 4 + 5 + 6 </v>
      </c>
      <c r="SK129" s="158" t="str">
        <f t="shared" si="1263"/>
        <v xml:space="preserve">Tank 4 + 5 + 6 </v>
      </c>
      <c r="SL129" s="158" t="str">
        <f t="shared" si="1264"/>
        <v xml:space="preserve">Tank 4 + 5 + 6 </v>
      </c>
      <c r="SM129" s="158" t="str">
        <f t="shared" si="1265"/>
        <v xml:space="preserve">Tank 4 + 5 + 6 </v>
      </c>
      <c r="SN129" s="158" t="str">
        <f t="shared" si="1266"/>
        <v xml:space="preserve">Tank 4 + 5 + 6 </v>
      </c>
      <c r="SO129" s="158" t="str">
        <f t="shared" si="1267"/>
        <v xml:space="preserve">Tank 4 + 5 + 6 </v>
      </c>
      <c r="SP129" s="158" t="str">
        <f t="shared" si="1268"/>
        <v xml:space="preserve">Tank 4 + 5 + 6 </v>
      </c>
      <c r="SQ129" s="158" t="str">
        <f t="shared" si="1269"/>
        <v xml:space="preserve">Tank 4 + 5 + 6 </v>
      </c>
      <c r="SR129" s="158" t="str">
        <f t="shared" si="1270"/>
        <v xml:space="preserve">Tank 4 + 5 + 6 </v>
      </c>
      <c r="SS129" s="36"/>
      <c r="ST129" s="36"/>
      <c r="SU129" s="36"/>
      <c r="SV129" s="36"/>
      <c r="SW129" s="36"/>
      <c r="SX129" s="36"/>
      <c r="SY129" s="36"/>
      <c r="SZ129" s="36"/>
      <c r="TA129" s="36"/>
      <c r="TB129" s="36"/>
      <c r="TC129" s="36"/>
      <c r="TD129" s="36"/>
      <c r="TE129" s="36"/>
      <c r="TF129" s="36"/>
      <c r="TG129" s="36"/>
      <c r="TH129" s="36"/>
      <c r="TI129" s="36"/>
    </row>
    <row r="130" spans="1:629" ht="21.75" thickBot="1" x14ac:dyDescent="0.3">
      <c r="A130" s="299"/>
      <c r="B130" s="26" t="s">
        <v>110</v>
      </c>
      <c r="BY130" s="18"/>
      <c r="BZ130" s="18"/>
      <c r="CA130" s="18"/>
      <c r="CB130" s="18"/>
      <c r="CC130" s="18"/>
      <c r="CD130" s="18"/>
      <c r="CE130" s="18"/>
      <c r="CF130" s="18"/>
      <c r="CG130" s="18"/>
      <c r="CH130" s="18"/>
      <c r="CI130" s="18"/>
      <c r="CJ130" s="18"/>
      <c r="CK130" s="18"/>
      <c r="CL130" s="18"/>
      <c r="CM130" s="18"/>
      <c r="CN130" s="18"/>
      <c r="CO130" s="18"/>
      <c r="CP130" s="18"/>
      <c r="CQ130" s="18"/>
      <c r="CR130" s="18"/>
      <c r="CS130" s="18"/>
      <c r="CT130" s="18"/>
      <c r="CU130" s="18"/>
      <c r="CV130" s="18"/>
      <c r="CW130" s="18"/>
      <c r="CX130" s="18"/>
      <c r="CY130" s="18"/>
      <c r="CZ130" s="18"/>
      <c r="DA130" s="18"/>
      <c r="DB130" s="18"/>
      <c r="DC130" s="18"/>
      <c r="DD130" s="18"/>
      <c r="DE130" s="18"/>
      <c r="DF130" s="18"/>
      <c r="DG130" s="18"/>
      <c r="DH130" s="18"/>
      <c r="DI130" s="18"/>
      <c r="DJ130" s="18"/>
      <c r="DK130" s="18"/>
      <c r="DL130" s="18"/>
      <c r="DM130" s="18"/>
      <c r="DN130" s="18"/>
      <c r="DO130" s="18"/>
      <c r="DP130" s="18"/>
      <c r="DQ130" s="18"/>
      <c r="DR130" s="18"/>
      <c r="DS130" s="18"/>
      <c r="DT130" s="18"/>
      <c r="DU130" s="18"/>
      <c r="DV130" s="18"/>
      <c r="DW130" s="18"/>
      <c r="DX130" s="18"/>
      <c r="DY130" s="18"/>
      <c r="DZ130" s="18"/>
      <c r="EA130" s="18"/>
      <c r="EB130" s="18"/>
      <c r="EC130" s="18"/>
      <c r="ED130" s="18"/>
      <c r="EE130" s="18"/>
      <c r="EF130" s="18"/>
      <c r="EG130" s="18"/>
      <c r="EH130" s="18"/>
      <c r="EI130" s="18"/>
      <c r="EJ130" s="18"/>
      <c r="EK130" s="18"/>
      <c r="EL130" s="18"/>
      <c r="EM130" s="18"/>
      <c r="EN130" s="18"/>
      <c r="EO130" s="18"/>
      <c r="EP130" s="18"/>
      <c r="EQ130" s="18"/>
      <c r="ER130" s="18"/>
      <c r="ES130" s="18"/>
      <c r="ET130" s="18"/>
      <c r="EU130" s="18"/>
      <c r="EV130" s="18"/>
      <c r="EW130" s="18"/>
      <c r="EX130" s="18"/>
      <c r="EY130" s="18"/>
      <c r="EZ130" s="18"/>
      <c r="FA130" s="18"/>
      <c r="FB130" s="18"/>
      <c r="FC130" s="18"/>
      <c r="FD130" s="18"/>
      <c r="FE130" s="18"/>
      <c r="FF130" s="18"/>
      <c r="FG130" s="18"/>
      <c r="FH130" s="18"/>
      <c r="FI130" s="18"/>
      <c r="FJ130" s="18"/>
      <c r="FK130" s="18"/>
      <c r="FL130" s="18"/>
      <c r="FM130" s="18"/>
      <c r="FN130" s="18"/>
      <c r="FO130" s="18"/>
      <c r="FP130" s="18"/>
      <c r="FQ130" s="18"/>
      <c r="FR130" s="18"/>
      <c r="FS130" s="18"/>
      <c r="FT130" s="18"/>
      <c r="FU130" s="18"/>
      <c r="FV130" s="18"/>
      <c r="FW130" s="18"/>
      <c r="FX130" s="18"/>
      <c r="FY130" s="18"/>
      <c r="FZ130" s="18"/>
      <c r="GA130" s="18"/>
      <c r="GB130" s="18"/>
      <c r="GC130" s="18"/>
      <c r="GD130" s="18"/>
      <c r="GE130" s="18"/>
      <c r="GF130" s="18"/>
      <c r="GG130" s="18"/>
      <c r="GH130" s="18"/>
      <c r="GI130" s="18"/>
      <c r="GJ130" s="18"/>
      <c r="GK130" s="18"/>
      <c r="GL130" s="18"/>
      <c r="GM130" s="18"/>
      <c r="GN130" s="18"/>
      <c r="GO130" s="18"/>
      <c r="GP130" s="18"/>
      <c r="GQ130" s="18"/>
      <c r="GR130" s="18"/>
      <c r="GS130" s="18"/>
      <c r="GT130" s="18"/>
      <c r="GU130" s="18"/>
      <c r="GV130" s="18"/>
      <c r="GW130" s="18"/>
      <c r="GX130" s="18"/>
      <c r="GY130" s="18"/>
      <c r="GZ130" s="18"/>
      <c r="HA130" s="18"/>
      <c r="HB130" s="18"/>
      <c r="HC130" s="18"/>
      <c r="HD130" s="18"/>
      <c r="HE130" s="18"/>
      <c r="HF130" s="18"/>
      <c r="HG130" s="18"/>
      <c r="HH130" s="18"/>
      <c r="HI130" s="18"/>
      <c r="HJ130" s="18"/>
      <c r="HK130" s="18"/>
      <c r="HL130" s="18"/>
      <c r="HM130" s="18"/>
      <c r="HN130" s="18"/>
      <c r="HO130" s="18"/>
      <c r="HP130" s="18"/>
      <c r="HQ130" s="18"/>
      <c r="HR130" s="18"/>
      <c r="HS130" s="18"/>
      <c r="HT130" s="18"/>
      <c r="HU130" s="18"/>
      <c r="HV130" s="18"/>
      <c r="HW130" s="18"/>
      <c r="HX130" s="18"/>
      <c r="HY130" s="18"/>
      <c r="HZ130" s="18"/>
      <c r="IA130" s="18"/>
      <c r="IB130" s="18"/>
      <c r="IC130" s="18"/>
      <c r="ID130" s="18"/>
      <c r="IE130" s="18"/>
      <c r="IF130" s="18"/>
      <c r="IG130" s="18"/>
      <c r="IH130" s="18"/>
      <c r="II130" s="18"/>
      <c r="IJ130" s="18"/>
      <c r="IK130" s="18"/>
      <c r="IL130" s="18"/>
      <c r="IM130" s="18"/>
      <c r="IN130" s="18"/>
      <c r="IO130" s="18"/>
      <c r="IP130" s="18"/>
      <c r="IQ130" s="18"/>
      <c r="IR130" s="18"/>
      <c r="IS130" s="18"/>
      <c r="IT130" s="18"/>
      <c r="IU130" s="18"/>
      <c r="IV130" s="18"/>
      <c r="IW130" s="18"/>
      <c r="IX130" s="18"/>
      <c r="IY130" s="18"/>
      <c r="IZ130" s="18"/>
      <c r="JA130" s="18"/>
      <c r="JB130" s="18"/>
      <c r="JC130" s="18"/>
      <c r="JD130" s="18"/>
      <c r="JE130" s="18"/>
      <c r="JF130" s="18"/>
      <c r="JG130" s="18"/>
      <c r="JH130" s="18"/>
      <c r="JI130" s="18"/>
      <c r="JJ130" s="18"/>
      <c r="JK130" s="18"/>
      <c r="JL130" s="18"/>
      <c r="JM130" s="18"/>
      <c r="JN130" s="18"/>
      <c r="JO130" s="18"/>
      <c r="JP130" s="18"/>
      <c r="JQ130" s="18"/>
      <c r="JR130" s="18"/>
      <c r="JS130" s="18"/>
      <c r="JT130" s="18"/>
      <c r="JU130" s="18"/>
      <c r="JV130" s="18"/>
      <c r="JW130" s="18"/>
      <c r="JX130" s="18"/>
      <c r="JY130" s="18"/>
      <c r="JZ130" s="18"/>
      <c r="KA130" s="18"/>
      <c r="KB130" s="18"/>
      <c r="KC130" s="18"/>
      <c r="KD130" s="18"/>
      <c r="KE130" s="18"/>
      <c r="KF130" s="18"/>
      <c r="KG130" s="18"/>
      <c r="KH130" s="18"/>
      <c r="KI130" s="18"/>
      <c r="KJ130" s="18"/>
      <c r="KK130" s="18"/>
      <c r="KL130" s="18"/>
      <c r="KM130" s="18"/>
      <c r="KN130" s="18"/>
      <c r="KO130" s="18"/>
      <c r="KP130" s="18"/>
      <c r="KQ130" s="18"/>
      <c r="KR130" s="18"/>
      <c r="KS130" s="18"/>
      <c r="KT130" s="18"/>
      <c r="KU130" s="18"/>
      <c r="KV130" s="18"/>
      <c r="KW130" s="18"/>
      <c r="KX130" s="18"/>
      <c r="KY130" s="18"/>
      <c r="KZ130" s="18"/>
      <c r="LA130" s="18"/>
      <c r="LB130" s="18"/>
      <c r="LC130" s="18"/>
      <c r="LD130" s="18"/>
      <c r="LE130" s="18"/>
      <c r="LF130" s="18"/>
      <c r="LG130" s="18"/>
      <c r="LH130" s="18"/>
      <c r="LI130" s="18"/>
      <c r="LJ130" s="18"/>
      <c r="LK130" s="18"/>
      <c r="LL130" s="18"/>
      <c r="LM130" s="18"/>
      <c r="LN130" s="18"/>
      <c r="LO130" s="18"/>
      <c r="LP130" s="18"/>
      <c r="LQ130" s="18"/>
      <c r="LR130" s="18"/>
      <c r="LS130" s="18"/>
      <c r="LT130" s="18"/>
      <c r="LU130" s="18"/>
      <c r="LV130" s="18"/>
      <c r="LW130" s="18"/>
      <c r="LX130" s="18"/>
      <c r="LY130" s="18"/>
      <c r="LZ130" s="18"/>
      <c r="MA130" s="18"/>
      <c r="MB130" s="18"/>
      <c r="MC130" s="18"/>
      <c r="MD130" s="18"/>
      <c r="ME130" s="18"/>
      <c r="MF130" s="18"/>
      <c r="MG130" s="18"/>
      <c r="MH130" s="18"/>
      <c r="MI130" s="18"/>
      <c r="MJ130" s="18"/>
      <c r="MK130" s="18"/>
      <c r="ML130" s="18"/>
      <c r="MM130" s="18"/>
      <c r="MN130" s="18"/>
      <c r="MO130" s="18"/>
      <c r="MP130" s="18"/>
      <c r="MQ130" s="18"/>
      <c r="MR130" s="18"/>
      <c r="MS130" s="18"/>
      <c r="MT130" s="18"/>
      <c r="MU130" s="18"/>
      <c r="MV130" s="126">
        <f t="shared" si="1121"/>
        <v>4.166666666666667</v>
      </c>
      <c r="MW130" s="127">
        <f t="shared" si="1122"/>
        <v>4.5764880952380951</v>
      </c>
      <c r="MX130" s="127">
        <f t="shared" si="1123"/>
        <v>5.0241666985544224</v>
      </c>
      <c r="MY130" s="127">
        <f t="shared" si="1124"/>
        <v>5.5050764092090345</v>
      </c>
      <c r="MZ130" s="127">
        <f t="shared" si="1132"/>
        <v>6.0300868541293902</v>
      </c>
      <c r="NA130" s="127">
        <f t="shared" si="1133"/>
        <v>6.6009350763203054</v>
      </c>
      <c r="NB130" s="127">
        <f t="shared" si="1134"/>
        <v>7.210269669399942</v>
      </c>
      <c r="NC130" s="127">
        <f t="shared" si="1135"/>
        <v>7.8721226990531363</v>
      </c>
      <c r="ND130" s="127">
        <f t="shared" si="1136"/>
        <v>8.5768778193310791</v>
      </c>
      <c r="NE130" s="127">
        <f t="shared" si="1137"/>
        <v>9.3389116079570709</v>
      </c>
      <c r="NF130" s="127">
        <f t="shared" si="1138"/>
        <v>10.159152963083063</v>
      </c>
      <c r="NG130" s="127">
        <f t="shared" si="1139"/>
        <v>11.026067349266151</v>
      </c>
      <c r="NH130" s="127">
        <f t="shared" si="1140"/>
        <v>11.955932362387598</v>
      </c>
      <c r="NI130" s="127">
        <f t="shared" si="1141"/>
        <v>12.935534820538635</v>
      </c>
      <c r="NJ130" s="127">
        <f t="shared" si="1142"/>
        <v>13.982676967158632</v>
      </c>
      <c r="NK130" s="127">
        <f t="shared" si="1143"/>
        <v>15.080091582032725</v>
      </c>
      <c r="NL130" s="127">
        <f t="shared" si="1144"/>
        <v>16.246609634088035</v>
      </c>
      <c r="NM130" s="127">
        <f t="shared" si="1145"/>
        <v>17.462268647025983</v>
      </c>
      <c r="NN130" s="127">
        <f t="shared" si="1146"/>
        <v>18.749487307292473</v>
      </c>
      <c r="NO130" s="127">
        <f t="shared" si="1147"/>
        <v>20.088903806807178</v>
      </c>
      <c r="NP130" s="127">
        <f t="shared" si="1148"/>
        <v>21.502032633967268</v>
      </c>
      <c r="NQ130" s="127">
        <f t="shared" si="1149"/>
        <v>22.96747885809765</v>
      </c>
      <c r="NR130" s="127">
        <f t="shared" si="1150"/>
        <v>24.50453321244726</v>
      </c>
      <c r="NS130" s="127">
        <f t="shared" si="1151"/>
        <v>26.092872501581343</v>
      </c>
      <c r="NT130" s="127">
        <f t="shared" si="1152"/>
        <v>27.756490796833685</v>
      </c>
      <c r="NU130" s="127">
        <f t="shared" si="1153"/>
        <v>29.500944188125594</v>
      </c>
      <c r="NV130" s="127">
        <f t="shared" si="1154"/>
        <v>31.300061471001431</v>
      </c>
      <c r="NW130" s="127">
        <f t="shared" si="1155"/>
        <v>33.180868149841011</v>
      </c>
      <c r="NX130" s="127">
        <f t="shared" si="1156"/>
        <v>35.115117581399382</v>
      </c>
      <c r="NY130" s="127">
        <f t="shared" si="1157"/>
        <v>37.131138449602076</v>
      </c>
      <c r="NZ130" s="127">
        <f t="shared" si="1158"/>
        <v>39.23013986431193</v>
      </c>
      <c r="OA130" s="127">
        <f t="shared" si="1159"/>
        <v>41.380406371077548</v>
      </c>
      <c r="OB130" s="127">
        <f t="shared" si="1160"/>
        <v>43.612549450978278</v>
      </c>
      <c r="OC130" s="127">
        <f t="shared" si="1161"/>
        <v>45.927174901550487</v>
      </c>
      <c r="OD130" s="127">
        <f t="shared" si="1162"/>
        <v>48.289143896487367</v>
      </c>
      <c r="OE130" s="127">
        <f t="shared" si="1163"/>
        <v>50.731194887824017</v>
      </c>
      <c r="OF130" s="127">
        <f t="shared" si="1164"/>
        <v>53.209163674739131</v>
      </c>
      <c r="OG130" s="127">
        <f t="shared" si="1165"/>
        <v>55.763203531126614</v>
      </c>
      <c r="OH130" s="127">
        <f t="shared" si="1166"/>
        <v>58.384859494322392</v>
      </c>
      <c r="OI130" s="127">
        <f t="shared" si="1167"/>
        <v>61.04137060131405</v>
      </c>
      <c r="OJ130" s="127">
        <f t="shared" si="1168"/>
        <v>63.767885154839412</v>
      </c>
      <c r="OK130" s="127">
        <f t="shared" si="1169"/>
        <v>66.554187470077267</v>
      </c>
      <c r="OL130" s="127">
        <f t="shared" si="1170"/>
        <v>69.36587396538846</v>
      </c>
      <c r="OM130" s="127">
        <f t="shared" si="1171"/>
        <v>72.229829364452598</v>
      </c>
      <c r="ON130" s="127">
        <f t="shared" si="1172"/>
        <v>75.152663829419623</v>
      </c>
      <c r="OO130" s="127">
        <f t="shared" si="1173"/>
        <v>78.089711177996406</v>
      </c>
      <c r="OP130" s="127">
        <f t="shared" si="1174"/>
        <v>81.078225530105684</v>
      </c>
      <c r="OQ130" s="127">
        <f t="shared" si="1175"/>
        <v>84.115372032395584</v>
      </c>
      <c r="OR130" s="127">
        <f t="shared" si="1176"/>
        <v>87.154740808499469</v>
      </c>
      <c r="OS130" s="127">
        <f t="shared" si="1177"/>
        <v>90.234208317066447</v>
      </c>
      <c r="OT130" s="127">
        <f t="shared" si="1178"/>
        <v>93.306920568705493</v>
      </c>
      <c r="OU130" s="182">
        <f t="shared" si="1179"/>
        <v>46.560153363784046</v>
      </c>
      <c r="OV130" s="182">
        <f t="shared" si="1180"/>
        <v>48.07213308091324</v>
      </c>
      <c r="OW130" s="182">
        <f t="shared" si="1181"/>
        <v>49.574231161337615</v>
      </c>
      <c r="OX130" s="182">
        <f t="shared" si="1182"/>
        <v>51.084635658798625</v>
      </c>
      <c r="OY130" s="182">
        <f t="shared" si="1183"/>
        <v>52.614520981255644</v>
      </c>
      <c r="OZ130" s="182">
        <f t="shared" si="1184"/>
        <v>54.141691179993622</v>
      </c>
      <c r="PA130" s="182">
        <f t="shared" si="1185"/>
        <v>55.678482260410362</v>
      </c>
      <c r="PB130" s="182">
        <f t="shared" si="1186"/>
        <v>57.230341496745396</v>
      </c>
      <c r="PC130" s="182">
        <f t="shared" si="1187"/>
        <v>58.796104942310194</v>
      </c>
      <c r="PD130" s="182">
        <f t="shared" si="1188"/>
        <v>60.353085341542005</v>
      </c>
      <c r="PE130" s="182">
        <f t="shared" si="1189"/>
        <v>61.920737634210916</v>
      </c>
      <c r="PF130" s="182">
        <f t="shared" si="1190"/>
        <v>63.489918858814598</v>
      </c>
      <c r="PG130" s="182">
        <f t="shared" si="1191"/>
        <v>65.066719122118315</v>
      </c>
      <c r="PH130" s="182">
        <f t="shared" si="1130"/>
        <v>66.62832038104915</v>
      </c>
      <c r="PI130" s="182">
        <f t="shared" si="1192"/>
        <v>68.202414450051435</v>
      </c>
      <c r="PJ130" s="182">
        <f t="shared" si="1193"/>
        <v>69.788120586015125</v>
      </c>
      <c r="PK130" s="182">
        <f t="shared" si="1194"/>
        <v>71.384523844420229</v>
      </c>
      <c r="PL130" s="182">
        <f t="shared" si="1195"/>
        <v>72.990675630919668</v>
      </c>
      <c r="PM130" s="182">
        <f t="shared" si="1196"/>
        <v>74.583854822468638</v>
      </c>
      <c r="PN130" s="182">
        <f t="shared" si="1197"/>
        <v>76.184184941992712</v>
      </c>
      <c r="PO130" s="182">
        <f t="shared" si="1198"/>
        <v>77.790636644226339</v>
      </c>
      <c r="PP130" s="182">
        <f t="shared" si="1199"/>
        <v>79.402151314461051</v>
      </c>
      <c r="PQ130" s="182">
        <f t="shared" si="1200"/>
        <v>80.996004254261095</v>
      </c>
      <c r="PR130" s="182">
        <f t="shared" si="1201"/>
        <v>82.592218191759684</v>
      </c>
      <c r="PS130" s="182">
        <f t="shared" si="1202"/>
        <v>84.199744779979795</v>
      </c>
      <c r="PT130" s="182">
        <f t="shared" si="1203"/>
        <v>85.818022801604783</v>
      </c>
      <c r="PU130" s="182">
        <f t="shared" si="1204"/>
        <v>87.446472112327925</v>
      </c>
      <c r="PV130" s="182">
        <f t="shared" si="1205"/>
        <v>89.062651488476234</v>
      </c>
      <c r="PW130" s="182">
        <f t="shared" si="1206"/>
        <v>90.687240095145555</v>
      </c>
      <c r="PX130" s="182">
        <f t="shared" si="1207"/>
        <v>92.319610416858183</v>
      </c>
      <c r="PY130" s="182">
        <f t="shared" si="1208"/>
        <v>93.95911771510454</v>
      </c>
      <c r="PZ130" s="182">
        <f t="shared" si="1209"/>
        <v>95.605100331463134</v>
      </c>
      <c r="QA130" s="182">
        <f t="shared" si="1210"/>
        <v>97.256880016707925</v>
      </c>
      <c r="QB130" s="182">
        <f t="shared" si="1211"/>
        <v>98.91376228590822</v>
      </c>
      <c r="QC130" s="182">
        <f t="shared" si="1212"/>
        <v>100.56468008025162</v>
      </c>
      <c r="QD130" s="182">
        <f t="shared" si="1213"/>
        <v>102.23118049301006</v>
      </c>
      <c r="QE130" s="182">
        <f t="shared" si="1214"/>
        <v>103.91312681969268</v>
      </c>
      <c r="QF130" s="182">
        <f t="shared" si="1215"/>
        <v>105.61037455774766</v>
      </c>
      <c r="QG130" s="182">
        <f t="shared" si="1216"/>
        <v>107.32277134521972</v>
      </c>
      <c r="QH130" s="182">
        <f t="shared" si="1217"/>
        <v>109.05015690306182</v>
      </c>
      <c r="QI130" s="182">
        <f t="shared" si="1218"/>
        <v>110.76930055306305</v>
      </c>
      <c r="QJ130" s="182">
        <f t="shared" si="1219"/>
        <v>112.50251431465804</v>
      </c>
      <c r="QK130" s="182">
        <f t="shared" si="1220"/>
        <v>114.24961218401506</v>
      </c>
      <c r="QL130" s="182">
        <f t="shared" si="1221"/>
        <v>116.01040032473342</v>
      </c>
      <c r="QM130" s="182">
        <f t="shared" si="1222"/>
        <v>117.78467703558228</v>
      </c>
      <c r="QN130" s="182">
        <f t="shared" si="1223"/>
        <v>119.57223272235758</v>
      </c>
      <c r="QO130" s="182">
        <f t="shared" si="1224"/>
        <v>121.37284987394132</v>
      </c>
      <c r="QP130" s="182">
        <f t="shared" si="1225"/>
        <v>123.18630304264609</v>
      </c>
      <c r="QQ130" s="182">
        <f t="shared" si="1226"/>
        <v>124.98826082436294</v>
      </c>
      <c r="QR130" s="182">
        <f t="shared" si="1227"/>
        <v>126.80204395818626</v>
      </c>
      <c r="QS130" s="182">
        <f t="shared" si="1228"/>
        <v>128.62740361423548</v>
      </c>
      <c r="QT130" s="183">
        <f t="shared" si="1229"/>
        <v>85.580099204671342</v>
      </c>
      <c r="QU130" s="183">
        <f t="shared" si="1230"/>
        <v>86.792152237593314</v>
      </c>
      <c r="QV130" s="183">
        <f t="shared" si="1231"/>
        <v>88.011279213209733</v>
      </c>
      <c r="QW130" s="183">
        <f t="shared" si="1232"/>
        <v>89.237296800389089</v>
      </c>
      <c r="QX130" s="183">
        <f t="shared" si="1233"/>
        <v>90.470016667817731</v>
      </c>
      <c r="QY130" s="183">
        <f t="shared" si="1234"/>
        <v>91.692921720706849</v>
      </c>
      <c r="QZ130" s="183">
        <f t="shared" si="1235"/>
        <v>92.921817660090127</v>
      </c>
      <c r="RA130" s="183">
        <f t="shared" si="1236"/>
        <v>94.16718363010925</v>
      </c>
      <c r="RB130" s="183">
        <f t="shared" si="1237"/>
        <v>95.418416552826571</v>
      </c>
      <c r="RC130" s="183">
        <f t="shared" si="1238"/>
        <v>96.67530741914311</v>
      </c>
      <c r="RD130" s="183">
        <f t="shared" si="1239"/>
        <v>97.937642467742506</v>
      </c>
      <c r="RE130" s="183">
        <f t="shared" si="1240"/>
        <v>99.205203219681337</v>
      </c>
      <c r="RF130" s="183">
        <f t="shared" si="1241"/>
        <v>100.46105090589411</v>
      </c>
      <c r="RG130" s="183">
        <f t="shared" si="1242"/>
        <v>101.7213804536226</v>
      </c>
      <c r="RH130" s="183">
        <f t="shared" si="1243"/>
        <v>102.98596216062559</v>
      </c>
      <c r="RI130" s="183">
        <f t="shared" si="1244"/>
        <v>104.2662649174861</v>
      </c>
      <c r="RJ130" s="183">
        <f t="shared" si="1245"/>
        <v>105.5506357262424</v>
      </c>
      <c r="RK130" s="183">
        <f t="shared" si="1246"/>
        <v>106.8388332577195</v>
      </c>
      <c r="RL130" s="183">
        <f t="shared" si="1247"/>
        <v>108.13061187801738</v>
      </c>
      <c r="RM130" s="183">
        <f t="shared" si="1248"/>
        <v>109.40874000942945</v>
      </c>
      <c r="RN130" s="183">
        <f t="shared" si="1249"/>
        <v>110.70197590257463</v>
      </c>
      <c r="RO130" s="183">
        <f t="shared" si="1250"/>
        <v>111.99805971033285</v>
      </c>
      <c r="RP130" s="183">
        <f t="shared" si="1251"/>
        <v>113.2967338409066</v>
      </c>
      <c r="RQ130" s="183">
        <f t="shared" si="1252"/>
        <v>114.59773678456285</v>
      </c>
      <c r="RR130" s="183">
        <f t="shared" si="1253"/>
        <v>115.90080318485475</v>
      </c>
      <c r="RS130" s="183">
        <f t="shared" si="1254"/>
        <v>117.20566391284602</v>
      </c>
      <c r="RT130" s="183">
        <f t="shared" si="1131"/>
        <v>118.49492621588733</v>
      </c>
      <c r="RU130" s="183">
        <f t="shared" si="1271"/>
        <v>104.98650462727618</v>
      </c>
      <c r="RV130" s="183">
        <f t="shared" si="1272"/>
        <v>106.12969101099542</v>
      </c>
      <c r="RW130" s="183">
        <f t="shared" si="1273"/>
        <v>92.112148806193915</v>
      </c>
      <c r="RX130" s="183">
        <f t="shared" si="1274"/>
        <v>93.094678393460001</v>
      </c>
      <c r="RY130" s="183">
        <f t="shared" si="1275"/>
        <v>94.077344443168741</v>
      </c>
      <c r="RZ130" s="183">
        <f t="shared" si="1276"/>
        <v>95.059930040686254</v>
      </c>
      <c r="SA130" s="183">
        <f t="shared" si="1277"/>
        <v>96.029332404178092</v>
      </c>
      <c r="SB130" s="183">
        <f t="shared" si="1278"/>
        <v>80.993179133302633</v>
      </c>
      <c r="SC130" s="183">
        <f t="shared" si="1279"/>
        <v>81.810231204119916</v>
      </c>
      <c r="SD130" s="183">
        <f t="shared" si="1256"/>
        <v>66.264489248277698</v>
      </c>
      <c r="SE130" s="183">
        <f t="shared" si="1257"/>
        <v>66.918395966354112</v>
      </c>
      <c r="SF130" s="183">
        <f t="shared" si="1258"/>
        <v>67.571401852267556</v>
      </c>
      <c r="SG130" s="183">
        <f t="shared" si="1259"/>
        <v>68.223354498710307</v>
      </c>
      <c r="SH130" s="183">
        <f t="shared" si="1260"/>
        <v>68.881597413544029</v>
      </c>
      <c r="SI130" s="183">
        <f t="shared" si="1261"/>
        <v>52.318222527794894</v>
      </c>
      <c r="SJ130" s="183">
        <f t="shared" si="1262"/>
        <v>52.811508625914108</v>
      </c>
      <c r="SK130" s="183">
        <f t="shared" si="1263"/>
        <v>35.699806036119753</v>
      </c>
      <c r="SL130" s="183">
        <f t="shared" si="1264"/>
        <v>36.028089035104067</v>
      </c>
      <c r="SM130" s="183">
        <f t="shared" si="1265"/>
        <v>36.355474713727411</v>
      </c>
      <c r="SN130" s="183">
        <f t="shared" si="1266"/>
        <v>36.685835331778243</v>
      </c>
      <c r="SO130" s="183">
        <f t="shared" si="1267"/>
        <v>37.015210331604855</v>
      </c>
      <c r="SP130" s="183">
        <f t="shared" si="1268"/>
        <v>18.835913987874051</v>
      </c>
      <c r="SQ130" s="183">
        <f t="shared" si="1269"/>
        <v>19.002980355418675</v>
      </c>
      <c r="SR130" s="183">
        <f t="shared" si="1270"/>
        <v>-3.8414937896748588E-2</v>
      </c>
      <c r="SS130" s="36"/>
      <c r="ST130" s="36"/>
      <c r="SU130" s="36"/>
      <c r="SV130" s="36"/>
      <c r="SW130" s="36"/>
      <c r="SX130" s="36"/>
      <c r="SY130" s="36"/>
      <c r="SZ130" s="36"/>
      <c r="TA130" s="36"/>
      <c r="TB130" s="36"/>
      <c r="TC130" s="36"/>
      <c r="TD130" s="36"/>
      <c r="TE130" s="36"/>
      <c r="TF130" s="36"/>
      <c r="TG130" s="36"/>
      <c r="TH130" s="36"/>
      <c r="TI130" s="36"/>
    </row>
    <row r="131" spans="1:629" ht="19.5" thickBot="1" x14ac:dyDescent="0.3">
      <c r="A131" s="297" t="s">
        <v>112</v>
      </c>
      <c r="B131" s="24" t="s">
        <v>14</v>
      </c>
      <c r="BY131" s="18"/>
      <c r="BZ131" s="18"/>
      <c r="CA131" s="18"/>
      <c r="CB131" s="18"/>
      <c r="CC131" s="18"/>
      <c r="CD131" s="18"/>
      <c r="CE131" s="18"/>
      <c r="CF131" s="18"/>
      <c r="CG131" s="18"/>
      <c r="CH131" s="18"/>
      <c r="CI131" s="18"/>
      <c r="CJ131" s="18"/>
      <c r="CK131" s="18"/>
      <c r="CL131" s="18"/>
      <c r="CM131" s="18"/>
      <c r="CN131" s="18"/>
      <c r="CO131" s="18"/>
      <c r="CP131" s="18"/>
      <c r="CQ131" s="18"/>
      <c r="CR131" s="18"/>
      <c r="CS131" s="18"/>
      <c r="CT131" s="18"/>
      <c r="CU131" s="18"/>
      <c r="CV131" s="18"/>
      <c r="CW131" s="18"/>
      <c r="CX131" s="18"/>
      <c r="CY131" s="18"/>
      <c r="CZ131" s="18"/>
      <c r="DA131" s="18"/>
      <c r="DB131" s="18"/>
      <c r="DC131" s="18"/>
      <c r="DD131" s="18"/>
      <c r="DE131" s="18"/>
      <c r="DF131" s="18"/>
      <c r="DG131" s="18"/>
      <c r="DH131" s="18"/>
      <c r="DI131" s="18"/>
      <c r="DJ131" s="18"/>
      <c r="DK131" s="18"/>
      <c r="DL131" s="18"/>
      <c r="DM131" s="18"/>
      <c r="DN131" s="18"/>
      <c r="DO131" s="18"/>
      <c r="DP131" s="18"/>
      <c r="DQ131" s="18"/>
      <c r="DR131" s="18"/>
      <c r="DS131" s="18"/>
      <c r="DT131" s="18"/>
      <c r="DU131" s="18"/>
      <c r="DV131" s="18"/>
      <c r="DW131" s="18"/>
      <c r="DX131" s="18"/>
      <c r="DY131" s="18"/>
      <c r="DZ131" s="18"/>
      <c r="EA131" s="18"/>
      <c r="EB131" s="18"/>
      <c r="EC131" s="18"/>
      <c r="ED131" s="18"/>
      <c r="EE131" s="18"/>
      <c r="EF131" s="18"/>
      <c r="EG131" s="18"/>
      <c r="EH131" s="18"/>
      <c r="EI131" s="18"/>
      <c r="EJ131" s="18"/>
      <c r="EK131" s="18"/>
      <c r="EL131" s="18"/>
      <c r="EM131" s="18"/>
      <c r="EN131" s="18"/>
      <c r="EO131" s="18"/>
      <c r="EP131" s="18"/>
      <c r="EQ131" s="18"/>
      <c r="ER131" s="18"/>
      <c r="ES131" s="18"/>
      <c r="ET131" s="18"/>
      <c r="EU131" s="18"/>
      <c r="EV131" s="18"/>
      <c r="EW131" s="18"/>
      <c r="EX131" s="18"/>
      <c r="EY131" s="18"/>
      <c r="EZ131" s="18"/>
      <c r="FA131" s="18"/>
      <c r="FB131" s="18"/>
      <c r="FC131" s="18"/>
      <c r="FD131" s="18"/>
      <c r="FE131" s="18"/>
      <c r="FF131" s="18"/>
      <c r="FG131" s="18"/>
      <c r="FH131" s="18"/>
      <c r="FI131" s="18"/>
      <c r="FJ131" s="18"/>
      <c r="FK131" s="18"/>
      <c r="FL131" s="18"/>
      <c r="FM131" s="18"/>
      <c r="FN131" s="18"/>
      <c r="FO131" s="18"/>
      <c r="FP131" s="18"/>
      <c r="FQ131" s="18"/>
      <c r="FR131" s="18"/>
      <c r="FS131" s="18"/>
      <c r="FT131" s="18"/>
      <c r="FU131" s="18"/>
      <c r="FV131" s="18"/>
      <c r="FW131" s="18"/>
      <c r="FX131" s="18"/>
      <c r="FY131" s="18"/>
      <c r="FZ131" s="18"/>
      <c r="GA131" s="18"/>
      <c r="GB131" s="18"/>
      <c r="GC131" s="18"/>
      <c r="GD131" s="18"/>
      <c r="GE131" s="18"/>
      <c r="GF131" s="18"/>
      <c r="GG131" s="18"/>
      <c r="GH131" s="18"/>
      <c r="GI131" s="18"/>
      <c r="GJ131" s="18"/>
      <c r="GK131" s="18"/>
      <c r="GL131" s="18"/>
      <c r="GM131" s="18"/>
      <c r="GN131" s="18"/>
      <c r="GO131" s="18"/>
      <c r="GP131" s="18"/>
      <c r="GQ131" s="18"/>
      <c r="GR131" s="18"/>
      <c r="GS131" s="18"/>
      <c r="GT131" s="18"/>
      <c r="GU131" s="18"/>
      <c r="GV131" s="18"/>
      <c r="GW131" s="18"/>
      <c r="GX131" s="18"/>
      <c r="GY131" s="18"/>
      <c r="GZ131" s="18"/>
      <c r="HA131" s="18"/>
      <c r="HB131" s="18"/>
      <c r="HC131" s="18"/>
      <c r="HD131" s="18"/>
      <c r="HE131" s="18"/>
      <c r="HF131" s="18"/>
      <c r="HG131" s="18"/>
      <c r="HH131" s="18"/>
      <c r="HI131" s="18"/>
      <c r="HJ131" s="18"/>
      <c r="HK131" s="18"/>
      <c r="HL131" s="18"/>
      <c r="HM131" s="18"/>
      <c r="HN131" s="18"/>
      <c r="HO131" s="18"/>
      <c r="HP131" s="18"/>
      <c r="HQ131" s="18"/>
      <c r="HR131" s="18"/>
      <c r="HS131" s="18"/>
      <c r="HT131" s="18"/>
      <c r="HU131" s="18"/>
      <c r="HV131" s="18"/>
      <c r="HW131" s="18"/>
      <c r="HX131" s="18"/>
      <c r="HY131" s="18"/>
      <c r="HZ131" s="18"/>
      <c r="IA131" s="18"/>
      <c r="IB131" s="18"/>
      <c r="IC131" s="18"/>
      <c r="ID131" s="18"/>
      <c r="IE131" s="18"/>
      <c r="IF131" s="18"/>
      <c r="IG131" s="18"/>
      <c r="IH131" s="18"/>
      <c r="II131" s="18"/>
      <c r="IJ131" s="18"/>
      <c r="IK131" s="18"/>
      <c r="IL131" s="18"/>
      <c r="IM131" s="18"/>
      <c r="IN131" s="18"/>
      <c r="IO131" s="18"/>
      <c r="IP131" s="18"/>
      <c r="IQ131" s="18"/>
      <c r="IR131" s="18"/>
      <c r="IS131" s="18"/>
      <c r="IT131" s="18"/>
      <c r="IU131" s="18"/>
      <c r="IV131" s="18"/>
      <c r="IW131" s="18"/>
      <c r="IX131" s="18"/>
      <c r="IY131" s="18"/>
      <c r="IZ131" s="18"/>
      <c r="JA131" s="18"/>
      <c r="JB131" s="18"/>
      <c r="JC131" s="18"/>
      <c r="JD131" s="18"/>
      <c r="JE131" s="18"/>
      <c r="JF131" s="18"/>
      <c r="JG131" s="18"/>
      <c r="JH131" s="18"/>
      <c r="JI131" s="18"/>
      <c r="JJ131" s="18"/>
      <c r="JK131" s="18"/>
      <c r="JL131" s="18"/>
      <c r="JM131" s="18"/>
      <c r="JN131" s="18"/>
      <c r="JO131" s="18"/>
      <c r="JP131" s="18"/>
      <c r="JQ131" s="18"/>
      <c r="JR131" s="18"/>
      <c r="JS131" s="18"/>
      <c r="JT131" s="18"/>
      <c r="JU131" s="18"/>
      <c r="JV131" s="18"/>
      <c r="JW131" s="18"/>
      <c r="JX131" s="18"/>
      <c r="JY131" s="18"/>
      <c r="JZ131" s="18"/>
      <c r="KA131" s="18"/>
      <c r="KB131" s="18"/>
      <c r="KC131" s="18"/>
      <c r="KD131" s="18"/>
      <c r="KE131" s="18"/>
      <c r="KF131" s="18"/>
      <c r="KG131" s="18"/>
      <c r="KH131" s="18"/>
      <c r="KI131" s="18"/>
      <c r="KJ131" s="18"/>
      <c r="KK131" s="18"/>
      <c r="KL131" s="18"/>
      <c r="KM131" s="18"/>
      <c r="KN131" s="18"/>
      <c r="KO131" s="18"/>
      <c r="KP131" s="18"/>
      <c r="KQ131" s="18"/>
      <c r="KR131" s="18"/>
      <c r="KS131" s="18"/>
      <c r="KT131" s="18"/>
      <c r="KU131" s="18"/>
      <c r="KV131" s="18"/>
      <c r="KW131" s="18"/>
      <c r="KX131" s="18"/>
      <c r="KY131" s="18"/>
      <c r="KZ131" s="18"/>
      <c r="LA131" s="18"/>
      <c r="LB131" s="18"/>
      <c r="LC131" s="18"/>
      <c r="LD131" s="18"/>
      <c r="LE131" s="18"/>
      <c r="LF131" s="18"/>
      <c r="LG131" s="18"/>
      <c r="LH131" s="18"/>
      <c r="LI131" s="18"/>
      <c r="LJ131" s="18"/>
      <c r="LK131" s="18"/>
      <c r="LL131" s="18"/>
      <c r="LM131" s="18"/>
      <c r="LN131" s="18"/>
      <c r="LO131" s="18"/>
      <c r="LP131" s="18"/>
      <c r="LQ131" s="18"/>
      <c r="LR131" s="18"/>
      <c r="LS131" s="18"/>
      <c r="LT131" s="18"/>
      <c r="LU131" s="18"/>
      <c r="LV131" s="18"/>
      <c r="LW131" s="18"/>
      <c r="LX131" s="18"/>
      <c r="LY131" s="18"/>
      <c r="LZ131" s="18"/>
      <c r="MA131" s="18"/>
      <c r="MB131" s="18"/>
      <c r="MC131" s="18"/>
      <c r="MD131" s="18"/>
      <c r="ME131" s="18"/>
      <c r="MF131" s="18"/>
      <c r="MG131" s="18"/>
      <c r="MH131" s="18"/>
      <c r="MI131" s="18"/>
      <c r="MJ131" s="18"/>
      <c r="MK131" s="18"/>
      <c r="ML131" s="18"/>
      <c r="MM131" s="18"/>
      <c r="MN131" s="18"/>
      <c r="MO131" s="18"/>
      <c r="MP131" s="18"/>
      <c r="MQ131" s="18"/>
      <c r="MR131" s="18"/>
      <c r="MS131" s="18"/>
      <c r="MT131" s="18"/>
      <c r="MU131" s="18"/>
      <c r="MV131" s="18"/>
      <c r="MW131" s="18"/>
      <c r="MX131" s="18"/>
      <c r="MY131" s="18"/>
      <c r="MZ131" s="18"/>
      <c r="NA131" s="18"/>
      <c r="NB131" s="18"/>
      <c r="NC131" s="18"/>
      <c r="ND131" s="18"/>
      <c r="NE131" s="18"/>
      <c r="NF131" s="18"/>
      <c r="NG131" s="18"/>
      <c r="NH131" s="18"/>
      <c r="NI131" s="18"/>
      <c r="NJ131" s="18"/>
      <c r="NK131" s="18"/>
      <c r="NL131" s="18"/>
      <c r="NM131" s="18"/>
      <c r="NN131" s="18"/>
      <c r="NO131" s="18"/>
      <c r="NP131" s="18"/>
      <c r="NQ131" s="18"/>
      <c r="NR131" s="18"/>
      <c r="NS131" s="18"/>
      <c r="NT131" s="18"/>
      <c r="NU131" s="18"/>
      <c r="NV131" s="18"/>
      <c r="NW131" s="18"/>
      <c r="NX131" s="18"/>
      <c r="NY131" s="18"/>
      <c r="NZ131" s="18"/>
      <c r="OA131" s="18"/>
      <c r="OB131" s="18"/>
      <c r="OC131" s="18"/>
      <c r="OD131" s="18"/>
      <c r="OE131" s="18"/>
      <c r="OF131" s="18"/>
      <c r="OG131" s="18"/>
      <c r="OH131" s="18"/>
      <c r="OI131" s="18"/>
      <c r="OJ131" s="18"/>
      <c r="OK131" s="18"/>
      <c r="OL131" s="18"/>
      <c r="OM131" s="18"/>
      <c r="ON131" s="18"/>
      <c r="OO131" s="18"/>
      <c r="OP131" s="18"/>
      <c r="OQ131" s="18"/>
      <c r="OR131" s="18"/>
      <c r="OS131" s="18"/>
      <c r="OT131" s="18"/>
      <c r="OU131" s="134">
        <f t="shared" ref="OU131:OU143" si="1280">C27</f>
        <v>250</v>
      </c>
      <c r="OV131" s="142">
        <f t="shared" ref="OV131:OV143" si="1281">D27</f>
        <v>249.5</v>
      </c>
      <c r="OW131" s="109">
        <f t="shared" ref="OW131:OW143" si="1282">E27</f>
        <v>249.001</v>
      </c>
      <c r="OX131" s="109">
        <f t="shared" ref="OX131:OX143" si="1283">F27</f>
        <v>248.50299799999999</v>
      </c>
      <c r="OY131" s="109">
        <f t="shared" ref="OY131:RG134" si="1284">G27</f>
        <v>248.00599200399998</v>
      </c>
      <c r="OZ131" s="109">
        <f t="shared" si="1284"/>
        <v>247.50998001999199</v>
      </c>
      <c r="PA131" s="109">
        <f t="shared" si="1284"/>
        <v>247.01496005995199</v>
      </c>
      <c r="PB131" s="109">
        <f t="shared" si="1284"/>
        <v>246.52093013983207</v>
      </c>
      <c r="PC131" s="109">
        <f t="shared" si="1284"/>
        <v>246.0278882795524</v>
      </c>
      <c r="PD131" s="109">
        <f t="shared" si="1284"/>
        <v>245.53583250299329</v>
      </c>
      <c r="PE131" s="109">
        <f t="shared" si="1284"/>
        <v>245.0447608379873</v>
      </c>
      <c r="PF131" s="109">
        <f t="shared" si="1284"/>
        <v>244.55467131631133</v>
      </c>
      <c r="PG131" s="109">
        <f t="shared" si="1284"/>
        <v>244.06556197367871</v>
      </c>
      <c r="PH131" s="109">
        <f t="shared" si="1284"/>
        <v>243.57743084973134</v>
      </c>
      <c r="PI131" s="109">
        <f t="shared" si="1284"/>
        <v>243.09027598803189</v>
      </c>
      <c r="PJ131" s="109">
        <f t="shared" si="1284"/>
        <v>242.60409543605581</v>
      </c>
      <c r="PK131" s="109">
        <f t="shared" si="1284"/>
        <v>242.11888724518371</v>
      </c>
      <c r="PL131" s="109">
        <f t="shared" si="1284"/>
        <v>241.63464947069335</v>
      </c>
      <c r="PM131" s="109">
        <f t="shared" si="1284"/>
        <v>241.15138017175195</v>
      </c>
      <c r="PN131" s="109">
        <f t="shared" si="1284"/>
        <v>240.66907741140844</v>
      </c>
      <c r="PO131" s="109">
        <f t="shared" si="1284"/>
        <v>240.18773925658562</v>
      </c>
      <c r="PP131" s="109">
        <f t="shared" si="1284"/>
        <v>239.70736377807245</v>
      </c>
      <c r="PQ131" s="109">
        <f t="shared" si="1284"/>
        <v>239.22794905051632</v>
      </c>
      <c r="PR131" s="109">
        <f t="shared" si="1284"/>
        <v>238.74949315241528</v>
      </c>
      <c r="PS131" s="109">
        <f t="shared" si="1284"/>
        <v>238.27199416611046</v>
      </c>
      <c r="PT131" s="109">
        <f t="shared" si="1284"/>
        <v>237.79545017777824</v>
      </c>
      <c r="PU131" s="109">
        <f t="shared" si="1284"/>
        <v>237.31985927742267</v>
      </c>
      <c r="PV131" s="109">
        <f t="shared" si="1284"/>
        <v>236.84521955886783</v>
      </c>
      <c r="PW131" s="109">
        <f t="shared" si="1284"/>
        <v>236.37152911975008</v>
      </c>
      <c r="PX131" s="109">
        <f t="shared" si="1284"/>
        <v>235.89878606151058</v>
      </c>
      <c r="PY131" s="109">
        <f t="shared" si="1284"/>
        <v>235.42698848938755</v>
      </c>
      <c r="PZ131" s="109">
        <f t="shared" si="1284"/>
        <v>234.95613451240877</v>
      </c>
      <c r="QA131" s="109">
        <f t="shared" si="1284"/>
        <v>234.48622224338393</v>
      </c>
      <c r="QB131" s="109">
        <f t="shared" si="1284"/>
        <v>234.01724979889715</v>
      </c>
      <c r="QC131" s="109">
        <f t="shared" si="1284"/>
        <v>233.54921529929936</v>
      </c>
      <c r="QD131" s="109">
        <f t="shared" si="1284"/>
        <v>233.08211686870075</v>
      </c>
      <c r="QE131" s="109">
        <f t="shared" si="1284"/>
        <v>232.61595263496335</v>
      </c>
      <c r="QF131" s="109">
        <f t="shared" si="1284"/>
        <v>232.15072072969343</v>
      </c>
      <c r="QG131" s="109">
        <f t="shared" si="1284"/>
        <v>231.68641928823405</v>
      </c>
      <c r="QH131" s="109">
        <f t="shared" si="1284"/>
        <v>231.22304644965757</v>
      </c>
      <c r="QI131" s="109">
        <f t="shared" si="1284"/>
        <v>230.76060035675826</v>
      </c>
      <c r="QJ131" s="109">
        <f t="shared" si="1284"/>
        <v>230.29907915604474</v>
      </c>
      <c r="QK131" s="109">
        <f t="shared" si="1284"/>
        <v>229.83848099773266</v>
      </c>
      <c r="QL131" s="109">
        <f t="shared" si="1284"/>
        <v>229.3788040357372</v>
      </c>
      <c r="QM131" s="109">
        <f t="shared" si="1284"/>
        <v>228.92004642766574</v>
      </c>
      <c r="QN131" s="109">
        <f t="shared" si="1284"/>
        <v>228.46220633481042</v>
      </c>
      <c r="QO131" s="109">
        <f t="shared" si="1284"/>
        <v>228.0052819221408</v>
      </c>
      <c r="QP131" s="109">
        <f t="shared" si="1284"/>
        <v>227.54927135829652</v>
      </c>
      <c r="QQ131" s="109">
        <f t="shared" si="1284"/>
        <v>227.09417281557992</v>
      </c>
      <c r="QR131" s="109">
        <f t="shared" si="1284"/>
        <v>226.63998446994876</v>
      </c>
      <c r="QS131" s="109">
        <f t="shared" si="1284"/>
        <v>226.18670450100885</v>
      </c>
      <c r="QT131" s="144">
        <f t="shared" si="1284"/>
        <v>225.73433109200684</v>
      </c>
      <c r="QU131" s="144">
        <f t="shared" si="1284"/>
        <v>225.28286242982281</v>
      </c>
      <c r="QV131" s="144">
        <f t="shared" si="1284"/>
        <v>224.83229670496317</v>
      </c>
      <c r="QW131" s="144">
        <f t="shared" si="1284"/>
        <v>224.38263211155325</v>
      </c>
      <c r="QX131" s="144">
        <f t="shared" si="1284"/>
        <v>223.93386684733014</v>
      </c>
      <c r="QY131" s="144">
        <f t="shared" si="1284"/>
        <v>223.48599911363547</v>
      </c>
      <c r="QZ131" s="144">
        <f t="shared" si="1284"/>
        <v>223.0390271154082</v>
      </c>
      <c r="RA131" s="144">
        <f t="shared" si="1284"/>
        <v>222.59294906117739</v>
      </c>
      <c r="RB131" s="144">
        <f t="shared" si="1284"/>
        <v>222.14776316305503</v>
      </c>
      <c r="RC131" s="144">
        <f t="shared" si="1284"/>
        <v>221.70346763672893</v>
      </c>
      <c r="RD131" s="144">
        <f t="shared" si="1284"/>
        <v>221.26006070145547</v>
      </c>
      <c r="RE131" s="144">
        <f t="shared" si="1284"/>
        <v>220.81754058005257</v>
      </c>
      <c r="RF131" s="144">
        <f t="shared" si="1284"/>
        <v>220.37590549889245</v>
      </c>
      <c r="RG131" s="144">
        <f t="shared" si="1284"/>
        <v>219.93515368789465</v>
      </c>
      <c r="RH131" s="144">
        <f t="shared" ref="RH131:TS134" si="1285">BP27</f>
        <v>219.49528338051886</v>
      </c>
      <c r="RI131" s="144">
        <f t="shared" si="1285"/>
        <v>219.05629281375781</v>
      </c>
      <c r="RJ131" s="144">
        <f t="shared" si="1285"/>
        <v>218.61818022813029</v>
      </c>
      <c r="RK131" s="144">
        <f t="shared" si="1285"/>
        <v>218.18094386767402</v>
      </c>
      <c r="RL131" s="144">
        <f t="shared" si="1285"/>
        <v>217.74458197993866</v>
      </c>
      <c r="RM131" s="144">
        <f t="shared" si="1285"/>
        <v>217.30909281597877</v>
      </c>
      <c r="RN131" s="144">
        <f t="shared" si="1285"/>
        <v>216.87447463034681</v>
      </c>
      <c r="RO131" s="144">
        <f t="shared" si="1285"/>
        <v>216.44072568108612</v>
      </c>
      <c r="RP131" s="144">
        <f t="shared" si="1285"/>
        <v>216.00784422972396</v>
      </c>
      <c r="RQ131" s="144">
        <f t="shared" si="1285"/>
        <v>215.57582854126451</v>
      </c>
      <c r="RR131" s="144">
        <f t="shared" si="1285"/>
        <v>215.14467688418199</v>
      </c>
      <c r="RS131" s="144">
        <f t="shared" si="1285"/>
        <v>214.71438753041363</v>
      </c>
      <c r="RT131" s="144">
        <f t="shared" si="1285"/>
        <v>214.28495875535282</v>
      </c>
      <c r="RU131" s="144">
        <f t="shared" si="1285"/>
        <v>213.8563888378421</v>
      </c>
      <c r="RV131" s="144">
        <f t="shared" si="1285"/>
        <v>213.42867606016642</v>
      </c>
      <c r="RW131" s="144">
        <f t="shared" si="1285"/>
        <v>213.0018187080461</v>
      </c>
      <c r="RX131" s="144">
        <f t="shared" si="1285"/>
        <v>212.57581507063</v>
      </c>
      <c r="RY131" s="144">
        <f t="shared" si="1285"/>
        <v>212.15066344048873</v>
      </c>
      <c r="RZ131" s="144">
        <f t="shared" si="1285"/>
        <v>211.72636211360776</v>
      </c>
      <c r="SA131" s="144">
        <f t="shared" si="1285"/>
        <v>211.30290938938055</v>
      </c>
      <c r="SB131" s="144">
        <f t="shared" si="1285"/>
        <v>210.8803035706018</v>
      </c>
      <c r="SC131" s="144">
        <f t="shared" si="1285"/>
        <v>210.45854296346059</v>
      </c>
      <c r="SD131" s="144">
        <f t="shared" si="1285"/>
        <v>210.03762587753366</v>
      </c>
      <c r="SE131" s="144">
        <f t="shared" si="1285"/>
        <v>209.61755062577859</v>
      </c>
      <c r="SF131" s="144">
        <f t="shared" si="1285"/>
        <v>209.19831552452703</v>
      </c>
      <c r="SG131" s="144">
        <f t="shared" si="1285"/>
        <v>208.77991889347797</v>
      </c>
      <c r="SH131" s="144">
        <f t="shared" si="1285"/>
        <v>208.362359055691</v>
      </c>
      <c r="SI131" s="144">
        <f t="shared" si="1285"/>
        <v>207.94563433757963</v>
      </c>
      <c r="SJ131" s="144">
        <f t="shared" si="1285"/>
        <v>207.52974306890448</v>
      </c>
      <c r="SK131" s="144">
        <f t="shared" si="1285"/>
        <v>207.11468358276667</v>
      </c>
      <c r="SL131" s="144">
        <f t="shared" si="1285"/>
        <v>206.70045421560113</v>
      </c>
      <c r="SM131" s="144">
        <f t="shared" si="1285"/>
        <v>206.28705330716991</v>
      </c>
      <c r="SN131" s="144">
        <f t="shared" si="1285"/>
        <v>205.87447920055558</v>
      </c>
      <c r="SO131" s="144">
        <f t="shared" si="1285"/>
        <v>205.46273024215446</v>
      </c>
      <c r="SP131" s="144">
        <f t="shared" si="1285"/>
        <v>205.05180478167014</v>
      </c>
      <c r="SQ131" s="144">
        <f t="shared" si="1285"/>
        <v>204.64170117210679</v>
      </c>
      <c r="SR131" s="144">
        <f t="shared" si="1285"/>
        <v>204.23241776976258</v>
      </c>
      <c r="SS131" s="154">
        <f t="shared" si="1285"/>
        <v>203.82395293422306</v>
      </c>
      <c r="ST131" s="154">
        <f t="shared" si="1285"/>
        <v>203.4163050283546</v>
      </c>
      <c r="SU131" s="154">
        <f t="shared" si="1285"/>
        <v>203.00947241829789</v>
      </c>
      <c r="SV131" s="154">
        <f t="shared" si="1285"/>
        <v>202.60345347346129</v>
      </c>
      <c r="SW131" s="154">
        <f t="shared" si="1285"/>
        <v>202.19824656651437</v>
      </c>
      <c r="SX131" s="154">
        <f t="shared" si="1285"/>
        <v>201.79385007338135</v>
      </c>
      <c r="SY131" s="154">
        <f t="shared" si="1285"/>
        <v>201.39026237323458</v>
      </c>
      <c r="SZ131" s="154">
        <f t="shared" si="1285"/>
        <v>200.9874818484881</v>
      </c>
      <c r="TA131" s="154">
        <f t="shared" si="1285"/>
        <v>200.58550688479113</v>
      </c>
      <c r="TB131" s="154">
        <f t="shared" si="1285"/>
        <v>200.18433587102155</v>
      </c>
      <c r="TC131" s="154">
        <f t="shared" si="1285"/>
        <v>199.78396719927952</v>
      </c>
      <c r="TD131" s="154">
        <f t="shared" si="1285"/>
        <v>199.38439926488095</v>
      </c>
      <c r="TE131" s="154">
        <f t="shared" si="1285"/>
        <v>198.98563046635118</v>
      </c>
      <c r="TF131" s="154">
        <f t="shared" si="1285"/>
        <v>198.58765920541848</v>
      </c>
      <c r="TG131" s="154">
        <f t="shared" si="1285"/>
        <v>198.19048388700764</v>
      </c>
      <c r="TH131" s="154">
        <f t="shared" si="1285"/>
        <v>197.79410291923364</v>
      </c>
      <c r="TI131" s="154">
        <f t="shared" si="1285"/>
        <v>197.39851471339517</v>
      </c>
      <c r="TJ131" s="154">
        <f t="shared" si="1285"/>
        <v>197.00371768396838</v>
      </c>
      <c r="TK131" s="154">
        <f t="shared" si="1285"/>
        <v>196.60971024860044</v>
      </c>
      <c r="TL131" s="154">
        <f t="shared" si="1285"/>
        <v>196.21649082810325</v>
      </c>
      <c r="TM131" s="154">
        <f t="shared" si="1285"/>
        <v>195.82405784644703</v>
      </c>
      <c r="TN131" s="154">
        <f t="shared" si="1285"/>
        <v>195.43240973075413</v>
      </c>
      <c r="TO131" s="154">
        <f t="shared" si="1285"/>
        <v>195.04154491129262</v>
      </c>
      <c r="TP131" s="154">
        <f t="shared" si="1285"/>
        <v>194.65146182147004</v>
      </c>
      <c r="TQ131" s="154">
        <f t="shared" si="1285"/>
        <v>194.26215889782711</v>
      </c>
      <c r="TR131" s="154">
        <f t="shared" si="1285"/>
        <v>193.87363458003145</v>
      </c>
      <c r="TS131" s="154">
        <f t="shared" si="1285"/>
        <v>193.48588731087139</v>
      </c>
      <c r="TT131" s="179">
        <f t="shared" ref="TT131:TT139" si="1286">EB27</f>
        <v>168.91317962239071</v>
      </c>
      <c r="TU131" s="154">
        <f t="shared" ref="TU131:TU139" si="1287">EC27</f>
        <v>168.57535326314593</v>
      </c>
      <c r="TV131" s="179">
        <f t="shared" ref="TV131:TV139" si="1288">ED27</f>
        <v>144.15600923331306</v>
      </c>
      <c r="TW131" s="154">
        <f t="shared" ref="TW131:TW139" si="1289">EE27</f>
        <v>143.86769721484643</v>
      </c>
      <c r="TX131" s="154">
        <f t="shared" ref="TX131:TX139" si="1290">EF27</f>
        <v>143.57996182041674</v>
      </c>
      <c r="TY131" s="154">
        <f t="shared" ref="TY131:TY139" si="1291">EG27</f>
        <v>143.2928018967759</v>
      </c>
      <c r="TZ131" s="154">
        <f t="shared" ref="TZ131:TZ139" si="1292">EH27</f>
        <v>143.00621629298234</v>
      </c>
      <c r="UA131" s="179">
        <f t="shared" ref="UA131:UA139" si="1293">EI27</f>
        <v>118.88583447823264</v>
      </c>
      <c r="UB131" s="154">
        <f t="shared" ref="UB131:UB139" si="1294">EJ27</f>
        <v>118.64806280927617</v>
      </c>
      <c r="UC131" s="179">
        <f t="shared" ref="UC131:UC139" si="1295">EK27</f>
        <v>94.681154121802379</v>
      </c>
      <c r="UD131" s="154">
        <f t="shared" ref="UD131:UD139" si="1296">EL27</f>
        <v>94.491791813558777</v>
      </c>
      <c r="UE131" s="154">
        <f t="shared" ref="UE131:UE139" si="1297">EM27</f>
        <v>94.302808229931657</v>
      </c>
      <c r="UF131" s="154">
        <f t="shared" ref="UF131:UF139" si="1298">EN27</f>
        <v>94.11420261347179</v>
      </c>
      <c r="UG131" s="154">
        <f t="shared" ref="UG131:UG139" si="1299">EO27</f>
        <v>93.925974208244853</v>
      </c>
      <c r="UH131" s="179">
        <f t="shared" ref="UH131:UH139" si="1300">EP27</f>
        <v>70.256628707767149</v>
      </c>
      <c r="UI131" s="154">
        <f t="shared" ref="UI131:UI139" si="1301">EQ27</f>
        <v>70.116115450351614</v>
      </c>
      <c r="UJ131" s="179">
        <f t="shared" ref="UJ131:UJ139" si="1302">ER27</f>
        <v>46.603844736000369</v>
      </c>
      <c r="UK131" s="154">
        <f t="shared" ref="UK131:UK139" si="1303">ES27</f>
        <v>46.510637046528366</v>
      </c>
      <c r="UL131" s="154">
        <f t="shared" ref="UL131:UL139" si="1304">ET27</f>
        <v>46.417615772435312</v>
      </c>
      <c r="UM131" s="154">
        <f t="shared" ref="UM131:UM139" si="1305">EU27</f>
        <v>46.324780540890444</v>
      </c>
      <c r="UN131" s="154">
        <f t="shared" ref="UN131:UN139" si="1306">EV27</f>
        <v>46.232130979808666</v>
      </c>
      <c r="UO131" s="179">
        <f t="shared" ref="UO131:UO139" si="1307">EW27</f>
        <v>23.023601227944713</v>
      </c>
      <c r="UP131" s="154">
        <f t="shared" ref="UP131:UP139" si="1308">EX27</f>
        <v>22.977554025488825</v>
      </c>
      <c r="UQ131" s="179">
        <f t="shared" ref="UQ131:UQ139" si="1309">EY27</f>
        <v>-4.5955108050979021E-2</v>
      </c>
      <c r="UR131" s="203"/>
      <c r="US131" s="203"/>
    </row>
    <row r="132" spans="1:629" ht="19.5" thickBot="1" x14ac:dyDescent="0.3">
      <c r="A132" s="298"/>
      <c r="B132" s="25" t="s">
        <v>1</v>
      </c>
      <c r="BY132" s="18"/>
      <c r="BZ132" s="18"/>
      <c r="CA132" s="18"/>
      <c r="CB132" s="18"/>
      <c r="CC132" s="18"/>
      <c r="CD132" s="18"/>
      <c r="CE132" s="18"/>
      <c r="CF132" s="18"/>
      <c r="CG132" s="18"/>
      <c r="CH132" s="18"/>
      <c r="CI132" s="18"/>
      <c r="CJ132" s="18"/>
      <c r="CK132" s="18"/>
      <c r="CL132" s="18"/>
      <c r="CM132" s="18"/>
      <c r="CN132" s="18"/>
      <c r="CO132" s="18"/>
      <c r="CP132" s="18"/>
      <c r="CQ132" s="18"/>
      <c r="CR132" s="18"/>
      <c r="CS132" s="18"/>
      <c r="CT132" s="18"/>
      <c r="CU132" s="18"/>
      <c r="CV132" s="18"/>
      <c r="CW132" s="18"/>
      <c r="CX132" s="18"/>
      <c r="CY132" s="18"/>
      <c r="CZ132" s="18"/>
      <c r="DA132" s="18"/>
      <c r="DB132" s="18"/>
      <c r="DC132" s="18"/>
      <c r="DD132" s="18"/>
      <c r="DE132" s="18"/>
      <c r="DF132" s="18"/>
      <c r="DG132" s="18"/>
      <c r="DH132" s="18"/>
      <c r="DI132" s="18"/>
      <c r="DJ132" s="18"/>
      <c r="DK132" s="18"/>
      <c r="DL132" s="18"/>
      <c r="DM132" s="18"/>
      <c r="DN132" s="18"/>
      <c r="DO132" s="18"/>
      <c r="DP132" s="18"/>
      <c r="DQ132" s="18"/>
      <c r="DR132" s="18"/>
      <c r="DS132" s="18"/>
      <c r="DT132" s="18"/>
      <c r="DU132" s="18"/>
      <c r="DV132" s="18"/>
      <c r="DW132" s="18"/>
      <c r="DX132" s="18"/>
      <c r="DY132" s="18"/>
      <c r="DZ132" s="18"/>
      <c r="EA132" s="18"/>
      <c r="EB132" s="18"/>
      <c r="EC132" s="18"/>
      <c r="ED132" s="18"/>
      <c r="EE132" s="18"/>
      <c r="EF132" s="18"/>
      <c r="EG132" s="18"/>
      <c r="EH132" s="18"/>
      <c r="EI132" s="18"/>
      <c r="EJ132" s="18"/>
      <c r="EK132" s="18"/>
      <c r="EL132" s="18"/>
      <c r="EM132" s="18"/>
      <c r="EN132" s="18"/>
      <c r="EO132" s="18"/>
      <c r="EP132" s="18"/>
      <c r="EQ132" s="18"/>
      <c r="ER132" s="18"/>
      <c r="ES132" s="18"/>
      <c r="ET132" s="18"/>
      <c r="EU132" s="18"/>
      <c r="EV132" s="18"/>
      <c r="EW132" s="18"/>
      <c r="EX132" s="18"/>
      <c r="EY132" s="18"/>
      <c r="EZ132" s="18"/>
      <c r="FA132" s="18"/>
      <c r="FB132" s="18"/>
      <c r="FC132" s="18"/>
      <c r="FD132" s="18"/>
      <c r="FE132" s="18"/>
      <c r="FF132" s="18"/>
      <c r="FG132" s="18"/>
      <c r="FH132" s="18"/>
      <c r="FI132" s="18"/>
      <c r="FJ132" s="18"/>
      <c r="FK132" s="18"/>
      <c r="FL132" s="18"/>
      <c r="FM132" s="18"/>
      <c r="FN132" s="18"/>
      <c r="FO132" s="18"/>
      <c r="FP132" s="18"/>
      <c r="FQ132" s="18"/>
      <c r="FR132" s="18"/>
      <c r="FS132" s="18"/>
      <c r="FT132" s="18"/>
      <c r="FU132" s="18"/>
      <c r="FV132" s="18"/>
      <c r="FW132" s="18"/>
      <c r="FX132" s="18"/>
      <c r="FY132" s="18"/>
      <c r="FZ132" s="18"/>
      <c r="GA132" s="18"/>
      <c r="GB132" s="18"/>
      <c r="GC132" s="18"/>
      <c r="GD132" s="18"/>
      <c r="GE132" s="18"/>
      <c r="GF132" s="18"/>
      <c r="GG132" s="18"/>
      <c r="GH132" s="18"/>
      <c r="GI132" s="18"/>
      <c r="GJ132" s="18"/>
      <c r="GK132" s="18"/>
      <c r="GL132" s="18"/>
      <c r="GM132" s="18"/>
      <c r="GN132" s="18"/>
      <c r="GO132" s="18"/>
      <c r="GP132" s="18"/>
      <c r="GQ132" s="18"/>
      <c r="GR132" s="18"/>
      <c r="GS132" s="18"/>
      <c r="GT132" s="18"/>
      <c r="GU132" s="18"/>
      <c r="GV132" s="18"/>
      <c r="GW132" s="18"/>
      <c r="GX132" s="18"/>
      <c r="GY132" s="18"/>
      <c r="GZ132" s="18"/>
      <c r="HA132" s="18"/>
      <c r="HB132" s="18"/>
      <c r="HC132" s="18"/>
      <c r="HD132" s="18"/>
      <c r="HE132" s="18"/>
      <c r="HF132" s="18"/>
      <c r="HG132" s="18"/>
      <c r="HH132" s="18"/>
      <c r="HI132" s="18"/>
      <c r="HJ132" s="18"/>
      <c r="HK132" s="18"/>
      <c r="HL132" s="18"/>
      <c r="HM132" s="18"/>
      <c r="HN132" s="18"/>
      <c r="HO132" s="18"/>
      <c r="HP132" s="18"/>
      <c r="HQ132" s="18"/>
      <c r="HR132" s="18"/>
      <c r="HS132" s="18"/>
      <c r="HT132" s="18"/>
      <c r="HU132" s="18"/>
      <c r="HV132" s="18"/>
      <c r="HW132" s="18"/>
      <c r="HX132" s="18"/>
      <c r="HY132" s="18"/>
      <c r="HZ132" s="18"/>
      <c r="IA132" s="18"/>
      <c r="IB132" s="18"/>
      <c r="IC132" s="18"/>
      <c r="ID132" s="18"/>
      <c r="IE132" s="18"/>
      <c r="IF132" s="18"/>
      <c r="IG132" s="18"/>
      <c r="IH132" s="18"/>
      <c r="II132" s="18"/>
      <c r="IJ132" s="18"/>
      <c r="IK132" s="18"/>
      <c r="IL132" s="18"/>
      <c r="IM132" s="18"/>
      <c r="IN132" s="18"/>
      <c r="IO132" s="18"/>
      <c r="IP132" s="18"/>
      <c r="IQ132" s="18"/>
      <c r="IR132" s="18"/>
      <c r="IS132" s="18"/>
      <c r="IT132" s="18"/>
      <c r="IU132" s="18"/>
      <c r="IV132" s="18"/>
      <c r="IW132" s="18"/>
      <c r="IX132" s="18"/>
      <c r="IY132" s="18"/>
      <c r="IZ132" s="18"/>
      <c r="JA132" s="18"/>
      <c r="JB132" s="18"/>
      <c r="JC132" s="18"/>
      <c r="JD132" s="18"/>
      <c r="JE132" s="18"/>
      <c r="JF132" s="18"/>
      <c r="JG132" s="18"/>
      <c r="JH132" s="18"/>
      <c r="JI132" s="18"/>
      <c r="JJ132" s="18"/>
      <c r="JK132" s="18"/>
      <c r="JL132" s="18"/>
      <c r="JM132" s="18"/>
      <c r="JN132" s="18"/>
      <c r="JO132" s="18"/>
      <c r="JP132" s="18"/>
      <c r="JQ132" s="18"/>
      <c r="JR132" s="18"/>
      <c r="JS132" s="18"/>
      <c r="JT132" s="18"/>
      <c r="JU132" s="18"/>
      <c r="JV132" s="18"/>
      <c r="JW132" s="18"/>
      <c r="JX132" s="18"/>
      <c r="JY132" s="18"/>
      <c r="JZ132" s="18"/>
      <c r="KA132" s="18"/>
      <c r="KB132" s="18"/>
      <c r="KC132" s="18"/>
      <c r="KD132" s="18"/>
      <c r="KE132" s="18"/>
      <c r="KF132" s="18"/>
      <c r="KG132" s="18"/>
      <c r="KH132" s="18"/>
      <c r="KI132" s="18"/>
      <c r="KJ132" s="18"/>
      <c r="KK132" s="18"/>
      <c r="KL132" s="18"/>
      <c r="KM132" s="18"/>
      <c r="KN132" s="18"/>
      <c r="KO132" s="18"/>
      <c r="KP132" s="18"/>
      <c r="KQ132" s="18"/>
      <c r="KR132" s="18"/>
      <c r="KS132" s="18"/>
      <c r="KT132" s="18"/>
      <c r="KU132" s="18"/>
      <c r="KV132" s="18"/>
      <c r="KW132" s="18"/>
      <c r="KX132" s="18"/>
      <c r="KY132" s="18"/>
      <c r="KZ132" s="18"/>
      <c r="LA132" s="18"/>
      <c r="LB132" s="18"/>
      <c r="LC132" s="18"/>
      <c r="LD132" s="18"/>
      <c r="LE132" s="18"/>
      <c r="LF132" s="18"/>
      <c r="LG132" s="18"/>
      <c r="LH132" s="18"/>
      <c r="LI132" s="18"/>
      <c r="LJ132" s="18"/>
      <c r="LK132" s="18"/>
      <c r="LL132" s="18"/>
      <c r="LM132" s="18"/>
      <c r="LN132" s="18"/>
      <c r="LO132" s="18"/>
      <c r="LP132" s="18"/>
      <c r="LQ132" s="18"/>
      <c r="LR132" s="18"/>
      <c r="LS132" s="18"/>
      <c r="LT132" s="18"/>
      <c r="LU132" s="18"/>
      <c r="LV132" s="18"/>
      <c r="LW132" s="18"/>
      <c r="LX132" s="18"/>
      <c r="LY132" s="18"/>
      <c r="LZ132" s="18"/>
      <c r="MA132" s="18"/>
      <c r="MB132" s="18"/>
      <c r="MC132" s="18"/>
      <c r="MD132" s="18"/>
      <c r="ME132" s="18"/>
      <c r="MF132" s="18"/>
      <c r="MG132" s="18"/>
      <c r="MH132" s="18"/>
      <c r="MI132" s="18"/>
      <c r="MJ132" s="18"/>
      <c r="MK132" s="18"/>
      <c r="ML132" s="18"/>
      <c r="MM132" s="18"/>
      <c r="MN132" s="18"/>
      <c r="MO132" s="18"/>
      <c r="MP132" s="18"/>
      <c r="MQ132" s="18"/>
      <c r="MR132" s="18"/>
      <c r="MS132" s="18"/>
      <c r="MT132" s="18"/>
      <c r="MU132" s="18"/>
      <c r="MV132" s="18"/>
      <c r="MW132" s="18"/>
      <c r="MX132" s="18"/>
      <c r="MY132" s="18"/>
      <c r="MZ132" s="18"/>
      <c r="NA132" s="18"/>
      <c r="NB132" s="18"/>
      <c r="NC132" s="18"/>
      <c r="ND132" s="18"/>
      <c r="NE132" s="18"/>
      <c r="NF132" s="18"/>
      <c r="NG132" s="18"/>
      <c r="NH132" s="18"/>
      <c r="NI132" s="18"/>
      <c r="NJ132" s="18"/>
      <c r="NK132" s="18"/>
      <c r="NL132" s="18"/>
      <c r="NM132" s="18"/>
      <c r="NN132" s="18"/>
      <c r="NO132" s="18"/>
      <c r="NP132" s="18"/>
      <c r="NQ132" s="18"/>
      <c r="NR132" s="18"/>
      <c r="NS132" s="18"/>
      <c r="NT132" s="18"/>
      <c r="NU132" s="18"/>
      <c r="NV132" s="18"/>
      <c r="NW132" s="18"/>
      <c r="NX132" s="18"/>
      <c r="NY132" s="18"/>
      <c r="NZ132" s="18"/>
      <c r="OA132" s="18"/>
      <c r="OB132" s="18"/>
      <c r="OC132" s="18"/>
      <c r="OD132" s="18"/>
      <c r="OE132" s="18"/>
      <c r="OF132" s="18"/>
      <c r="OG132" s="18"/>
      <c r="OH132" s="18"/>
      <c r="OI132" s="18"/>
      <c r="OJ132" s="18"/>
      <c r="OK132" s="18"/>
      <c r="OL132" s="18"/>
      <c r="OM132" s="18"/>
      <c r="ON132" s="18"/>
      <c r="OO132" s="18"/>
      <c r="OP132" s="18"/>
      <c r="OQ132" s="18"/>
      <c r="OR132" s="18"/>
      <c r="OS132" s="18"/>
      <c r="OT132" s="18"/>
      <c r="OU132" s="128" t="str">
        <f t="shared" si="1280"/>
        <v>-</v>
      </c>
      <c r="OV132" s="108" t="str">
        <f t="shared" si="1281"/>
        <v>-</v>
      </c>
      <c r="OW132" s="108" t="str">
        <f t="shared" si="1282"/>
        <v>-</v>
      </c>
      <c r="OX132" s="108" t="str">
        <f t="shared" si="1283"/>
        <v>-</v>
      </c>
      <c r="OY132" s="108" t="str">
        <f t="shared" si="1284"/>
        <v>-</v>
      </c>
      <c r="OZ132" s="108" t="str">
        <f t="shared" si="1284"/>
        <v>-</v>
      </c>
      <c r="PA132" s="108" t="str">
        <f t="shared" si="1284"/>
        <v>-</v>
      </c>
      <c r="PB132" s="108" t="str">
        <f t="shared" si="1284"/>
        <v>-</v>
      </c>
      <c r="PC132" s="108" t="str">
        <f t="shared" si="1284"/>
        <v>-</v>
      </c>
      <c r="PD132" s="108" t="str">
        <f t="shared" si="1284"/>
        <v>-</v>
      </c>
      <c r="PE132" s="108" t="str">
        <f t="shared" si="1284"/>
        <v>-</v>
      </c>
      <c r="PF132" s="108" t="str">
        <f t="shared" si="1284"/>
        <v>-</v>
      </c>
      <c r="PG132" s="108" t="str">
        <f t="shared" si="1284"/>
        <v>-</v>
      </c>
      <c r="PH132" s="108" t="str">
        <f t="shared" si="1284"/>
        <v>-</v>
      </c>
      <c r="PI132" s="108" t="str">
        <f t="shared" si="1284"/>
        <v>-</v>
      </c>
      <c r="PJ132" s="108" t="str">
        <f t="shared" si="1284"/>
        <v>-</v>
      </c>
      <c r="PK132" s="108" t="str">
        <f t="shared" si="1284"/>
        <v>-</v>
      </c>
      <c r="PL132" s="108" t="str">
        <f t="shared" si="1284"/>
        <v>-</v>
      </c>
      <c r="PM132" s="108" t="str">
        <f t="shared" si="1284"/>
        <v>-</v>
      </c>
      <c r="PN132" s="108" t="str">
        <f t="shared" si="1284"/>
        <v>-</v>
      </c>
      <c r="PO132" s="108" t="str">
        <f t="shared" si="1284"/>
        <v>-</v>
      </c>
      <c r="PP132" s="108" t="str">
        <f t="shared" si="1284"/>
        <v>-</v>
      </c>
      <c r="PQ132" s="108" t="str">
        <f t="shared" si="1284"/>
        <v>-</v>
      </c>
      <c r="PR132" s="108" t="str">
        <f t="shared" si="1284"/>
        <v>-</v>
      </c>
      <c r="PS132" s="108" t="str">
        <f t="shared" si="1284"/>
        <v>-</v>
      </c>
      <c r="PT132" s="108" t="str">
        <f t="shared" si="1284"/>
        <v>-</v>
      </c>
      <c r="PU132" s="108" t="str">
        <f t="shared" si="1284"/>
        <v>-</v>
      </c>
      <c r="PV132" s="108" t="str">
        <f t="shared" si="1284"/>
        <v>-</v>
      </c>
      <c r="PW132" s="108" t="str">
        <f t="shared" si="1284"/>
        <v>-</v>
      </c>
      <c r="PX132" s="108" t="str">
        <f t="shared" si="1284"/>
        <v>-</v>
      </c>
      <c r="PY132" s="108" t="str">
        <f t="shared" si="1284"/>
        <v>-</v>
      </c>
      <c r="PZ132" s="108" t="str">
        <f t="shared" si="1284"/>
        <v>-</v>
      </c>
      <c r="QA132" s="108" t="str">
        <f t="shared" si="1284"/>
        <v>-</v>
      </c>
      <c r="QB132" s="108" t="str">
        <f t="shared" si="1284"/>
        <v>-</v>
      </c>
      <c r="QC132" s="108" t="str">
        <f t="shared" si="1284"/>
        <v>-</v>
      </c>
      <c r="QD132" s="108" t="str">
        <f t="shared" si="1284"/>
        <v>-</v>
      </c>
      <c r="QE132" s="108" t="str">
        <f t="shared" si="1284"/>
        <v>-</v>
      </c>
      <c r="QF132" s="108" t="str">
        <f t="shared" si="1284"/>
        <v>-</v>
      </c>
      <c r="QG132" s="108" t="str">
        <f t="shared" si="1284"/>
        <v>-</v>
      </c>
      <c r="QH132" s="108" t="str">
        <f t="shared" si="1284"/>
        <v>-</v>
      </c>
      <c r="QI132" s="108" t="str">
        <f t="shared" si="1284"/>
        <v>-</v>
      </c>
      <c r="QJ132" s="108" t="str">
        <f t="shared" si="1284"/>
        <v>-</v>
      </c>
      <c r="QK132" s="108" t="str">
        <f t="shared" si="1284"/>
        <v>-</v>
      </c>
      <c r="QL132" s="108" t="str">
        <f t="shared" si="1284"/>
        <v>-</v>
      </c>
      <c r="QM132" s="108" t="str">
        <f t="shared" si="1284"/>
        <v>-</v>
      </c>
      <c r="QN132" s="108" t="str">
        <f t="shared" si="1284"/>
        <v>-</v>
      </c>
      <c r="QO132" s="108" t="str">
        <f t="shared" si="1284"/>
        <v>-</v>
      </c>
      <c r="QP132" s="108" t="str">
        <f t="shared" si="1284"/>
        <v>-</v>
      </c>
      <c r="QQ132" s="108" t="str">
        <f t="shared" si="1284"/>
        <v>-</v>
      </c>
      <c r="QR132" s="108" t="str">
        <f t="shared" si="1284"/>
        <v>-</v>
      </c>
      <c r="QS132" s="108" t="str">
        <f t="shared" si="1284"/>
        <v>-</v>
      </c>
      <c r="QT132" s="145" t="str">
        <f t="shared" si="1284"/>
        <v>-</v>
      </c>
      <c r="QU132" s="145" t="str">
        <f t="shared" si="1284"/>
        <v>-</v>
      </c>
      <c r="QV132" s="145" t="str">
        <f t="shared" si="1284"/>
        <v>-</v>
      </c>
      <c r="QW132" s="145" t="str">
        <f t="shared" si="1284"/>
        <v>-</v>
      </c>
      <c r="QX132" s="145" t="str">
        <f t="shared" si="1284"/>
        <v>-</v>
      </c>
      <c r="QY132" s="145" t="str">
        <f t="shared" si="1284"/>
        <v>-</v>
      </c>
      <c r="QZ132" s="145" t="str">
        <f t="shared" si="1284"/>
        <v>-</v>
      </c>
      <c r="RA132" s="145" t="str">
        <f t="shared" si="1284"/>
        <v>-</v>
      </c>
      <c r="RB132" s="145" t="str">
        <f t="shared" si="1284"/>
        <v>-</v>
      </c>
      <c r="RC132" s="145" t="str">
        <f t="shared" si="1284"/>
        <v>-</v>
      </c>
      <c r="RD132" s="145" t="str">
        <f t="shared" si="1284"/>
        <v>-</v>
      </c>
      <c r="RE132" s="145" t="str">
        <f t="shared" si="1284"/>
        <v>-</v>
      </c>
      <c r="RF132" s="145" t="str">
        <f t="shared" si="1284"/>
        <v>-</v>
      </c>
      <c r="RG132" s="145" t="str">
        <f t="shared" si="1284"/>
        <v>-</v>
      </c>
      <c r="RH132" s="145" t="str">
        <f t="shared" si="1285"/>
        <v>-</v>
      </c>
      <c r="RI132" s="145" t="str">
        <f t="shared" si="1285"/>
        <v>-</v>
      </c>
      <c r="RJ132" s="145" t="str">
        <f t="shared" si="1285"/>
        <v>-</v>
      </c>
      <c r="RK132" s="145" t="str">
        <f t="shared" si="1285"/>
        <v>-</v>
      </c>
      <c r="RL132" s="145" t="str">
        <f t="shared" si="1285"/>
        <v>-</v>
      </c>
      <c r="RM132" s="145" t="str">
        <f t="shared" si="1285"/>
        <v>-</v>
      </c>
      <c r="RN132" s="145" t="str">
        <f t="shared" si="1285"/>
        <v>-</v>
      </c>
      <c r="RO132" s="145" t="str">
        <f t="shared" si="1285"/>
        <v>-</v>
      </c>
      <c r="RP132" s="145" t="str">
        <f t="shared" si="1285"/>
        <v>-</v>
      </c>
      <c r="RQ132" s="145" t="str">
        <f t="shared" si="1285"/>
        <v>-</v>
      </c>
      <c r="RR132" s="145" t="str">
        <f t="shared" si="1285"/>
        <v>-</v>
      </c>
      <c r="RS132" s="145" t="str">
        <f t="shared" si="1285"/>
        <v>-</v>
      </c>
      <c r="RT132" s="145" t="str">
        <f t="shared" si="1285"/>
        <v>-</v>
      </c>
      <c r="RU132" s="145" t="str">
        <f t="shared" si="1285"/>
        <v>-</v>
      </c>
      <c r="RV132" s="145" t="str">
        <f t="shared" si="1285"/>
        <v>-</v>
      </c>
      <c r="RW132" s="145" t="str">
        <f t="shared" si="1285"/>
        <v>-</v>
      </c>
      <c r="RX132" s="145" t="str">
        <f t="shared" si="1285"/>
        <v>-</v>
      </c>
      <c r="RY132" s="145" t="str">
        <f t="shared" si="1285"/>
        <v>-</v>
      </c>
      <c r="RZ132" s="145" t="str">
        <f t="shared" si="1285"/>
        <v>-</v>
      </c>
      <c r="SA132" s="145" t="str">
        <f t="shared" si="1285"/>
        <v>-</v>
      </c>
      <c r="SB132" s="145" t="str">
        <f t="shared" si="1285"/>
        <v>-</v>
      </c>
      <c r="SC132" s="145" t="str">
        <f t="shared" si="1285"/>
        <v>-</v>
      </c>
      <c r="SD132" s="145" t="str">
        <f t="shared" si="1285"/>
        <v>-</v>
      </c>
      <c r="SE132" s="145" t="str">
        <f t="shared" si="1285"/>
        <v>-</v>
      </c>
      <c r="SF132" s="145" t="str">
        <f t="shared" si="1285"/>
        <v>-</v>
      </c>
      <c r="SG132" s="145" t="str">
        <f t="shared" si="1285"/>
        <v>-</v>
      </c>
      <c r="SH132" s="145" t="str">
        <f t="shared" si="1285"/>
        <v>-</v>
      </c>
      <c r="SI132" s="145" t="str">
        <f t="shared" si="1285"/>
        <v>-</v>
      </c>
      <c r="SJ132" s="145" t="str">
        <f t="shared" si="1285"/>
        <v>-</v>
      </c>
      <c r="SK132" s="145" t="str">
        <f t="shared" si="1285"/>
        <v>-</v>
      </c>
      <c r="SL132" s="145" t="str">
        <f t="shared" si="1285"/>
        <v>-</v>
      </c>
      <c r="SM132" s="145" t="str">
        <f t="shared" si="1285"/>
        <v>-</v>
      </c>
      <c r="SN132" s="145" t="str">
        <f t="shared" si="1285"/>
        <v>-</v>
      </c>
      <c r="SO132" s="145" t="str">
        <f t="shared" si="1285"/>
        <v>-</v>
      </c>
      <c r="SP132" s="145" t="str">
        <f t="shared" si="1285"/>
        <v>-</v>
      </c>
      <c r="SQ132" s="145" t="str">
        <f t="shared" si="1285"/>
        <v>-</v>
      </c>
      <c r="SR132" s="145" t="str">
        <f t="shared" si="1285"/>
        <v>-</v>
      </c>
      <c r="SS132" s="155" t="str">
        <f t="shared" si="1285"/>
        <v>-</v>
      </c>
      <c r="ST132" s="155" t="str">
        <f t="shared" si="1285"/>
        <v>-</v>
      </c>
      <c r="SU132" s="155" t="str">
        <f t="shared" si="1285"/>
        <v>-</v>
      </c>
      <c r="SV132" s="155" t="str">
        <f t="shared" si="1285"/>
        <v>-</v>
      </c>
      <c r="SW132" s="155" t="str">
        <f t="shared" si="1285"/>
        <v>-</v>
      </c>
      <c r="SX132" s="155" t="str">
        <f t="shared" si="1285"/>
        <v>-</v>
      </c>
      <c r="SY132" s="155" t="str">
        <f t="shared" si="1285"/>
        <v>-</v>
      </c>
      <c r="SZ132" s="155" t="str">
        <f t="shared" si="1285"/>
        <v>-</v>
      </c>
      <c r="TA132" s="155" t="str">
        <f t="shared" si="1285"/>
        <v>-</v>
      </c>
      <c r="TB132" s="155" t="str">
        <f t="shared" si="1285"/>
        <v>-</v>
      </c>
      <c r="TC132" s="155" t="str">
        <f t="shared" si="1285"/>
        <v>-</v>
      </c>
      <c r="TD132" s="155" t="str">
        <f t="shared" si="1285"/>
        <v>-</v>
      </c>
      <c r="TE132" s="155" t="str">
        <f t="shared" si="1285"/>
        <v>-</v>
      </c>
      <c r="TF132" s="155" t="str">
        <f t="shared" si="1285"/>
        <v>-</v>
      </c>
      <c r="TG132" s="155" t="str">
        <f t="shared" si="1285"/>
        <v>-</v>
      </c>
      <c r="TH132" s="155" t="str">
        <f t="shared" si="1285"/>
        <v>-</v>
      </c>
      <c r="TI132" s="155" t="str">
        <f t="shared" si="1285"/>
        <v>-</v>
      </c>
      <c r="TJ132" s="155" t="str">
        <f t="shared" si="1285"/>
        <v>-</v>
      </c>
      <c r="TK132" s="155" t="str">
        <f t="shared" si="1285"/>
        <v>-</v>
      </c>
      <c r="TL132" s="155" t="str">
        <f t="shared" si="1285"/>
        <v>-</v>
      </c>
      <c r="TM132" s="155" t="str">
        <f t="shared" si="1285"/>
        <v>-</v>
      </c>
      <c r="TN132" s="155" t="str">
        <f t="shared" si="1285"/>
        <v>-</v>
      </c>
      <c r="TO132" s="155" t="str">
        <f t="shared" si="1285"/>
        <v>-</v>
      </c>
      <c r="TP132" s="155" t="str">
        <f t="shared" si="1285"/>
        <v>-</v>
      </c>
      <c r="TQ132" s="155" t="str">
        <f t="shared" si="1285"/>
        <v>-</v>
      </c>
      <c r="TR132" s="155" t="str">
        <f t="shared" si="1285"/>
        <v>-</v>
      </c>
      <c r="TS132" s="177" t="str">
        <f t="shared" si="1285"/>
        <v>-</v>
      </c>
      <c r="TT132" s="181" t="str">
        <f t="shared" si="1286"/>
        <v>Harvest</v>
      </c>
      <c r="TU132" s="177" t="str">
        <f t="shared" si="1287"/>
        <v>-</v>
      </c>
      <c r="TV132" s="181" t="str">
        <f t="shared" si="1288"/>
        <v>Harvest</v>
      </c>
      <c r="TW132" s="155" t="str">
        <f t="shared" si="1289"/>
        <v>-</v>
      </c>
      <c r="TX132" s="155" t="str">
        <f t="shared" si="1290"/>
        <v>-</v>
      </c>
      <c r="TY132" s="155" t="str">
        <f t="shared" si="1291"/>
        <v>-</v>
      </c>
      <c r="TZ132" s="177" t="str">
        <f t="shared" si="1292"/>
        <v>-</v>
      </c>
      <c r="UA132" s="181" t="str">
        <f t="shared" si="1293"/>
        <v>Harvest</v>
      </c>
      <c r="UB132" s="177" t="str">
        <f t="shared" si="1294"/>
        <v>-</v>
      </c>
      <c r="UC132" s="181" t="str">
        <f t="shared" si="1295"/>
        <v>Harvest</v>
      </c>
      <c r="UD132" s="155" t="str">
        <f t="shared" si="1296"/>
        <v>-</v>
      </c>
      <c r="UE132" s="155" t="str">
        <f t="shared" si="1297"/>
        <v>-</v>
      </c>
      <c r="UF132" s="155" t="str">
        <f t="shared" si="1298"/>
        <v>-</v>
      </c>
      <c r="UG132" s="177" t="str">
        <f t="shared" si="1299"/>
        <v>-</v>
      </c>
      <c r="UH132" s="181" t="str">
        <f t="shared" si="1300"/>
        <v>Harvest</v>
      </c>
      <c r="UI132" s="177" t="str">
        <f t="shared" si="1301"/>
        <v>-</v>
      </c>
      <c r="UJ132" s="181" t="str">
        <f t="shared" si="1302"/>
        <v>Harvest</v>
      </c>
      <c r="UK132" s="155" t="str">
        <f t="shared" si="1303"/>
        <v>-</v>
      </c>
      <c r="UL132" s="155" t="str">
        <f t="shared" si="1304"/>
        <v>-</v>
      </c>
      <c r="UM132" s="155" t="str">
        <f t="shared" si="1305"/>
        <v>-</v>
      </c>
      <c r="UN132" s="177" t="str">
        <f t="shared" si="1306"/>
        <v>-</v>
      </c>
      <c r="UO132" s="181" t="str">
        <f t="shared" si="1307"/>
        <v>Harvest</v>
      </c>
      <c r="UP132" s="177" t="str">
        <f t="shared" si="1308"/>
        <v>-</v>
      </c>
      <c r="UQ132" s="181" t="str">
        <f t="shared" si="1309"/>
        <v>Harvest</v>
      </c>
      <c r="UR132" s="203"/>
      <c r="US132" s="203"/>
    </row>
    <row r="133" spans="1:629" ht="19.5" thickBot="1" x14ac:dyDescent="0.3">
      <c r="A133" s="298"/>
      <c r="B133" s="25" t="s">
        <v>27</v>
      </c>
      <c r="BY133" s="18"/>
      <c r="BZ133" s="18"/>
      <c r="CA133" s="18"/>
      <c r="CB133" s="18"/>
      <c r="CC133" s="18"/>
      <c r="CD133" s="18"/>
      <c r="CE133" s="18"/>
      <c r="CF133" s="18"/>
      <c r="CG133" s="18"/>
      <c r="CH133" s="18"/>
      <c r="CI133" s="18"/>
      <c r="CJ133" s="18"/>
      <c r="CK133" s="18"/>
      <c r="CL133" s="18"/>
      <c r="CM133" s="18"/>
      <c r="CN133" s="18"/>
      <c r="CO133" s="18"/>
      <c r="CP133" s="18"/>
      <c r="CQ133" s="18"/>
      <c r="CR133" s="18"/>
      <c r="CS133" s="18"/>
      <c r="CT133" s="18"/>
      <c r="CU133" s="18"/>
      <c r="CV133" s="18"/>
      <c r="CW133" s="18"/>
      <c r="CX133" s="18"/>
      <c r="CY133" s="18"/>
      <c r="CZ133" s="18"/>
      <c r="DA133" s="18"/>
      <c r="DB133" s="18"/>
      <c r="DC133" s="18"/>
      <c r="DD133" s="18"/>
      <c r="DE133" s="18"/>
      <c r="DF133" s="18"/>
      <c r="DG133" s="18"/>
      <c r="DH133" s="18"/>
      <c r="DI133" s="18"/>
      <c r="DJ133" s="18"/>
      <c r="DK133" s="18"/>
      <c r="DL133" s="18"/>
      <c r="DM133" s="18"/>
      <c r="DN133" s="18"/>
      <c r="DO133" s="18"/>
      <c r="DP133" s="18"/>
      <c r="DQ133" s="18"/>
      <c r="DR133" s="18"/>
      <c r="DS133" s="18"/>
      <c r="DT133" s="18"/>
      <c r="DU133" s="18"/>
      <c r="DV133" s="18"/>
      <c r="DW133" s="18"/>
      <c r="DX133" s="18"/>
      <c r="DY133" s="18"/>
      <c r="DZ133" s="18"/>
      <c r="EA133" s="18"/>
      <c r="EB133" s="18"/>
      <c r="EC133" s="18"/>
      <c r="ED133" s="18"/>
      <c r="EE133" s="18"/>
      <c r="EF133" s="18"/>
      <c r="EG133" s="18"/>
      <c r="EH133" s="18"/>
      <c r="EI133" s="18"/>
      <c r="EJ133" s="18"/>
      <c r="EK133" s="18"/>
      <c r="EL133" s="18"/>
      <c r="EM133" s="18"/>
      <c r="EN133" s="18"/>
      <c r="EO133" s="18"/>
      <c r="EP133" s="18"/>
      <c r="EQ133" s="18"/>
      <c r="ER133" s="18"/>
      <c r="ES133" s="18"/>
      <c r="ET133" s="18"/>
      <c r="EU133" s="18"/>
      <c r="EV133" s="18"/>
      <c r="EW133" s="18"/>
      <c r="EX133" s="18"/>
      <c r="EY133" s="18"/>
      <c r="EZ133" s="18"/>
      <c r="FA133" s="18"/>
      <c r="FB133" s="18"/>
      <c r="FC133" s="18"/>
      <c r="FD133" s="18"/>
      <c r="FE133" s="18"/>
      <c r="FF133" s="18"/>
      <c r="FG133" s="18"/>
      <c r="FH133" s="18"/>
      <c r="FI133" s="18"/>
      <c r="FJ133" s="18"/>
      <c r="FK133" s="18"/>
      <c r="FL133" s="18"/>
      <c r="FM133" s="18"/>
      <c r="FN133" s="18"/>
      <c r="FO133" s="18"/>
      <c r="FP133" s="18"/>
      <c r="FQ133" s="18"/>
      <c r="FR133" s="18"/>
      <c r="FS133" s="18"/>
      <c r="FT133" s="18"/>
      <c r="FU133" s="18"/>
      <c r="FV133" s="18"/>
      <c r="FW133" s="18"/>
      <c r="FX133" s="18"/>
      <c r="FY133" s="18"/>
      <c r="FZ133" s="18"/>
      <c r="GA133" s="18"/>
      <c r="GB133" s="18"/>
      <c r="GC133" s="18"/>
      <c r="GD133" s="18"/>
      <c r="GE133" s="18"/>
      <c r="GF133" s="18"/>
      <c r="GG133" s="18"/>
      <c r="GH133" s="18"/>
      <c r="GI133" s="18"/>
      <c r="GJ133" s="18"/>
      <c r="GK133" s="18"/>
      <c r="GL133" s="18"/>
      <c r="GM133" s="18"/>
      <c r="GN133" s="18"/>
      <c r="GO133" s="18"/>
      <c r="GP133" s="18"/>
      <c r="GQ133" s="18"/>
      <c r="GR133" s="18"/>
      <c r="GS133" s="18"/>
      <c r="GT133" s="18"/>
      <c r="GU133" s="18"/>
      <c r="GV133" s="18"/>
      <c r="GW133" s="18"/>
      <c r="GX133" s="18"/>
      <c r="GY133" s="18"/>
      <c r="GZ133" s="18"/>
      <c r="HA133" s="18"/>
      <c r="HB133" s="18"/>
      <c r="HC133" s="18"/>
      <c r="HD133" s="18"/>
      <c r="HE133" s="18"/>
      <c r="HF133" s="18"/>
      <c r="HG133" s="18"/>
      <c r="HH133" s="18"/>
      <c r="HI133" s="18"/>
      <c r="HJ133" s="18"/>
      <c r="HK133" s="18"/>
      <c r="HL133" s="18"/>
      <c r="HM133" s="18"/>
      <c r="HN133" s="18"/>
      <c r="HO133" s="18"/>
      <c r="HP133" s="18"/>
      <c r="HQ133" s="18"/>
      <c r="HR133" s="18"/>
      <c r="HS133" s="18"/>
      <c r="HT133" s="18"/>
      <c r="HU133" s="18"/>
      <c r="HV133" s="18"/>
      <c r="HW133" s="18"/>
      <c r="HX133" s="18"/>
      <c r="HY133" s="18"/>
      <c r="HZ133" s="18"/>
      <c r="IA133" s="18"/>
      <c r="IB133" s="18"/>
      <c r="IC133" s="18"/>
      <c r="ID133" s="18"/>
      <c r="IE133" s="18"/>
      <c r="IF133" s="18"/>
      <c r="IG133" s="18"/>
      <c r="IH133" s="18"/>
      <c r="II133" s="18"/>
      <c r="IJ133" s="18"/>
      <c r="IK133" s="18"/>
      <c r="IL133" s="18"/>
      <c r="IM133" s="18"/>
      <c r="IN133" s="18"/>
      <c r="IO133" s="18"/>
      <c r="IP133" s="18"/>
      <c r="IQ133" s="18"/>
      <c r="IR133" s="18"/>
      <c r="IS133" s="18"/>
      <c r="IT133" s="18"/>
      <c r="IU133" s="18"/>
      <c r="IV133" s="18"/>
      <c r="IW133" s="18"/>
      <c r="IX133" s="18"/>
      <c r="IY133" s="18"/>
      <c r="IZ133" s="18"/>
      <c r="JA133" s="18"/>
      <c r="JB133" s="18"/>
      <c r="JC133" s="18"/>
      <c r="JD133" s="18"/>
      <c r="JE133" s="18"/>
      <c r="JF133" s="18"/>
      <c r="JG133" s="18"/>
      <c r="JH133" s="18"/>
      <c r="JI133" s="18"/>
      <c r="JJ133" s="18"/>
      <c r="JK133" s="18"/>
      <c r="JL133" s="18"/>
      <c r="JM133" s="18"/>
      <c r="JN133" s="18"/>
      <c r="JO133" s="18"/>
      <c r="JP133" s="18"/>
      <c r="JQ133" s="18"/>
      <c r="JR133" s="18"/>
      <c r="JS133" s="18"/>
      <c r="JT133" s="18"/>
      <c r="JU133" s="18"/>
      <c r="JV133" s="18"/>
      <c r="JW133" s="18"/>
      <c r="JX133" s="18"/>
      <c r="JY133" s="18"/>
      <c r="JZ133" s="18"/>
      <c r="KA133" s="18"/>
      <c r="KB133" s="18"/>
      <c r="KC133" s="18"/>
      <c r="KD133" s="18"/>
      <c r="KE133" s="18"/>
      <c r="KF133" s="18"/>
      <c r="KG133" s="18"/>
      <c r="KH133" s="18"/>
      <c r="KI133" s="18"/>
      <c r="KJ133" s="18"/>
      <c r="KK133" s="18"/>
      <c r="KL133" s="18"/>
      <c r="KM133" s="18"/>
      <c r="KN133" s="18"/>
      <c r="KO133" s="18"/>
      <c r="KP133" s="18"/>
      <c r="KQ133" s="18"/>
      <c r="KR133" s="18"/>
      <c r="KS133" s="18"/>
      <c r="KT133" s="18"/>
      <c r="KU133" s="18"/>
      <c r="KV133" s="18"/>
      <c r="KW133" s="18"/>
      <c r="KX133" s="18"/>
      <c r="KY133" s="18"/>
      <c r="KZ133" s="18"/>
      <c r="LA133" s="18"/>
      <c r="LB133" s="18"/>
      <c r="LC133" s="18"/>
      <c r="LD133" s="18"/>
      <c r="LE133" s="18"/>
      <c r="LF133" s="18"/>
      <c r="LG133" s="18"/>
      <c r="LH133" s="18"/>
      <c r="LI133" s="18"/>
      <c r="LJ133" s="18"/>
      <c r="LK133" s="18"/>
      <c r="LL133" s="18"/>
      <c r="LM133" s="18"/>
      <c r="LN133" s="18"/>
      <c r="LO133" s="18"/>
      <c r="LP133" s="18"/>
      <c r="LQ133" s="18"/>
      <c r="LR133" s="18"/>
      <c r="LS133" s="18"/>
      <c r="LT133" s="18"/>
      <c r="LU133" s="18"/>
      <c r="LV133" s="18"/>
      <c r="LW133" s="18"/>
      <c r="LX133" s="18"/>
      <c r="LY133" s="18"/>
      <c r="LZ133" s="18"/>
      <c r="MA133" s="18"/>
      <c r="MB133" s="18"/>
      <c r="MC133" s="18"/>
      <c r="MD133" s="18"/>
      <c r="ME133" s="18"/>
      <c r="MF133" s="18"/>
      <c r="MG133" s="18"/>
      <c r="MH133" s="18"/>
      <c r="MI133" s="18"/>
      <c r="MJ133" s="18"/>
      <c r="MK133" s="18"/>
      <c r="ML133" s="18"/>
      <c r="MM133" s="18"/>
      <c r="MN133" s="18"/>
      <c r="MO133" s="18"/>
      <c r="MP133" s="18"/>
      <c r="MQ133" s="18"/>
      <c r="MR133" s="18"/>
      <c r="MS133" s="18"/>
      <c r="MT133" s="18"/>
      <c r="MU133" s="18"/>
      <c r="MV133" s="18"/>
      <c r="MW133" s="18"/>
      <c r="MX133" s="18"/>
      <c r="MY133" s="18"/>
      <c r="MZ133" s="18"/>
      <c r="NA133" s="18"/>
      <c r="NB133" s="18"/>
      <c r="NC133" s="18"/>
      <c r="ND133" s="18"/>
      <c r="NE133" s="18"/>
      <c r="NF133" s="18"/>
      <c r="NG133" s="18"/>
      <c r="NH133" s="18"/>
      <c r="NI133" s="18"/>
      <c r="NJ133" s="18"/>
      <c r="NK133" s="18"/>
      <c r="NL133" s="18"/>
      <c r="NM133" s="18"/>
      <c r="NN133" s="18"/>
      <c r="NO133" s="18"/>
      <c r="NP133" s="18"/>
      <c r="NQ133" s="18"/>
      <c r="NR133" s="18"/>
      <c r="NS133" s="18"/>
      <c r="NT133" s="18"/>
      <c r="NU133" s="18"/>
      <c r="NV133" s="18"/>
      <c r="NW133" s="18"/>
      <c r="NX133" s="18"/>
      <c r="NY133" s="18"/>
      <c r="NZ133" s="18"/>
      <c r="OA133" s="18"/>
      <c r="OB133" s="18"/>
      <c r="OC133" s="18"/>
      <c r="OD133" s="18"/>
      <c r="OE133" s="18"/>
      <c r="OF133" s="18"/>
      <c r="OG133" s="18"/>
      <c r="OH133" s="18"/>
      <c r="OI133" s="18"/>
      <c r="OJ133" s="18"/>
      <c r="OK133" s="18"/>
      <c r="OL133" s="18"/>
      <c r="OM133" s="18"/>
      <c r="ON133" s="18"/>
      <c r="OO133" s="18"/>
      <c r="OP133" s="18"/>
      <c r="OQ133" s="18"/>
      <c r="OR133" s="18"/>
      <c r="OS133" s="18"/>
      <c r="OT133" s="18"/>
      <c r="OU133" s="121">
        <f t="shared" si="1280"/>
        <v>0</v>
      </c>
      <c r="OV133" s="108">
        <f t="shared" si="1281"/>
        <v>0</v>
      </c>
      <c r="OW133" s="108">
        <f t="shared" si="1282"/>
        <v>0</v>
      </c>
      <c r="OX133" s="108">
        <f t="shared" si="1283"/>
        <v>0</v>
      </c>
      <c r="OY133" s="108">
        <f t="shared" si="1284"/>
        <v>0</v>
      </c>
      <c r="OZ133" s="108">
        <f t="shared" si="1284"/>
        <v>0</v>
      </c>
      <c r="PA133" s="108">
        <f t="shared" si="1284"/>
        <v>0</v>
      </c>
      <c r="PB133" s="108">
        <f t="shared" si="1284"/>
        <v>0</v>
      </c>
      <c r="PC133" s="108">
        <f t="shared" si="1284"/>
        <v>0</v>
      </c>
      <c r="PD133" s="108">
        <f t="shared" si="1284"/>
        <v>0</v>
      </c>
      <c r="PE133" s="108">
        <f t="shared" si="1284"/>
        <v>0</v>
      </c>
      <c r="PF133" s="108">
        <f t="shared" si="1284"/>
        <v>0</v>
      </c>
      <c r="PG133" s="108">
        <f t="shared" si="1284"/>
        <v>0</v>
      </c>
      <c r="PH133" s="108">
        <f t="shared" si="1284"/>
        <v>0</v>
      </c>
      <c r="PI133" s="108">
        <f t="shared" si="1284"/>
        <v>0</v>
      </c>
      <c r="PJ133" s="108">
        <f t="shared" si="1284"/>
        <v>0</v>
      </c>
      <c r="PK133" s="108">
        <f t="shared" si="1284"/>
        <v>0</v>
      </c>
      <c r="PL133" s="108">
        <f t="shared" si="1284"/>
        <v>0</v>
      </c>
      <c r="PM133" s="108">
        <f t="shared" si="1284"/>
        <v>0</v>
      </c>
      <c r="PN133" s="108">
        <f t="shared" si="1284"/>
        <v>0</v>
      </c>
      <c r="PO133" s="108">
        <f t="shared" si="1284"/>
        <v>0</v>
      </c>
      <c r="PP133" s="108">
        <f t="shared" si="1284"/>
        <v>0</v>
      </c>
      <c r="PQ133" s="108">
        <f t="shared" si="1284"/>
        <v>0</v>
      </c>
      <c r="PR133" s="108">
        <f t="shared" si="1284"/>
        <v>0</v>
      </c>
      <c r="PS133" s="108">
        <f t="shared" si="1284"/>
        <v>0</v>
      </c>
      <c r="PT133" s="108">
        <f t="shared" si="1284"/>
        <v>0</v>
      </c>
      <c r="PU133" s="108">
        <f t="shared" si="1284"/>
        <v>0</v>
      </c>
      <c r="PV133" s="108">
        <f t="shared" si="1284"/>
        <v>0</v>
      </c>
      <c r="PW133" s="108">
        <f t="shared" si="1284"/>
        <v>0</v>
      </c>
      <c r="PX133" s="108">
        <f t="shared" si="1284"/>
        <v>0</v>
      </c>
      <c r="PY133" s="108">
        <f t="shared" si="1284"/>
        <v>0</v>
      </c>
      <c r="PZ133" s="108">
        <f t="shared" si="1284"/>
        <v>0</v>
      </c>
      <c r="QA133" s="108">
        <f t="shared" si="1284"/>
        <v>0</v>
      </c>
      <c r="QB133" s="108">
        <f t="shared" si="1284"/>
        <v>0</v>
      </c>
      <c r="QC133" s="108">
        <f t="shared" si="1284"/>
        <v>0</v>
      </c>
      <c r="QD133" s="108">
        <f t="shared" si="1284"/>
        <v>0</v>
      </c>
      <c r="QE133" s="108">
        <f t="shared" si="1284"/>
        <v>0</v>
      </c>
      <c r="QF133" s="108">
        <f t="shared" si="1284"/>
        <v>0</v>
      </c>
      <c r="QG133" s="108">
        <f t="shared" si="1284"/>
        <v>0</v>
      </c>
      <c r="QH133" s="108">
        <f t="shared" si="1284"/>
        <v>0</v>
      </c>
      <c r="QI133" s="108">
        <f t="shared" si="1284"/>
        <v>0</v>
      </c>
      <c r="QJ133" s="108">
        <f t="shared" si="1284"/>
        <v>0</v>
      </c>
      <c r="QK133" s="108">
        <f t="shared" si="1284"/>
        <v>0</v>
      </c>
      <c r="QL133" s="108">
        <f t="shared" si="1284"/>
        <v>0</v>
      </c>
      <c r="QM133" s="108">
        <f t="shared" si="1284"/>
        <v>0</v>
      </c>
      <c r="QN133" s="108">
        <f t="shared" si="1284"/>
        <v>0</v>
      </c>
      <c r="QO133" s="108">
        <f t="shared" si="1284"/>
        <v>0</v>
      </c>
      <c r="QP133" s="108">
        <f t="shared" si="1284"/>
        <v>0</v>
      </c>
      <c r="QQ133" s="108">
        <f t="shared" si="1284"/>
        <v>0</v>
      </c>
      <c r="QR133" s="108">
        <f t="shared" si="1284"/>
        <v>0</v>
      </c>
      <c r="QS133" s="108">
        <f t="shared" si="1284"/>
        <v>0</v>
      </c>
      <c r="QT133" s="145">
        <f t="shared" si="1284"/>
        <v>0</v>
      </c>
      <c r="QU133" s="145">
        <f t="shared" si="1284"/>
        <v>0</v>
      </c>
      <c r="QV133" s="145">
        <f t="shared" si="1284"/>
        <v>0</v>
      </c>
      <c r="QW133" s="145">
        <f t="shared" si="1284"/>
        <v>0</v>
      </c>
      <c r="QX133" s="145">
        <f t="shared" si="1284"/>
        <v>0</v>
      </c>
      <c r="QY133" s="145">
        <f t="shared" si="1284"/>
        <v>0</v>
      </c>
      <c r="QZ133" s="145">
        <f t="shared" si="1284"/>
        <v>0</v>
      </c>
      <c r="RA133" s="145">
        <f t="shared" si="1284"/>
        <v>0</v>
      </c>
      <c r="RB133" s="145">
        <f t="shared" si="1284"/>
        <v>0</v>
      </c>
      <c r="RC133" s="145">
        <f t="shared" si="1284"/>
        <v>0</v>
      </c>
      <c r="RD133" s="145">
        <f t="shared" si="1284"/>
        <v>0</v>
      </c>
      <c r="RE133" s="145">
        <f t="shared" si="1284"/>
        <v>0</v>
      </c>
      <c r="RF133" s="145">
        <f t="shared" si="1284"/>
        <v>0</v>
      </c>
      <c r="RG133" s="145">
        <f t="shared" si="1284"/>
        <v>0</v>
      </c>
      <c r="RH133" s="145">
        <f t="shared" si="1285"/>
        <v>0</v>
      </c>
      <c r="RI133" s="145">
        <f t="shared" si="1285"/>
        <v>0</v>
      </c>
      <c r="RJ133" s="145">
        <f t="shared" si="1285"/>
        <v>0</v>
      </c>
      <c r="RK133" s="145">
        <f t="shared" si="1285"/>
        <v>0</v>
      </c>
      <c r="RL133" s="145">
        <f t="shared" si="1285"/>
        <v>0</v>
      </c>
      <c r="RM133" s="145">
        <f t="shared" si="1285"/>
        <v>0</v>
      </c>
      <c r="RN133" s="145">
        <f t="shared" si="1285"/>
        <v>0</v>
      </c>
      <c r="RO133" s="145">
        <f t="shared" si="1285"/>
        <v>0</v>
      </c>
      <c r="RP133" s="145">
        <f t="shared" si="1285"/>
        <v>0</v>
      </c>
      <c r="RQ133" s="146">
        <f t="shared" si="1285"/>
        <v>0</v>
      </c>
      <c r="RR133" s="146">
        <f t="shared" si="1285"/>
        <v>0</v>
      </c>
      <c r="RS133" s="146">
        <f t="shared" si="1285"/>
        <v>0</v>
      </c>
      <c r="RT133" s="146">
        <f t="shared" si="1285"/>
        <v>0</v>
      </c>
      <c r="RU133" s="146">
        <f t="shared" si="1285"/>
        <v>0</v>
      </c>
      <c r="RV133" s="146">
        <f t="shared" si="1285"/>
        <v>0</v>
      </c>
      <c r="RW133" s="146">
        <f t="shared" si="1285"/>
        <v>0</v>
      </c>
      <c r="RX133" s="146">
        <f t="shared" si="1285"/>
        <v>0</v>
      </c>
      <c r="RY133" s="146">
        <f t="shared" si="1285"/>
        <v>0</v>
      </c>
      <c r="RZ133" s="146">
        <f t="shared" si="1285"/>
        <v>0</v>
      </c>
      <c r="SA133" s="146">
        <f t="shared" si="1285"/>
        <v>0</v>
      </c>
      <c r="SB133" s="146">
        <f t="shared" si="1285"/>
        <v>0</v>
      </c>
      <c r="SC133" s="146">
        <f t="shared" si="1285"/>
        <v>0</v>
      </c>
      <c r="SD133" s="146">
        <f t="shared" si="1285"/>
        <v>0</v>
      </c>
      <c r="SE133" s="146">
        <f t="shared" si="1285"/>
        <v>0</v>
      </c>
      <c r="SF133" s="146">
        <f t="shared" si="1285"/>
        <v>0</v>
      </c>
      <c r="SG133" s="146">
        <f t="shared" si="1285"/>
        <v>0</v>
      </c>
      <c r="SH133" s="146">
        <f t="shared" si="1285"/>
        <v>0</v>
      </c>
      <c r="SI133" s="146">
        <f t="shared" si="1285"/>
        <v>0</v>
      </c>
      <c r="SJ133" s="146">
        <f t="shared" si="1285"/>
        <v>0</v>
      </c>
      <c r="SK133" s="146">
        <f t="shared" si="1285"/>
        <v>0</v>
      </c>
      <c r="SL133" s="146">
        <f t="shared" si="1285"/>
        <v>0</v>
      </c>
      <c r="SM133" s="146">
        <f t="shared" si="1285"/>
        <v>0</v>
      </c>
      <c r="SN133" s="146">
        <f t="shared" si="1285"/>
        <v>0</v>
      </c>
      <c r="SO133" s="146">
        <f t="shared" si="1285"/>
        <v>0</v>
      </c>
      <c r="SP133" s="146">
        <f t="shared" si="1285"/>
        <v>0</v>
      </c>
      <c r="SQ133" s="146">
        <f t="shared" si="1285"/>
        <v>0</v>
      </c>
      <c r="SR133" s="146">
        <f t="shared" si="1285"/>
        <v>0</v>
      </c>
      <c r="SS133" s="156">
        <f t="shared" si="1285"/>
        <v>0</v>
      </c>
      <c r="ST133" s="156">
        <f t="shared" si="1285"/>
        <v>0</v>
      </c>
      <c r="SU133" s="156">
        <f t="shared" si="1285"/>
        <v>0</v>
      </c>
      <c r="SV133" s="156">
        <f t="shared" si="1285"/>
        <v>0</v>
      </c>
      <c r="SW133" s="156">
        <f t="shared" si="1285"/>
        <v>0</v>
      </c>
      <c r="SX133" s="156">
        <f t="shared" si="1285"/>
        <v>0</v>
      </c>
      <c r="SY133" s="156">
        <f t="shared" si="1285"/>
        <v>0</v>
      </c>
      <c r="SZ133" s="156">
        <f t="shared" si="1285"/>
        <v>0</v>
      </c>
      <c r="TA133" s="156">
        <f t="shared" si="1285"/>
        <v>0</v>
      </c>
      <c r="TB133" s="156">
        <f t="shared" si="1285"/>
        <v>0</v>
      </c>
      <c r="TC133" s="156">
        <f t="shared" si="1285"/>
        <v>0</v>
      </c>
      <c r="TD133" s="156">
        <f t="shared" si="1285"/>
        <v>0</v>
      </c>
      <c r="TE133" s="156">
        <f t="shared" si="1285"/>
        <v>0</v>
      </c>
      <c r="TF133" s="156">
        <f t="shared" si="1285"/>
        <v>0</v>
      </c>
      <c r="TG133" s="156">
        <f t="shared" si="1285"/>
        <v>0</v>
      </c>
      <c r="TH133" s="156">
        <f t="shared" si="1285"/>
        <v>0</v>
      </c>
      <c r="TI133" s="156">
        <f t="shared" si="1285"/>
        <v>0</v>
      </c>
      <c r="TJ133" s="156">
        <f t="shared" si="1285"/>
        <v>0</v>
      </c>
      <c r="TK133" s="156">
        <f t="shared" si="1285"/>
        <v>0</v>
      </c>
      <c r="TL133" s="156">
        <f t="shared" si="1285"/>
        <v>0</v>
      </c>
      <c r="TM133" s="156">
        <f t="shared" si="1285"/>
        <v>0</v>
      </c>
      <c r="TN133" s="156">
        <f t="shared" si="1285"/>
        <v>0</v>
      </c>
      <c r="TO133" s="156">
        <f t="shared" si="1285"/>
        <v>0</v>
      </c>
      <c r="TP133" s="156">
        <f t="shared" si="1285"/>
        <v>0</v>
      </c>
      <c r="TQ133" s="156">
        <f t="shared" si="1285"/>
        <v>0</v>
      </c>
      <c r="TR133" s="156">
        <f t="shared" si="1285"/>
        <v>0</v>
      </c>
      <c r="TS133" s="156">
        <f t="shared" si="1285"/>
        <v>0</v>
      </c>
      <c r="TT133" s="179">
        <f t="shared" si="1286"/>
        <v>0</v>
      </c>
      <c r="TU133" s="156">
        <f t="shared" si="1287"/>
        <v>0</v>
      </c>
      <c r="TV133" s="179">
        <f t="shared" si="1288"/>
        <v>0</v>
      </c>
      <c r="TW133" s="156">
        <f t="shared" si="1289"/>
        <v>0</v>
      </c>
      <c r="TX133" s="156">
        <f t="shared" si="1290"/>
        <v>0</v>
      </c>
      <c r="TY133" s="156">
        <f t="shared" si="1291"/>
        <v>0</v>
      </c>
      <c r="TZ133" s="156">
        <f t="shared" si="1292"/>
        <v>0</v>
      </c>
      <c r="UA133" s="179">
        <f t="shared" si="1293"/>
        <v>0</v>
      </c>
      <c r="UB133" s="156">
        <f t="shared" si="1294"/>
        <v>0</v>
      </c>
      <c r="UC133" s="179">
        <f t="shared" si="1295"/>
        <v>0</v>
      </c>
      <c r="UD133" s="156">
        <f t="shared" si="1296"/>
        <v>0</v>
      </c>
      <c r="UE133" s="156">
        <f t="shared" si="1297"/>
        <v>0</v>
      </c>
      <c r="UF133" s="156">
        <f t="shared" si="1298"/>
        <v>0</v>
      </c>
      <c r="UG133" s="156">
        <f t="shared" si="1299"/>
        <v>0</v>
      </c>
      <c r="UH133" s="179">
        <f t="shared" si="1300"/>
        <v>0</v>
      </c>
      <c r="UI133" s="156">
        <f t="shared" si="1301"/>
        <v>0</v>
      </c>
      <c r="UJ133" s="179">
        <f t="shared" si="1302"/>
        <v>0</v>
      </c>
      <c r="UK133" s="156">
        <f t="shared" si="1303"/>
        <v>0</v>
      </c>
      <c r="UL133" s="156">
        <f t="shared" si="1304"/>
        <v>0</v>
      </c>
      <c r="UM133" s="156">
        <f t="shared" si="1305"/>
        <v>0</v>
      </c>
      <c r="UN133" s="156">
        <f t="shared" si="1306"/>
        <v>0</v>
      </c>
      <c r="UO133" s="179">
        <f t="shared" si="1307"/>
        <v>0</v>
      </c>
      <c r="UP133" s="156">
        <f t="shared" si="1308"/>
        <v>0</v>
      </c>
      <c r="UQ133" s="179">
        <f t="shared" si="1309"/>
        <v>0</v>
      </c>
      <c r="UR133" s="203"/>
      <c r="US133" s="203"/>
    </row>
    <row r="134" spans="1:629" ht="19.5" thickBot="1" x14ac:dyDescent="0.3">
      <c r="A134" s="298"/>
      <c r="B134" s="25" t="s">
        <v>25</v>
      </c>
      <c r="BY134" s="18"/>
      <c r="BZ134" s="18"/>
      <c r="CA134" s="18"/>
      <c r="CB134" s="18"/>
      <c r="CC134" s="18"/>
      <c r="CD134" s="18"/>
      <c r="CE134" s="18"/>
      <c r="CF134" s="18"/>
      <c r="CG134" s="18"/>
      <c r="CH134" s="18"/>
      <c r="CI134" s="18"/>
      <c r="CJ134" s="18"/>
      <c r="CK134" s="18"/>
      <c r="CL134" s="18"/>
      <c r="CM134" s="18"/>
      <c r="CN134" s="18"/>
      <c r="CO134" s="18"/>
      <c r="CP134" s="18"/>
      <c r="CQ134" s="18"/>
      <c r="CR134" s="18"/>
      <c r="CS134" s="18"/>
      <c r="CT134" s="18"/>
      <c r="CU134" s="18"/>
      <c r="CV134" s="18"/>
      <c r="CW134" s="18"/>
      <c r="CX134" s="18"/>
      <c r="CY134" s="18"/>
      <c r="CZ134" s="18"/>
      <c r="DA134" s="18"/>
      <c r="DB134" s="18"/>
      <c r="DC134" s="18"/>
      <c r="DD134" s="18"/>
      <c r="DE134" s="18"/>
      <c r="DF134" s="18"/>
      <c r="DG134" s="18"/>
      <c r="DH134" s="18"/>
      <c r="DI134" s="18"/>
      <c r="DJ134" s="18"/>
      <c r="DK134" s="18"/>
      <c r="DL134" s="18"/>
      <c r="DM134" s="18"/>
      <c r="DN134" s="18"/>
      <c r="DO134" s="18"/>
      <c r="DP134" s="18"/>
      <c r="DQ134" s="18"/>
      <c r="DR134" s="18"/>
      <c r="DS134" s="18"/>
      <c r="DT134" s="18"/>
      <c r="DU134" s="18"/>
      <c r="DV134" s="18"/>
      <c r="DW134" s="18"/>
      <c r="DX134" s="18"/>
      <c r="DY134" s="18"/>
      <c r="DZ134" s="18"/>
      <c r="EA134" s="18"/>
      <c r="EB134" s="18"/>
      <c r="EC134" s="18"/>
      <c r="ED134" s="18"/>
      <c r="EE134" s="18"/>
      <c r="EF134" s="18"/>
      <c r="EG134" s="18"/>
      <c r="EH134" s="18"/>
      <c r="EI134" s="18"/>
      <c r="EJ134" s="18"/>
      <c r="EK134" s="18"/>
      <c r="EL134" s="18"/>
      <c r="EM134" s="18"/>
      <c r="EN134" s="18"/>
      <c r="EO134" s="18"/>
      <c r="EP134" s="18"/>
      <c r="EQ134" s="18"/>
      <c r="ER134" s="18"/>
      <c r="ES134" s="18"/>
      <c r="ET134" s="18"/>
      <c r="EU134" s="18"/>
      <c r="EV134" s="18"/>
      <c r="EW134" s="18"/>
      <c r="EX134" s="18"/>
      <c r="EY134" s="18"/>
      <c r="EZ134" s="18"/>
      <c r="FA134" s="18"/>
      <c r="FB134" s="18"/>
      <c r="FC134" s="18"/>
      <c r="FD134" s="18"/>
      <c r="FE134" s="18"/>
      <c r="FF134" s="18"/>
      <c r="FG134" s="18"/>
      <c r="FH134" s="18"/>
      <c r="FI134" s="18"/>
      <c r="FJ134" s="18"/>
      <c r="FK134" s="18"/>
      <c r="FL134" s="18"/>
      <c r="FM134" s="18"/>
      <c r="FN134" s="18"/>
      <c r="FO134" s="18"/>
      <c r="FP134" s="18"/>
      <c r="FQ134" s="18"/>
      <c r="FR134" s="18"/>
      <c r="FS134" s="18"/>
      <c r="FT134" s="18"/>
      <c r="FU134" s="18"/>
      <c r="FV134" s="18"/>
      <c r="FW134" s="18"/>
      <c r="FX134" s="18"/>
      <c r="FY134" s="18"/>
      <c r="FZ134" s="18"/>
      <c r="GA134" s="18"/>
      <c r="GB134" s="18"/>
      <c r="GC134" s="18"/>
      <c r="GD134" s="18"/>
      <c r="GE134" s="18"/>
      <c r="GF134" s="18"/>
      <c r="GG134" s="18"/>
      <c r="GH134" s="18"/>
      <c r="GI134" s="18"/>
      <c r="GJ134" s="18"/>
      <c r="GK134" s="18"/>
      <c r="GL134" s="18"/>
      <c r="GM134" s="18"/>
      <c r="GN134" s="18"/>
      <c r="GO134" s="18"/>
      <c r="GP134" s="18"/>
      <c r="GQ134" s="18"/>
      <c r="GR134" s="18"/>
      <c r="GS134" s="18"/>
      <c r="GT134" s="18"/>
      <c r="GU134" s="18"/>
      <c r="GV134" s="18"/>
      <c r="GW134" s="18"/>
      <c r="GX134" s="18"/>
      <c r="GY134" s="18"/>
      <c r="GZ134" s="18"/>
      <c r="HA134" s="18"/>
      <c r="HB134" s="18"/>
      <c r="HC134" s="18"/>
      <c r="HD134" s="18"/>
      <c r="HE134" s="18"/>
      <c r="HF134" s="18"/>
      <c r="HG134" s="18"/>
      <c r="HH134" s="18"/>
      <c r="HI134" s="18"/>
      <c r="HJ134" s="18"/>
      <c r="HK134" s="18"/>
      <c r="HL134" s="18"/>
      <c r="HM134" s="18"/>
      <c r="HN134" s="18"/>
      <c r="HO134" s="18"/>
      <c r="HP134" s="18"/>
      <c r="HQ134" s="18"/>
      <c r="HR134" s="18"/>
      <c r="HS134" s="18"/>
      <c r="HT134" s="18"/>
      <c r="HU134" s="18"/>
      <c r="HV134" s="18"/>
      <c r="HW134" s="18"/>
      <c r="HX134" s="18"/>
      <c r="HY134" s="18"/>
      <c r="HZ134" s="18"/>
      <c r="IA134" s="18"/>
      <c r="IB134" s="18"/>
      <c r="IC134" s="18"/>
      <c r="ID134" s="18"/>
      <c r="IE134" s="18"/>
      <c r="IF134" s="18"/>
      <c r="IG134" s="18"/>
      <c r="IH134" s="18"/>
      <c r="II134" s="18"/>
      <c r="IJ134" s="18"/>
      <c r="IK134" s="18"/>
      <c r="IL134" s="18"/>
      <c r="IM134" s="18"/>
      <c r="IN134" s="18"/>
      <c r="IO134" s="18"/>
      <c r="IP134" s="18"/>
      <c r="IQ134" s="18"/>
      <c r="IR134" s="18"/>
      <c r="IS134" s="18"/>
      <c r="IT134" s="18"/>
      <c r="IU134" s="18"/>
      <c r="IV134" s="18"/>
      <c r="IW134" s="18"/>
      <c r="IX134" s="18"/>
      <c r="IY134" s="18"/>
      <c r="IZ134" s="18"/>
      <c r="JA134" s="18"/>
      <c r="JB134" s="18"/>
      <c r="JC134" s="18"/>
      <c r="JD134" s="18"/>
      <c r="JE134" s="18"/>
      <c r="JF134" s="18"/>
      <c r="JG134" s="18"/>
      <c r="JH134" s="18"/>
      <c r="JI134" s="18"/>
      <c r="JJ134" s="18"/>
      <c r="JK134" s="18"/>
      <c r="JL134" s="18"/>
      <c r="JM134" s="18"/>
      <c r="JN134" s="18"/>
      <c r="JO134" s="18"/>
      <c r="JP134" s="18"/>
      <c r="JQ134" s="18"/>
      <c r="JR134" s="18"/>
      <c r="JS134" s="18"/>
      <c r="JT134" s="18"/>
      <c r="JU134" s="18"/>
      <c r="JV134" s="18"/>
      <c r="JW134" s="18"/>
      <c r="JX134" s="18"/>
      <c r="JY134" s="18"/>
      <c r="JZ134" s="18"/>
      <c r="KA134" s="18"/>
      <c r="KB134" s="18"/>
      <c r="KC134" s="18"/>
      <c r="KD134" s="18"/>
      <c r="KE134" s="18"/>
      <c r="KF134" s="18"/>
      <c r="KG134" s="18"/>
      <c r="KH134" s="18"/>
      <c r="KI134" s="18"/>
      <c r="KJ134" s="18"/>
      <c r="KK134" s="18"/>
      <c r="KL134" s="18"/>
      <c r="KM134" s="18"/>
      <c r="KN134" s="18"/>
      <c r="KO134" s="18"/>
      <c r="KP134" s="18"/>
      <c r="KQ134" s="18"/>
      <c r="KR134" s="18"/>
      <c r="KS134" s="18"/>
      <c r="KT134" s="18"/>
      <c r="KU134" s="18"/>
      <c r="KV134" s="18"/>
      <c r="KW134" s="18"/>
      <c r="KX134" s="18"/>
      <c r="KY134" s="18"/>
      <c r="KZ134" s="18"/>
      <c r="LA134" s="18"/>
      <c r="LB134" s="18"/>
      <c r="LC134" s="18"/>
      <c r="LD134" s="18"/>
      <c r="LE134" s="18"/>
      <c r="LF134" s="18"/>
      <c r="LG134" s="18"/>
      <c r="LH134" s="18"/>
      <c r="LI134" s="18"/>
      <c r="LJ134" s="18"/>
      <c r="LK134" s="18"/>
      <c r="LL134" s="18"/>
      <c r="LM134" s="18"/>
      <c r="LN134" s="18"/>
      <c r="LO134" s="18"/>
      <c r="LP134" s="18"/>
      <c r="LQ134" s="18"/>
      <c r="LR134" s="18"/>
      <c r="LS134" s="18"/>
      <c r="LT134" s="18"/>
      <c r="LU134" s="18"/>
      <c r="LV134" s="18"/>
      <c r="LW134" s="18"/>
      <c r="LX134" s="18"/>
      <c r="LY134" s="18"/>
      <c r="LZ134" s="18"/>
      <c r="MA134" s="18"/>
      <c r="MB134" s="18"/>
      <c r="MC134" s="18"/>
      <c r="MD134" s="18"/>
      <c r="ME134" s="18"/>
      <c r="MF134" s="18"/>
      <c r="MG134" s="18"/>
      <c r="MH134" s="18"/>
      <c r="MI134" s="18"/>
      <c r="MJ134" s="18"/>
      <c r="MK134" s="18"/>
      <c r="ML134" s="18"/>
      <c r="MM134" s="18"/>
      <c r="MN134" s="18"/>
      <c r="MO134" s="18"/>
      <c r="MP134" s="18"/>
      <c r="MQ134" s="18"/>
      <c r="MR134" s="18"/>
      <c r="MS134" s="18"/>
      <c r="MT134" s="18"/>
      <c r="MU134" s="18"/>
      <c r="MV134" s="18"/>
      <c r="MW134" s="18"/>
      <c r="MX134" s="18"/>
      <c r="MY134" s="18"/>
      <c r="MZ134" s="18"/>
      <c r="NA134" s="18"/>
      <c r="NB134" s="18"/>
      <c r="NC134" s="18"/>
      <c r="ND134" s="18"/>
      <c r="NE134" s="18"/>
      <c r="NF134" s="18"/>
      <c r="NG134" s="18"/>
      <c r="NH134" s="18"/>
      <c r="NI134" s="18"/>
      <c r="NJ134" s="18"/>
      <c r="NK134" s="18"/>
      <c r="NL134" s="18"/>
      <c r="NM134" s="18"/>
      <c r="NN134" s="18"/>
      <c r="NO134" s="18"/>
      <c r="NP134" s="18"/>
      <c r="NQ134" s="18"/>
      <c r="NR134" s="18"/>
      <c r="NS134" s="18"/>
      <c r="NT134" s="18"/>
      <c r="NU134" s="18"/>
      <c r="NV134" s="18"/>
      <c r="NW134" s="18"/>
      <c r="NX134" s="18"/>
      <c r="NY134" s="18"/>
      <c r="NZ134" s="18"/>
      <c r="OA134" s="18"/>
      <c r="OB134" s="18"/>
      <c r="OC134" s="18"/>
      <c r="OD134" s="18"/>
      <c r="OE134" s="18"/>
      <c r="OF134" s="18"/>
      <c r="OG134" s="18"/>
      <c r="OH134" s="18"/>
      <c r="OI134" s="18"/>
      <c r="OJ134" s="18"/>
      <c r="OK134" s="18"/>
      <c r="OL134" s="18"/>
      <c r="OM134" s="18"/>
      <c r="ON134" s="18"/>
      <c r="OO134" s="18"/>
      <c r="OP134" s="18"/>
      <c r="OQ134" s="18"/>
      <c r="OR134" s="18"/>
      <c r="OS134" s="18"/>
      <c r="OT134" s="18"/>
      <c r="OU134" s="138">
        <f t="shared" si="1280"/>
        <v>0</v>
      </c>
      <c r="OV134" s="108">
        <f t="shared" si="1281"/>
        <v>0</v>
      </c>
      <c r="OW134" s="108">
        <f t="shared" si="1282"/>
        <v>0</v>
      </c>
      <c r="OX134" s="108">
        <f t="shared" si="1283"/>
        <v>0</v>
      </c>
      <c r="OY134" s="108">
        <f t="shared" si="1284"/>
        <v>0</v>
      </c>
      <c r="OZ134" s="108">
        <f t="shared" si="1284"/>
        <v>0</v>
      </c>
      <c r="PA134" s="108">
        <f t="shared" si="1284"/>
        <v>0</v>
      </c>
      <c r="PB134" s="108">
        <f t="shared" si="1284"/>
        <v>0</v>
      </c>
      <c r="PC134" s="108">
        <f t="shared" si="1284"/>
        <v>0</v>
      </c>
      <c r="PD134" s="108">
        <f t="shared" si="1284"/>
        <v>0</v>
      </c>
      <c r="PE134" s="108">
        <f t="shared" si="1284"/>
        <v>0</v>
      </c>
      <c r="PF134" s="108">
        <f t="shared" si="1284"/>
        <v>0</v>
      </c>
      <c r="PG134" s="108">
        <f t="shared" si="1284"/>
        <v>0</v>
      </c>
      <c r="PH134" s="108">
        <f t="shared" si="1284"/>
        <v>0</v>
      </c>
      <c r="PI134" s="108">
        <f t="shared" si="1284"/>
        <v>0</v>
      </c>
      <c r="PJ134" s="108">
        <f t="shared" si="1284"/>
        <v>0</v>
      </c>
      <c r="PK134" s="108">
        <f t="shared" si="1284"/>
        <v>0</v>
      </c>
      <c r="PL134" s="108">
        <f t="shared" si="1284"/>
        <v>0</v>
      </c>
      <c r="PM134" s="108">
        <f t="shared" si="1284"/>
        <v>0</v>
      </c>
      <c r="PN134" s="108">
        <f t="shared" si="1284"/>
        <v>0</v>
      </c>
      <c r="PO134" s="108">
        <f t="shared" si="1284"/>
        <v>0</v>
      </c>
      <c r="PP134" s="108">
        <f t="shared" si="1284"/>
        <v>0</v>
      </c>
      <c r="PQ134" s="108">
        <f t="shared" si="1284"/>
        <v>0</v>
      </c>
      <c r="PR134" s="108">
        <f t="shared" si="1284"/>
        <v>0</v>
      </c>
      <c r="PS134" s="108">
        <f t="shared" si="1284"/>
        <v>0</v>
      </c>
      <c r="PT134" s="108">
        <f t="shared" si="1284"/>
        <v>0</v>
      </c>
      <c r="PU134" s="108">
        <f t="shared" si="1284"/>
        <v>0</v>
      </c>
      <c r="PV134" s="108">
        <f t="shared" si="1284"/>
        <v>0</v>
      </c>
      <c r="PW134" s="108">
        <f t="shared" si="1284"/>
        <v>0</v>
      </c>
      <c r="PX134" s="108">
        <f t="shared" si="1284"/>
        <v>0</v>
      </c>
      <c r="PY134" s="108">
        <f t="shared" si="1284"/>
        <v>0</v>
      </c>
      <c r="PZ134" s="108">
        <f t="shared" si="1284"/>
        <v>0</v>
      </c>
      <c r="QA134" s="108">
        <f t="shared" si="1284"/>
        <v>0</v>
      </c>
      <c r="QB134" s="108">
        <f t="shared" si="1284"/>
        <v>0</v>
      </c>
      <c r="QC134" s="108">
        <f t="shared" si="1284"/>
        <v>0</v>
      </c>
      <c r="QD134" s="108">
        <f t="shared" si="1284"/>
        <v>0</v>
      </c>
      <c r="QE134" s="108">
        <f t="shared" si="1284"/>
        <v>0</v>
      </c>
      <c r="QF134" s="108">
        <f t="shared" si="1284"/>
        <v>0</v>
      </c>
      <c r="QG134" s="108">
        <f t="shared" si="1284"/>
        <v>0</v>
      </c>
      <c r="QH134" s="108">
        <f t="shared" si="1284"/>
        <v>0</v>
      </c>
      <c r="QI134" s="108">
        <f t="shared" si="1284"/>
        <v>0</v>
      </c>
      <c r="QJ134" s="108">
        <f t="shared" si="1284"/>
        <v>0</v>
      </c>
      <c r="QK134" s="108">
        <f t="shared" si="1284"/>
        <v>0</v>
      </c>
      <c r="QL134" s="108">
        <f t="shared" si="1284"/>
        <v>0</v>
      </c>
      <c r="QM134" s="108">
        <f t="shared" si="1284"/>
        <v>0</v>
      </c>
      <c r="QN134" s="108">
        <f t="shared" si="1284"/>
        <v>0</v>
      </c>
      <c r="QO134" s="108">
        <f t="shared" si="1284"/>
        <v>0</v>
      </c>
      <c r="QP134" s="108">
        <f t="shared" si="1284"/>
        <v>0</v>
      </c>
      <c r="QQ134" s="108">
        <f t="shared" si="1284"/>
        <v>0</v>
      </c>
      <c r="QR134" s="108">
        <f t="shared" si="1284"/>
        <v>0</v>
      </c>
      <c r="QS134" s="108">
        <f t="shared" si="1284"/>
        <v>0</v>
      </c>
      <c r="QT134" s="145">
        <f t="shared" si="1284"/>
        <v>0</v>
      </c>
      <c r="QU134" s="145">
        <f t="shared" si="1284"/>
        <v>0</v>
      </c>
      <c r="QV134" s="145">
        <f t="shared" si="1284"/>
        <v>0</v>
      </c>
      <c r="QW134" s="145">
        <f t="shared" si="1284"/>
        <v>0</v>
      </c>
      <c r="QX134" s="145">
        <f t="shared" si="1284"/>
        <v>0</v>
      </c>
      <c r="QY134" s="145">
        <f t="shared" si="1284"/>
        <v>0</v>
      </c>
      <c r="QZ134" s="145">
        <f t="shared" si="1284"/>
        <v>0</v>
      </c>
      <c r="RA134" s="145">
        <f t="shared" si="1284"/>
        <v>0</v>
      </c>
      <c r="RB134" s="145">
        <f t="shared" si="1284"/>
        <v>0</v>
      </c>
      <c r="RC134" s="145">
        <f t="shared" si="1284"/>
        <v>0</v>
      </c>
      <c r="RD134" s="145">
        <f t="shared" si="1284"/>
        <v>0</v>
      </c>
      <c r="RE134" s="145">
        <f t="shared" si="1284"/>
        <v>0</v>
      </c>
      <c r="RF134" s="145">
        <f t="shared" si="1284"/>
        <v>0</v>
      </c>
      <c r="RG134" s="145">
        <f t="shared" ref="RG134:RG143" si="1310">BO30</f>
        <v>0</v>
      </c>
      <c r="RH134" s="145">
        <f t="shared" si="1285"/>
        <v>0</v>
      </c>
      <c r="RI134" s="145">
        <f t="shared" si="1285"/>
        <v>0</v>
      </c>
      <c r="RJ134" s="145">
        <f t="shared" si="1285"/>
        <v>0</v>
      </c>
      <c r="RK134" s="145">
        <f t="shared" si="1285"/>
        <v>0</v>
      </c>
      <c r="RL134" s="145">
        <f t="shared" si="1285"/>
        <v>0</v>
      </c>
      <c r="RM134" s="145">
        <f t="shared" si="1285"/>
        <v>0</v>
      </c>
      <c r="RN134" s="145">
        <f t="shared" si="1285"/>
        <v>0</v>
      </c>
      <c r="RO134" s="145">
        <f t="shared" si="1285"/>
        <v>0</v>
      </c>
      <c r="RP134" s="145">
        <f t="shared" si="1285"/>
        <v>0</v>
      </c>
      <c r="RQ134" s="146">
        <f t="shared" si="1285"/>
        <v>0</v>
      </c>
      <c r="RR134" s="146">
        <f t="shared" si="1285"/>
        <v>0</v>
      </c>
      <c r="RS134" s="146">
        <f t="shared" si="1285"/>
        <v>0</v>
      </c>
      <c r="RT134" s="146">
        <f t="shared" si="1285"/>
        <v>0</v>
      </c>
      <c r="RU134" s="146">
        <f t="shared" si="1285"/>
        <v>0</v>
      </c>
      <c r="RV134" s="146">
        <f t="shared" si="1285"/>
        <v>0</v>
      </c>
      <c r="RW134" s="146">
        <f t="shared" si="1285"/>
        <v>0</v>
      </c>
      <c r="RX134" s="146">
        <f t="shared" si="1285"/>
        <v>0</v>
      </c>
      <c r="RY134" s="146">
        <f t="shared" si="1285"/>
        <v>0</v>
      </c>
      <c r="RZ134" s="146">
        <f t="shared" si="1285"/>
        <v>0</v>
      </c>
      <c r="SA134" s="146">
        <f t="shared" si="1285"/>
        <v>0</v>
      </c>
      <c r="SB134" s="146">
        <f t="shared" si="1285"/>
        <v>0</v>
      </c>
      <c r="SC134" s="146">
        <f t="shared" si="1285"/>
        <v>0</v>
      </c>
      <c r="SD134" s="146">
        <f t="shared" si="1285"/>
        <v>0</v>
      </c>
      <c r="SE134" s="146">
        <f t="shared" si="1285"/>
        <v>0</v>
      </c>
      <c r="SF134" s="146">
        <f t="shared" si="1285"/>
        <v>0</v>
      </c>
      <c r="SG134" s="146">
        <f t="shared" si="1285"/>
        <v>0</v>
      </c>
      <c r="SH134" s="146">
        <f t="shared" si="1285"/>
        <v>0</v>
      </c>
      <c r="SI134" s="146">
        <f t="shared" si="1285"/>
        <v>0</v>
      </c>
      <c r="SJ134" s="146">
        <f t="shared" si="1285"/>
        <v>0</v>
      </c>
      <c r="SK134" s="146">
        <f t="shared" si="1285"/>
        <v>0</v>
      </c>
      <c r="SL134" s="146">
        <f t="shared" si="1285"/>
        <v>0</v>
      </c>
      <c r="SM134" s="146">
        <f t="shared" si="1285"/>
        <v>0</v>
      </c>
      <c r="SN134" s="146">
        <f t="shared" si="1285"/>
        <v>0</v>
      </c>
      <c r="SO134" s="146">
        <f t="shared" si="1285"/>
        <v>0</v>
      </c>
      <c r="SP134" s="146">
        <f t="shared" si="1285"/>
        <v>0</v>
      </c>
      <c r="SQ134" s="146">
        <f t="shared" si="1285"/>
        <v>0</v>
      </c>
      <c r="SR134" s="146">
        <f t="shared" si="1285"/>
        <v>0</v>
      </c>
      <c r="SS134" s="156">
        <f t="shared" si="1285"/>
        <v>0</v>
      </c>
      <c r="ST134" s="156">
        <f t="shared" si="1285"/>
        <v>0</v>
      </c>
      <c r="SU134" s="156">
        <f t="shared" si="1285"/>
        <v>0</v>
      </c>
      <c r="SV134" s="156">
        <f t="shared" si="1285"/>
        <v>0</v>
      </c>
      <c r="SW134" s="156">
        <f t="shared" si="1285"/>
        <v>0</v>
      </c>
      <c r="SX134" s="156">
        <f t="shared" si="1285"/>
        <v>0</v>
      </c>
      <c r="SY134" s="156">
        <f t="shared" si="1285"/>
        <v>0</v>
      </c>
      <c r="SZ134" s="156">
        <f t="shared" si="1285"/>
        <v>0</v>
      </c>
      <c r="TA134" s="156">
        <f t="shared" si="1285"/>
        <v>0</v>
      </c>
      <c r="TB134" s="156">
        <f t="shared" si="1285"/>
        <v>0</v>
      </c>
      <c r="TC134" s="156">
        <f t="shared" si="1285"/>
        <v>0</v>
      </c>
      <c r="TD134" s="156">
        <f t="shared" si="1285"/>
        <v>0</v>
      </c>
      <c r="TE134" s="156">
        <f t="shared" si="1285"/>
        <v>0</v>
      </c>
      <c r="TF134" s="156">
        <f t="shared" si="1285"/>
        <v>0</v>
      </c>
      <c r="TG134" s="156">
        <f t="shared" si="1285"/>
        <v>0</v>
      </c>
      <c r="TH134" s="156">
        <f t="shared" si="1285"/>
        <v>0</v>
      </c>
      <c r="TI134" s="156">
        <f t="shared" si="1285"/>
        <v>0</v>
      </c>
      <c r="TJ134" s="156">
        <f t="shared" si="1285"/>
        <v>0</v>
      </c>
      <c r="TK134" s="156">
        <f t="shared" si="1285"/>
        <v>0</v>
      </c>
      <c r="TL134" s="156">
        <f t="shared" si="1285"/>
        <v>0</v>
      </c>
      <c r="TM134" s="156">
        <f t="shared" si="1285"/>
        <v>0</v>
      </c>
      <c r="TN134" s="156">
        <f t="shared" si="1285"/>
        <v>0</v>
      </c>
      <c r="TO134" s="156">
        <f t="shared" si="1285"/>
        <v>0</v>
      </c>
      <c r="TP134" s="156">
        <f t="shared" si="1285"/>
        <v>0</v>
      </c>
      <c r="TQ134" s="156">
        <f t="shared" si="1285"/>
        <v>0</v>
      </c>
      <c r="TR134" s="156">
        <f t="shared" si="1285"/>
        <v>0</v>
      </c>
      <c r="TS134" s="178">
        <f t="shared" ref="TS134:TS143" si="1311">EA30</f>
        <v>0</v>
      </c>
      <c r="TT134" s="181">
        <f t="shared" si="1286"/>
        <v>24.185735913858924</v>
      </c>
      <c r="TU134" s="177">
        <f t="shared" si="1287"/>
        <v>0</v>
      </c>
      <c r="TV134" s="181">
        <f t="shared" si="1288"/>
        <v>24.082193323306559</v>
      </c>
      <c r="TW134" s="155">
        <f t="shared" si="1289"/>
        <v>0</v>
      </c>
      <c r="TX134" s="156">
        <f t="shared" si="1290"/>
        <v>0</v>
      </c>
      <c r="TY134" s="156">
        <f t="shared" si="1291"/>
        <v>0</v>
      </c>
      <c r="TZ134" s="178">
        <f t="shared" si="1292"/>
        <v>0</v>
      </c>
      <c r="UA134" s="181">
        <f t="shared" si="1293"/>
        <v>23.834369382163725</v>
      </c>
      <c r="UB134" s="177">
        <f t="shared" si="1294"/>
        <v>0</v>
      </c>
      <c r="UC134" s="181">
        <f t="shared" si="1295"/>
        <v>23.729612561855234</v>
      </c>
      <c r="UD134" s="155">
        <f t="shared" si="1296"/>
        <v>0</v>
      </c>
      <c r="UE134" s="156">
        <f t="shared" si="1297"/>
        <v>0</v>
      </c>
      <c r="UF134" s="156">
        <f t="shared" si="1298"/>
        <v>0</v>
      </c>
      <c r="UG134" s="178">
        <f t="shared" si="1299"/>
        <v>0</v>
      </c>
      <c r="UH134" s="181">
        <f t="shared" si="1300"/>
        <v>23.481493552061213</v>
      </c>
      <c r="UI134" s="177">
        <f t="shared" si="1301"/>
        <v>0</v>
      </c>
      <c r="UJ134" s="181">
        <f t="shared" si="1302"/>
        <v>23.372038483450538</v>
      </c>
      <c r="UK134" s="155">
        <f t="shared" si="1303"/>
        <v>0</v>
      </c>
      <c r="UL134" s="156">
        <f t="shared" si="1304"/>
        <v>0</v>
      </c>
      <c r="UM134" s="156">
        <f t="shared" si="1305"/>
        <v>0</v>
      </c>
      <c r="UN134" s="178">
        <f t="shared" si="1306"/>
        <v>0</v>
      </c>
      <c r="UO134" s="181">
        <f t="shared" si="1307"/>
        <v>23.116065489904333</v>
      </c>
      <c r="UP134" s="177">
        <f t="shared" si="1308"/>
        <v>0</v>
      </c>
      <c r="UQ134" s="181">
        <f t="shared" si="1309"/>
        <v>22.977554025488825</v>
      </c>
      <c r="UR134" s="203"/>
      <c r="US134" s="203"/>
    </row>
    <row r="135" spans="1:629" ht="19.5" thickBot="1" x14ac:dyDescent="0.3">
      <c r="A135" s="298"/>
      <c r="B135" s="25" t="s">
        <v>2</v>
      </c>
      <c r="BY135" s="18"/>
      <c r="BZ135" s="18"/>
      <c r="CA135" s="18"/>
      <c r="CB135" s="18"/>
      <c r="CC135" s="18"/>
      <c r="CD135" s="18"/>
      <c r="CE135" s="18"/>
      <c r="CF135" s="18"/>
      <c r="CG135" s="18"/>
      <c r="CH135" s="18"/>
      <c r="CI135" s="18"/>
      <c r="CJ135" s="18"/>
      <c r="CK135" s="18"/>
      <c r="CL135" s="18"/>
      <c r="CM135" s="18"/>
      <c r="CN135" s="18"/>
      <c r="CO135" s="18"/>
      <c r="CP135" s="18"/>
      <c r="CQ135" s="18"/>
      <c r="CR135" s="18"/>
      <c r="CS135" s="18"/>
      <c r="CT135" s="18"/>
      <c r="CU135" s="18"/>
      <c r="CV135" s="18"/>
      <c r="CW135" s="18"/>
      <c r="CX135" s="18"/>
      <c r="CY135" s="18"/>
      <c r="CZ135" s="18"/>
      <c r="DA135" s="18"/>
      <c r="DB135" s="18"/>
      <c r="DC135" s="18"/>
      <c r="DD135" s="18"/>
      <c r="DE135" s="18"/>
      <c r="DF135" s="18"/>
      <c r="DG135" s="18"/>
      <c r="DH135" s="18"/>
      <c r="DI135" s="18"/>
      <c r="DJ135" s="18"/>
      <c r="DK135" s="18"/>
      <c r="DL135" s="18"/>
      <c r="DM135" s="18"/>
      <c r="DN135" s="18"/>
      <c r="DO135" s="18"/>
      <c r="DP135" s="18"/>
      <c r="DQ135" s="18"/>
      <c r="DR135" s="18"/>
      <c r="DS135" s="18"/>
      <c r="DT135" s="18"/>
      <c r="DU135" s="18"/>
      <c r="DV135" s="18"/>
      <c r="DW135" s="18"/>
      <c r="DX135" s="18"/>
      <c r="DY135" s="18"/>
      <c r="DZ135" s="18"/>
      <c r="EA135" s="18"/>
      <c r="EB135" s="18"/>
      <c r="EC135" s="18"/>
      <c r="ED135" s="18"/>
      <c r="EE135" s="18"/>
      <c r="EF135" s="18"/>
      <c r="EG135" s="18"/>
      <c r="EH135" s="18"/>
      <c r="EI135" s="18"/>
      <c r="EJ135" s="18"/>
      <c r="EK135" s="18"/>
      <c r="EL135" s="18"/>
      <c r="EM135" s="18"/>
      <c r="EN135" s="18"/>
      <c r="EO135" s="18"/>
      <c r="EP135" s="18"/>
      <c r="EQ135" s="18"/>
      <c r="ER135" s="18"/>
      <c r="ES135" s="18"/>
      <c r="ET135" s="18"/>
      <c r="EU135" s="18"/>
      <c r="EV135" s="18"/>
      <c r="EW135" s="18"/>
      <c r="EX135" s="18"/>
      <c r="EY135" s="18"/>
      <c r="EZ135" s="18"/>
      <c r="FA135" s="18"/>
      <c r="FB135" s="18"/>
      <c r="FC135" s="18"/>
      <c r="FD135" s="18"/>
      <c r="FE135" s="18"/>
      <c r="FF135" s="18"/>
      <c r="FG135" s="18"/>
      <c r="FH135" s="18"/>
      <c r="FI135" s="18"/>
      <c r="FJ135" s="18"/>
      <c r="FK135" s="18"/>
      <c r="FL135" s="18"/>
      <c r="FM135" s="18"/>
      <c r="FN135" s="18"/>
      <c r="FO135" s="18"/>
      <c r="FP135" s="18"/>
      <c r="FQ135" s="18"/>
      <c r="FR135" s="18"/>
      <c r="FS135" s="18"/>
      <c r="FT135" s="18"/>
      <c r="FU135" s="18"/>
      <c r="FV135" s="18"/>
      <c r="FW135" s="18"/>
      <c r="FX135" s="18"/>
      <c r="FY135" s="18"/>
      <c r="FZ135" s="18"/>
      <c r="GA135" s="18"/>
      <c r="GB135" s="18"/>
      <c r="GC135" s="18"/>
      <c r="GD135" s="18"/>
      <c r="GE135" s="18"/>
      <c r="GF135" s="18"/>
      <c r="GG135" s="18"/>
      <c r="GH135" s="18"/>
      <c r="GI135" s="18"/>
      <c r="GJ135" s="18"/>
      <c r="GK135" s="18"/>
      <c r="GL135" s="18"/>
      <c r="GM135" s="18"/>
      <c r="GN135" s="18"/>
      <c r="GO135" s="18"/>
      <c r="GP135" s="18"/>
      <c r="GQ135" s="18"/>
      <c r="GR135" s="18"/>
      <c r="GS135" s="18"/>
      <c r="GT135" s="18"/>
      <c r="GU135" s="18"/>
      <c r="GV135" s="18"/>
      <c r="GW135" s="18"/>
      <c r="GX135" s="18"/>
      <c r="GY135" s="18"/>
      <c r="GZ135" s="18"/>
      <c r="HA135" s="18"/>
      <c r="HB135" s="18"/>
      <c r="HC135" s="18"/>
      <c r="HD135" s="18"/>
      <c r="HE135" s="18"/>
      <c r="HF135" s="18"/>
      <c r="HG135" s="18"/>
      <c r="HH135" s="18"/>
      <c r="HI135" s="18"/>
      <c r="HJ135" s="18"/>
      <c r="HK135" s="18"/>
      <c r="HL135" s="18"/>
      <c r="HM135" s="18"/>
      <c r="HN135" s="18"/>
      <c r="HO135" s="18"/>
      <c r="HP135" s="18"/>
      <c r="HQ135" s="18"/>
      <c r="HR135" s="18"/>
      <c r="HS135" s="18"/>
      <c r="HT135" s="18"/>
      <c r="HU135" s="18"/>
      <c r="HV135" s="18"/>
      <c r="HW135" s="18"/>
      <c r="HX135" s="18"/>
      <c r="HY135" s="18"/>
      <c r="HZ135" s="18"/>
      <c r="IA135" s="18"/>
      <c r="IB135" s="18"/>
      <c r="IC135" s="18"/>
      <c r="ID135" s="18"/>
      <c r="IE135" s="18"/>
      <c r="IF135" s="18"/>
      <c r="IG135" s="18"/>
      <c r="IH135" s="18"/>
      <c r="II135" s="18"/>
      <c r="IJ135" s="18"/>
      <c r="IK135" s="18"/>
      <c r="IL135" s="18"/>
      <c r="IM135" s="18"/>
      <c r="IN135" s="18"/>
      <c r="IO135" s="18"/>
      <c r="IP135" s="18"/>
      <c r="IQ135" s="18"/>
      <c r="IR135" s="18"/>
      <c r="IS135" s="18"/>
      <c r="IT135" s="18"/>
      <c r="IU135" s="18"/>
      <c r="IV135" s="18"/>
      <c r="IW135" s="18"/>
      <c r="IX135" s="18"/>
      <c r="IY135" s="18"/>
      <c r="IZ135" s="18"/>
      <c r="JA135" s="18"/>
      <c r="JB135" s="18"/>
      <c r="JC135" s="18"/>
      <c r="JD135" s="18"/>
      <c r="JE135" s="18"/>
      <c r="JF135" s="18"/>
      <c r="JG135" s="18"/>
      <c r="JH135" s="18"/>
      <c r="JI135" s="18"/>
      <c r="JJ135" s="18"/>
      <c r="JK135" s="18"/>
      <c r="JL135" s="18"/>
      <c r="JM135" s="18"/>
      <c r="JN135" s="18"/>
      <c r="JO135" s="18"/>
      <c r="JP135" s="18"/>
      <c r="JQ135" s="18"/>
      <c r="JR135" s="18"/>
      <c r="JS135" s="18"/>
      <c r="JT135" s="18"/>
      <c r="JU135" s="18"/>
      <c r="JV135" s="18"/>
      <c r="JW135" s="18"/>
      <c r="JX135" s="18"/>
      <c r="JY135" s="18"/>
      <c r="JZ135" s="18"/>
      <c r="KA135" s="18"/>
      <c r="KB135" s="18"/>
      <c r="KC135" s="18"/>
      <c r="KD135" s="18"/>
      <c r="KE135" s="18"/>
      <c r="KF135" s="18"/>
      <c r="KG135" s="18"/>
      <c r="KH135" s="18"/>
      <c r="KI135" s="18"/>
      <c r="KJ135" s="18"/>
      <c r="KK135" s="18"/>
      <c r="KL135" s="18"/>
      <c r="KM135" s="18"/>
      <c r="KN135" s="18"/>
      <c r="KO135" s="18"/>
      <c r="KP135" s="18"/>
      <c r="KQ135" s="18"/>
      <c r="KR135" s="18"/>
      <c r="KS135" s="18"/>
      <c r="KT135" s="18"/>
      <c r="KU135" s="18"/>
      <c r="KV135" s="18"/>
      <c r="KW135" s="18"/>
      <c r="KX135" s="18"/>
      <c r="KY135" s="18"/>
      <c r="KZ135" s="18"/>
      <c r="LA135" s="18"/>
      <c r="LB135" s="18"/>
      <c r="LC135" s="18"/>
      <c r="LD135" s="18"/>
      <c r="LE135" s="18"/>
      <c r="LF135" s="18"/>
      <c r="LG135" s="18"/>
      <c r="LH135" s="18"/>
      <c r="LI135" s="18"/>
      <c r="LJ135" s="18"/>
      <c r="LK135" s="18"/>
      <c r="LL135" s="18"/>
      <c r="LM135" s="18"/>
      <c r="LN135" s="18"/>
      <c r="LO135" s="18"/>
      <c r="LP135" s="18"/>
      <c r="LQ135" s="18"/>
      <c r="LR135" s="18"/>
      <c r="LS135" s="18"/>
      <c r="LT135" s="18"/>
      <c r="LU135" s="18"/>
      <c r="LV135" s="18"/>
      <c r="LW135" s="18"/>
      <c r="LX135" s="18"/>
      <c r="LY135" s="18"/>
      <c r="LZ135" s="18"/>
      <c r="MA135" s="18"/>
      <c r="MB135" s="18"/>
      <c r="MC135" s="18"/>
      <c r="MD135" s="18"/>
      <c r="ME135" s="18"/>
      <c r="MF135" s="18"/>
      <c r="MG135" s="18"/>
      <c r="MH135" s="18"/>
      <c r="MI135" s="18"/>
      <c r="MJ135" s="18"/>
      <c r="MK135" s="18"/>
      <c r="ML135" s="18"/>
      <c r="MM135" s="18"/>
      <c r="MN135" s="18"/>
      <c r="MO135" s="18"/>
      <c r="MP135" s="18"/>
      <c r="MQ135" s="18"/>
      <c r="MR135" s="18"/>
      <c r="MS135" s="18"/>
      <c r="MT135" s="18"/>
      <c r="MU135" s="18"/>
      <c r="MV135" s="18"/>
      <c r="MW135" s="18"/>
      <c r="MX135" s="18"/>
      <c r="MY135" s="18"/>
      <c r="MZ135" s="18"/>
      <c r="NA135" s="18"/>
      <c r="NB135" s="18"/>
      <c r="NC135" s="18"/>
      <c r="ND135" s="18"/>
      <c r="NE135" s="18"/>
      <c r="NF135" s="18"/>
      <c r="NG135" s="18"/>
      <c r="NH135" s="18"/>
      <c r="NI135" s="18"/>
      <c r="NJ135" s="18"/>
      <c r="NK135" s="18"/>
      <c r="NL135" s="18"/>
      <c r="NM135" s="18"/>
      <c r="NN135" s="18"/>
      <c r="NO135" s="18"/>
      <c r="NP135" s="18"/>
      <c r="NQ135" s="18"/>
      <c r="NR135" s="18"/>
      <c r="NS135" s="18"/>
      <c r="NT135" s="18"/>
      <c r="NU135" s="18"/>
      <c r="NV135" s="18"/>
      <c r="NW135" s="18"/>
      <c r="NX135" s="18"/>
      <c r="NY135" s="18"/>
      <c r="NZ135" s="18"/>
      <c r="OA135" s="18"/>
      <c r="OB135" s="18"/>
      <c r="OC135" s="18"/>
      <c r="OD135" s="18"/>
      <c r="OE135" s="18"/>
      <c r="OF135" s="18"/>
      <c r="OG135" s="18"/>
      <c r="OH135" s="18"/>
      <c r="OI135" s="18"/>
      <c r="OJ135" s="18"/>
      <c r="OK135" s="18"/>
      <c r="OL135" s="18"/>
      <c r="OM135" s="18"/>
      <c r="ON135" s="18"/>
      <c r="OO135" s="18"/>
      <c r="OP135" s="18"/>
      <c r="OQ135" s="18"/>
      <c r="OR135" s="18"/>
      <c r="OS135" s="18"/>
      <c r="OT135" s="18"/>
      <c r="OU135" s="135">
        <f t="shared" si="1280"/>
        <v>2E-3</v>
      </c>
      <c r="OV135" s="112">
        <f t="shared" si="1281"/>
        <v>2E-3</v>
      </c>
      <c r="OW135" s="113">
        <f t="shared" si="1282"/>
        <v>2E-3</v>
      </c>
      <c r="OX135" s="113">
        <f t="shared" si="1283"/>
        <v>2E-3</v>
      </c>
      <c r="OY135" s="113">
        <f t="shared" ref="OY135:OY143" si="1312">G31</f>
        <v>2E-3</v>
      </c>
      <c r="OZ135" s="113">
        <f t="shared" ref="OZ135:OZ143" si="1313">H31</f>
        <v>2E-3</v>
      </c>
      <c r="PA135" s="113">
        <f t="shared" ref="PA135:PA143" si="1314">I31</f>
        <v>2E-3</v>
      </c>
      <c r="PB135" s="113">
        <f t="shared" ref="PB135:PB143" si="1315">J31</f>
        <v>2E-3</v>
      </c>
      <c r="PC135" s="113">
        <f t="shared" ref="PC135:PC143" si="1316">K31</f>
        <v>2E-3</v>
      </c>
      <c r="PD135" s="113">
        <f t="shared" ref="PD135:PD143" si="1317">L31</f>
        <v>2E-3</v>
      </c>
      <c r="PE135" s="113">
        <f t="shared" ref="PE135:PE143" si="1318">M31</f>
        <v>2E-3</v>
      </c>
      <c r="PF135" s="113">
        <f t="shared" ref="PF135:PF143" si="1319">N31</f>
        <v>2E-3</v>
      </c>
      <c r="PG135" s="113">
        <f t="shared" ref="PG135:PG143" si="1320">O31</f>
        <v>2E-3</v>
      </c>
      <c r="PH135" s="113">
        <f t="shared" ref="PH135:PH143" si="1321">P31</f>
        <v>2E-3</v>
      </c>
      <c r="PI135" s="113">
        <f t="shared" ref="PI135:PI143" si="1322">Q31</f>
        <v>2E-3</v>
      </c>
      <c r="PJ135" s="113">
        <f t="shared" ref="PJ135:PJ143" si="1323">R31</f>
        <v>2E-3</v>
      </c>
      <c r="PK135" s="113">
        <f t="shared" ref="PK135:PK143" si="1324">S31</f>
        <v>2E-3</v>
      </c>
      <c r="PL135" s="113">
        <f t="shared" ref="PL135:PL143" si="1325">T31</f>
        <v>2E-3</v>
      </c>
      <c r="PM135" s="113">
        <f t="shared" ref="PM135:PM143" si="1326">U31</f>
        <v>2E-3</v>
      </c>
      <c r="PN135" s="113">
        <f t="shared" ref="PN135:PN143" si="1327">V31</f>
        <v>2E-3</v>
      </c>
      <c r="PO135" s="113">
        <f t="shared" ref="PO135:PO143" si="1328">W31</f>
        <v>2E-3</v>
      </c>
      <c r="PP135" s="113">
        <f t="shared" ref="PP135:PP143" si="1329">X31</f>
        <v>2E-3</v>
      </c>
      <c r="PQ135" s="113">
        <f t="shared" ref="PQ135:PQ143" si="1330">Y31</f>
        <v>2E-3</v>
      </c>
      <c r="PR135" s="113">
        <f t="shared" ref="PR135:PR143" si="1331">Z31</f>
        <v>2E-3</v>
      </c>
      <c r="PS135" s="113">
        <f t="shared" ref="PS135:PS143" si="1332">AA31</f>
        <v>2E-3</v>
      </c>
      <c r="PT135" s="113">
        <f t="shared" ref="PT135:PT143" si="1333">AB31</f>
        <v>2E-3</v>
      </c>
      <c r="PU135" s="113">
        <f t="shared" ref="PU135:PU143" si="1334">AC31</f>
        <v>2E-3</v>
      </c>
      <c r="PV135" s="113">
        <f t="shared" ref="PV135:PV143" si="1335">AD31</f>
        <v>2E-3</v>
      </c>
      <c r="PW135" s="113">
        <f t="shared" ref="PW135:PW143" si="1336">AE31</f>
        <v>2E-3</v>
      </c>
      <c r="PX135" s="113">
        <f t="shared" ref="PX135:PX143" si="1337">AF31</f>
        <v>2E-3</v>
      </c>
      <c r="PY135" s="113">
        <f t="shared" ref="PY135:PY143" si="1338">AG31</f>
        <v>2E-3</v>
      </c>
      <c r="PZ135" s="113">
        <f t="shared" ref="PZ135:PZ143" si="1339">AH31</f>
        <v>2E-3</v>
      </c>
      <c r="QA135" s="113">
        <f t="shared" ref="QA135:QA143" si="1340">AI31</f>
        <v>2E-3</v>
      </c>
      <c r="QB135" s="113">
        <f t="shared" ref="QB135:QB143" si="1341">AJ31</f>
        <v>2E-3</v>
      </c>
      <c r="QC135" s="113">
        <f t="shared" ref="QC135:QC143" si="1342">AK31</f>
        <v>2E-3</v>
      </c>
      <c r="QD135" s="113">
        <f t="shared" ref="QD135:QD143" si="1343">AL31</f>
        <v>2E-3</v>
      </c>
      <c r="QE135" s="113">
        <f t="shared" ref="QE135:QE143" si="1344">AM31</f>
        <v>2E-3</v>
      </c>
      <c r="QF135" s="113">
        <f t="shared" ref="QF135:QF143" si="1345">AN31</f>
        <v>2E-3</v>
      </c>
      <c r="QG135" s="113">
        <f t="shared" ref="QG135:QG143" si="1346">AO31</f>
        <v>2E-3</v>
      </c>
      <c r="QH135" s="113">
        <f t="shared" ref="QH135:QH143" si="1347">AP31</f>
        <v>2E-3</v>
      </c>
      <c r="QI135" s="113">
        <f t="shared" ref="QI135:QI143" si="1348">AQ31</f>
        <v>2E-3</v>
      </c>
      <c r="QJ135" s="113">
        <f t="shared" ref="QJ135:QJ143" si="1349">AR31</f>
        <v>2E-3</v>
      </c>
      <c r="QK135" s="113">
        <f t="shared" ref="QK135:QK143" si="1350">AS31</f>
        <v>2E-3</v>
      </c>
      <c r="QL135" s="113">
        <f t="shared" ref="QL135:QL143" si="1351">AT31</f>
        <v>2E-3</v>
      </c>
      <c r="QM135" s="113">
        <f t="shared" ref="QM135:QM143" si="1352">AU31</f>
        <v>2E-3</v>
      </c>
      <c r="QN135" s="113">
        <f t="shared" ref="QN135:QN143" si="1353">AV31</f>
        <v>2E-3</v>
      </c>
      <c r="QO135" s="113">
        <f t="shared" ref="QO135:QO143" si="1354">AW31</f>
        <v>2E-3</v>
      </c>
      <c r="QP135" s="113">
        <f t="shared" ref="QP135:QP143" si="1355">AX31</f>
        <v>2E-3</v>
      </c>
      <c r="QQ135" s="113">
        <f t="shared" ref="QQ135:QQ143" si="1356">AY31</f>
        <v>2E-3</v>
      </c>
      <c r="QR135" s="113">
        <f t="shared" ref="QR135:QR143" si="1357">AZ31</f>
        <v>2E-3</v>
      </c>
      <c r="QS135" s="113">
        <f t="shared" ref="QS135:QS143" si="1358">BA31</f>
        <v>2E-3</v>
      </c>
      <c r="QT135" s="147">
        <f t="shared" ref="QT135:QT143" si="1359">BB31</f>
        <v>2E-3</v>
      </c>
      <c r="QU135" s="147">
        <f t="shared" ref="QU135:QU143" si="1360">BC31</f>
        <v>2E-3</v>
      </c>
      <c r="QV135" s="147">
        <f t="shared" ref="QV135:QV143" si="1361">BD31</f>
        <v>2E-3</v>
      </c>
      <c r="QW135" s="147">
        <f t="shared" ref="QW135:QW143" si="1362">BE31</f>
        <v>2E-3</v>
      </c>
      <c r="QX135" s="147">
        <f t="shared" ref="QX135:QX143" si="1363">BF31</f>
        <v>2E-3</v>
      </c>
      <c r="QY135" s="147">
        <f t="shared" ref="QY135:QY143" si="1364">BG31</f>
        <v>2E-3</v>
      </c>
      <c r="QZ135" s="147">
        <f t="shared" ref="QZ135:QZ143" si="1365">BH31</f>
        <v>2E-3</v>
      </c>
      <c r="RA135" s="147">
        <f t="shared" ref="RA135:RA143" si="1366">BI31</f>
        <v>2E-3</v>
      </c>
      <c r="RB135" s="147">
        <f t="shared" ref="RB135:RB143" si="1367">BJ31</f>
        <v>2E-3</v>
      </c>
      <c r="RC135" s="147">
        <f t="shared" ref="RC135:RC143" si="1368">BK31</f>
        <v>2E-3</v>
      </c>
      <c r="RD135" s="147">
        <f t="shared" ref="RD135:RD143" si="1369">BL31</f>
        <v>2E-3</v>
      </c>
      <c r="RE135" s="147">
        <f t="shared" ref="RE135:RE143" si="1370">BM31</f>
        <v>2E-3</v>
      </c>
      <c r="RF135" s="147">
        <f t="shared" ref="RF135:RF143" si="1371">BN31</f>
        <v>2E-3</v>
      </c>
      <c r="RG135" s="147">
        <f t="shared" si="1310"/>
        <v>2E-3</v>
      </c>
      <c r="RH135" s="147">
        <f t="shared" ref="RH135:RH143" si="1372">BP31</f>
        <v>2E-3</v>
      </c>
      <c r="RI135" s="147">
        <f t="shared" ref="RI135:RI143" si="1373">BQ31</f>
        <v>2E-3</v>
      </c>
      <c r="RJ135" s="147">
        <f t="shared" ref="RJ135:RJ143" si="1374">BR31</f>
        <v>2E-3</v>
      </c>
      <c r="RK135" s="147">
        <f t="shared" ref="RK135:RK143" si="1375">BS31</f>
        <v>2E-3</v>
      </c>
      <c r="RL135" s="147">
        <f t="shared" ref="RL135:RL143" si="1376">BT31</f>
        <v>2E-3</v>
      </c>
      <c r="RM135" s="147">
        <f t="shared" ref="RM135:RM143" si="1377">BU31</f>
        <v>2E-3</v>
      </c>
      <c r="RN135" s="147">
        <f t="shared" ref="RN135:RN143" si="1378">BV31</f>
        <v>2E-3</v>
      </c>
      <c r="RO135" s="147">
        <f t="shared" ref="RO135:RO143" si="1379">BW31</f>
        <v>2E-3</v>
      </c>
      <c r="RP135" s="147">
        <f t="shared" ref="RP135:RP143" si="1380">BX31</f>
        <v>2E-3</v>
      </c>
      <c r="RQ135" s="147">
        <f t="shared" ref="RQ135:RQ143" si="1381">BY31</f>
        <v>2E-3</v>
      </c>
      <c r="RR135" s="147">
        <f t="shared" ref="RR135:RR143" si="1382">BZ31</f>
        <v>2E-3</v>
      </c>
      <c r="RS135" s="147">
        <f t="shared" ref="RS135:RS143" si="1383">CA31</f>
        <v>2E-3</v>
      </c>
      <c r="RT135" s="147">
        <f t="shared" ref="RT135:RT143" si="1384">CB31</f>
        <v>2E-3</v>
      </c>
      <c r="RU135" s="147">
        <f t="shared" ref="RU135:RU143" si="1385">CC31</f>
        <v>2E-3</v>
      </c>
      <c r="RV135" s="147">
        <f t="shared" ref="RV135:RV143" si="1386">CD31</f>
        <v>2E-3</v>
      </c>
      <c r="RW135" s="147">
        <f t="shared" ref="RW135:RW143" si="1387">CE31</f>
        <v>2E-3</v>
      </c>
      <c r="RX135" s="147">
        <f t="shared" ref="RX135:RX143" si="1388">CF31</f>
        <v>2E-3</v>
      </c>
      <c r="RY135" s="147">
        <f t="shared" ref="RY135:RY143" si="1389">CG31</f>
        <v>2E-3</v>
      </c>
      <c r="RZ135" s="147">
        <f t="shared" ref="RZ135:RZ143" si="1390">CH31</f>
        <v>2E-3</v>
      </c>
      <c r="SA135" s="147">
        <f t="shared" ref="SA135:SA143" si="1391">CI31</f>
        <v>2E-3</v>
      </c>
      <c r="SB135" s="147">
        <f t="shared" ref="SB135:SB143" si="1392">CJ31</f>
        <v>2E-3</v>
      </c>
      <c r="SC135" s="147">
        <f t="shared" ref="SC135:SC143" si="1393">CK31</f>
        <v>2E-3</v>
      </c>
      <c r="SD135" s="147">
        <f t="shared" ref="SD135:SD143" si="1394">CL31</f>
        <v>2E-3</v>
      </c>
      <c r="SE135" s="147">
        <f t="shared" ref="SE135:SE143" si="1395">CM31</f>
        <v>2E-3</v>
      </c>
      <c r="SF135" s="147">
        <f t="shared" ref="SF135:SF143" si="1396">CN31</f>
        <v>2E-3</v>
      </c>
      <c r="SG135" s="147">
        <f t="shared" ref="SG135:SG143" si="1397">CO31</f>
        <v>2E-3</v>
      </c>
      <c r="SH135" s="147">
        <f t="shared" ref="SH135:SH143" si="1398">CP31</f>
        <v>2E-3</v>
      </c>
      <c r="SI135" s="147">
        <f t="shared" ref="SI135:SI143" si="1399">CQ31</f>
        <v>2E-3</v>
      </c>
      <c r="SJ135" s="147">
        <f t="shared" ref="SJ135:SJ143" si="1400">CR31</f>
        <v>2E-3</v>
      </c>
      <c r="SK135" s="147">
        <f t="shared" ref="SK135:SK143" si="1401">CS31</f>
        <v>2E-3</v>
      </c>
      <c r="SL135" s="147">
        <f t="shared" ref="SL135:SL143" si="1402">CT31</f>
        <v>2E-3</v>
      </c>
      <c r="SM135" s="147">
        <f t="shared" ref="SM135:SM143" si="1403">CU31</f>
        <v>2E-3</v>
      </c>
      <c r="SN135" s="147">
        <f t="shared" ref="SN135:SN143" si="1404">CV31</f>
        <v>2E-3</v>
      </c>
      <c r="SO135" s="147">
        <f t="shared" ref="SO135:SO143" si="1405">CW31</f>
        <v>2E-3</v>
      </c>
      <c r="SP135" s="147">
        <f t="shared" ref="SP135:SP143" si="1406">CX31</f>
        <v>2E-3</v>
      </c>
      <c r="SQ135" s="147">
        <f t="shared" ref="SQ135:SQ143" si="1407">CY31</f>
        <v>2E-3</v>
      </c>
      <c r="SR135" s="147">
        <f t="shared" ref="SR135:SR143" si="1408">CZ31</f>
        <v>2E-3</v>
      </c>
      <c r="SS135" s="157">
        <f t="shared" ref="SS135:SS143" si="1409">DA31</f>
        <v>2E-3</v>
      </c>
      <c r="ST135" s="157">
        <f t="shared" ref="ST135:ST143" si="1410">DB31</f>
        <v>2E-3</v>
      </c>
      <c r="SU135" s="157">
        <f t="shared" ref="SU135:SU143" si="1411">DC31</f>
        <v>2E-3</v>
      </c>
      <c r="SV135" s="157">
        <f t="shared" ref="SV135:SV143" si="1412">DD31</f>
        <v>2E-3</v>
      </c>
      <c r="SW135" s="157">
        <f t="shared" ref="SW135:SW143" si="1413">DE31</f>
        <v>2E-3</v>
      </c>
      <c r="SX135" s="157">
        <f t="shared" ref="SX135:SX143" si="1414">DF31</f>
        <v>2E-3</v>
      </c>
      <c r="SY135" s="157">
        <f t="shared" ref="SY135:SY143" si="1415">DG31</f>
        <v>2E-3</v>
      </c>
      <c r="SZ135" s="157">
        <f t="shared" ref="SZ135:SZ143" si="1416">DH31</f>
        <v>2E-3</v>
      </c>
      <c r="TA135" s="157">
        <f t="shared" ref="TA135:TA143" si="1417">DI31</f>
        <v>2E-3</v>
      </c>
      <c r="TB135" s="157">
        <f t="shared" ref="TB135:TB143" si="1418">DJ31</f>
        <v>2E-3</v>
      </c>
      <c r="TC135" s="157">
        <f t="shared" ref="TC135:TC143" si="1419">DK31</f>
        <v>2E-3</v>
      </c>
      <c r="TD135" s="157">
        <f t="shared" ref="TD135:TD143" si="1420">DL31</f>
        <v>2E-3</v>
      </c>
      <c r="TE135" s="157">
        <f t="shared" ref="TE135:TE143" si="1421">DM31</f>
        <v>2E-3</v>
      </c>
      <c r="TF135" s="157">
        <f t="shared" ref="TF135:TF143" si="1422">DN31</f>
        <v>2E-3</v>
      </c>
      <c r="TG135" s="157">
        <f t="shared" ref="TG135:TG143" si="1423">DO31</f>
        <v>2E-3</v>
      </c>
      <c r="TH135" s="157">
        <f t="shared" ref="TH135:TH143" si="1424">DP31</f>
        <v>2E-3</v>
      </c>
      <c r="TI135" s="157">
        <f t="shared" ref="TI135:TI143" si="1425">DQ31</f>
        <v>2E-3</v>
      </c>
      <c r="TJ135" s="157">
        <f t="shared" ref="TJ135:TJ143" si="1426">DR31</f>
        <v>2E-3</v>
      </c>
      <c r="TK135" s="157">
        <f t="shared" ref="TK135:TK143" si="1427">DS31</f>
        <v>2E-3</v>
      </c>
      <c r="TL135" s="157">
        <f t="shared" ref="TL135:TL143" si="1428">DT31</f>
        <v>2E-3</v>
      </c>
      <c r="TM135" s="157">
        <f t="shared" ref="TM135:TM143" si="1429">DU31</f>
        <v>2E-3</v>
      </c>
      <c r="TN135" s="157">
        <f t="shared" ref="TN135:TN143" si="1430">DV31</f>
        <v>2E-3</v>
      </c>
      <c r="TO135" s="157">
        <f t="shared" ref="TO135:TO143" si="1431">DW31</f>
        <v>2E-3</v>
      </c>
      <c r="TP135" s="157">
        <f t="shared" ref="TP135:TP143" si="1432">DX31</f>
        <v>2E-3</v>
      </c>
      <c r="TQ135" s="157">
        <f t="shared" ref="TQ135:TQ143" si="1433">DY31</f>
        <v>2E-3</v>
      </c>
      <c r="TR135" s="157">
        <f t="shared" ref="TR135:TR143" si="1434">DZ31</f>
        <v>2E-3</v>
      </c>
      <c r="TS135" s="157">
        <f t="shared" si="1311"/>
        <v>2E-3</v>
      </c>
      <c r="TT135" s="180">
        <f t="shared" si="1286"/>
        <v>2E-3</v>
      </c>
      <c r="TU135" s="157">
        <f t="shared" si="1287"/>
        <v>2E-3</v>
      </c>
      <c r="TV135" s="180">
        <f t="shared" si="1288"/>
        <v>2E-3</v>
      </c>
      <c r="TW135" s="157">
        <f t="shared" si="1289"/>
        <v>2E-3</v>
      </c>
      <c r="TX135" s="157">
        <f t="shared" si="1290"/>
        <v>2E-3</v>
      </c>
      <c r="TY135" s="157">
        <f t="shared" si="1291"/>
        <v>2E-3</v>
      </c>
      <c r="TZ135" s="157">
        <f t="shared" si="1292"/>
        <v>2E-3</v>
      </c>
      <c r="UA135" s="180">
        <f t="shared" si="1293"/>
        <v>2E-3</v>
      </c>
      <c r="UB135" s="157">
        <f t="shared" si="1294"/>
        <v>2E-3</v>
      </c>
      <c r="UC135" s="180">
        <f t="shared" si="1295"/>
        <v>2E-3</v>
      </c>
      <c r="UD135" s="157">
        <f t="shared" si="1296"/>
        <v>2E-3</v>
      </c>
      <c r="UE135" s="157">
        <f t="shared" si="1297"/>
        <v>2E-3</v>
      </c>
      <c r="UF135" s="157">
        <f t="shared" si="1298"/>
        <v>2E-3</v>
      </c>
      <c r="UG135" s="157">
        <f t="shared" si="1299"/>
        <v>2E-3</v>
      </c>
      <c r="UH135" s="180">
        <f t="shared" si="1300"/>
        <v>2E-3</v>
      </c>
      <c r="UI135" s="157">
        <f t="shared" si="1301"/>
        <v>2E-3</v>
      </c>
      <c r="UJ135" s="180">
        <f t="shared" si="1302"/>
        <v>2E-3</v>
      </c>
      <c r="UK135" s="157">
        <f t="shared" si="1303"/>
        <v>2E-3</v>
      </c>
      <c r="UL135" s="157">
        <f t="shared" si="1304"/>
        <v>2E-3</v>
      </c>
      <c r="UM135" s="157">
        <f t="shared" si="1305"/>
        <v>2E-3</v>
      </c>
      <c r="UN135" s="157">
        <f t="shared" si="1306"/>
        <v>2E-3</v>
      </c>
      <c r="UO135" s="180">
        <f t="shared" si="1307"/>
        <v>2E-3</v>
      </c>
      <c r="UP135" s="157">
        <f t="shared" si="1308"/>
        <v>2E-3</v>
      </c>
      <c r="UQ135" s="180">
        <f t="shared" si="1309"/>
        <v>2E-3</v>
      </c>
      <c r="UR135" s="203"/>
      <c r="US135" s="203"/>
    </row>
    <row r="136" spans="1:629" ht="18.75" x14ac:dyDescent="0.25">
      <c r="A136" s="298"/>
      <c r="B136" s="25" t="s">
        <v>15</v>
      </c>
      <c r="BY136" s="18"/>
      <c r="BZ136" s="18"/>
      <c r="CA136" s="18"/>
      <c r="CB136" s="18"/>
      <c r="CC136" s="18"/>
      <c r="CD136" s="18"/>
      <c r="CE136" s="18"/>
      <c r="CF136" s="18"/>
      <c r="CG136" s="18"/>
      <c r="CH136" s="18"/>
      <c r="CI136" s="18"/>
      <c r="CJ136" s="18"/>
      <c r="CK136" s="18"/>
      <c r="CL136" s="18"/>
      <c r="CM136" s="18"/>
      <c r="CN136" s="18"/>
      <c r="CO136" s="18"/>
      <c r="CP136" s="18"/>
      <c r="CQ136" s="18"/>
      <c r="CR136" s="18"/>
      <c r="CS136" s="18"/>
      <c r="CT136" s="18"/>
      <c r="CU136" s="18"/>
      <c r="CV136" s="18"/>
      <c r="CW136" s="18"/>
      <c r="CX136" s="18"/>
      <c r="CY136" s="18"/>
      <c r="CZ136" s="18"/>
      <c r="DA136" s="18"/>
      <c r="DB136" s="18"/>
      <c r="DC136" s="18"/>
      <c r="DD136" s="18"/>
      <c r="DE136" s="18"/>
      <c r="DF136" s="18"/>
      <c r="DG136" s="18"/>
      <c r="DH136" s="18"/>
      <c r="DI136" s="18"/>
      <c r="DJ136" s="18"/>
      <c r="DK136" s="18"/>
      <c r="DL136" s="18"/>
      <c r="DM136" s="18"/>
      <c r="DN136" s="18"/>
      <c r="DO136" s="18"/>
      <c r="DP136" s="18"/>
      <c r="DQ136" s="18"/>
      <c r="DR136" s="18"/>
      <c r="DS136" s="18"/>
      <c r="DT136" s="18"/>
      <c r="DU136" s="18"/>
      <c r="DV136" s="18"/>
      <c r="DW136" s="18"/>
      <c r="DX136" s="18"/>
      <c r="DY136" s="18"/>
      <c r="DZ136" s="18"/>
      <c r="EA136" s="18"/>
      <c r="EB136" s="18"/>
      <c r="EC136" s="18"/>
      <c r="ED136" s="18"/>
      <c r="EE136" s="18"/>
      <c r="EF136" s="18"/>
      <c r="EG136" s="18"/>
      <c r="EH136" s="18"/>
      <c r="EI136" s="18"/>
      <c r="EJ136" s="18"/>
      <c r="EK136" s="18"/>
      <c r="EL136" s="18"/>
      <c r="EM136" s="18"/>
      <c r="EN136" s="18"/>
      <c r="EO136" s="18"/>
      <c r="EP136" s="18"/>
      <c r="EQ136" s="18"/>
      <c r="ER136" s="18"/>
      <c r="ES136" s="18"/>
      <c r="ET136" s="18"/>
      <c r="EU136" s="18"/>
      <c r="EV136" s="18"/>
      <c r="EW136" s="18"/>
      <c r="EX136" s="18"/>
      <c r="EY136" s="18"/>
      <c r="EZ136" s="18"/>
      <c r="FA136" s="18"/>
      <c r="FB136" s="18"/>
      <c r="FC136" s="18"/>
      <c r="FD136" s="18"/>
      <c r="FE136" s="18"/>
      <c r="FF136" s="18"/>
      <c r="FG136" s="18"/>
      <c r="FH136" s="18"/>
      <c r="FI136" s="18"/>
      <c r="FJ136" s="18"/>
      <c r="FK136" s="18"/>
      <c r="FL136" s="18"/>
      <c r="FM136" s="18"/>
      <c r="FN136" s="18"/>
      <c r="FO136" s="18"/>
      <c r="FP136" s="18"/>
      <c r="FQ136" s="18"/>
      <c r="FR136" s="18"/>
      <c r="FS136" s="18"/>
      <c r="FT136" s="18"/>
      <c r="FU136" s="18"/>
      <c r="FV136" s="18"/>
      <c r="FW136" s="18"/>
      <c r="FX136" s="18"/>
      <c r="FY136" s="18"/>
      <c r="FZ136" s="18"/>
      <c r="GA136" s="18"/>
      <c r="GB136" s="18"/>
      <c r="GC136" s="18"/>
      <c r="GD136" s="18"/>
      <c r="GE136" s="18"/>
      <c r="GF136" s="18"/>
      <c r="GG136" s="18"/>
      <c r="GH136" s="18"/>
      <c r="GI136" s="18"/>
      <c r="GJ136" s="18"/>
      <c r="GK136" s="18"/>
      <c r="GL136" s="18"/>
      <c r="GM136" s="18"/>
      <c r="GN136" s="18"/>
      <c r="GO136" s="18"/>
      <c r="GP136" s="18"/>
      <c r="GQ136" s="18"/>
      <c r="GR136" s="18"/>
      <c r="GS136" s="18"/>
      <c r="GT136" s="18"/>
      <c r="GU136" s="18"/>
      <c r="GV136" s="18"/>
      <c r="GW136" s="18"/>
      <c r="GX136" s="18"/>
      <c r="GY136" s="18"/>
      <c r="GZ136" s="18"/>
      <c r="HA136" s="18"/>
      <c r="HB136" s="18"/>
      <c r="HC136" s="18"/>
      <c r="HD136" s="18"/>
      <c r="HE136" s="18"/>
      <c r="HF136" s="18"/>
      <c r="HG136" s="18"/>
      <c r="HH136" s="18"/>
      <c r="HI136" s="18"/>
      <c r="HJ136" s="18"/>
      <c r="HK136" s="18"/>
      <c r="HL136" s="18"/>
      <c r="HM136" s="18"/>
      <c r="HN136" s="18"/>
      <c r="HO136" s="18"/>
      <c r="HP136" s="18"/>
      <c r="HQ136" s="18"/>
      <c r="HR136" s="18"/>
      <c r="HS136" s="18"/>
      <c r="HT136" s="18"/>
      <c r="HU136" s="18"/>
      <c r="HV136" s="18"/>
      <c r="HW136" s="18"/>
      <c r="HX136" s="18"/>
      <c r="HY136" s="18"/>
      <c r="HZ136" s="18"/>
      <c r="IA136" s="18"/>
      <c r="IB136" s="18"/>
      <c r="IC136" s="18"/>
      <c r="ID136" s="18"/>
      <c r="IE136" s="18"/>
      <c r="IF136" s="18"/>
      <c r="IG136" s="18"/>
      <c r="IH136" s="18"/>
      <c r="II136" s="18"/>
      <c r="IJ136" s="18"/>
      <c r="IK136" s="18"/>
      <c r="IL136" s="18"/>
      <c r="IM136" s="18"/>
      <c r="IN136" s="18"/>
      <c r="IO136" s="18"/>
      <c r="IP136" s="18"/>
      <c r="IQ136" s="18"/>
      <c r="IR136" s="18"/>
      <c r="IS136" s="18"/>
      <c r="IT136" s="18"/>
      <c r="IU136" s="18"/>
      <c r="IV136" s="18"/>
      <c r="IW136" s="18"/>
      <c r="IX136" s="18"/>
      <c r="IY136" s="18"/>
      <c r="IZ136" s="18"/>
      <c r="JA136" s="18"/>
      <c r="JB136" s="18"/>
      <c r="JC136" s="18"/>
      <c r="JD136" s="18"/>
      <c r="JE136" s="18"/>
      <c r="JF136" s="18"/>
      <c r="JG136" s="18"/>
      <c r="JH136" s="18"/>
      <c r="JI136" s="18"/>
      <c r="JJ136" s="18"/>
      <c r="JK136" s="18"/>
      <c r="JL136" s="18"/>
      <c r="JM136" s="18"/>
      <c r="JN136" s="18"/>
      <c r="JO136" s="18"/>
      <c r="JP136" s="18"/>
      <c r="JQ136" s="18"/>
      <c r="JR136" s="18"/>
      <c r="JS136" s="18"/>
      <c r="JT136" s="18"/>
      <c r="JU136" s="18"/>
      <c r="JV136" s="18"/>
      <c r="JW136" s="18"/>
      <c r="JX136" s="18"/>
      <c r="JY136" s="18"/>
      <c r="JZ136" s="18"/>
      <c r="KA136" s="18"/>
      <c r="KB136" s="18"/>
      <c r="KC136" s="18"/>
      <c r="KD136" s="18"/>
      <c r="KE136" s="18"/>
      <c r="KF136" s="18"/>
      <c r="KG136" s="18"/>
      <c r="KH136" s="18"/>
      <c r="KI136" s="18"/>
      <c r="KJ136" s="18"/>
      <c r="KK136" s="18"/>
      <c r="KL136" s="18"/>
      <c r="KM136" s="18"/>
      <c r="KN136" s="18"/>
      <c r="KO136" s="18"/>
      <c r="KP136" s="18"/>
      <c r="KQ136" s="18"/>
      <c r="KR136" s="18"/>
      <c r="KS136" s="18"/>
      <c r="KT136" s="18"/>
      <c r="KU136" s="18"/>
      <c r="KV136" s="18"/>
      <c r="KW136" s="18"/>
      <c r="KX136" s="18"/>
      <c r="KY136" s="18"/>
      <c r="KZ136" s="18"/>
      <c r="LA136" s="18"/>
      <c r="LB136" s="18"/>
      <c r="LC136" s="18"/>
      <c r="LD136" s="18"/>
      <c r="LE136" s="18"/>
      <c r="LF136" s="18"/>
      <c r="LG136" s="18"/>
      <c r="LH136" s="18"/>
      <c r="LI136" s="18"/>
      <c r="LJ136" s="18"/>
      <c r="LK136" s="18"/>
      <c r="LL136" s="18"/>
      <c r="LM136" s="18"/>
      <c r="LN136" s="18"/>
      <c r="LO136" s="18"/>
      <c r="LP136" s="18"/>
      <c r="LQ136" s="18"/>
      <c r="LR136" s="18"/>
      <c r="LS136" s="18"/>
      <c r="LT136" s="18"/>
      <c r="LU136" s="18"/>
      <c r="LV136" s="18"/>
      <c r="LW136" s="18"/>
      <c r="LX136" s="18"/>
      <c r="LY136" s="18"/>
      <c r="LZ136" s="18"/>
      <c r="MA136" s="18"/>
      <c r="MB136" s="18"/>
      <c r="MC136" s="18"/>
      <c r="MD136" s="18"/>
      <c r="ME136" s="18"/>
      <c r="MF136" s="18"/>
      <c r="MG136" s="18"/>
      <c r="MH136" s="18"/>
      <c r="MI136" s="18"/>
      <c r="MJ136" s="18"/>
      <c r="MK136" s="18"/>
      <c r="ML136" s="18"/>
      <c r="MM136" s="18"/>
      <c r="MN136" s="18"/>
      <c r="MO136" s="18"/>
      <c r="MP136" s="18"/>
      <c r="MQ136" s="18"/>
      <c r="MR136" s="18"/>
      <c r="MS136" s="18"/>
      <c r="MT136" s="18"/>
      <c r="MU136" s="18"/>
      <c r="MV136" s="18"/>
      <c r="MW136" s="18"/>
      <c r="MX136" s="18"/>
      <c r="MY136" s="18"/>
      <c r="MZ136" s="18"/>
      <c r="NA136" s="18"/>
      <c r="NB136" s="18"/>
      <c r="NC136" s="18"/>
      <c r="ND136" s="18"/>
      <c r="NE136" s="18"/>
      <c r="NF136" s="18"/>
      <c r="NG136" s="18"/>
      <c r="NH136" s="18"/>
      <c r="NI136" s="18"/>
      <c r="NJ136" s="18"/>
      <c r="NK136" s="18"/>
      <c r="NL136" s="18"/>
      <c r="NM136" s="18"/>
      <c r="NN136" s="18"/>
      <c r="NO136" s="18"/>
      <c r="NP136" s="18"/>
      <c r="NQ136" s="18"/>
      <c r="NR136" s="18"/>
      <c r="NS136" s="18"/>
      <c r="NT136" s="18"/>
      <c r="NU136" s="18"/>
      <c r="NV136" s="18"/>
      <c r="NW136" s="18"/>
      <c r="NX136" s="18"/>
      <c r="NY136" s="18"/>
      <c r="NZ136" s="18"/>
      <c r="OA136" s="18"/>
      <c r="OB136" s="18"/>
      <c r="OC136" s="18"/>
      <c r="OD136" s="18"/>
      <c r="OE136" s="18"/>
      <c r="OF136" s="18"/>
      <c r="OG136" s="18"/>
      <c r="OH136" s="18"/>
      <c r="OI136" s="18"/>
      <c r="OJ136" s="18"/>
      <c r="OK136" s="18"/>
      <c r="OL136" s="18"/>
      <c r="OM136" s="18"/>
      <c r="ON136" s="18"/>
      <c r="OO136" s="18"/>
      <c r="OP136" s="18"/>
      <c r="OQ136" s="18"/>
      <c r="OR136" s="18"/>
      <c r="OS136" s="18"/>
      <c r="OT136" s="18"/>
      <c r="OU136" s="139">
        <f t="shared" si="1280"/>
        <v>0.5</v>
      </c>
      <c r="OV136" s="110">
        <f t="shared" si="1281"/>
        <v>0.499</v>
      </c>
      <c r="OW136" s="110">
        <f t="shared" si="1282"/>
        <v>0.498002</v>
      </c>
      <c r="OX136" s="110">
        <f t="shared" si="1283"/>
        <v>0.49700599600000001</v>
      </c>
      <c r="OY136" s="110">
        <f t="shared" si="1312"/>
        <v>0.49601198400799995</v>
      </c>
      <c r="OZ136" s="110">
        <f t="shared" si="1313"/>
        <v>0.495019960039984</v>
      </c>
      <c r="PA136" s="110">
        <f t="shared" si="1314"/>
        <v>0.49402992011990399</v>
      </c>
      <c r="PB136" s="110">
        <f t="shared" si="1315"/>
        <v>0.49304186027966418</v>
      </c>
      <c r="PC136" s="110">
        <f t="shared" si="1316"/>
        <v>0.49205577655910482</v>
      </c>
      <c r="PD136" s="110">
        <f t="shared" si="1317"/>
        <v>0.49107166500598659</v>
      </c>
      <c r="PE136" s="110">
        <f t="shared" si="1318"/>
        <v>0.49008952167597458</v>
      </c>
      <c r="PF136" s="110">
        <f t="shared" si="1319"/>
        <v>0.48910934263262268</v>
      </c>
      <c r="PG136" s="110">
        <f t="shared" si="1320"/>
        <v>0.48813112394735741</v>
      </c>
      <c r="PH136" s="110">
        <f t="shared" si="1321"/>
        <v>0.4871548616994627</v>
      </c>
      <c r="PI136" s="110">
        <f t="shared" si="1322"/>
        <v>0.4861805519760638</v>
      </c>
      <c r="PJ136" s="110">
        <f t="shared" si="1323"/>
        <v>0.48520819087211164</v>
      </c>
      <c r="PK136" s="110">
        <f t="shared" si="1324"/>
        <v>0.48423777449036742</v>
      </c>
      <c r="PL136" s="110">
        <f t="shared" si="1325"/>
        <v>0.4832692989413867</v>
      </c>
      <c r="PM136" s="110">
        <f t="shared" si="1326"/>
        <v>0.48230276034350389</v>
      </c>
      <c r="PN136" s="110">
        <f t="shared" si="1327"/>
        <v>0.48133815482281689</v>
      </c>
      <c r="PO136" s="110">
        <f t="shared" si="1328"/>
        <v>0.48037547851317125</v>
      </c>
      <c r="PP136" s="110">
        <f t="shared" si="1329"/>
        <v>0.47941472755614489</v>
      </c>
      <c r="PQ136" s="110">
        <f t="shared" si="1330"/>
        <v>0.47845589810103262</v>
      </c>
      <c r="PR136" s="110">
        <f t="shared" si="1331"/>
        <v>0.47749898630483056</v>
      </c>
      <c r="PS136" s="110">
        <f t="shared" si="1332"/>
        <v>0.47654398833222095</v>
      </c>
      <c r="PT136" s="110">
        <f t="shared" si="1333"/>
        <v>0.47559090035555646</v>
      </c>
      <c r="PU136" s="110">
        <f t="shared" si="1334"/>
        <v>0.47463971855484532</v>
      </c>
      <c r="PV136" s="110">
        <f t="shared" si="1335"/>
        <v>0.47369043911773567</v>
      </c>
      <c r="PW136" s="110">
        <f t="shared" si="1336"/>
        <v>0.47274305823950019</v>
      </c>
      <c r="PX136" s="110">
        <f t="shared" si="1337"/>
        <v>0.47179757212302115</v>
      </c>
      <c r="PY136" s="110">
        <f t="shared" si="1338"/>
        <v>0.47085397697877512</v>
      </c>
      <c r="PZ136" s="110">
        <f t="shared" si="1339"/>
        <v>0.46991226902481753</v>
      </c>
      <c r="QA136" s="110">
        <f t="shared" si="1340"/>
        <v>0.46897244448676789</v>
      </c>
      <c r="QB136" s="110">
        <f t="shared" si="1341"/>
        <v>0.46803449959779431</v>
      </c>
      <c r="QC136" s="110">
        <f t="shared" si="1342"/>
        <v>0.46709843059859874</v>
      </c>
      <c r="QD136" s="110">
        <f t="shared" si="1343"/>
        <v>0.46616423373740151</v>
      </c>
      <c r="QE136" s="110">
        <f t="shared" si="1344"/>
        <v>0.46523190526992669</v>
      </c>
      <c r="QF136" s="110">
        <f t="shared" si="1345"/>
        <v>0.4643014414593869</v>
      </c>
      <c r="QG136" s="110">
        <f t="shared" si="1346"/>
        <v>0.4633728385764681</v>
      </c>
      <c r="QH136" s="110">
        <f t="shared" si="1347"/>
        <v>0.46244609289931515</v>
      </c>
      <c r="QI136" s="110">
        <f t="shared" si="1348"/>
        <v>0.46152120071351654</v>
      </c>
      <c r="QJ136" s="110">
        <f t="shared" si="1349"/>
        <v>0.4605981583120895</v>
      </c>
      <c r="QK136" s="110">
        <f t="shared" si="1350"/>
        <v>0.45967696199546532</v>
      </c>
      <c r="QL136" s="110">
        <f t="shared" si="1351"/>
        <v>0.45875760807147442</v>
      </c>
      <c r="QM136" s="110">
        <f t="shared" si="1352"/>
        <v>0.4578400928553315</v>
      </c>
      <c r="QN136" s="110">
        <f t="shared" si="1353"/>
        <v>0.45692441266962086</v>
      </c>
      <c r="QO136" s="110">
        <f t="shared" si="1354"/>
        <v>0.45601056384428162</v>
      </c>
      <c r="QP136" s="110">
        <f t="shared" si="1355"/>
        <v>0.45509854271659306</v>
      </c>
      <c r="QQ136" s="110">
        <f t="shared" si="1356"/>
        <v>0.45418834563115984</v>
      </c>
      <c r="QR136" s="110">
        <f t="shared" si="1357"/>
        <v>0.45327996893989753</v>
      </c>
      <c r="QS136" s="110">
        <f t="shared" si="1358"/>
        <v>0.45237340900201772</v>
      </c>
      <c r="QT136" s="148">
        <f t="shared" si="1359"/>
        <v>0.45146866218401371</v>
      </c>
      <c r="QU136" s="148">
        <f t="shared" si="1360"/>
        <v>0.45056572485964563</v>
      </c>
      <c r="QV136" s="148">
        <f t="shared" si="1361"/>
        <v>0.44966459340992637</v>
      </c>
      <c r="QW136" s="148">
        <f t="shared" si="1362"/>
        <v>0.44876526422310653</v>
      </c>
      <c r="QX136" s="148">
        <f t="shared" si="1363"/>
        <v>0.44786773369466026</v>
      </c>
      <c r="QY136" s="148">
        <f t="shared" si="1364"/>
        <v>0.44697199822727096</v>
      </c>
      <c r="QZ136" s="148">
        <f t="shared" si="1365"/>
        <v>0.44607805423081642</v>
      </c>
      <c r="RA136" s="148">
        <f t="shared" si="1366"/>
        <v>0.44518589812235482</v>
      </c>
      <c r="RB136" s="148">
        <f t="shared" si="1367"/>
        <v>0.44429552632611008</v>
      </c>
      <c r="RC136" s="148">
        <f t="shared" si="1368"/>
        <v>0.44340693527345787</v>
      </c>
      <c r="RD136" s="148">
        <f t="shared" si="1369"/>
        <v>0.44252012140291097</v>
      </c>
      <c r="RE136" s="148">
        <f t="shared" si="1370"/>
        <v>0.44163508116010514</v>
      </c>
      <c r="RF136" s="148">
        <f t="shared" si="1371"/>
        <v>0.44075181099778493</v>
      </c>
      <c r="RG136" s="148">
        <f t="shared" si="1310"/>
        <v>0.4398703073757893</v>
      </c>
      <c r="RH136" s="148">
        <f t="shared" si="1372"/>
        <v>0.4389905667610377</v>
      </c>
      <c r="RI136" s="148">
        <f t="shared" si="1373"/>
        <v>0.43811258562751565</v>
      </c>
      <c r="RJ136" s="148">
        <f t="shared" si="1374"/>
        <v>0.43723636045626058</v>
      </c>
      <c r="RK136" s="148">
        <f t="shared" si="1375"/>
        <v>0.43636188773534806</v>
      </c>
      <c r="RL136" s="148">
        <f t="shared" si="1376"/>
        <v>0.4354891639598773</v>
      </c>
      <c r="RM136" s="148">
        <f t="shared" si="1377"/>
        <v>0.43461818563195753</v>
      </c>
      <c r="RN136" s="148">
        <f t="shared" si="1378"/>
        <v>0.43374894926069363</v>
      </c>
      <c r="RO136" s="148">
        <f t="shared" si="1379"/>
        <v>0.43288145136217226</v>
      </c>
      <c r="RP136" s="148">
        <f t="shared" si="1380"/>
        <v>0.43201568845944793</v>
      </c>
      <c r="RQ136" s="148">
        <f t="shared" si="1381"/>
        <v>0.43115165708252906</v>
      </c>
      <c r="RR136" s="148">
        <f t="shared" si="1382"/>
        <v>0.43028935376836397</v>
      </c>
      <c r="RS136" s="148">
        <f t="shared" si="1383"/>
        <v>0.42942877506082727</v>
      </c>
      <c r="RT136" s="148">
        <f t="shared" si="1384"/>
        <v>0.42856991751070567</v>
      </c>
      <c r="RU136" s="148">
        <f t="shared" si="1385"/>
        <v>0.42771277767568422</v>
      </c>
      <c r="RV136" s="148">
        <f t="shared" si="1386"/>
        <v>0.42685735212033288</v>
      </c>
      <c r="RW136" s="148">
        <f t="shared" si="1387"/>
        <v>0.42600363741609221</v>
      </c>
      <c r="RX136" s="148">
        <f t="shared" si="1388"/>
        <v>0.42515163014126001</v>
      </c>
      <c r="RY136" s="148">
        <f t="shared" si="1389"/>
        <v>0.42430132688097749</v>
      </c>
      <c r="RZ136" s="148">
        <f t="shared" si="1390"/>
        <v>0.42345272422721553</v>
      </c>
      <c r="SA136" s="148">
        <f t="shared" si="1391"/>
        <v>0.42260581877876108</v>
      </c>
      <c r="SB136" s="148">
        <f t="shared" si="1392"/>
        <v>0.42176060714120361</v>
      </c>
      <c r="SC136" s="148">
        <f t="shared" si="1393"/>
        <v>0.42091708592692118</v>
      </c>
      <c r="SD136" s="148">
        <f t="shared" si="1394"/>
        <v>0.42007525175506732</v>
      </c>
      <c r="SE136" s="148">
        <f t="shared" si="1395"/>
        <v>0.41923510125155722</v>
      </c>
      <c r="SF136" s="148">
        <f t="shared" si="1396"/>
        <v>0.41839663104905406</v>
      </c>
      <c r="SG136" s="148">
        <f t="shared" si="1397"/>
        <v>0.41755983778695593</v>
      </c>
      <c r="SH136" s="148">
        <f t="shared" si="1398"/>
        <v>0.41672471811138201</v>
      </c>
      <c r="SI136" s="148">
        <f t="shared" si="1399"/>
        <v>0.4158912686751593</v>
      </c>
      <c r="SJ136" s="148">
        <f t="shared" si="1400"/>
        <v>0.41505948613780896</v>
      </c>
      <c r="SK136" s="148">
        <f t="shared" si="1401"/>
        <v>0.41422936716553338</v>
      </c>
      <c r="SL136" s="148">
        <f t="shared" si="1402"/>
        <v>0.41340090843120225</v>
      </c>
      <c r="SM136" s="148">
        <f t="shared" si="1403"/>
        <v>0.41257410661433985</v>
      </c>
      <c r="SN136" s="148">
        <f t="shared" si="1404"/>
        <v>0.4117489584011112</v>
      </c>
      <c r="SO136" s="148">
        <f t="shared" si="1405"/>
        <v>0.41092546048430895</v>
      </c>
      <c r="SP136" s="148">
        <f t="shared" si="1406"/>
        <v>0.4101036095633403</v>
      </c>
      <c r="SQ136" s="148">
        <f t="shared" si="1407"/>
        <v>0.40928340234421362</v>
      </c>
      <c r="SR136" s="148">
        <f t="shared" si="1408"/>
        <v>0.40846483553952517</v>
      </c>
      <c r="SS136" s="158">
        <f t="shared" si="1409"/>
        <v>0.40764790586844613</v>
      </c>
      <c r="ST136" s="158">
        <f t="shared" si="1410"/>
        <v>0.40683261005670923</v>
      </c>
      <c r="SU136" s="158">
        <f t="shared" si="1411"/>
        <v>0.40601894483659579</v>
      </c>
      <c r="SV136" s="158">
        <f t="shared" si="1412"/>
        <v>0.40520690694692257</v>
      </c>
      <c r="SW136" s="158">
        <f t="shared" si="1413"/>
        <v>0.40439649313302872</v>
      </c>
      <c r="SX136" s="158">
        <f t="shared" si="1414"/>
        <v>0.40358770014676271</v>
      </c>
      <c r="SY136" s="158">
        <f t="shared" si="1415"/>
        <v>0.40278052474646914</v>
      </c>
      <c r="SZ136" s="158">
        <f t="shared" si="1416"/>
        <v>0.40197496369697622</v>
      </c>
      <c r="TA136" s="158">
        <f t="shared" si="1417"/>
        <v>0.40117101376958225</v>
      </c>
      <c r="TB136" s="158">
        <f t="shared" si="1418"/>
        <v>0.4003686717420431</v>
      </c>
      <c r="TC136" s="158">
        <f t="shared" si="1419"/>
        <v>0.39956793439855903</v>
      </c>
      <c r="TD136" s="158">
        <f t="shared" si="1420"/>
        <v>0.39876879852976194</v>
      </c>
      <c r="TE136" s="158">
        <f t="shared" si="1421"/>
        <v>0.39797126093270235</v>
      </c>
      <c r="TF136" s="158">
        <f t="shared" si="1422"/>
        <v>0.39717531841083697</v>
      </c>
      <c r="TG136" s="158">
        <f t="shared" si="1423"/>
        <v>0.39638096777401532</v>
      </c>
      <c r="TH136" s="158">
        <f t="shared" si="1424"/>
        <v>0.39558820583846727</v>
      </c>
      <c r="TI136" s="158">
        <f t="shared" si="1425"/>
        <v>0.39479702942679035</v>
      </c>
      <c r="TJ136" s="158">
        <f t="shared" si="1426"/>
        <v>0.39400743536793675</v>
      </c>
      <c r="TK136" s="158">
        <f t="shared" si="1427"/>
        <v>0.39321942049720088</v>
      </c>
      <c r="TL136" s="158">
        <f t="shared" si="1428"/>
        <v>0.39243298165620649</v>
      </c>
      <c r="TM136" s="158">
        <f t="shared" si="1429"/>
        <v>0.39164811569289409</v>
      </c>
      <c r="TN136" s="158">
        <f t="shared" si="1430"/>
        <v>0.39086481946150825</v>
      </c>
      <c r="TO136" s="158">
        <f t="shared" si="1431"/>
        <v>0.39008308982258527</v>
      </c>
      <c r="TP136" s="158">
        <f t="shared" si="1432"/>
        <v>0.38930292364294006</v>
      </c>
      <c r="TQ136" s="158">
        <f t="shared" si="1433"/>
        <v>0.38852431779565422</v>
      </c>
      <c r="TR136" s="158">
        <f t="shared" si="1434"/>
        <v>0.38774726916006291</v>
      </c>
      <c r="TS136" s="158">
        <f t="shared" si="1311"/>
        <v>0.38697177462174281</v>
      </c>
      <c r="TT136" s="158">
        <f t="shared" si="1286"/>
        <v>0.33782635924478144</v>
      </c>
      <c r="TU136" s="158">
        <f t="shared" si="1287"/>
        <v>0.33715070652629187</v>
      </c>
      <c r="TV136" s="158">
        <f t="shared" si="1288"/>
        <v>0.28831201846662613</v>
      </c>
      <c r="TW136" s="158">
        <f t="shared" si="1289"/>
        <v>0.28773539442969287</v>
      </c>
      <c r="TX136" s="158">
        <f t="shared" si="1290"/>
        <v>0.28715992364083348</v>
      </c>
      <c r="TY136" s="158">
        <f t="shared" si="1291"/>
        <v>0.2865856037935518</v>
      </c>
      <c r="TZ136" s="158">
        <f t="shared" si="1292"/>
        <v>0.2860124325859647</v>
      </c>
      <c r="UA136" s="158">
        <f t="shared" si="1293"/>
        <v>0.23777166895646529</v>
      </c>
      <c r="UB136" s="158">
        <f t="shared" si="1294"/>
        <v>0.23729612561855234</v>
      </c>
      <c r="UC136" s="158">
        <f t="shared" si="1295"/>
        <v>0.18936230824360475</v>
      </c>
      <c r="UD136" s="158">
        <f t="shared" si="1296"/>
        <v>0.18898358362711756</v>
      </c>
      <c r="UE136" s="158">
        <f t="shared" si="1297"/>
        <v>0.18860561645986332</v>
      </c>
      <c r="UF136" s="158">
        <f t="shared" si="1298"/>
        <v>0.18822840522694359</v>
      </c>
      <c r="UG136" s="158">
        <f t="shared" si="1299"/>
        <v>0.18785194841648972</v>
      </c>
      <c r="UH136" s="158">
        <f t="shared" si="1300"/>
        <v>0.1405132574155343</v>
      </c>
      <c r="UI136" s="158">
        <f t="shared" si="1301"/>
        <v>0.14023223090070322</v>
      </c>
      <c r="UJ136" s="158">
        <f t="shared" si="1302"/>
        <v>9.320768947200074E-2</v>
      </c>
      <c r="UK136" s="158">
        <f t="shared" si="1303"/>
        <v>9.302127409305673E-2</v>
      </c>
      <c r="UL136" s="158">
        <f t="shared" si="1304"/>
        <v>9.2835231544870625E-2</v>
      </c>
      <c r="UM136" s="158">
        <f t="shared" si="1305"/>
        <v>9.2649561081780893E-2</v>
      </c>
      <c r="UN136" s="158">
        <f t="shared" si="1306"/>
        <v>9.2464261959617336E-2</v>
      </c>
      <c r="UO136" s="158">
        <f t="shared" si="1307"/>
        <v>4.6047202455889426E-2</v>
      </c>
      <c r="UP136" s="158">
        <f t="shared" si="1308"/>
        <v>4.5955108050977654E-2</v>
      </c>
      <c r="UQ136" s="158">
        <f t="shared" si="1309"/>
        <v>-9.1910216101958044E-5</v>
      </c>
      <c r="UR136" s="203"/>
      <c r="US136" s="203"/>
    </row>
    <row r="137" spans="1:629" ht="18.75" x14ac:dyDescent="0.25">
      <c r="A137" s="298"/>
      <c r="B137" s="25" t="s">
        <v>10</v>
      </c>
      <c r="BY137" s="18"/>
      <c r="BZ137" s="18"/>
      <c r="CA137" s="18"/>
      <c r="CB137" s="18"/>
      <c r="CC137" s="18"/>
      <c r="CD137" s="18"/>
      <c r="CE137" s="18"/>
      <c r="CF137" s="18"/>
      <c r="CG137" s="18"/>
      <c r="CH137" s="18"/>
      <c r="CI137" s="18"/>
      <c r="CJ137" s="18"/>
      <c r="CK137" s="18"/>
      <c r="CL137" s="18"/>
      <c r="CM137" s="18"/>
      <c r="CN137" s="18"/>
      <c r="CO137" s="18"/>
      <c r="CP137" s="18"/>
      <c r="CQ137" s="18"/>
      <c r="CR137" s="18"/>
      <c r="CS137" s="18"/>
      <c r="CT137" s="18"/>
      <c r="CU137" s="18"/>
      <c r="CV137" s="18"/>
      <c r="CW137" s="18"/>
      <c r="CX137" s="18"/>
      <c r="CY137" s="18"/>
      <c r="CZ137" s="18"/>
      <c r="DA137" s="18"/>
      <c r="DB137" s="18"/>
      <c r="DC137" s="18"/>
      <c r="DD137" s="18"/>
      <c r="DE137" s="18"/>
      <c r="DF137" s="18"/>
      <c r="DG137" s="18"/>
      <c r="DH137" s="18"/>
      <c r="DI137" s="18"/>
      <c r="DJ137" s="18"/>
      <c r="DK137" s="18"/>
      <c r="DL137" s="18"/>
      <c r="DM137" s="18"/>
      <c r="DN137" s="18"/>
      <c r="DO137" s="18"/>
      <c r="DP137" s="18"/>
      <c r="DQ137" s="18"/>
      <c r="DR137" s="18"/>
      <c r="DS137" s="18"/>
      <c r="DT137" s="18"/>
      <c r="DU137" s="18"/>
      <c r="DV137" s="18"/>
      <c r="DW137" s="18"/>
      <c r="DX137" s="18"/>
      <c r="DY137" s="18"/>
      <c r="DZ137" s="18"/>
      <c r="EA137" s="18"/>
      <c r="EB137" s="18"/>
      <c r="EC137" s="18"/>
      <c r="ED137" s="18"/>
      <c r="EE137" s="18"/>
      <c r="EF137" s="18"/>
      <c r="EG137" s="18"/>
      <c r="EH137" s="18"/>
      <c r="EI137" s="18"/>
      <c r="EJ137" s="18"/>
      <c r="EK137" s="18"/>
      <c r="EL137" s="18"/>
      <c r="EM137" s="18"/>
      <c r="EN137" s="18"/>
      <c r="EO137" s="18"/>
      <c r="EP137" s="18"/>
      <c r="EQ137" s="18"/>
      <c r="ER137" s="18"/>
      <c r="ES137" s="18"/>
      <c r="ET137" s="18"/>
      <c r="EU137" s="18"/>
      <c r="EV137" s="18"/>
      <c r="EW137" s="18"/>
      <c r="EX137" s="18"/>
      <c r="EY137" s="18"/>
      <c r="EZ137" s="18"/>
      <c r="FA137" s="18"/>
      <c r="FB137" s="18"/>
      <c r="FC137" s="18"/>
      <c r="FD137" s="18"/>
      <c r="FE137" s="18"/>
      <c r="FF137" s="18"/>
      <c r="FG137" s="18"/>
      <c r="FH137" s="18"/>
      <c r="FI137" s="18"/>
      <c r="FJ137" s="18"/>
      <c r="FK137" s="18"/>
      <c r="FL137" s="18"/>
      <c r="FM137" s="18"/>
      <c r="FN137" s="18"/>
      <c r="FO137" s="18"/>
      <c r="FP137" s="18"/>
      <c r="FQ137" s="18"/>
      <c r="FR137" s="18"/>
      <c r="FS137" s="18"/>
      <c r="FT137" s="18"/>
      <c r="FU137" s="18"/>
      <c r="FV137" s="18"/>
      <c r="FW137" s="18"/>
      <c r="FX137" s="18"/>
      <c r="FY137" s="18"/>
      <c r="FZ137" s="18"/>
      <c r="GA137" s="18"/>
      <c r="GB137" s="18"/>
      <c r="GC137" s="18"/>
      <c r="GD137" s="18"/>
      <c r="GE137" s="18"/>
      <c r="GF137" s="18"/>
      <c r="GG137" s="18"/>
      <c r="GH137" s="18"/>
      <c r="GI137" s="18"/>
      <c r="GJ137" s="18"/>
      <c r="GK137" s="18"/>
      <c r="GL137" s="18"/>
      <c r="GM137" s="18"/>
      <c r="GN137" s="18"/>
      <c r="GO137" s="18"/>
      <c r="GP137" s="18"/>
      <c r="GQ137" s="18"/>
      <c r="GR137" s="18"/>
      <c r="GS137" s="18"/>
      <c r="GT137" s="18"/>
      <c r="GU137" s="18"/>
      <c r="GV137" s="18"/>
      <c r="GW137" s="18"/>
      <c r="GX137" s="18"/>
      <c r="GY137" s="18"/>
      <c r="GZ137" s="18"/>
      <c r="HA137" s="18"/>
      <c r="HB137" s="18"/>
      <c r="HC137" s="18"/>
      <c r="HD137" s="18"/>
      <c r="HE137" s="18"/>
      <c r="HF137" s="18"/>
      <c r="HG137" s="18"/>
      <c r="HH137" s="18"/>
      <c r="HI137" s="18"/>
      <c r="HJ137" s="18"/>
      <c r="HK137" s="18"/>
      <c r="HL137" s="18"/>
      <c r="HM137" s="18"/>
      <c r="HN137" s="18"/>
      <c r="HO137" s="18"/>
      <c r="HP137" s="18"/>
      <c r="HQ137" s="18"/>
      <c r="HR137" s="18"/>
      <c r="HS137" s="18"/>
      <c r="HT137" s="18"/>
      <c r="HU137" s="18"/>
      <c r="HV137" s="18"/>
      <c r="HW137" s="18"/>
      <c r="HX137" s="18"/>
      <c r="HY137" s="18"/>
      <c r="HZ137" s="18"/>
      <c r="IA137" s="18"/>
      <c r="IB137" s="18"/>
      <c r="IC137" s="18"/>
      <c r="ID137" s="18"/>
      <c r="IE137" s="18"/>
      <c r="IF137" s="18"/>
      <c r="IG137" s="18"/>
      <c r="IH137" s="18"/>
      <c r="II137" s="18"/>
      <c r="IJ137" s="18"/>
      <c r="IK137" s="18"/>
      <c r="IL137" s="18"/>
      <c r="IM137" s="18"/>
      <c r="IN137" s="18"/>
      <c r="IO137" s="18"/>
      <c r="IP137" s="18"/>
      <c r="IQ137" s="18"/>
      <c r="IR137" s="18"/>
      <c r="IS137" s="18"/>
      <c r="IT137" s="18"/>
      <c r="IU137" s="18"/>
      <c r="IV137" s="18"/>
      <c r="IW137" s="18"/>
      <c r="IX137" s="18"/>
      <c r="IY137" s="18"/>
      <c r="IZ137" s="18"/>
      <c r="JA137" s="18"/>
      <c r="JB137" s="18"/>
      <c r="JC137" s="18"/>
      <c r="JD137" s="18"/>
      <c r="JE137" s="18"/>
      <c r="JF137" s="18"/>
      <c r="JG137" s="18"/>
      <c r="JH137" s="18"/>
      <c r="JI137" s="18"/>
      <c r="JJ137" s="18"/>
      <c r="JK137" s="18"/>
      <c r="JL137" s="18"/>
      <c r="JM137" s="18"/>
      <c r="JN137" s="18"/>
      <c r="JO137" s="18"/>
      <c r="JP137" s="18"/>
      <c r="JQ137" s="18"/>
      <c r="JR137" s="18"/>
      <c r="JS137" s="18"/>
      <c r="JT137" s="18"/>
      <c r="JU137" s="18"/>
      <c r="JV137" s="18"/>
      <c r="JW137" s="18"/>
      <c r="JX137" s="18"/>
      <c r="JY137" s="18"/>
      <c r="JZ137" s="18"/>
      <c r="KA137" s="18"/>
      <c r="KB137" s="18"/>
      <c r="KC137" s="18"/>
      <c r="KD137" s="18"/>
      <c r="KE137" s="18"/>
      <c r="KF137" s="18"/>
      <c r="KG137" s="18"/>
      <c r="KH137" s="18"/>
      <c r="KI137" s="18"/>
      <c r="KJ137" s="18"/>
      <c r="KK137" s="18"/>
      <c r="KL137" s="18"/>
      <c r="KM137" s="18"/>
      <c r="KN137" s="18"/>
      <c r="KO137" s="18"/>
      <c r="KP137" s="18"/>
      <c r="KQ137" s="18"/>
      <c r="KR137" s="18"/>
      <c r="KS137" s="18"/>
      <c r="KT137" s="18"/>
      <c r="KU137" s="18"/>
      <c r="KV137" s="18"/>
      <c r="KW137" s="18"/>
      <c r="KX137" s="18"/>
      <c r="KY137" s="18"/>
      <c r="KZ137" s="18"/>
      <c r="LA137" s="18"/>
      <c r="LB137" s="18"/>
      <c r="LC137" s="18"/>
      <c r="LD137" s="18"/>
      <c r="LE137" s="18"/>
      <c r="LF137" s="18"/>
      <c r="LG137" s="18"/>
      <c r="LH137" s="18"/>
      <c r="LI137" s="18"/>
      <c r="LJ137" s="18"/>
      <c r="LK137" s="18"/>
      <c r="LL137" s="18"/>
      <c r="LM137" s="18"/>
      <c r="LN137" s="18"/>
      <c r="LO137" s="18"/>
      <c r="LP137" s="18"/>
      <c r="LQ137" s="18"/>
      <c r="LR137" s="18"/>
      <c r="LS137" s="18"/>
      <c r="LT137" s="18"/>
      <c r="LU137" s="18"/>
      <c r="LV137" s="18"/>
      <c r="LW137" s="18"/>
      <c r="LX137" s="18"/>
      <c r="LY137" s="18"/>
      <c r="LZ137" s="18"/>
      <c r="MA137" s="18"/>
      <c r="MB137" s="18"/>
      <c r="MC137" s="18"/>
      <c r="MD137" s="18"/>
      <c r="ME137" s="18"/>
      <c r="MF137" s="18"/>
      <c r="MG137" s="18"/>
      <c r="MH137" s="18"/>
      <c r="MI137" s="18"/>
      <c r="MJ137" s="18"/>
      <c r="MK137" s="18"/>
      <c r="ML137" s="18"/>
      <c r="MM137" s="18"/>
      <c r="MN137" s="18"/>
      <c r="MO137" s="18"/>
      <c r="MP137" s="18"/>
      <c r="MQ137" s="18"/>
      <c r="MR137" s="18"/>
      <c r="MS137" s="18"/>
      <c r="MT137" s="18"/>
      <c r="MU137" s="18"/>
      <c r="MV137" s="18"/>
      <c r="MW137" s="18"/>
      <c r="MX137" s="18"/>
      <c r="MY137" s="18"/>
      <c r="MZ137" s="18"/>
      <c r="NA137" s="18"/>
      <c r="NB137" s="18"/>
      <c r="NC137" s="18"/>
      <c r="ND137" s="18"/>
      <c r="NE137" s="18"/>
      <c r="NF137" s="18"/>
      <c r="NG137" s="18"/>
      <c r="NH137" s="18"/>
      <c r="NI137" s="18"/>
      <c r="NJ137" s="18"/>
      <c r="NK137" s="18"/>
      <c r="NL137" s="18"/>
      <c r="NM137" s="18"/>
      <c r="NN137" s="18"/>
      <c r="NO137" s="18"/>
      <c r="NP137" s="18"/>
      <c r="NQ137" s="18"/>
      <c r="NR137" s="18"/>
      <c r="NS137" s="18"/>
      <c r="NT137" s="18"/>
      <c r="NU137" s="18"/>
      <c r="NV137" s="18"/>
      <c r="NW137" s="18"/>
      <c r="NX137" s="18"/>
      <c r="NY137" s="18"/>
      <c r="NZ137" s="18"/>
      <c r="OA137" s="18"/>
      <c r="OB137" s="18"/>
      <c r="OC137" s="18"/>
      <c r="OD137" s="18"/>
      <c r="OE137" s="18"/>
      <c r="OF137" s="18"/>
      <c r="OG137" s="18"/>
      <c r="OH137" s="18"/>
      <c r="OI137" s="18"/>
      <c r="OJ137" s="18"/>
      <c r="OK137" s="18"/>
      <c r="OL137" s="18"/>
      <c r="OM137" s="18"/>
      <c r="ON137" s="18"/>
      <c r="OO137" s="18"/>
      <c r="OP137" s="18"/>
      <c r="OQ137" s="18"/>
      <c r="OR137" s="18"/>
      <c r="OS137" s="18"/>
      <c r="OT137" s="18"/>
      <c r="OU137" s="122">
        <f t="shared" si="1280"/>
        <v>0.01</v>
      </c>
      <c r="OV137" s="115">
        <f t="shared" si="1281"/>
        <v>1.1005582593758946E-2</v>
      </c>
      <c r="OW137" s="115">
        <f t="shared" si="1282"/>
        <v>1.2106377159660616E-2</v>
      </c>
      <c r="OX137" s="115">
        <f t="shared" si="1283"/>
        <v>1.329177463494996E-2</v>
      </c>
      <c r="OY137" s="115">
        <f t="shared" si="1312"/>
        <v>1.4588567329531619E-2</v>
      </c>
      <c r="OZ137" s="115">
        <f t="shared" si="1313"/>
        <v>1.6001621613287186E-2</v>
      </c>
      <c r="PA137" s="115">
        <f t="shared" si="1314"/>
        <v>1.7513764350912106E-2</v>
      </c>
      <c r="PB137" s="115">
        <f t="shared" si="1315"/>
        <v>1.9159726586917943E-2</v>
      </c>
      <c r="PC137" s="115">
        <f t="shared" si="1316"/>
        <v>2.0916842913967924E-2</v>
      </c>
      <c r="PD137" s="115">
        <f t="shared" si="1317"/>
        <v>2.2820893014488763E-2</v>
      </c>
      <c r="PE137" s="115">
        <f t="shared" si="1318"/>
        <v>2.4875013679153523E-2</v>
      </c>
      <c r="PF137" s="115">
        <f t="shared" si="1319"/>
        <v>2.7051785083274507E-2</v>
      </c>
      <c r="PG137" s="115">
        <f t="shared" si="1320"/>
        <v>2.9391936164292577E-2</v>
      </c>
      <c r="PH137" s="115">
        <f t="shared" si="1321"/>
        <v>3.1863875340368962E-2</v>
      </c>
      <c r="PI137" s="115">
        <f t="shared" si="1322"/>
        <v>3.4512306780663762E-2</v>
      </c>
      <c r="PJ137" s="115">
        <f t="shared" si="1323"/>
        <v>3.7295557327491485E-2</v>
      </c>
      <c r="PK137" s="115">
        <f t="shared" si="1324"/>
        <v>4.026107129173058E-2</v>
      </c>
      <c r="PL137" s="115">
        <f t="shared" si="1325"/>
        <v>4.3360342612975861E-2</v>
      </c>
      <c r="PM137" s="115">
        <f t="shared" si="1326"/>
        <v>4.664991913528866E-2</v>
      </c>
      <c r="PN137" s="115">
        <f t="shared" si="1327"/>
        <v>5.0082638009534913E-2</v>
      </c>
      <c r="PO137" s="115">
        <f t="shared" si="1328"/>
        <v>5.3713064706430995E-2</v>
      </c>
      <c r="PP137" s="115">
        <f t="shared" si="1329"/>
        <v>5.7488794243371416E-2</v>
      </c>
      <c r="PQ137" s="115">
        <f t="shared" si="1330"/>
        <v>6.1459039321378257E-2</v>
      </c>
      <c r="PR137" s="115">
        <f t="shared" si="1331"/>
        <v>6.5573850206895934E-2</v>
      </c>
      <c r="PS137" s="115">
        <f t="shared" si="1332"/>
        <v>6.9894468866911849E-2</v>
      </c>
      <c r="PT137" s="115">
        <f t="shared" si="1333"/>
        <v>7.4436102539565979E-2</v>
      </c>
      <c r="PU137" s="115">
        <f t="shared" si="1334"/>
        <v>7.9133861530936309E-2</v>
      </c>
      <c r="PV137" s="115">
        <f t="shared" si="1335"/>
        <v>8.405709402530856E-2</v>
      </c>
      <c r="PW137" s="115">
        <f t="shared" si="1336"/>
        <v>8.9135398951392567E-2</v>
      </c>
      <c r="PX137" s="115">
        <f t="shared" si="1337"/>
        <v>9.4441702908772407E-2</v>
      </c>
      <c r="PY137" s="115">
        <f t="shared" si="1338"/>
        <v>9.9980397615493405E-2</v>
      </c>
      <c r="PZ137" s="115">
        <f t="shared" si="1339"/>
        <v>0.10567182625033895</v>
      </c>
      <c r="QA137" s="115">
        <f t="shared" si="1340"/>
        <v>0.11159516930349321</v>
      </c>
      <c r="QB137" s="115">
        <f t="shared" si="1341"/>
        <v>0.11775330649604171</v>
      </c>
      <c r="QC137" s="115">
        <f t="shared" si="1342"/>
        <v>0.12405730544100586</v>
      </c>
      <c r="QD137" s="115">
        <f t="shared" si="1343"/>
        <v>0.13059224509206371</v>
      </c>
      <c r="QE137" s="115">
        <f t="shared" si="1344"/>
        <v>0.13724552354731717</v>
      </c>
      <c r="QF137" s="115">
        <f t="shared" si="1345"/>
        <v>0.14412155178115069</v>
      </c>
      <c r="QG137" s="115">
        <f t="shared" si="1346"/>
        <v>0.15119969398384345</v>
      </c>
      <c r="QH137" s="115">
        <f t="shared" si="1347"/>
        <v>0.15839607220451735</v>
      </c>
      <c r="QI137" s="115">
        <f t="shared" si="1348"/>
        <v>0.16580270216732043</v>
      </c>
      <c r="QJ137" s="115">
        <f t="shared" si="1349"/>
        <v>0.17339414742075068</v>
      </c>
      <c r="QK137" s="115">
        <f t="shared" si="1350"/>
        <v>0.18108161957284974</v>
      </c>
      <c r="QL137" s="115">
        <f t="shared" si="1351"/>
        <v>0.18893592980770582</v>
      </c>
      <c r="QM137" s="115">
        <f t="shared" si="1352"/>
        <v>0.19697531518673633</v>
      </c>
      <c r="QN137" s="115">
        <f t="shared" si="1353"/>
        <v>0.20508349043138344</v>
      </c>
      <c r="QO137" s="115">
        <f t="shared" si="1354"/>
        <v>0.21335880865547383</v>
      </c>
      <c r="QP137" s="115">
        <f t="shared" si="1355"/>
        <v>0.22179470370603419</v>
      </c>
      <c r="QQ137" s="115">
        <f t="shared" si="1356"/>
        <v>0.2302694245156435</v>
      </c>
      <c r="QR137" s="115">
        <f t="shared" si="1357"/>
        <v>0.23888337760373704</v>
      </c>
      <c r="QS137" s="115">
        <f t="shared" si="1358"/>
        <v>0.24751301127415998</v>
      </c>
      <c r="QT137" s="149">
        <f t="shared" si="1359"/>
        <v>0.24751301127415998</v>
      </c>
      <c r="QU137" s="149">
        <f t="shared" si="1360"/>
        <v>0.25606279623273898</v>
      </c>
      <c r="QV137" s="149">
        <f t="shared" si="1361"/>
        <v>0.26459311346923547</v>
      </c>
      <c r="QW137" s="149">
        <f t="shared" si="1362"/>
        <v>0.27320101477409309</v>
      </c>
      <c r="QX137" s="149">
        <f t="shared" si="1363"/>
        <v>0.28194674644970757</v>
      </c>
      <c r="QY137" s="149">
        <f t="shared" si="1364"/>
        <v>0.29071185521092607</v>
      </c>
      <c r="QZ137" s="149">
        <f t="shared" si="1365"/>
        <v>0.29956272485855329</v>
      </c>
      <c r="RA137" s="149">
        <f t="shared" si="1366"/>
        <v>0.3085291339449367</v>
      </c>
      <c r="RB137" s="149">
        <f t="shared" si="1367"/>
        <v>0.31760538538029337</v>
      </c>
      <c r="RC137" s="149">
        <f t="shared" si="1368"/>
        <v>0.32666923608303633</v>
      </c>
      <c r="RD137" s="149">
        <f t="shared" si="1369"/>
        <v>0.33582601815025315</v>
      </c>
      <c r="RE137" s="149">
        <f t="shared" si="1370"/>
        <v>0.34502649758005638</v>
      </c>
      <c r="RF137" s="149">
        <f t="shared" si="1371"/>
        <v>0.35430399149027836</v>
      </c>
      <c r="RG137" s="149">
        <f t="shared" si="1310"/>
        <v>0.36353435599804113</v>
      </c>
      <c r="RH137" s="149">
        <f t="shared" si="1372"/>
        <v>0.3728685923431812</v>
      </c>
      <c r="RI137" s="149">
        <f t="shared" si="1373"/>
        <v>0.38230239189895809</v>
      </c>
      <c r="RJ137" s="149">
        <f t="shared" si="1374"/>
        <v>0.39183122155676026</v>
      </c>
      <c r="RK137" s="149">
        <f t="shared" si="1375"/>
        <v>0.4014503246911697</v>
      </c>
      <c r="RL137" s="149">
        <f t="shared" si="1376"/>
        <v>0.41103491518888063</v>
      </c>
      <c r="RM137" s="149">
        <f t="shared" si="1377"/>
        <v>0.42069579669088308</v>
      </c>
      <c r="RN137" s="149">
        <f t="shared" si="1378"/>
        <v>0.43042762008844304</v>
      </c>
      <c r="RO137" s="149">
        <f t="shared" si="1379"/>
        <v>0.44022482958104225</v>
      </c>
      <c r="RP137" s="149">
        <f t="shared" si="1380"/>
        <v>0.44996146066689308</v>
      </c>
      <c r="RQ137" s="149">
        <f t="shared" si="1381"/>
        <v>0.45974849082461178</v>
      </c>
      <c r="RR137" s="149">
        <f t="shared" si="1382"/>
        <v>0.46963603840576573</v>
      </c>
      <c r="RS137" s="149">
        <f t="shared" si="1383"/>
        <v>0.47962145688694802</v>
      </c>
      <c r="RT137" s="149">
        <f t="shared" si="1384"/>
        <v>0.48970197042433439</v>
      </c>
      <c r="RU137" s="149">
        <f t="shared" si="1385"/>
        <v>0.49975211106370188</v>
      </c>
      <c r="RV137" s="149">
        <f t="shared" si="1386"/>
        <v>0.50988784695218992</v>
      </c>
      <c r="RW137" s="149">
        <f t="shared" si="1387"/>
        <v>0.5201060402778851</v>
      </c>
      <c r="RX137" s="149">
        <f t="shared" si="1388"/>
        <v>0.53040342910440241</v>
      </c>
      <c r="RY137" s="149">
        <f t="shared" si="1389"/>
        <v>0.54077662797381754</v>
      </c>
      <c r="RZ137" s="149">
        <f t="shared" si="1390"/>
        <v>0.55122212867109288</v>
      </c>
      <c r="SA137" s="149">
        <f t="shared" si="1391"/>
        <v>0.56173630115220363</v>
      </c>
      <c r="SB137" s="149">
        <f t="shared" si="1392"/>
        <v>0.57225646043277623</v>
      </c>
      <c r="SC137" s="149">
        <f t="shared" si="1393"/>
        <v>0.58290537824787225</v>
      </c>
      <c r="SD137" s="149">
        <f t="shared" si="1394"/>
        <v>0.59368292544087975</v>
      </c>
      <c r="SE137" s="149">
        <f t="shared" si="1395"/>
        <v>0.6045889244052246</v>
      </c>
      <c r="SF137" s="149">
        <f t="shared" si="1396"/>
        <v>0.61562314826174713</v>
      </c>
      <c r="SG137" s="149">
        <f t="shared" si="1397"/>
        <v>0.62678532005006016</v>
      </c>
      <c r="SH137" s="149">
        <f t="shared" si="1398"/>
        <v>0.63794229085373333</v>
      </c>
      <c r="SI137" s="149">
        <f t="shared" si="1399"/>
        <v>0.64922265671817514</v>
      </c>
      <c r="SJ137" s="149">
        <f t="shared" si="1400"/>
        <v>0.66062595459050899</v>
      </c>
      <c r="SK137" s="149">
        <f t="shared" si="1401"/>
        <v>0.67215166970065821</v>
      </c>
      <c r="SL137" s="149">
        <f t="shared" si="1402"/>
        <v>0.68379923488349403</v>
      </c>
      <c r="SM137" s="149">
        <f t="shared" si="1403"/>
        <v>0.69556802991980082</v>
      </c>
      <c r="SN137" s="149">
        <f t="shared" si="1404"/>
        <v>0.70745738089685739</v>
      </c>
      <c r="SO137" s="149">
        <f t="shared" si="1405"/>
        <v>0.71946655958943639</v>
      </c>
      <c r="SP137" s="149">
        <f t="shared" si="1406"/>
        <v>0.73145375701000881</v>
      </c>
      <c r="SQ137" s="149">
        <f t="shared" si="1407"/>
        <v>0.74355545266823475</v>
      </c>
      <c r="SR137" s="149">
        <f t="shared" si="1408"/>
        <v>0.75577073425771846</v>
      </c>
      <c r="SS137" s="159">
        <f t="shared" si="1409"/>
        <v>0.75577073425771846</v>
      </c>
      <c r="ST137" s="159">
        <f t="shared" si="1410"/>
        <v>0.76801057813871565</v>
      </c>
      <c r="SU137" s="159">
        <f t="shared" si="1411"/>
        <v>0.78035916598687038</v>
      </c>
      <c r="SV137" s="159">
        <f t="shared" si="1412"/>
        <v>0.7928153814107648</v>
      </c>
      <c r="SW137" s="159">
        <f t="shared" si="1413"/>
        <v>0.80537805231907722</v>
      </c>
      <c r="SX137" s="159">
        <f t="shared" si="1414"/>
        <v>0.81790034253895094</v>
      </c>
      <c r="SY137" s="159">
        <f t="shared" si="1415"/>
        <v>0.83052313362689922</v>
      </c>
      <c r="SZ137" s="159">
        <f t="shared" si="1416"/>
        <v>0.84334073433475221</v>
      </c>
      <c r="TA137" s="159">
        <f t="shared" si="1417"/>
        <v>0.85625902121500952</v>
      </c>
      <c r="TB137" s="159">
        <f t="shared" si="1418"/>
        <v>0.86927657250153445</v>
      </c>
      <c r="TC137" s="159">
        <f t="shared" si="1419"/>
        <v>0.88239191018813767</v>
      </c>
      <c r="TD137" s="159">
        <f t="shared" si="1420"/>
        <v>0.8956034998415201</v>
      </c>
      <c r="TE137" s="159">
        <f t="shared" si="1421"/>
        <v>0.9087585430506151</v>
      </c>
      <c r="TF137" s="159">
        <f t="shared" si="1422"/>
        <v>0.92200333872269546</v>
      </c>
      <c r="TG137" s="159">
        <f t="shared" si="1423"/>
        <v>0.93533618897066662</v>
      </c>
      <c r="TH137" s="159">
        <f t="shared" si="1424"/>
        <v>0.94886184209501467</v>
      </c>
      <c r="TI137" s="159">
        <f t="shared" si="1425"/>
        <v>0.96247504487602809</v>
      </c>
      <c r="TJ137" s="159">
        <f t="shared" si="1426"/>
        <v>0.97617396323655636</v>
      </c>
      <c r="TK137" s="159">
        <f t="shared" si="1427"/>
        <v>0.98995670729755714</v>
      </c>
      <c r="TL137" s="159">
        <f t="shared" si="1428"/>
        <v>1.0036655491382722</v>
      </c>
      <c r="TM137" s="159">
        <f t="shared" si="1429"/>
        <v>1.0175642299317702</v>
      </c>
      <c r="TN137" s="159">
        <f t="shared" si="1430"/>
        <v>1.0315408163688777</v>
      </c>
      <c r="TO137" s="159">
        <f t="shared" si="1431"/>
        <v>1.0455932401806174</v>
      </c>
      <c r="TP137" s="159">
        <f t="shared" si="1432"/>
        <v>1.0597193788423986</v>
      </c>
      <c r="TQ137" s="159">
        <f t="shared" si="1433"/>
        <v>1.0739170557785458</v>
      </c>
      <c r="TR137" s="159">
        <f t="shared" si="1434"/>
        <v>1.0881840406000842</v>
      </c>
      <c r="TS137" s="159">
        <f t="shared" si="1311"/>
        <v>1.102358782611909</v>
      </c>
      <c r="TT137" s="159">
        <f t="shared" si="1286"/>
        <v>1.1187742054915824</v>
      </c>
      <c r="TU137" s="159">
        <f t="shared" si="1287"/>
        <v>1.1332228592253859</v>
      </c>
      <c r="TV137" s="159">
        <f t="shared" si="1288"/>
        <v>1.1501557842295889</v>
      </c>
      <c r="TW137" s="159">
        <f t="shared" si="1289"/>
        <v>1.1647536198343733</v>
      </c>
      <c r="TX137" s="159">
        <f t="shared" si="1290"/>
        <v>1.1794070554880456</v>
      </c>
      <c r="TY137" s="159">
        <f t="shared" si="1291"/>
        <v>1.1941135340245252</v>
      </c>
      <c r="TZ137" s="159">
        <f t="shared" si="1292"/>
        <v>1.2087082842146553</v>
      </c>
      <c r="UA137" s="159">
        <f t="shared" si="1293"/>
        <v>1.2262833758099052</v>
      </c>
      <c r="UB137" s="159">
        <f t="shared" si="1294"/>
        <v>1.2411362872744927</v>
      </c>
      <c r="UC137" s="159">
        <f t="shared" si="1295"/>
        <v>1.2597658082352627</v>
      </c>
      <c r="UD137" s="159">
        <f t="shared" si="1296"/>
        <v>1.274746837027948</v>
      </c>
      <c r="UE137" s="159">
        <f t="shared" si="1297"/>
        <v>1.2897656561565338</v>
      </c>
      <c r="UF137" s="159">
        <f t="shared" si="1298"/>
        <v>1.3048194075662316</v>
      </c>
      <c r="UG137" s="159">
        <f t="shared" si="1299"/>
        <v>1.3200488617715675</v>
      </c>
      <c r="UH137" s="159">
        <f t="shared" si="1300"/>
        <v>1.3404116064513016</v>
      </c>
      <c r="UI137" s="159">
        <f t="shared" si="1301"/>
        <v>1.3557612956176492</v>
      </c>
      <c r="UJ137" s="159">
        <f t="shared" si="1302"/>
        <v>1.3788487029134848</v>
      </c>
      <c r="UK137" s="159">
        <f t="shared" si="1303"/>
        <v>1.3943167494848983</v>
      </c>
      <c r="UL137" s="159">
        <f t="shared" si="1304"/>
        <v>1.4098064580811625</v>
      </c>
      <c r="UM137" s="159">
        <f t="shared" si="1305"/>
        <v>1.4254682445589308</v>
      </c>
      <c r="UN137" s="159">
        <f t="shared" si="1306"/>
        <v>1.4411487678555732</v>
      </c>
      <c r="UO137" s="159">
        <f t="shared" si="1307"/>
        <v>1.4726039094623389</v>
      </c>
      <c r="UP137" s="159">
        <f t="shared" si="1308"/>
        <v>1.4886425509786578</v>
      </c>
      <c r="UQ137" s="159">
        <f t="shared" si="1309"/>
        <v>1.5046616392989716</v>
      </c>
      <c r="UR137" s="203"/>
      <c r="US137" s="203"/>
    </row>
    <row r="138" spans="1:629" ht="19.5" thickBot="1" x14ac:dyDescent="0.3">
      <c r="A138" s="298"/>
      <c r="B138" s="25" t="s">
        <v>11</v>
      </c>
      <c r="BY138" s="18"/>
      <c r="BZ138" s="18"/>
      <c r="CA138" s="18"/>
      <c r="CB138" s="18"/>
      <c r="CC138" s="18"/>
      <c r="CD138" s="18"/>
      <c r="CE138" s="18"/>
      <c r="CF138" s="18"/>
      <c r="CG138" s="18"/>
      <c r="CH138" s="18"/>
      <c r="CI138" s="18"/>
      <c r="CJ138" s="18"/>
      <c r="CK138" s="18"/>
      <c r="CL138" s="18"/>
      <c r="CM138" s="18"/>
      <c r="CN138" s="18"/>
      <c r="CO138" s="18"/>
      <c r="CP138" s="18"/>
      <c r="CQ138" s="18"/>
      <c r="CR138" s="18"/>
      <c r="CS138" s="18"/>
      <c r="CT138" s="18"/>
      <c r="CU138" s="18"/>
      <c r="CV138" s="18"/>
      <c r="CW138" s="18"/>
      <c r="CX138" s="18"/>
      <c r="CY138" s="18"/>
      <c r="CZ138" s="18"/>
      <c r="DA138" s="18"/>
      <c r="DB138" s="18"/>
      <c r="DC138" s="18"/>
      <c r="DD138" s="18"/>
      <c r="DE138" s="18"/>
      <c r="DF138" s="18"/>
      <c r="DG138" s="18"/>
      <c r="DH138" s="18"/>
      <c r="DI138" s="18"/>
      <c r="DJ138" s="18"/>
      <c r="DK138" s="18"/>
      <c r="DL138" s="18"/>
      <c r="DM138" s="18"/>
      <c r="DN138" s="18"/>
      <c r="DO138" s="18"/>
      <c r="DP138" s="18"/>
      <c r="DQ138" s="18"/>
      <c r="DR138" s="18"/>
      <c r="DS138" s="18"/>
      <c r="DT138" s="18"/>
      <c r="DU138" s="18"/>
      <c r="DV138" s="18"/>
      <c r="DW138" s="18"/>
      <c r="DX138" s="18"/>
      <c r="DY138" s="18"/>
      <c r="DZ138" s="18"/>
      <c r="EA138" s="18"/>
      <c r="EB138" s="18"/>
      <c r="EC138" s="18"/>
      <c r="ED138" s="18"/>
      <c r="EE138" s="18"/>
      <c r="EF138" s="18"/>
      <c r="EG138" s="18"/>
      <c r="EH138" s="18"/>
      <c r="EI138" s="18"/>
      <c r="EJ138" s="18"/>
      <c r="EK138" s="18"/>
      <c r="EL138" s="18"/>
      <c r="EM138" s="18"/>
      <c r="EN138" s="18"/>
      <c r="EO138" s="18"/>
      <c r="EP138" s="18"/>
      <c r="EQ138" s="18"/>
      <c r="ER138" s="18"/>
      <c r="ES138" s="18"/>
      <c r="ET138" s="18"/>
      <c r="EU138" s="18"/>
      <c r="EV138" s="18"/>
      <c r="EW138" s="18"/>
      <c r="EX138" s="18"/>
      <c r="EY138" s="18"/>
      <c r="EZ138" s="18"/>
      <c r="FA138" s="18"/>
      <c r="FB138" s="18"/>
      <c r="FC138" s="18"/>
      <c r="FD138" s="18"/>
      <c r="FE138" s="18"/>
      <c r="FF138" s="18"/>
      <c r="FG138" s="18"/>
      <c r="FH138" s="18"/>
      <c r="FI138" s="18"/>
      <c r="FJ138" s="18"/>
      <c r="FK138" s="18"/>
      <c r="FL138" s="18"/>
      <c r="FM138" s="18"/>
      <c r="FN138" s="18"/>
      <c r="FO138" s="18"/>
      <c r="FP138" s="18"/>
      <c r="FQ138" s="18"/>
      <c r="FR138" s="18"/>
      <c r="FS138" s="18"/>
      <c r="FT138" s="18"/>
      <c r="FU138" s="18"/>
      <c r="FV138" s="18"/>
      <c r="FW138" s="18"/>
      <c r="FX138" s="18"/>
      <c r="FY138" s="18"/>
      <c r="FZ138" s="18"/>
      <c r="GA138" s="18"/>
      <c r="GB138" s="18"/>
      <c r="GC138" s="18"/>
      <c r="GD138" s="18"/>
      <c r="GE138" s="18"/>
      <c r="GF138" s="18"/>
      <c r="GG138" s="18"/>
      <c r="GH138" s="18"/>
      <c r="GI138" s="18"/>
      <c r="GJ138" s="18"/>
      <c r="GK138" s="18"/>
      <c r="GL138" s="18"/>
      <c r="GM138" s="18"/>
      <c r="GN138" s="18"/>
      <c r="GO138" s="18"/>
      <c r="GP138" s="18"/>
      <c r="GQ138" s="18"/>
      <c r="GR138" s="18"/>
      <c r="GS138" s="18"/>
      <c r="GT138" s="18"/>
      <c r="GU138" s="18"/>
      <c r="GV138" s="18"/>
      <c r="GW138" s="18"/>
      <c r="GX138" s="18"/>
      <c r="GY138" s="18"/>
      <c r="GZ138" s="18"/>
      <c r="HA138" s="18"/>
      <c r="HB138" s="18"/>
      <c r="HC138" s="18"/>
      <c r="HD138" s="18"/>
      <c r="HE138" s="18"/>
      <c r="HF138" s="18"/>
      <c r="HG138" s="18"/>
      <c r="HH138" s="18"/>
      <c r="HI138" s="18"/>
      <c r="HJ138" s="18"/>
      <c r="HK138" s="18"/>
      <c r="HL138" s="18"/>
      <c r="HM138" s="18"/>
      <c r="HN138" s="18"/>
      <c r="HO138" s="18"/>
      <c r="HP138" s="18"/>
      <c r="HQ138" s="18"/>
      <c r="HR138" s="18"/>
      <c r="HS138" s="18"/>
      <c r="HT138" s="18"/>
      <c r="HU138" s="18"/>
      <c r="HV138" s="18"/>
      <c r="HW138" s="18"/>
      <c r="HX138" s="18"/>
      <c r="HY138" s="18"/>
      <c r="HZ138" s="18"/>
      <c r="IA138" s="18"/>
      <c r="IB138" s="18"/>
      <c r="IC138" s="18"/>
      <c r="ID138" s="18"/>
      <c r="IE138" s="18"/>
      <c r="IF138" s="18"/>
      <c r="IG138" s="18"/>
      <c r="IH138" s="18"/>
      <c r="II138" s="18"/>
      <c r="IJ138" s="18"/>
      <c r="IK138" s="18"/>
      <c r="IL138" s="18"/>
      <c r="IM138" s="18"/>
      <c r="IN138" s="18"/>
      <c r="IO138" s="18"/>
      <c r="IP138" s="18"/>
      <c r="IQ138" s="18"/>
      <c r="IR138" s="18"/>
      <c r="IS138" s="18"/>
      <c r="IT138" s="18"/>
      <c r="IU138" s="18"/>
      <c r="IV138" s="18"/>
      <c r="IW138" s="18"/>
      <c r="IX138" s="18"/>
      <c r="IY138" s="18"/>
      <c r="IZ138" s="18"/>
      <c r="JA138" s="18"/>
      <c r="JB138" s="18"/>
      <c r="JC138" s="18"/>
      <c r="JD138" s="18"/>
      <c r="JE138" s="18"/>
      <c r="JF138" s="18"/>
      <c r="JG138" s="18"/>
      <c r="JH138" s="18"/>
      <c r="JI138" s="18"/>
      <c r="JJ138" s="18"/>
      <c r="JK138" s="18"/>
      <c r="JL138" s="18"/>
      <c r="JM138" s="18"/>
      <c r="JN138" s="18"/>
      <c r="JO138" s="18"/>
      <c r="JP138" s="18"/>
      <c r="JQ138" s="18"/>
      <c r="JR138" s="18"/>
      <c r="JS138" s="18"/>
      <c r="JT138" s="18"/>
      <c r="JU138" s="18"/>
      <c r="JV138" s="18"/>
      <c r="JW138" s="18"/>
      <c r="JX138" s="18"/>
      <c r="JY138" s="18"/>
      <c r="JZ138" s="18"/>
      <c r="KA138" s="18"/>
      <c r="KB138" s="18"/>
      <c r="KC138" s="18"/>
      <c r="KD138" s="18"/>
      <c r="KE138" s="18"/>
      <c r="KF138" s="18"/>
      <c r="KG138" s="18"/>
      <c r="KH138" s="18"/>
      <c r="KI138" s="18"/>
      <c r="KJ138" s="18"/>
      <c r="KK138" s="18"/>
      <c r="KL138" s="18"/>
      <c r="KM138" s="18"/>
      <c r="KN138" s="18"/>
      <c r="KO138" s="18"/>
      <c r="KP138" s="18"/>
      <c r="KQ138" s="18"/>
      <c r="KR138" s="18"/>
      <c r="KS138" s="18"/>
      <c r="KT138" s="18"/>
      <c r="KU138" s="18"/>
      <c r="KV138" s="18"/>
      <c r="KW138" s="18"/>
      <c r="KX138" s="18"/>
      <c r="KY138" s="18"/>
      <c r="KZ138" s="18"/>
      <c r="LA138" s="18"/>
      <c r="LB138" s="18"/>
      <c r="LC138" s="18"/>
      <c r="LD138" s="18"/>
      <c r="LE138" s="18"/>
      <c r="LF138" s="18"/>
      <c r="LG138" s="18"/>
      <c r="LH138" s="18"/>
      <c r="LI138" s="18"/>
      <c r="LJ138" s="18"/>
      <c r="LK138" s="18"/>
      <c r="LL138" s="18"/>
      <c r="LM138" s="18"/>
      <c r="LN138" s="18"/>
      <c r="LO138" s="18"/>
      <c r="LP138" s="18"/>
      <c r="LQ138" s="18"/>
      <c r="LR138" s="18"/>
      <c r="LS138" s="18"/>
      <c r="LT138" s="18"/>
      <c r="LU138" s="18"/>
      <c r="LV138" s="18"/>
      <c r="LW138" s="18"/>
      <c r="LX138" s="18"/>
      <c r="LY138" s="18"/>
      <c r="LZ138" s="18"/>
      <c r="MA138" s="18"/>
      <c r="MB138" s="18"/>
      <c r="MC138" s="18"/>
      <c r="MD138" s="18"/>
      <c r="ME138" s="18"/>
      <c r="MF138" s="18"/>
      <c r="MG138" s="18"/>
      <c r="MH138" s="18"/>
      <c r="MI138" s="18"/>
      <c r="MJ138" s="18"/>
      <c r="MK138" s="18"/>
      <c r="ML138" s="18"/>
      <c r="MM138" s="18"/>
      <c r="MN138" s="18"/>
      <c r="MO138" s="18"/>
      <c r="MP138" s="18"/>
      <c r="MQ138" s="18"/>
      <c r="MR138" s="18"/>
      <c r="MS138" s="18"/>
      <c r="MT138" s="18"/>
      <c r="MU138" s="18"/>
      <c r="MV138" s="18"/>
      <c r="MW138" s="18"/>
      <c r="MX138" s="18"/>
      <c r="MY138" s="18"/>
      <c r="MZ138" s="18"/>
      <c r="NA138" s="18"/>
      <c r="NB138" s="18"/>
      <c r="NC138" s="18"/>
      <c r="ND138" s="18"/>
      <c r="NE138" s="18"/>
      <c r="NF138" s="18"/>
      <c r="NG138" s="18"/>
      <c r="NH138" s="18"/>
      <c r="NI138" s="18"/>
      <c r="NJ138" s="18"/>
      <c r="NK138" s="18"/>
      <c r="NL138" s="18"/>
      <c r="NM138" s="18"/>
      <c r="NN138" s="18"/>
      <c r="NO138" s="18"/>
      <c r="NP138" s="18"/>
      <c r="NQ138" s="18"/>
      <c r="NR138" s="18"/>
      <c r="NS138" s="18"/>
      <c r="NT138" s="18"/>
      <c r="NU138" s="18"/>
      <c r="NV138" s="18"/>
      <c r="NW138" s="18"/>
      <c r="NX138" s="18"/>
      <c r="NY138" s="18"/>
      <c r="NZ138" s="18"/>
      <c r="OA138" s="18"/>
      <c r="OB138" s="18"/>
      <c r="OC138" s="18"/>
      <c r="OD138" s="18"/>
      <c r="OE138" s="18"/>
      <c r="OF138" s="18"/>
      <c r="OG138" s="18"/>
      <c r="OH138" s="18"/>
      <c r="OI138" s="18"/>
      <c r="OJ138" s="18"/>
      <c r="OK138" s="18"/>
      <c r="OL138" s="18"/>
      <c r="OM138" s="18"/>
      <c r="ON138" s="18"/>
      <c r="OO138" s="18"/>
      <c r="OP138" s="18"/>
      <c r="OQ138" s="18"/>
      <c r="OR138" s="18"/>
      <c r="OS138" s="18"/>
      <c r="OT138" s="18"/>
      <c r="OU138" s="123">
        <f t="shared" si="1280"/>
        <v>2.5</v>
      </c>
      <c r="OV138" s="110">
        <f t="shared" si="1281"/>
        <v>2.7458928571428571</v>
      </c>
      <c r="OW138" s="110">
        <f t="shared" si="1282"/>
        <v>3.0145000191326532</v>
      </c>
      <c r="OX138" s="110">
        <f t="shared" si="1283"/>
        <v>3.3030458455254204</v>
      </c>
      <c r="OY138" s="110">
        <f t="shared" si="1312"/>
        <v>3.6180521124776339</v>
      </c>
      <c r="OZ138" s="110">
        <f t="shared" si="1313"/>
        <v>3.9605610457921832</v>
      </c>
      <c r="PA138" s="110">
        <f t="shared" si="1314"/>
        <v>4.326161801639965</v>
      </c>
      <c r="PB138" s="110">
        <f t="shared" si="1315"/>
        <v>4.7232736194318816</v>
      </c>
      <c r="PC138" s="110">
        <f t="shared" si="1316"/>
        <v>5.1461266915986474</v>
      </c>
      <c r="PD138" s="110">
        <f t="shared" si="1317"/>
        <v>5.603346964774242</v>
      </c>
      <c r="PE138" s="110">
        <f t="shared" si="1318"/>
        <v>6.0954917778498379</v>
      </c>
      <c r="PF138" s="110">
        <f t="shared" si="1319"/>
        <v>6.615640409559691</v>
      </c>
      <c r="PG138" s="110">
        <f t="shared" si="1320"/>
        <v>7.1735594174325588</v>
      </c>
      <c r="PH138" s="110">
        <f t="shared" si="1321"/>
        <v>7.7613208923231802</v>
      </c>
      <c r="PI138" s="110">
        <f t="shared" si="1322"/>
        <v>8.3896061802951785</v>
      </c>
      <c r="PJ138" s="110">
        <f t="shared" si="1323"/>
        <v>9.0480549492196349</v>
      </c>
      <c r="PK138" s="110">
        <f t="shared" si="1324"/>
        <v>9.7479657804528195</v>
      </c>
      <c r="PL138" s="110">
        <f t="shared" si="1325"/>
        <v>10.477361188215589</v>
      </c>
      <c r="PM138" s="110">
        <f t="shared" si="1326"/>
        <v>11.249692384375482</v>
      </c>
      <c r="PN138" s="110">
        <f t="shared" si="1327"/>
        <v>12.053342284084305</v>
      </c>
      <c r="PO138" s="110">
        <f t="shared" si="1328"/>
        <v>12.90121958038036</v>
      </c>
      <c r="PP138" s="110">
        <f t="shared" si="1329"/>
        <v>13.78048731485859</v>
      </c>
      <c r="PQ138" s="110">
        <f t="shared" si="1330"/>
        <v>14.702719927468356</v>
      </c>
      <c r="PR138" s="110">
        <f t="shared" si="1331"/>
        <v>15.655723500948806</v>
      </c>
      <c r="PS138" s="110">
        <f t="shared" si="1332"/>
        <v>16.653894478100209</v>
      </c>
      <c r="PT138" s="110">
        <f t="shared" si="1333"/>
        <v>17.700566512875355</v>
      </c>
      <c r="PU138" s="110">
        <f t="shared" si="1334"/>
        <v>18.780036882600857</v>
      </c>
      <c r="PV138" s="110">
        <f t="shared" si="1335"/>
        <v>19.908520889904604</v>
      </c>
      <c r="PW138" s="110">
        <f t="shared" si="1336"/>
        <v>21.06907054883963</v>
      </c>
      <c r="PX138" s="110">
        <f t="shared" si="1337"/>
        <v>22.278683069761243</v>
      </c>
      <c r="PY138" s="110">
        <f t="shared" si="1338"/>
        <v>23.538083918587155</v>
      </c>
      <c r="PZ138" s="110">
        <f t="shared" si="1339"/>
        <v>24.828243822646527</v>
      </c>
      <c r="QA138" s="110">
        <f t="shared" si="1340"/>
        <v>26.167529670586966</v>
      </c>
      <c r="QB138" s="110">
        <f t="shared" si="1341"/>
        <v>27.556304940930293</v>
      </c>
      <c r="QC138" s="110">
        <f t="shared" si="1342"/>
        <v>28.973486337892421</v>
      </c>
      <c r="QD138" s="110">
        <f t="shared" si="1343"/>
        <v>30.438716932694408</v>
      </c>
      <c r="QE138" s="110">
        <f t="shared" si="1344"/>
        <v>31.925498204843478</v>
      </c>
      <c r="QF138" s="110">
        <f t="shared" si="1345"/>
        <v>33.457922118675967</v>
      </c>
      <c r="QG138" s="110">
        <f t="shared" si="1346"/>
        <v>35.030915696593432</v>
      </c>
      <c r="QH138" s="110">
        <f t="shared" si="1347"/>
        <v>36.624822360788428</v>
      </c>
      <c r="QI138" s="110">
        <f t="shared" si="1348"/>
        <v>38.260731092903647</v>
      </c>
      <c r="QJ138" s="110">
        <f t="shared" si="1349"/>
        <v>39.932512482046356</v>
      </c>
      <c r="QK138" s="110">
        <f t="shared" si="1350"/>
        <v>41.619524379233077</v>
      </c>
      <c r="QL138" s="110">
        <f t="shared" si="1351"/>
        <v>43.337897618671555</v>
      </c>
      <c r="QM138" s="110">
        <f t="shared" si="1352"/>
        <v>45.091598297651771</v>
      </c>
      <c r="QN138" s="110">
        <f t="shared" si="1353"/>
        <v>46.85382670679784</v>
      </c>
      <c r="QO138" s="110">
        <f t="shared" si="1354"/>
        <v>48.646935318063406</v>
      </c>
      <c r="QP138" s="110">
        <f t="shared" si="1355"/>
        <v>50.469223219437346</v>
      </c>
      <c r="QQ138" s="110">
        <f t="shared" si="1356"/>
        <v>52.292844485099678</v>
      </c>
      <c r="QR138" s="110">
        <f t="shared" si="1357"/>
        <v>54.140524990239868</v>
      </c>
      <c r="QS138" s="110">
        <f t="shared" si="1358"/>
        <v>55.984152341223293</v>
      </c>
      <c r="QT138" s="148">
        <f t="shared" si="1359"/>
        <v>55.872184036540851</v>
      </c>
      <c r="QU138" s="148">
        <f t="shared" si="1360"/>
        <v>57.686559697095888</v>
      </c>
      <c r="QV138" s="148">
        <f t="shared" si="1361"/>
        <v>59.489077393605136</v>
      </c>
      <c r="QW138" s="148">
        <f t="shared" si="1362"/>
        <v>61.30156279055835</v>
      </c>
      <c r="QX138" s="148">
        <f t="shared" si="1363"/>
        <v>63.137425177506771</v>
      </c>
      <c r="QY138" s="148">
        <f t="shared" si="1364"/>
        <v>64.970029415992343</v>
      </c>
      <c r="QZ138" s="148">
        <f t="shared" si="1365"/>
        <v>66.814178712492435</v>
      </c>
      <c r="RA138" s="148">
        <f t="shared" si="1366"/>
        <v>68.676409796094475</v>
      </c>
      <c r="RB138" s="148">
        <f t="shared" si="1367"/>
        <v>70.555325930772227</v>
      </c>
      <c r="RC138" s="148">
        <f t="shared" si="1368"/>
        <v>72.423702409850407</v>
      </c>
      <c r="RD138" s="148">
        <f t="shared" si="1369"/>
        <v>74.304885161053093</v>
      </c>
      <c r="RE138" s="148">
        <f t="shared" si="1370"/>
        <v>76.187902630577511</v>
      </c>
      <c r="RF138" s="148">
        <f t="shared" si="1371"/>
        <v>78.080062946541972</v>
      </c>
      <c r="RG138" s="148">
        <f t="shared" si="1310"/>
        <v>79.953984457258983</v>
      </c>
      <c r="RH138" s="148">
        <f t="shared" si="1372"/>
        <v>81.842897340061725</v>
      </c>
      <c r="RI138" s="148">
        <f t="shared" si="1373"/>
        <v>83.745744703218151</v>
      </c>
      <c r="RJ138" s="148">
        <f t="shared" si="1374"/>
        <v>85.661428613304267</v>
      </c>
      <c r="RK138" s="148">
        <f t="shared" si="1375"/>
        <v>87.588810757103602</v>
      </c>
      <c r="RL138" s="148">
        <f t="shared" si="1376"/>
        <v>89.50062578696236</v>
      </c>
      <c r="RM138" s="148">
        <f t="shared" si="1377"/>
        <v>91.421021930391248</v>
      </c>
      <c r="RN138" s="148">
        <f t="shared" si="1378"/>
        <v>93.348763973071598</v>
      </c>
      <c r="RO138" s="148">
        <f t="shared" si="1379"/>
        <v>95.282581577353255</v>
      </c>
      <c r="RP138" s="148">
        <f t="shared" si="1380"/>
        <v>97.195205105113303</v>
      </c>
      <c r="RQ138" s="148">
        <f t="shared" si="1381"/>
        <v>99.110661830111624</v>
      </c>
      <c r="RR138" s="148">
        <f t="shared" si="1382"/>
        <v>101.03969373597575</v>
      </c>
      <c r="RS138" s="148">
        <f t="shared" si="1383"/>
        <v>102.98162736192573</v>
      </c>
      <c r="RT138" s="148">
        <f t="shared" si="1384"/>
        <v>104.9357665347935</v>
      </c>
      <c r="RU138" s="148">
        <f t="shared" si="1385"/>
        <v>106.87518178617148</v>
      </c>
      <c r="RV138" s="148">
        <f t="shared" si="1386"/>
        <v>108.82468811417466</v>
      </c>
      <c r="RW138" s="148">
        <f t="shared" si="1387"/>
        <v>110.78353250022981</v>
      </c>
      <c r="RX138" s="148">
        <f t="shared" si="1388"/>
        <v>112.75094125812545</v>
      </c>
      <c r="RY138" s="148">
        <f t="shared" si="1389"/>
        <v>114.72612039775575</v>
      </c>
      <c r="RZ138" s="148">
        <f t="shared" si="1390"/>
        <v>116.7082560200495</v>
      </c>
      <c r="SA138" s="148">
        <f t="shared" si="1391"/>
        <v>118.69651474308986</v>
      </c>
      <c r="SB138" s="148">
        <f t="shared" si="1392"/>
        <v>120.67761609630193</v>
      </c>
      <c r="SC138" s="148">
        <f t="shared" si="1393"/>
        <v>122.67741659161207</v>
      </c>
      <c r="SD138" s="148">
        <f t="shared" si="1394"/>
        <v>124.69575218363121</v>
      </c>
      <c r="SE138" s="148">
        <f t="shared" si="1395"/>
        <v>126.73244946929719</v>
      </c>
      <c r="SF138" s="148">
        <f t="shared" si="1396"/>
        <v>128.78732561426366</v>
      </c>
      <c r="SG138" s="148">
        <f t="shared" si="1397"/>
        <v>130.86018828367418</v>
      </c>
      <c r="SH138" s="148">
        <f t="shared" si="1398"/>
        <v>132.92316066367565</v>
      </c>
      <c r="SI138" s="148">
        <f t="shared" si="1399"/>
        <v>135.00301717758964</v>
      </c>
      <c r="SJ138" s="148">
        <f t="shared" si="1400"/>
        <v>137.09953462081808</v>
      </c>
      <c r="SK138" s="148">
        <f t="shared" si="1401"/>
        <v>139.21248038968011</v>
      </c>
      <c r="SL138" s="148">
        <f t="shared" si="1402"/>
        <v>141.34161244269873</v>
      </c>
      <c r="SM138" s="148">
        <f t="shared" si="1403"/>
        <v>143.4866792668291</v>
      </c>
      <c r="SN138" s="148">
        <f t="shared" si="1404"/>
        <v>145.64741984872958</v>
      </c>
      <c r="SO138" s="148">
        <f t="shared" si="1405"/>
        <v>147.82356365117531</v>
      </c>
      <c r="SP138" s="148">
        <f t="shared" si="1406"/>
        <v>149.98591298923552</v>
      </c>
      <c r="SQ138" s="148">
        <f t="shared" si="1407"/>
        <v>152.1624527498235</v>
      </c>
      <c r="SR138" s="148">
        <f t="shared" si="1408"/>
        <v>154.35288433708257</v>
      </c>
      <c r="SS138" s="158">
        <f t="shared" si="1409"/>
        <v>154.0441785684084</v>
      </c>
      <c r="ST138" s="158">
        <f t="shared" si="1410"/>
        <v>156.22587402766794</v>
      </c>
      <c r="SU138" s="158">
        <f t="shared" si="1411"/>
        <v>158.4203025837775</v>
      </c>
      <c r="SV138" s="158">
        <f t="shared" si="1412"/>
        <v>160.62713424070034</v>
      </c>
      <c r="SW138" s="158">
        <f t="shared" si="1413"/>
        <v>162.8460300020719</v>
      </c>
      <c r="SX138" s="158">
        <f t="shared" si="1414"/>
        <v>165.0472590972723</v>
      </c>
      <c r="SY138" s="158">
        <f t="shared" si="1415"/>
        <v>167.25927178816221</v>
      </c>
      <c r="SZ138" s="158">
        <f t="shared" si="1416"/>
        <v>169.50093053419664</v>
      </c>
      <c r="TA138" s="158">
        <f t="shared" si="1417"/>
        <v>171.75314979508781</v>
      </c>
      <c r="TB138" s="158">
        <f t="shared" si="1418"/>
        <v>174.01555335445758</v>
      </c>
      <c r="TC138" s="158">
        <f t="shared" si="1419"/>
        <v>176.28775644193649</v>
      </c>
      <c r="TD138" s="158">
        <f t="shared" si="1420"/>
        <v>178.56936579542639</v>
      </c>
      <c r="TE138" s="158">
        <f t="shared" si="1421"/>
        <v>180.82989163060938</v>
      </c>
      <c r="TF138" s="158">
        <f t="shared" si="1422"/>
        <v>183.09848481652065</v>
      </c>
      <c r="TG138" s="158">
        <f t="shared" si="1423"/>
        <v>185.37473188912605</v>
      </c>
      <c r="TH138" s="158">
        <f t="shared" si="1424"/>
        <v>187.67927685147495</v>
      </c>
      <c r="TI138" s="158">
        <f t="shared" si="1425"/>
        <v>189.99114430723631</v>
      </c>
      <c r="TJ138" s="158">
        <f t="shared" si="1426"/>
        <v>192.30989986389508</v>
      </c>
      <c r="TK138" s="158">
        <f t="shared" si="1427"/>
        <v>194.63510138043125</v>
      </c>
      <c r="TL138" s="158">
        <f t="shared" si="1428"/>
        <v>196.93573201697299</v>
      </c>
      <c r="TM138" s="158">
        <f t="shared" si="1429"/>
        <v>199.2635566246343</v>
      </c>
      <c r="TN138" s="158">
        <f t="shared" si="1430"/>
        <v>201.59650747859911</v>
      </c>
      <c r="TO138" s="158">
        <f t="shared" si="1431"/>
        <v>203.93412091363186</v>
      </c>
      <c r="TP138" s="158">
        <f t="shared" si="1432"/>
        <v>206.27592621221311</v>
      </c>
      <c r="TQ138" s="158">
        <f t="shared" si="1433"/>
        <v>208.62144573273852</v>
      </c>
      <c r="TR138" s="158">
        <f t="shared" si="1434"/>
        <v>210.97019504312283</v>
      </c>
      <c r="TS138" s="158">
        <f t="shared" si="1311"/>
        <v>213.29086718859719</v>
      </c>
      <c r="TT138" s="158">
        <f t="shared" si="1286"/>
        <v>188.9757083290971</v>
      </c>
      <c r="TU138" s="158">
        <f t="shared" si="1287"/>
        <v>191.03344381979173</v>
      </c>
      <c r="TV138" s="158">
        <f t="shared" si="1288"/>
        <v>165.80186785114904</v>
      </c>
      <c r="TW138" s="158">
        <f t="shared" si="1289"/>
        <v>167.57042110822798</v>
      </c>
      <c r="TX138" s="158">
        <f t="shared" si="1290"/>
        <v>169.33921999770371</v>
      </c>
      <c r="TY138" s="158">
        <f t="shared" si="1291"/>
        <v>171.10787407323525</v>
      </c>
      <c r="TZ138" s="158">
        <f t="shared" si="1292"/>
        <v>172.85279832752056</v>
      </c>
      <c r="UA138" s="158">
        <f t="shared" si="1293"/>
        <v>145.78772243994473</v>
      </c>
      <c r="UB138" s="158">
        <f t="shared" si="1294"/>
        <v>147.25841616741585</v>
      </c>
      <c r="UC138" s="158">
        <f t="shared" si="1295"/>
        <v>119.27608064689986</v>
      </c>
      <c r="UD138" s="158">
        <f t="shared" si="1296"/>
        <v>120.4531127394374</v>
      </c>
      <c r="UE138" s="158">
        <f t="shared" si="1297"/>
        <v>121.62852333408158</v>
      </c>
      <c r="UF138" s="158">
        <f t="shared" si="1298"/>
        <v>122.80203809767855</v>
      </c>
      <c r="UG138" s="158">
        <f t="shared" si="1299"/>
        <v>123.98687534437923</v>
      </c>
      <c r="UH138" s="158">
        <f t="shared" si="1300"/>
        <v>94.1728005500308</v>
      </c>
      <c r="UI138" s="158">
        <f t="shared" si="1301"/>
        <v>95.060715526645382</v>
      </c>
      <c r="UJ138" s="158">
        <f t="shared" si="1302"/>
        <v>64.259650865015544</v>
      </c>
      <c r="UK138" s="158">
        <f t="shared" si="1303"/>
        <v>64.850560263187319</v>
      </c>
      <c r="UL138" s="158">
        <f t="shared" si="1304"/>
        <v>65.439854484709329</v>
      </c>
      <c r="UM138" s="158">
        <f t="shared" si="1305"/>
        <v>66.034503597200825</v>
      </c>
      <c r="UN138" s="158">
        <f t="shared" si="1306"/>
        <v>66.627378596888732</v>
      </c>
      <c r="UO138" s="158">
        <f t="shared" si="1307"/>
        <v>33.90464517817329</v>
      </c>
      <c r="UP138" s="158">
        <f t="shared" si="1308"/>
        <v>34.205364639753611</v>
      </c>
      <c r="UQ138" s="160">
        <f t="shared" si="1309"/>
        <v>-6.9146888214147453E-2</v>
      </c>
      <c r="UR138" s="203"/>
      <c r="US138" s="203"/>
    </row>
    <row r="139" spans="1:629" ht="19.5" thickBot="1" x14ac:dyDescent="0.3">
      <c r="A139" s="298"/>
      <c r="B139" s="25" t="s">
        <v>12</v>
      </c>
      <c r="BY139" s="18"/>
      <c r="BZ139" s="18"/>
      <c r="CA139" s="18"/>
      <c r="CB139" s="18"/>
      <c r="CC139" s="18"/>
      <c r="CD139" s="18"/>
      <c r="CE139" s="18"/>
      <c r="CF139" s="18"/>
      <c r="CG139" s="18"/>
      <c r="CH139" s="18"/>
      <c r="CI139" s="18"/>
      <c r="CJ139" s="18"/>
      <c r="CK139" s="18"/>
      <c r="CL139" s="18"/>
      <c r="CM139" s="18"/>
      <c r="CN139" s="18"/>
      <c r="CO139" s="18"/>
      <c r="CP139" s="18"/>
      <c r="CQ139" s="18"/>
      <c r="CR139" s="18"/>
      <c r="CS139" s="18"/>
      <c r="CT139" s="18"/>
      <c r="CU139" s="18"/>
      <c r="CV139" s="18"/>
      <c r="CW139" s="18"/>
      <c r="CX139" s="18"/>
      <c r="CY139" s="18"/>
      <c r="CZ139" s="18"/>
      <c r="DA139" s="18"/>
      <c r="DB139" s="18"/>
      <c r="DC139" s="18"/>
      <c r="DD139" s="18"/>
      <c r="DE139" s="18"/>
      <c r="DF139" s="18"/>
      <c r="DG139" s="18"/>
      <c r="DH139" s="18"/>
      <c r="DI139" s="18"/>
      <c r="DJ139" s="18"/>
      <c r="DK139" s="18"/>
      <c r="DL139" s="18"/>
      <c r="DM139" s="18"/>
      <c r="DN139" s="18"/>
      <c r="DO139" s="18"/>
      <c r="DP139" s="18"/>
      <c r="DQ139" s="18"/>
      <c r="DR139" s="18"/>
      <c r="DS139" s="18"/>
      <c r="DT139" s="18"/>
      <c r="DU139" s="18"/>
      <c r="DV139" s="18"/>
      <c r="DW139" s="18"/>
      <c r="DX139" s="18"/>
      <c r="DY139" s="18"/>
      <c r="DZ139" s="18"/>
      <c r="EA139" s="18"/>
      <c r="EB139" s="18"/>
      <c r="EC139" s="18"/>
      <c r="ED139" s="18"/>
      <c r="EE139" s="18"/>
      <c r="EF139" s="18"/>
      <c r="EG139" s="18"/>
      <c r="EH139" s="18"/>
      <c r="EI139" s="18"/>
      <c r="EJ139" s="18"/>
      <c r="EK139" s="18"/>
      <c r="EL139" s="18"/>
      <c r="EM139" s="18"/>
      <c r="EN139" s="18"/>
      <c r="EO139" s="18"/>
      <c r="EP139" s="18"/>
      <c r="EQ139" s="18"/>
      <c r="ER139" s="18"/>
      <c r="ES139" s="18"/>
      <c r="ET139" s="18"/>
      <c r="EU139" s="18"/>
      <c r="EV139" s="18"/>
      <c r="EW139" s="18"/>
      <c r="EX139" s="18"/>
      <c r="EY139" s="18"/>
      <c r="EZ139" s="18"/>
      <c r="FA139" s="18"/>
      <c r="FB139" s="18"/>
      <c r="FC139" s="18"/>
      <c r="FD139" s="18"/>
      <c r="FE139" s="18"/>
      <c r="FF139" s="18"/>
      <c r="FG139" s="18"/>
      <c r="FH139" s="18"/>
      <c r="FI139" s="18"/>
      <c r="FJ139" s="18"/>
      <c r="FK139" s="18"/>
      <c r="FL139" s="18"/>
      <c r="FM139" s="18"/>
      <c r="FN139" s="18"/>
      <c r="FO139" s="18"/>
      <c r="FP139" s="18"/>
      <c r="FQ139" s="18"/>
      <c r="FR139" s="18"/>
      <c r="FS139" s="18"/>
      <c r="FT139" s="18"/>
      <c r="FU139" s="18"/>
      <c r="FV139" s="18"/>
      <c r="FW139" s="18"/>
      <c r="FX139" s="18"/>
      <c r="FY139" s="18"/>
      <c r="FZ139" s="18"/>
      <c r="GA139" s="18"/>
      <c r="GB139" s="18"/>
      <c r="GC139" s="18"/>
      <c r="GD139" s="18"/>
      <c r="GE139" s="18"/>
      <c r="GF139" s="18"/>
      <c r="GG139" s="18"/>
      <c r="GH139" s="18"/>
      <c r="GI139" s="18"/>
      <c r="GJ139" s="18"/>
      <c r="GK139" s="18"/>
      <c r="GL139" s="18"/>
      <c r="GM139" s="18"/>
      <c r="GN139" s="18"/>
      <c r="GO139" s="18"/>
      <c r="GP139" s="18"/>
      <c r="GQ139" s="18"/>
      <c r="GR139" s="18"/>
      <c r="GS139" s="18"/>
      <c r="GT139" s="18"/>
      <c r="GU139" s="18"/>
      <c r="GV139" s="18"/>
      <c r="GW139" s="18"/>
      <c r="GX139" s="18"/>
      <c r="GY139" s="18"/>
      <c r="GZ139" s="18"/>
      <c r="HA139" s="18"/>
      <c r="HB139" s="18"/>
      <c r="HC139" s="18"/>
      <c r="HD139" s="18"/>
      <c r="HE139" s="18"/>
      <c r="HF139" s="18"/>
      <c r="HG139" s="18"/>
      <c r="HH139" s="18"/>
      <c r="HI139" s="18"/>
      <c r="HJ139" s="18"/>
      <c r="HK139" s="18"/>
      <c r="HL139" s="18"/>
      <c r="HM139" s="18"/>
      <c r="HN139" s="18"/>
      <c r="HO139" s="18"/>
      <c r="HP139" s="18"/>
      <c r="HQ139" s="18"/>
      <c r="HR139" s="18"/>
      <c r="HS139" s="18"/>
      <c r="HT139" s="18"/>
      <c r="HU139" s="18"/>
      <c r="HV139" s="18"/>
      <c r="HW139" s="18"/>
      <c r="HX139" s="18"/>
      <c r="HY139" s="18"/>
      <c r="HZ139" s="18"/>
      <c r="IA139" s="18"/>
      <c r="IB139" s="18"/>
      <c r="IC139" s="18"/>
      <c r="ID139" s="18"/>
      <c r="IE139" s="18"/>
      <c r="IF139" s="18"/>
      <c r="IG139" s="18"/>
      <c r="IH139" s="18"/>
      <c r="II139" s="18"/>
      <c r="IJ139" s="18"/>
      <c r="IK139" s="18"/>
      <c r="IL139" s="18"/>
      <c r="IM139" s="18"/>
      <c r="IN139" s="18"/>
      <c r="IO139" s="18"/>
      <c r="IP139" s="18"/>
      <c r="IQ139" s="18"/>
      <c r="IR139" s="18"/>
      <c r="IS139" s="18"/>
      <c r="IT139" s="18"/>
      <c r="IU139" s="18"/>
      <c r="IV139" s="18"/>
      <c r="IW139" s="18"/>
      <c r="IX139" s="18"/>
      <c r="IY139" s="18"/>
      <c r="IZ139" s="18"/>
      <c r="JA139" s="18"/>
      <c r="JB139" s="18"/>
      <c r="JC139" s="18"/>
      <c r="JD139" s="18"/>
      <c r="JE139" s="18"/>
      <c r="JF139" s="18"/>
      <c r="JG139" s="18"/>
      <c r="JH139" s="18"/>
      <c r="JI139" s="18"/>
      <c r="JJ139" s="18"/>
      <c r="JK139" s="18"/>
      <c r="JL139" s="18"/>
      <c r="JM139" s="18"/>
      <c r="JN139" s="18"/>
      <c r="JO139" s="18"/>
      <c r="JP139" s="18"/>
      <c r="JQ139" s="18"/>
      <c r="JR139" s="18"/>
      <c r="JS139" s="18"/>
      <c r="JT139" s="18"/>
      <c r="JU139" s="18"/>
      <c r="JV139" s="18"/>
      <c r="JW139" s="18"/>
      <c r="JX139" s="18"/>
      <c r="JY139" s="18"/>
      <c r="JZ139" s="18"/>
      <c r="KA139" s="18"/>
      <c r="KB139" s="18"/>
      <c r="KC139" s="18"/>
      <c r="KD139" s="18"/>
      <c r="KE139" s="18"/>
      <c r="KF139" s="18"/>
      <c r="KG139" s="18"/>
      <c r="KH139" s="18"/>
      <c r="KI139" s="18"/>
      <c r="KJ139" s="18"/>
      <c r="KK139" s="18"/>
      <c r="KL139" s="18"/>
      <c r="KM139" s="18"/>
      <c r="KN139" s="18"/>
      <c r="KO139" s="18"/>
      <c r="KP139" s="18"/>
      <c r="KQ139" s="18"/>
      <c r="KR139" s="18"/>
      <c r="KS139" s="18"/>
      <c r="KT139" s="18"/>
      <c r="KU139" s="18"/>
      <c r="KV139" s="18"/>
      <c r="KW139" s="18"/>
      <c r="KX139" s="18"/>
      <c r="KY139" s="18"/>
      <c r="KZ139" s="18"/>
      <c r="LA139" s="18"/>
      <c r="LB139" s="18"/>
      <c r="LC139" s="18"/>
      <c r="LD139" s="18"/>
      <c r="LE139" s="18"/>
      <c r="LF139" s="18"/>
      <c r="LG139" s="18"/>
      <c r="LH139" s="18"/>
      <c r="LI139" s="18"/>
      <c r="LJ139" s="18"/>
      <c r="LK139" s="18"/>
      <c r="LL139" s="18"/>
      <c r="LM139" s="18"/>
      <c r="LN139" s="18"/>
      <c r="LO139" s="18"/>
      <c r="LP139" s="18"/>
      <c r="LQ139" s="18"/>
      <c r="LR139" s="18"/>
      <c r="LS139" s="18"/>
      <c r="LT139" s="18"/>
      <c r="LU139" s="18"/>
      <c r="LV139" s="18"/>
      <c r="LW139" s="18"/>
      <c r="LX139" s="18"/>
      <c r="LY139" s="18"/>
      <c r="LZ139" s="18"/>
      <c r="MA139" s="18"/>
      <c r="MB139" s="18"/>
      <c r="MC139" s="18"/>
      <c r="MD139" s="18"/>
      <c r="ME139" s="18"/>
      <c r="MF139" s="18"/>
      <c r="MG139" s="18"/>
      <c r="MH139" s="18"/>
      <c r="MI139" s="18"/>
      <c r="MJ139" s="18"/>
      <c r="MK139" s="18"/>
      <c r="ML139" s="18"/>
      <c r="MM139" s="18"/>
      <c r="MN139" s="18"/>
      <c r="MO139" s="18"/>
      <c r="MP139" s="18"/>
      <c r="MQ139" s="18"/>
      <c r="MR139" s="18"/>
      <c r="MS139" s="18"/>
      <c r="MT139" s="18"/>
      <c r="MU139" s="18"/>
      <c r="MV139" s="18"/>
      <c r="MW139" s="18"/>
      <c r="MX139" s="18"/>
      <c r="MY139" s="18"/>
      <c r="MZ139" s="18"/>
      <c r="NA139" s="18"/>
      <c r="NB139" s="18"/>
      <c r="NC139" s="18"/>
      <c r="ND139" s="18"/>
      <c r="NE139" s="18"/>
      <c r="NF139" s="18"/>
      <c r="NG139" s="18"/>
      <c r="NH139" s="18"/>
      <c r="NI139" s="18"/>
      <c r="NJ139" s="18"/>
      <c r="NK139" s="18"/>
      <c r="NL139" s="18"/>
      <c r="NM139" s="18"/>
      <c r="NN139" s="18"/>
      <c r="NO139" s="18"/>
      <c r="NP139" s="18"/>
      <c r="NQ139" s="18"/>
      <c r="NR139" s="18"/>
      <c r="NS139" s="18"/>
      <c r="NT139" s="18"/>
      <c r="NU139" s="18"/>
      <c r="NV139" s="18"/>
      <c r="NW139" s="18"/>
      <c r="NX139" s="18"/>
      <c r="NY139" s="18"/>
      <c r="NZ139" s="18"/>
      <c r="OA139" s="18"/>
      <c r="OB139" s="18"/>
      <c r="OC139" s="18"/>
      <c r="OD139" s="18"/>
      <c r="OE139" s="18"/>
      <c r="OF139" s="18"/>
      <c r="OG139" s="18"/>
      <c r="OH139" s="18"/>
      <c r="OI139" s="18"/>
      <c r="OJ139" s="18"/>
      <c r="OK139" s="18"/>
      <c r="OL139" s="18"/>
      <c r="OM139" s="18"/>
      <c r="ON139" s="18"/>
      <c r="OO139" s="18"/>
      <c r="OP139" s="18"/>
      <c r="OQ139" s="18"/>
      <c r="OR139" s="18"/>
      <c r="OS139" s="18"/>
      <c r="OT139" s="18"/>
      <c r="OU139" s="118">
        <f t="shared" si="1280"/>
        <v>5.62E-2</v>
      </c>
      <c r="OV139" s="116">
        <f t="shared" si="1281"/>
        <v>5.5899999999999998E-2</v>
      </c>
      <c r="OW139" s="116">
        <f t="shared" si="1282"/>
        <v>5.57E-2</v>
      </c>
      <c r="OX139" s="116">
        <f t="shared" si="1283"/>
        <v>5.5500000000000001E-2</v>
      </c>
      <c r="OY139" s="116">
        <f t="shared" si="1312"/>
        <v>5.5099999999999996E-2</v>
      </c>
      <c r="OZ139" s="116">
        <f t="shared" si="1313"/>
        <v>5.4699999999999999E-2</v>
      </c>
      <c r="PA139" s="116">
        <f t="shared" si="1314"/>
        <v>5.4400000000000004E-2</v>
      </c>
      <c r="PB139" s="116">
        <f t="shared" si="1315"/>
        <v>5.4000000000000006E-2</v>
      </c>
      <c r="PC139" s="116">
        <f t="shared" si="1316"/>
        <v>5.3600000000000002E-2</v>
      </c>
      <c r="PD139" s="116">
        <f t="shared" si="1317"/>
        <v>5.2999999999999999E-2</v>
      </c>
      <c r="PE139" s="116">
        <f t="shared" si="1318"/>
        <v>5.2400000000000002E-2</v>
      </c>
      <c r="PF139" s="116">
        <f t="shared" si="1319"/>
        <v>5.1799999999999999E-2</v>
      </c>
      <c r="PG139" s="116">
        <f t="shared" si="1320"/>
        <v>5.1200000000000002E-2</v>
      </c>
      <c r="PH139" s="116">
        <f t="shared" si="1321"/>
        <v>5.0599999999999999E-2</v>
      </c>
      <c r="PI139" s="116">
        <f t="shared" si="1322"/>
        <v>4.99E-2</v>
      </c>
      <c r="PJ139" s="116">
        <f t="shared" si="1323"/>
        <v>4.9200000000000001E-2</v>
      </c>
      <c r="PK139" s="116">
        <f t="shared" si="1324"/>
        <v>4.8399999999999999E-2</v>
      </c>
      <c r="PL139" s="116">
        <f t="shared" si="1325"/>
        <v>4.7699999999999992E-2</v>
      </c>
      <c r="PM139" s="116">
        <f t="shared" si="1326"/>
        <v>4.7E-2</v>
      </c>
      <c r="PN139" s="116">
        <f t="shared" si="1327"/>
        <v>4.6300000000000001E-2</v>
      </c>
      <c r="PO139" s="116">
        <f t="shared" si="1328"/>
        <v>4.5599999999999995E-2</v>
      </c>
      <c r="PP139" s="116">
        <f t="shared" si="1329"/>
        <v>4.4800000000000006E-2</v>
      </c>
      <c r="PQ139" s="116">
        <f t="shared" si="1330"/>
        <v>4.41E-2</v>
      </c>
      <c r="PR139" s="116">
        <f t="shared" si="1331"/>
        <v>4.3400000000000001E-2</v>
      </c>
      <c r="PS139" s="116">
        <f t="shared" si="1332"/>
        <v>4.2800000000000005E-2</v>
      </c>
      <c r="PT139" s="116">
        <f t="shared" si="1333"/>
        <v>4.2199999999999994E-2</v>
      </c>
      <c r="PU139" s="116">
        <f t="shared" si="1334"/>
        <v>4.1599999999999998E-2</v>
      </c>
      <c r="PV139" s="116">
        <f t="shared" si="1335"/>
        <v>4.0999999999999995E-2</v>
      </c>
      <c r="PW139" s="116">
        <f t="shared" si="1336"/>
        <v>4.0399999999999998E-2</v>
      </c>
      <c r="PX139" s="116">
        <f t="shared" si="1337"/>
        <v>3.9800000000000002E-2</v>
      </c>
      <c r="PY139" s="116">
        <f t="shared" si="1338"/>
        <v>3.9199999999999999E-2</v>
      </c>
      <c r="PZ139" s="116">
        <f t="shared" si="1339"/>
        <v>3.8599999999999995E-2</v>
      </c>
      <c r="QA139" s="116">
        <f t="shared" si="1340"/>
        <v>3.7999999999999999E-2</v>
      </c>
      <c r="QB139" s="116">
        <f t="shared" si="1341"/>
        <v>3.7400000000000003E-2</v>
      </c>
      <c r="QC139" s="116">
        <f t="shared" si="1342"/>
        <v>3.6799999999999999E-2</v>
      </c>
      <c r="QD139" s="116">
        <f t="shared" si="1343"/>
        <v>3.61E-2</v>
      </c>
      <c r="QE139" s="116">
        <f t="shared" si="1344"/>
        <v>3.5499999999999997E-2</v>
      </c>
      <c r="QF139" s="116">
        <f t="shared" si="1345"/>
        <v>3.4799999999999998E-2</v>
      </c>
      <c r="QG139" s="116">
        <f t="shared" si="1346"/>
        <v>3.4200000000000001E-2</v>
      </c>
      <c r="QH139" s="116">
        <f t="shared" si="1347"/>
        <v>3.3599999999999998E-2</v>
      </c>
      <c r="QI139" s="116">
        <f t="shared" si="1348"/>
        <v>3.2899999999999999E-2</v>
      </c>
      <c r="QJ139" s="116">
        <f t="shared" si="1349"/>
        <v>3.2300000000000002E-2</v>
      </c>
      <c r="QK139" s="116">
        <f t="shared" si="1350"/>
        <v>3.1600000000000003E-2</v>
      </c>
      <c r="QL139" s="116">
        <f t="shared" si="1351"/>
        <v>3.1E-2</v>
      </c>
      <c r="QM139" s="116">
        <f t="shared" si="1352"/>
        <v>3.04E-2</v>
      </c>
      <c r="QN139" s="116">
        <f t="shared" si="1353"/>
        <v>2.98E-2</v>
      </c>
      <c r="QO139" s="116">
        <f t="shared" si="1354"/>
        <v>2.92E-2</v>
      </c>
      <c r="QP139" s="116">
        <f t="shared" si="1355"/>
        <v>2.86E-2</v>
      </c>
      <c r="QQ139" s="116">
        <f t="shared" si="1356"/>
        <v>2.7999999999999997E-2</v>
      </c>
      <c r="QR139" s="116">
        <f t="shared" si="1357"/>
        <v>2.7400000000000001E-2</v>
      </c>
      <c r="QS139" s="171">
        <f t="shared" si="1358"/>
        <v>2.6800000000000001E-2</v>
      </c>
      <c r="QT139" s="150">
        <f t="shared" si="1359"/>
        <v>2.6200000000000001E-2</v>
      </c>
      <c r="QU139" s="150">
        <f t="shared" si="1360"/>
        <v>2.5600000000000001E-2</v>
      </c>
      <c r="QV139" s="150">
        <f t="shared" si="1361"/>
        <v>2.5000000000000001E-2</v>
      </c>
      <c r="QW139" s="150">
        <f t="shared" si="1362"/>
        <v>2.46E-2</v>
      </c>
      <c r="QX139" s="150">
        <f t="shared" si="1363"/>
        <v>2.4199999999999999E-2</v>
      </c>
      <c r="QY139" s="150">
        <f t="shared" si="1364"/>
        <v>2.3700000000000002E-2</v>
      </c>
      <c r="QZ139" s="150">
        <f t="shared" si="1365"/>
        <v>2.3300000000000001E-2</v>
      </c>
      <c r="RA139" s="150">
        <f t="shared" si="1366"/>
        <v>2.29E-2</v>
      </c>
      <c r="RB139" s="150">
        <f t="shared" si="1367"/>
        <v>2.2499999999999999E-2</v>
      </c>
      <c r="RC139" s="150">
        <f t="shared" si="1368"/>
        <v>2.2099999999999998E-2</v>
      </c>
      <c r="RD139" s="150">
        <f t="shared" si="1369"/>
        <v>2.1600000000000001E-2</v>
      </c>
      <c r="RE139" s="150">
        <f t="shared" si="1370"/>
        <v>2.12E-2</v>
      </c>
      <c r="RF139" s="150">
        <f t="shared" si="1371"/>
        <v>2.0799999999999999E-2</v>
      </c>
      <c r="RG139" s="150">
        <f t="shared" si="1310"/>
        <v>2.0499999999999997E-2</v>
      </c>
      <c r="RH139" s="150">
        <f t="shared" si="1372"/>
        <v>2.0199999999999999E-2</v>
      </c>
      <c r="RI139" s="150">
        <f t="shared" si="1373"/>
        <v>1.9900000000000001E-2</v>
      </c>
      <c r="RJ139" s="150">
        <f t="shared" si="1374"/>
        <v>1.9599999999999999E-2</v>
      </c>
      <c r="RK139" s="150">
        <f t="shared" si="1375"/>
        <v>1.9299999999999998E-2</v>
      </c>
      <c r="RL139" s="150">
        <f t="shared" si="1376"/>
        <v>1.9E-2</v>
      </c>
      <c r="RM139" s="150">
        <f t="shared" si="1377"/>
        <v>1.8700000000000001E-2</v>
      </c>
      <c r="RN139" s="150">
        <f t="shared" si="1378"/>
        <v>1.84E-2</v>
      </c>
      <c r="RO139" s="150">
        <f t="shared" si="1379"/>
        <v>1.8100000000000002E-2</v>
      </c>
      <c r="RP139" s="150">
        <f t="shared" si="1380"/>
        <v>1.78E-2</v>
      </c>
      <c r="RQ139" s="150">
        <f t="shared" si="1381"/>
        <v>1.7600000000000001E-2</v>
      </c>
      <c r="RR139" s="150">
        <f t="shared" si="1382"/>
        <v>1.7399999999999999E-2</v>
      </c>
      <c r="RS139" s="150">
        <f t="shared" si="1383"/>
        <v>1.72E-2</v>
      </c>
      <c r="RT139" s="150">
        <f t="shared" si="1384"/>
        <v>1.7000000000000001E-2</v>
      </c>
      <c r="RU139" s="150">
        <f t="shared" si="1385"/>
        <v>1.6799999999999999E-2</v>
      </c>
      <c r="RV139" s="150">
        <f t="shared" si="1386"/>
        <v>1.66E-2</v>
      </c>
      <c r="RW139" s="150">
        <f t="shared" si="1387"/>
        <v>1.6399999999999998E-2</v>
      </c>
      <c r="RX139" s="150">
        <f t="shared" si="1388"/>
        <v>1.6200000000000003E-2</v>
      </c>
      <c r="RY139" s="150">
        <f t="shared" si="1389"/>
        <v>1.6E-2</v>
      </c>
      <c r="RZ139" s="150">
        <f t="shared" si="1390"/>
        <v>1.5800000000000002E-2</v>
      </c>
      <c r="SA139" s="150">
        <f t="shared" si="1391"/>
        <v>1.5700000000000002E-2</v>
      </c>
      <c r="SB139" s="150">
        <f t="shared" si="1392"/>
        <v>1.5600000000000001E-2</v>
      </c>
      <c r="SC139" s="150">
        <f t="shared" si="1393"/>
        <v>1.55E-2</v>
      </c>
      <c r="SD139" s="150">
        <f t="shared" si="1394"/>
        <v>1.54E-2</v>
      </c>
      <c r="SE139" s="150">
        <f t="shared" si="1395"/>
        <v>1.5300000000000001E-2</v>
      </c>
      <c r="SF139" s="150">
        <f t="shared" si="1396"/>
        <v>1.52E-2</v>
      </c>
      <c r="SG139" s="150">
        <f t="shared" si="1397"/>
        <v>1.5100000000000001E-2</v>
      </c>
      <c r="SH139" s="150">
        <f t="shared" si="1398"/>
        <v>1.4999999999999999E-2</v>
      </c>
      <c r="SI139" s="150">
        <f t="shared" si="1399"/>
        <v>1.49E-2</v>
      </c>
      <c r="SJ139" s="150">
        <f t="shared" si="1400"/>
        <v>1.4800000000000001E-2</v>
      </c>
      <c r="SK139" s="150">
        <f t="shared" si="1401"/>
        <v>1.47E-2</v>
      </c>
      <c r="SL139" s="150">
        <f t="shared" si="1402"/>
        <v>1.46E-2</v>
      </c>
      <c r="SM139" s="150">
        <f t="shared" si="1403"/>
        <v>1.4499999999999999E-2</v>
      </c>
      <c r="SN139" s="150">
        <f t="shared" si="1404"/>
        <v>1.44E-2</v>
      </c>
      <c r="SO139" s="150">
        <f t="shared" si="1405"/>
        <v>1.43E-2</v>
      </c>
      <c r="SP139" s="150">
        <f t="shared" si="1406"/>
        <v>1.4199999999999999E-2</v>
      </c>
      <c r="SQ139" s="150">
        <f t="shared" si="1407"/>
        <v>1.41E-2</v>
      </c>
      <c r="SR139" s="175">
        <f t="shared" si="1408"/>
        <v>1.3999999999999999E-2</v>
      </c>
      <c r="SS139" s="161">
        <f t="shared" si="1409"/>
        <v>1.3899999999999999E-2</v>
      </c>
      <c r="ST139" s="161">
        <f t="shared" si="1410"/>
        <v>1.38E-2</v>
      </c>
      <c r="SU139" s="161">
        <f t="shared" si="1411"/>
        <v>1.37E-2</v>
      </c>
      <c r="SV139" s="161">
        <f t="shared" si="1412"/>
        <v>1.3600000000000001E-2</v>
      </c>
      <c r="SW139" s="161">
        <f t="shared" si="1413"/>
        <v>1.3500000000000002E-2</v>
      </c>
      <c r="SX139" s="161">
        <f t="shared" si="1414"/>
        <v>1.34E-2</v>
      </c>
      <c r="SY139" s="161">
        <f t="shared" si="1415"/>
        <v>1.34E-2</v>
      </c>
      <c r="SZ139" s="161">
        <f t="shared" si="1416"/>
        <v>1.3300000000000001E-2</v>
      </c>
      <c r="TA139" s="161">
        <f t="shared" si="1417"/>
        <v>1.32E-2</v>
      </c>
      <c r="TB139" s="161">
        <f t="shared" si="1418"/>
        <v>1.3100000000000001E-2</v>
      </c>
      <c r="TC139" s="161">
        <f t="shared" si="1419"/>
        <v>1.3000000000000001E-2</v>
      </c>
      <c r="TD139" s="161">
        <f t="shared" si="1420"/>
        <v>1.29E-2</v>
      </c>
      <c r="TE139" s="161">
        <f t="shared" si="1421"/>
        <v>1.2800000000000001E-2</v>
      </c>
      <c r="TF139" s="161">
        <f t="shared" si="1422"/>
        <v>1.2699999999999999E-2</v>
      </c>
      <c r="TG139" s="161">
        <f t="shared" si="1423"/>
        <v>1.2699999999999999E-2</v>
      </c>
      <c r="TH139" s="161">
        <f t="shared" si="1424"/>
        <v>1.26E-2</v>
      </c>
      <c r="TI139" s="161">
        <f t="shared" si="1425"/>
        <v>1.2500000000000001E-2</v>
      </c>
      <c r="TJ139" s="161">
        <f t="shared" si="1426"/>
        <v>1.24E-2</v>
      </c>
      <c r="TK139" s="161">
        <f t="shared" si="1427"/>
        <v>1.23E-2</v>
      </c>
      <c r="TL139" s="161">
        <f t="shared" si="1428"/>
        <v>1.23E-2</v>
      </c>
      <c r="TM139" s="161">
        <f t="shared" si="1429"/>
        <v>1.2199999999999999E-2</v>
      </c>
      <c r="TN139" s="161">
        <f t="shared" si="1430"/>
        <v>1.21E-2</v>
      </c>
      <c r="TO139" s="161">
        <f t="shared" si="1431"/>
        <v>1.2E-2</v>
      </c>
      <c r="TP139" s="161">
        <f t="shared" si="1432"/>
        <v>1.1899999999999999E-2</v>
      </c>
      <c r="TQ139" s="161">
        <f t="shared" si="1433"/>
        <v>1.18E-2</v>
      </c>
      <c r="TR139" s="161">
        <f t="shared" si="1434"/>
        <v>1.1699999999999999E-2</v>
      </c>
      <c r="TS139" s="161">
        <f t="shared" si="1311"/>
        <v>1.1699999999999999E-2</v>
      </c>
      <c r="TT139" s="161">
        <f t="shared" si="1286"/>
        <v>1.1599999999999999E-2</v>
      </c>
      <c r="TU139" s="161">
        <f t="shared" si="1287"/>
        <v>1.15E-2</v>
      </c>
      <c r="TV139" s="161">
        <f t="shared" si="1288"/>
        <v>1.1399999999999999E-2</v>
      </c>
      <c r="TW139" s="161">
        <f t="shared" si="1289"/>
        <v>1.1299999999999999E-2</v>
      </c>
      <c r="TX139" s="161">
        <f t="shared" si="1290"/>
        <v>1.1200000000000002E-2</v>
      </c>
      <c r="TY139" s="161">
        <f t="shared" si="1291"/>
        <v>1.11E-2</v>
      </c>
      <c r="TZ139" s="161">
        <f t="shared" si="1292"/>
        <v>1.1000000000000001E-2</v>
      </c>
      <c r="UA139" s="161">
        <f t="shared" si="1293"/>
        <v>1.1000000000000001E-2</v>
      </c>
      <c r="UB139" s="161">
        <f t="shared" si="1294"/>
        <v>1.09E-2</v>
      </c>
      <c r="UC139" s="161">
        <f t="shared" si="1295"/>
        <v>1.0800000000000001E-2</v>
      </c>
      <c r="UD139" s="161">
        <f t="shared" si="1296"/>
        <v>1.0700000000000001E-2</v>
      </c>
      <c r="UE139" s="161">
        <f t="shared" si="1297"/>
        <v>1.06E-2</v>
      </c>
      <c r="UF139" s="161">
        <f t="shared" si="1298"/>
        <v>1.06E-2</v>
      </c>
      <c r="UG139" s="161">
        <f t="shared" si="1299"/>
        <v>1.0500000000000001E-2</v>
      </c>
      <c r="UH139" s="161">
        <f t="shared" si="1300"/>
        <v>1.04E-2</v>
      </c>
      <c r="UI139" s="161">
        <f t="shared" si="1301"/>
        <v>1.03E-2</v>
      </c>
      <c r="UJ139" s="161">
        <f t="shared" si="1302"/>
        <v>1.03E-2</v>
      </c>
      <c r="UK139" s="161">
        <f t="shared" si="1303"/>
        <v>1.0200000000000001E-2</v>
      </c>
      <c r="UL139" s="161">
        <f t="shared" si="1304"/>
        <v>1.0200000000000001E-2</v>
      </c>
      <c r="UM139" s="161">
        <f t="shared" si="1305"/>
        <v>1.01E-2</v>
      </c>
      <c r="UN139" s="161">
        <f t="shared" si="1306"/>
        <v>0.01</v>
      </c>
      <c r="UO139" s="161">
        <f t="shared" si="1307"/>
        <v>0.01</v>
      </c>
      <c r="UP139" s="161">
        <f t="shared" si="1308"/>
        <v>9.8999999999999991E-3</v>
      </c>
      <c r="UQ139" s="118">
        <f t="shared" si="1309"/>
        <v>9.8999999999999991E-3</v>
      </c>
      <c r="UR139" s="203"/>
      <c r="US139" s="203"/>
    </row>
    <row r="140" spans="1:629" ht="19.5" thickBot="1" x14ac:dyDescent="0.3">
      <c r="A140" s="298"/>
      <c r="B140" s="25" t="s">
        <v>105</v>
      </c>
      <c r="BY140" s="18"/>
      <c r="BZ140" s="18"/>
      <c r="CA140" s="18"/>
      <c r="CB140" s="18"/>
      <c r="CC140" s="18"/>
      <c r="CD140" s="18"/>
      <c r="CE140" s="18"/>
      <c r="CF140" s="18"/>
      <c r="CG140" s="18"/>
      <c r="CH140" s="18"/>
      <c r="CI140" s="18"/>
      <c r="CJ140" s="18"/>
      <c r="CK140" s="18"/>
      <c r="CL140" s="18"/>
      <c r="CM140" s="18"/>
      <c r="CN140" s="18"/>
      <c r="CO140" s="18"/>
      <c r="CP140" s="18"/>
      <c r="CQ140" s="18"/>
      <c r="CR140" s="18"/>
      <c r="CS140" s="18"/>
      <c r="CT140" s="18"/>
      <c r="CU140" s="18"/>
      <c r="CV140" s="18"/>
      <c r="CW140" s="18"/>
      <c r="CX140" s="18"/>
      <c r="CY140" s="18"/>
      <c r="CZ140" s="18"/>
      <c r="DA140" s="18"/>
      <c r="DB140" s="18"/>
      <c r="DC140" s="18"/>
      <c r="DD140" s="18"/>
      <c r="DE140" s="18"/>
      <c r="DF140" s="18"/>
      <c r="DG140" s="18"/>
      <c r="DH140" s="18"/>
      <c r="DI140" s="18"/>
      <c r="DJ140" s="18"/>
      <c r="DK140" s="18"/>
      <c r="DL140" s="18"/>
      <c r="DM140" s="18"/>
      <c r="DN140" s="18"/>
      <c r="DO140" s="18"/>
      <c r="DP140" s="18"/>
      <c r="DQ140" s="18"/>
      <c r="DR140" s="18"/>
      <c r="DS140" s="18"/>
      <c r="DT140" s="18"/>
      <c r="DU140" s="18"/>
      <c r="DV140" s="18"/>
      <c r="DW140" s="18"/>
      <c r="DX140" s="18"/>
      <c r="DY140" s="18"/>
      <c r="DZ140" s="18"/>
      <c r="EA140" s="18"/>
      <c r="EB140" s="18"/>
      <c r="EC140" s="18"/>
      <c r="ED140" s="18"/>
      <c r="EE140" s="18"/>
      <c r="EF140" s="18"/>
      <c r="EG140" s="18"/>
      <c r="EH140" s="18"/>
      <c r="EI140" s="18"/>
      <c r="EJ140" s="18"/>
      <c r="EK140" s="18"/>
      <c r="EL140" s="18"/>
      <c r="EM140" s="18"/>
      <c r="EN140" s="18"/>
      <c r="EO140" s="18"/>
      <c r="EP140" s="18"/>
      <c r="EQ140" s="18"/>
      <c r="ER140" s="18"/>
      <c r="ES140" s="18"/>
      <c r="ET140" s="18"/>
      <c r="EU140" s="18"/>
      <c r="EV140" s="18"/>
      <c r="EW140" s="18"/>
      <c r="EX140" s="18"/>
      <c r="EY140" s="18"/>
      <c r="EZ140" s="18"/>
      <c r="FA140" s="18"/>
      <c r="FB140" s="18"/>
      <c r="FC140" s="18"/>
      <c r="FD140" s="18"/>
      <c r="FE140" s="18"/>
      <c r="FF140" s="18"/>
      <c r="FG140" s="18"/>
      <c r="FH140" s="18"/>
      <c r="FI140" s="18"/>
      <c r="FJ140" s="18"/>
      <c r="FK140" s="18"/>
      <c r="FL140" s="18"/>
      <c r="FM140" s="18"/>
      <c r="FN140" s="18"/>
      <c r="FO140" s="18"/>
      <c r="FP140" s="18"/>
      <c r="FQ140" s="18"/>
      <c r="FR140" s="18"/>
      <c r="FS140" s="18"/>
      <c r="FT140" s="18"/>
      <c r="FU140" s="18"/>
      <c r="FV140" s="18"/>
      <c r="FW140" s="18"/>
      <c r="FX140" s="18"/>
      <c r="FY140" s="18"/>
      <c r="FZ140" s="18"/>
      <c r="GA140" s="18"/>
      <c r="GB140" s="18"/>
      <c r="GC140" s="18"/>
      <c r="GD140" s="18"/>
      <c r="GE140" s="18"/>
      <c r="GF140" s="18"/>
      <c r="GG140" s="18"/>
      <c r="GH140" s="18"/>
      <c r="GI140" s="18"/>
      <c r="GJ140" s="18"/>
      <c r="GK140" s="18"/>
      <c r="GL140" s="18"/>
      <c r="GM140" s="18"/>
      <c r="GN140" s="18"/>
      <c r="GO140" s="18"/>
      <c r="GP140" s="18"/>
      <c r="GQ140" s="18"/>
      <c r="GR140" s="18"/>
      <c r="GS140" s="18"/>
      <c r="GT140" s="18"/>
      <c r="GU140" s="18"/>
      <c r="GV140" s="18"/>
      <c r="GW140" s="18"/>
      <c r="GX140" s="18"/>
      <c r="GY140" s="18"/>
      <c r="GZ140" s="18"/>
      <c r="HA140" s="18"/>
      <c r="HB140" s="18"/>
      <c r="HC140" s="18"/>
      <c r="HD140" s="18"/>
      <c r="HE140" s="18"/>
      <c r="HF140" s="18"/>
      <c r="HG140" s="18"/>
      <c r="HH140" s="18"/>
      <c r="HI140" s="18"/>
      <c r="HJ140" s="18"/>
      <c r="HK140" s="18"/>
      <c r="HL140" s="18"/>
      <c r="HM140" s="18"/>
      <c r="HN140" s="18"/>
      <c r="HO140" s="18"/>
      <c r="HP140" s="18"/>
      <c r="HQ140" s="18"/>
      <c r="HR140" s="18"/>
      <c r="HS140" s="18"/>
      <c r="HT140" s="18"/>
      <c r="HU140" s="18"/>
      <c r="HV140" s="18"/>
      <c r="HW140" s="18"/>
      <c r="HX140" s="18"/>
      <c r="HY140" s="18"/>
      <c r="HZ140" s="18"/>
      <c r="IA140" s="18"/>
      <c r="IB140" s="18"/>
      <c r="IC140" s="18"/>
      <c r="ID140" s="18"/>
      <c r="IE140" s="18"/>
      <c r="IF140" s="18"/>
      <c r="IG140" s="18"/>
      <c r="IH140" s="18"/>
      <c r="II140" s="18"/>
      <c r="IJ140" s="18"/>
      <c r="IK140" s="18"/>
      <c r="IL140" s="18"/>
      <c r="IM140" s="18"/>
      <c r="IN140" s="18"/>
      <c r="IO140" s="18"/>
      <c r="IP140" s="18"/>
      <c r="IQ140" s="18"/>
      <c r="IR140" s="18"/>
      <c r="IS140" s="18"/>
      <c r="IT140" s="18"/>
      <c r="IU140" s="18"/>
      <c r="IV140" s="18"/>
      <c r="IW140" s="18"/>
      <c r="IX140" s="18"/>
      <c r="IY140" s="18"/>
      <c r="IZ140" s="18"/>
      <c r="JA140" s="18"/>
      <c r="JB140" s="18"/>
      <c r="JC140" s="18"/>
      <c r="JD140" s="18"/>
      <c r="JE140" s="18"/>
      <c r="JF140" s="18"/>
      <c r="JG140" s="18"/>
      <c r="JH140" s="18"/>
      <c r="JI140" s="18"/>
      <c r="JJ140" s="18"/>
      <c r="JK140" s="18"/>
      <c r="JL140" s="18"/>
      <c r="JM140" s="18"/>
      <c r="JN140" s="18"/>
      <c r="JO140" s="18"/>
      <c r="JP140" s="18"/>
      <c r="JQ140" s="18"/>
      <c r="JR140" s="18"/>
      <c r="JS140" s="18"/>
      <c r="JT140" s="18"/>
      <c r="JU140" s="18"/>
      <c r="JV140" s="18"/>
      <c r="JW140" s="18"/>
      <c r="JX140" s="18"/>
      <c r="JY140" s="18"/>
      <c r="JZ140" s="18"/>
      <c r="KA140" s="18"/>
      <c r="KB140" s="18"/>
      <c r="KC140" s="18"/>
      <c r="KD140" s="18"/>
      <c r="KE140" s="18"/>
      <c r="KF140" s="18"/>
      <c r="KG140" s="18"/>
      <c r="KH140" s="18"/>
      <c r="KI140" s="18"/>
      <c r="KJ140" s="18"/>
      <c r="KK140" s="18"/>
      <c r="KL140" s="18"/>
      <c r="KM140" s="18"/>
      <c r="KN140" s="18"/>
      <c r="KO140" s="18"/>
      <c r="KP140" s="18"/>
      <c r="KQ140" s="18"/>
      <c r="KR140" s="18"/>
      <c r="KS140" s="18"/>
      <c r="KT140" s="18"/>
      <c r="KU140" s="18"/>
      <c r="KV140" s="18"/>
      <c r="KW140" s="18"/>
      <c r="KX140" s="18"/>
      <c r="KY140" s="18"/>
      <c r="KZ140" s="18"/>
      <c r="LA140" s="18"/>
      <c r="LB140" s="18"/>
      <c r="LC140" s="18"/>
      <c r="LD140" s="18"/>
      <c r="LE140" s="18"/>
      <c r="LF140" s="18"/>
      <c r="LG140" s="18"/>
      <c r="LH140" s="18"/>
      <c r="LI140" s="18"/>
      <c r="LJ140" s="18"/>
      <c r="LK140" s="18"/>
      <c r="LL140" s="18"/>
      <c r="LM140" s="18"/>
      <c r="LN140" s="18"/>
      <c r="LO140" s="18"/>
      <c r="LP140" s="18"/>
      <c r="LQ140" s="18"/>
      <c r="LR140" s="18"/>
      <c r="LS140" s="18"/>
      <c r="LT140" s="18"/>
      <c r="LU140" s="18"/>
      <c r="LV140" s="18"/>
      <c r="LW140" s="18"/>
      <c r="LX140" s="18"/>
      <c r="LY140" s="18"/>
      <c r="LZ140" s="18"/>
      <c r="MA140" s="18"/>
      <c r="MB140" s="18"/>
      <c r="MC140" s="18"/>
      <c r="MD140" s="18"/>
      <c r="ME140" s="18"/>
      <c r="MF140" s="18"/>
      <c r="MG140" s="18"/>
      <c r="MH140" s="18"/>
      <c r="MI140" s="18"/>
      <c r="MJ140" s="18"/>
      <c r="MK140" s="18"/>
      <c r="ML140" s="18"/>
      <c r="MM140" s="18"/>
      <c r="MN140" s="18"/>
      <c r="MO140" s="18"/>
      <c r="MP140" s="18"/>
      <c r="MQ140" s="18"/>
      <c r="MR140" s="18"/>
      <c r="MS140" s="18"/>
      <c r="MT140" s="18"/>
      <c r="MU140" s="18"/>
      <c r="MV140" s="18"/>
      <c r="MW140" s="18"/>
      <c r="MX140" s="18"/>
      <c r="MY140" s="18"/>
      <c r="MZ140" s="18"/>
      <c r="NA140" s="18"/>
      <c r="NB140" s="18"/>
      <c r="NC140" s="18"/>
      <c r="ND140" s="18"/>
      <c r="NE140" s="18"/>
      <c r="NF140" s="18"/>
      <c r="NG140" s="18"/>
      <c r="NH140" s="18"/>
      <c r="NI140" s="18"/>
      <c r="NJ140" s="18"/>
      <c r="NK140" s="18"/>
      <c r="NL140" s="18"/>
      <c r="NM140" s="18"/>
      <c r="NN140" s="18"/>
      <c r="NO140" s="18"/>
      <c r="NP140" s="18"/>
      <c r="NQ140" s="18"/>
      <c r="NR140" s="18"/>
      <c r="NS140" s="18"/>
      <c r="NT140" s="18"/>
      <c r="NU140" s="18"/>
      <c r="NV140" s="18"/>
      <c r="NW140" s="18"/>
      <c r="NX140" s="18"/>
      <c r="NY140" s="18"/>
      <c r="NZ140" s="18"/>
      <c r="OA140" s="18"/>
      <c r="OB140" s="18"/>
      <c r="OC140" s="18"/>
      <c r="OD140" s="18"/>
      <c r="OE140" s="18"/>
      <c r="OF140" s="18"/>
      <c r="OG140" s="18"/>
      <c r="OH140" s="18"/>
      <c r="OI140" s="18"/>
      <c r="OJ140" s="18"/>
      <c r="OK140" s="18"/>
      <c r="OL140" s="18"/>
      <c r="OM140" s="18"/>
      <c r="ON140" s="18"/>
      <c r="OO140" s="18"/>
      <c r="OP140" s="18"/>
      <c r="OQ140" s="18"/>
      <c r="OR140" s="18"/>
      <c r="OS140" s="18"/>
      <c r="OT140" s="18"/>
      <c r="OU140" s="124">
        <f t="shared" si="1280"/>
        <v>0.14050000000000001</v>
      </c>
      <c r="OV140" s="115">
        <f t="shared" si="1281"/>
        <v>0.15349541071428571</v>
      </c>
      <c r="OW140" s="115">
        <f t="shared" si="1282"/>
        <v>0.16790765106568878</v>
      </c>
      <c r="OX140" s="115">
        <f t="shared" si="1283"/>
        <v>0.18331904442666083</v>
      </c>
      <c r="OY140" s="115">
        <f t="shared" si="1312"/>
        <v>0.19935467139751761</v>
      </c>
      <c r="OZ140" s="115">
        <f t="shared" si="1313"/>
        <v>0.2166426892048324</v>
      </c>
      <c r="PA140" s="115">
        <f t="shared" si="1314"/>
        <v>0.2353432020092141</v>
      </c>
      <c r="PB140" s="115">
        <f t="shared" si="1315"/>
        <v>0.25505677544932165</v>
      </c>
      <c r="PC140" s="115">
        <f t="shared" si="1316"/>
        <v>0.27583239066968751</v>
      </c>
      <c r="PD140" s="115">
        <f t="shared" si="1317"/>
        <v>0.29697738913303484</v>
      </c>
      <c r="PE140" s="115">
        <f t="shared" si="1318"/>
        <v>0.3194037691593315</v>
      </c>
      <c r="PF140" s="115">
        <f t="shared" si="1319"/>
        <v>0.34269017321519196</v>
      </c>
      <c r="PG140" s="115">
        <f t="shared" si="1320"/>
        <v>0.36728624217254702</v>
      </c>
      <c r="PH140" s="115">
        <f t="shared" si="1321"/>
        <v>0.39272283715155293</v>
      </c>
      <c r="PI140" s="115">
        <f t="shared" si="1322"/>
        <v>0.4186413483967294</v>
      </c>
      <c r="PJ140" s="115">
        <f t="shared" si="1323"/>
        <v>0.44516430350160602</v>
      </c>
      <c r="PK140" s="115">
        <f t="shared" si="1324"/>
        <v>0.47180154377391648</v>
      </c>
      <c r="PL140" s="115">
        <f t="shared" si="1325"/>
        <v>0.49977012867788351</v>
      </c>
      <c r="PM140" s="115">
        <f t="shared" si="1326"/>
        <v>0.52873554206564766</v>
      </c>
      <c r="PN140" s="115">
        <f t="shared" si="1327"/>
        <v>0.55806974775310336</v>
      </c>
      <c r="PO140" s="115">
        <f t="shared" si="1328"/>
        <v>0.58829561286534438</v>
      </c>
      <c r="PP140" s="115">
        <f t="shared" si="1329"/>
        <v>0.61736583170566495</v>
      </c>
      <c r="PQ140" s="115">
        <f t="shared" si="1330"/>
        <v>0.64838994880135448</v>
      </c>
      <c r="PR140" s="115">
        <f t="shared" si="1331"/>
        <v>0.67945839994117818</v>
      </c>
      <c r="PS140" s="115">
        <f t="shared" si="1332"/>
        <v>0.71278668366268905</v>
      </c>
      <c r="PT140" s="115">
        <f t="shared" si="1333"/>
        <v>0.74696390684333991</v>
      </c>
      <c r="PU140" s="115">
        <f t="shared" si="1334"/>
        <v>0.78124953431619559</v>
      </c>
      <c r="PV140" s="115">
        <f t="shared" si="1335"/>
        <v>0.81624935648608865</v>
      </c>
      <c r="PW140" s="115">
        <f t="shared" si="1336"/>
        <v>0.851190450173121</v>
      </c>
      <c r="PX140" s="115">
        <f t="shared" si="1337"/>
        <v>0.88669158617649757</v>
      </c>
      <c r="PY140" s="115">
        <f t="shared" si="1338"/>
        <v>0.9226928896086164</v>
      </c>
      <c r="PZ140" s="115">
        <f t="shared" si="1339"/>
        <v>0.9583702115541558</v>
      </c>
      <c r="QA140" s="115">
        <f t="shared" si="1340"/>
        <v>0.99436612748230468</v>
      </c>
      <c r="QB140" s="115">
        <f t="shared" si="1341"/>
        <v>1.0306058047907931</v>
      </c>
      <c r="QC140" s="115">
        <f t="shared" si="1342"/>
        <v>1.0662242972344411</v>
      </c>
      <c r="QD140" s="115">
        <f t="shared" si="1343"/>
        <v>1.098837681270268</v>
      </c>
      <c r="QE140" s="115">
        <f t="shared" si="1344"/>
        <v>1.1333551862719433</v>
      </c>
      <c r="QF140" s="115">
        <f t="shared" si="1345"/>
        <v>1.1643356897299235</v>
      </c>
      <c r="QG140" s="115">
        <f t="shared" si="1346"/>
        <v>1.1980573168234954</v>
      </c>
      <c r="QH140" s="115">
        <f t="shared" si="1347"/>
        <v>1.230594031322491</v>
      </c>
      <c r="QI140" s="115">
        <f t="shared" si="1348"/>
        <v>1.25877805295653</v>
      </c>
      <c r="QJ140" s="115">
        <f t="shared" si="1349"/>
        <v>1.2898201531700975</v>
      </c>
      <c r="QK140" s="115">
        <f t="shared" si="1350"/>
        <v>1.3151769703837655</v>
      </c>
      <c r="QL140" s="115">
        <f t="shared" si="1351"/>
        <v>1.3434748261788181</v>
      </c>
      <c r="QM140" s="115">
        <f t="shared" si="1352"/>
        <v>1.3707845882486138</v>
      </c>
      <c r="QN140" s="115">
        <f t="shared" si="1353"/>
        <v>1.3962440358625756</v>
      </c>
      <c r="QO140" s="115">
        <f t="shared" si="1354"/>
        <v>1.4204905112874515</v>
      </c>
      <c r="QP140" s="115">
        <f t="shared" si="1355"/>
        <v>1.4434197840759082</v>
      </c>
      <c r="QQ140" s="115">
        <f t="shared" si="1356"/>
        <v>1.4641996455827908</v>
      </c>
      <c r="QR140" s="169">
        <f t="shared" si="1357"/>
        <v>1.4834503847325724</v>
      </c>
      <c r="QS140" s="136">
        <f t="shared" si="1358"/>
        <v>0</v>
      </c>
      <c r="QT140" s="170">
        <f t="shared" si="1359"/>
        <v>1.4638512217573703</v>
      </c>
      <c r="QU140" s="149">
        <f t="shared" si="1360"/>
        <v>1.4767759282456547</v>
      </c>
      <c r="QV140" s="149">
        <f t="shared" si="1361"/>
        <v>1.4872269348401286</v>
      </c>
      <c r="QW140" s="149">
        <f t="shared" si="1362"/>
        <v>1.5080184446477354</v>
      </c>
      <c r="QX140" s="149">
        <f t="shared" si="1363"/>
        <v>1.5279256892956639</v>
      </c>
      <c r="QY140" s="149">
        <f t="shared" si="1364"/>
        <v>1.5397896971590186</v>
      </c>
      <c r="QZ140" s="149">
        <f t="shared" si="1365"/>
        <v>1.5567703640010737</v>
      </c>
      <c r="RA140" s="149">
        <f t="shared" si="1366"/>
        <v>1.5726897843305634</v>
      </c>
      <c r="RB140" s="149">
        <f t="shared" si="1367"/>
        <v>1.5874948334423751</v>
      </c>
      <c r="RC140" s="149">
        <f t="shared" si="1368"/>
        <v>1.6005638232576938</v>
      </c>
      <c r="RD140" s="149">
        <f t="shared" si="1369"/>
        <v>1.6049855194787468</v>
      </c>
      <c r="RE140" s="149">
        <f t="shared" si="1370"/>
        <v>1.6151835357682431</v>
      </c>
      <c r="RF140" s="149">
        <f t="shared" si="1371"/>
        <v>1.624065309288073</v>
      </c>
      <c r="RG140" s="149">
        <f t="shared" si="1310"/>
        <v>1.639056681373809</v>
      </c>
      <c r="RH140" s="149">
        <f t="shared" si="1372"/>
        <v>1.6532265262692467</v>
      </c>
      <c r="RI140" s="149">
        <f t="shared" si="1373"/>
        <v>1.6665403195940414</v>
      </c>
      <c r="RJ140" s="149">
        <f t="shared" si="1374"/>
        <v>1.6789640008207636</v>
      </c>
      <c r="RK140" s="149">
        <f t="shared" si="1375"/>
        <v>1.6904640476120993</v>
      </c>
      <c r="RL140" s="149">
        <f t="shared" si="1376"/>
        <v>1.7005118899522849</v>
      </c>
      <c r="RM140" s="149">
        <f t="shared" si="1377"/>
        <v>1.7095731100983165</v>
      </c>
      <c r="RN140" s="149">
        <f t="shared" si="1378"/>
        <v>1.7176172571045174</v>
      </c>
      <c r="RO140" s="149">
        <f t="shared" si="1379"/>
        <v>1.724614726550094</v>
      </c>
      <c r="RP140" s="149">
        <f t="shared" si="1380"/>
        <v>1.7300746508710168</v>
      </c>
      <c r="RQ140" s="149">
        <f t="shared" si="1381"/>
        <v>1.7443476482099647</v>
      </c>
      <c r="RR140" s="149">
        <f t="shared" si="1382"/>
        <v>1.7580906710059778</v>
      </c>
      <c r="RS140" s="149">
        <f t="shared" si="1383"/>
        <v>1.7712839906251225</v>
      </c>
      <c r="RT140" s="149">
        <f t="shared" si="1384"/>
        <v>1.7839080310914897</v>
      </c>
      <c r="RU140" s="149">
        <f t="shared" si="1385"/>
        <v>1.7955030540076808</v>
      </c>
      <c r="RV140" s="149">
        <f t="shared" si="1386"/>
        <v>1.8064898226952995</v>
      </c>
      <c r="RW140" s="149">
        <f t="shared" si="1387"/>
        <v>1.8168499330037686</v>
      </c>
      <c r="RX140" s="149">
        <f t="shared" si="1388"/>
        <v>1.8265652483816326</v>
      </c>
      <c r="RY140" s="149">
        <f t="shared" si="1389"/>
        <v>1.8356179263640919</v>
      </c>
      <c r="RZ140" s="149">
        <f t="shared" si="1390"/>
        <v>1.8439904451167823</v>
      </c>
      <c r="SA140" s="149">
        <f t="shared" si="1391"/>
        <v>1.8635352814665112</v>
      </c>
      <c r="SB140" s="149">
        <f t="shared" si="1392"/>
        <v>1.8825708111023103</v>
      </c>
      <c r="SC140" s="149">
        <f t="shared" si="1393"/>
        <v>1.9014999571699871</v>
      </c>
      <c r="SD140" s="149">
        <f t="shared" si="1394"/>
        <v>1.9203145836279207</v>
      </c>
      <c r="SE140" s="149">
        <f t="shared" si="1395"/>
        <v>1.9390064768802473</v>
      </c>
      <c r="SF140" s="149">
        <f t="shared" si="1396"/>
        <v>1.9575673493368078</v>
      </c>
      <c r="SG140" s="149">
        <f t="shared" si="1397"/>
        <v>1.9759888430834802</v>
      </c>
      <c r="SH140" s="149">
        <f t="shared" si="1398"/>
        <v>1.9938474099551347</v>
      </c>
      <c r="SI140" s="149">
        <f t="shared" si="1399"/>
        <v>2.0115449559460856</v>
      </c>
      <c r="SJ140" s="149">
        <f t="shared" si="1400"/>
        <v>2.0290731123881076</v>
      </c>
      <c r="SK140" s="149">
        <f t="shared" si="1401"/>
        <v>2.0464234617282977</v>
      </c>
      <c r="SL140" s="149">
        <f t="shared" si="1402"/>
        <v>2.0635875416634013</v>
      </c>
      <c r="SM140" s="149">
        <f t="shared" si="1403"/>
        <v>2.0805568493690219</v>
      </c>
      <c r="SN140" s="149">
        <f t="shared" si="1404"/>
        <v>2.0973228458217061</v>
      </c>
      <c r="SO140" s="149">
        <f t="shared" si="1405"/>
        <v>2.1138769602118068</v>
      </c>
      <c r="SP140" s="149">
        <f t="shared" si="1406"/>
        <v>2.1297999644471441</v>
      </c>
      <c r="SQ140" s="173">
        <f t="shared" si="1407"/>
        <v>2.1454905837725113</v>
      </c>
      <c r="SR140" s="136">
        <f t="shared" si="1408"/>
        <v>0</v>
      </c>
      <c r="SS140" s="174">
        <f t="shared" si="1409"/>
        <v>2.1412140821008765</v>
      </c>
      <c r="ST140" s="159">
        <f t="shared" si="1410"/>
        <v>2.1559170615818175</v>
      </c>
      <c r="SU140" s="159">
        <f t="shared" si="1411"/>
        <v>2.1703581453977518</v>
      </c>
      <c r="SV140" s="159">
        <f t="shared" si="1412"/>
        <v>2.184529025673525</v>
      </c>
      <c r="SW140" s="159">
        <f t="shared" si="1413"/>
        <v>2.1984214050279709</v>
      </c>
      <c r="SX140" s="159">
        <f t="shared" si="1414"/>
        <v>2.211633271903449</v>
      </c>
      <c r="SY140" s="159">
        <f t="shared" si="1415"/>
        <v>2.2412742419613738</v>
      </c>
      <c r="SZ140" s="159">
        <f t="shared" si="1416"/>
        <v>2.2543623761048157</v>
      </c>
      <c r="TA140" s="159">
        <f t="shared" si="1417"/>
        <v>2.2671415772951589</v>
      </c>
      <c r="TB140" s="159">
        <f t="shared" si="1418"/>
        <v>2.2796037489433942</v>
      </c>
      <c r="TC140" s="159">
        <f t="shared" si="1419"/>
        <v>2.2917408337451746</v>
      </c>
      <c r="TD140" s="159">
        <f t="shared" si="1420"/>
        <v>2.3035448187610004</v>
      </c>
      <c r="TE140" s="159">
        <f t="shared" si="1421"/>
        <v>2.3146226128718004</v>
      </c>
      <c r="TF140" s="159">
        <f t="shared" si="1422"/>
        <v>2.325350757169812</v>
      </c>
      <c r="TG140" s="159">
        <f t="shared" si="1423"/>
        <v>2.3542590949919009</v>
      </c>
      <c r="TH140" s="159">
        <f t="shared" si="1424"/>
        <v>2.3647588883285846</v>
      </c>
      <c r="TI140" s="159">
        <f t="shared" si="1425"/>
        <v>2.3748893038404542</v>
      </c>
      <c r="TJ140" s="159">
        <f t="shared" si="1426"/>
        <v>2.3846427583122991</v>
      </c>
      <c r="TK140" s="159">
        <f t="shared" si="1427"/>
        <v>2.3940117469793045</v>
      </c>
      <c r="TL140" s="159">
        <f t="shared" si="1428"/>
        <v>2.4223095038087679</v>
      </c>
      <c r="TM140" s="159">
        <f t="shared" si="1429"/>
        <v>2.4310153908205385</v>
      </c>
      <c r="TN140" s="159">
        <f t="shared" si="1430"/>
        <v>2.4393177404910493</v>
      </c>
      <c r="TO140" s="159">
        <f t="shared" si="1431"/>
        <v>2.4472094509635824</v>
      </c>
      <c r="TP140" s="159">
        <f t="shared" si="1432"/>
        <v>2.454683521925336</v>
      </c>
      <c r="TQ140" s="159">
        <f t="shared" si="1433"/>
        <v>2.4617330596463143</v>
      </c>
      <c r="TR140" s="159">
        <f t="shared" si="1434"/>
        <v>2.4683512820045368</v>
      </c>
      <c r="TS140" s="159">
        <f t="shared" si="1311"/>
        <v>2.4955031461065866</v>
      </c>
      <c r="TT140" s="159">
        <f t="shared" ref="TT140:UN140" si="1435">EB36</f>
        <v>2.1921182166175264</v>
      </c>
      <c r="TU140" s="159">
        <f t="shared" si="1435"/>
        <v>2.1968846039276047</v>
      </c>
      <c r="TV140" s="159">
        <f t="shared" si="1435"/>
        <v>1.8901412935030988</v>
      </c>
      <c r="TW140" s="159">
        <f t="shared" si="1435"/>
        <v>1.893545758522976</v>
      </c>
      <c r="TX140" s="159">
        <f t="shared" si="1435"/>
        <v>1.8965992639742819</v>
      </c>
      <c r="TY140" s="159">
        <f t="shared" si="1435"/>
        <v>1.8992974022129114</v>
      </c>
      <c r="TZ140" s="159">
        <f t="shared" si="1435"/>
        <v>1.9013807816027264</v>
      </c>
      <c r="UA140" s="159">
        <f t="shared" si="1435"/>
        <v>1.6036649468393922</v>
      </c>
      <c r="UB140" s="159">
        <f t="shared" si="1435"/>
        <v>1.6051167362248326</v>
      </c>
      <c r="UC140" s="159">
        <f t="shared" si="1435"/>
        <v>1.2881816709865186</v>
      </c>
      <c r="UD140" s="159">
        <f t="shared" si="1435"/>
        <v>1.2888483063119804</v>
      </c>
      <c r="UE140" s="159">
        <f t="shared" si="1435"/>
        <v>1.2892623473412648</v>
      </c>
      <c r="UF140" s="159">
        <f t="shared" si="1435"/>
        <v>1.3017016038353926</v>
      </c>
      <c r="UG140" s="159">
        <f t="shared" si="1435"/>
        <v>1.301862191115982</v>
      </c>
      <c r="UH140" s="159">
        <f t="shared" si="1435"/>
        <v>0.97939712572032023</v>
      </c>
      <c r="UI140" s="159">
        <f t="shared" si="1435"/>
        <v>0.97912536992444743</v>
      </c>
      <c r="UJ140" s="159">
        <f t="shared" si="1435"/>
        <v>0.66187440390966013</v>
      </c>
      <c r="UK140" s="159">
        <f t="shared" si="1435"/>
        <v>0.66147571468451072</v>
      </c>
      <c r="UL140" s="159">
        <f t="shared" si="1435"/>
        <v>0.66748651574403517</v>
      </c>
      <c r="UM140" s="159">
        <f t="shared" si="1435"/>
        <v>0.66694848633172832</v>
      </c>
      <c r="UN140" s="159">
        <f t="shared" si="1435"/>
        <v>0.66627378596888731</v>
      </c>
      <c r="UO140" s="159">
        <f t="shared" ref="UO140:UO143" si="1436">EW36</f>
        <v>0.33904645178173293</v>
      </c>
      <c r="UP140" s="159">
        <f t="shared" ref="UP140:UP143" si="1437">EX36</f>
        <v>0.33863310993356072</v>
      </c>
      <c r="UQ140" s="162">
        <f t="shared" ref="UQ140:UQ143" si="1438">EY36</f>
        <v>-6.845541933200597E-4</v>
      </c>
      <c r="UR140" s="203"/>
      <c r="US140" s="203"/>
    </row>
    <row r="141" spans="1:629" ht="19.5" thickBot="1" x14ac:dyDescent="0.3">
      <c r="A141" s="298"/>
      <c r="B141" s="25" t="s">
        <v>13</v>
      </c>
      <c r="BY141" s="18"/>
      <c r="BZ141" s="18"/>
      <c r="CA141" s="18"/>
      <c r="CB141" s="18"/>
      <c r="CC141" s="18"/>
      <c r="CD141" s="18"/>
      <c r="CE141" s="18"/>
      <c r="CF141" s="18"/>
      <c r="CG141" s="18"/>
      <c r="CH141" s="18"/>
      <c r="CI141" s="18"/>
      <c r="CJ141" s="18"/>
      <c r="CK141" s="18"/>
      <c r="CL141" s="18"/>
      <c r="CM141" s="18"/>
      <c r="CN141" s="18"/>
      <c r="CO141" s="18"/>
      <c r="CP141" s="18"/>
      <c r="CQ141" s="18"/>
      <c r="CR141" s="18"/>
      <c r="CS141" s="18"/>
      <c r="CT141" s="18"/>
      <c r="CU141" s="18"/>
      <c r="CV141" s="18"/>
      <c r="CW141" s="18"/>
      <c r="CX141" s="18"/>
      <c r="CY141" s="18"/>
      <c r="CZ141" s="18"/>
      <c r="DA141" s="18"/>
      <c r="DB141" s="18"/>
      <c r="DC141" s="18"/>
      <c r="DD141" s="18"/>
      <c r="DE141" s="18"/>
      <c r="DF141" s="18"/>
      <c r="DG141" s="18"/>
      <c r="DH141" s="18"/>
      <c r="DI141" s="18"/>
      <c r="DJ141" s="18"/>
      <c r="DK141" s="18"/>
      <c r="DL141" s="18"/>
      <c r="DM141" s="18"/>
      <c r="DN141" s="18"/>
      <c r="DO141" s="18"/>
      <c r="DP141" s="18"/>
      <c r="DQ141" s="18"/>
      <c r="DR141" s="18"/>
      <c r="DS141" s="18"/>
      <c r="DT141" s="18"/>
      <c r="DU141" s="18"/>
      <c r="DV141" s="18"/>
      <c r="DW141" s="18"/>
      <c r="DX141" s="18"/>
      <c r="DY141" s="18"/>
      <c r="DZ141" s="18"/>
      <c r="EA141" s="18"/>
      <c r="EB141" s="18"/>
      <c r="EC141" s="18"/>
      <c r="ED141" s="18"/>
      <c r="EE141" s="18"/>
      <c r="EF141" s="18"/>
      <c r="EG141" s="18"/>
      <c r="EH141" s="18"/>
      <c r="EI141" s="18"/>
      <c r="EJ141" s="18"/>
      <c r="EK141" s="18"/>
      <c r="EL141" s="18"/>
      <c r="EM141" s="18"/>
      <c r="EN141" s="18"/>
      <c r="EO141" s="18"/>
      <c r="EP141" s="18"/>
      <c r="EQ141" s="18"/>
      <c r="ER141" s="18"/>
      <c r="ES141" s="18"/>
      <c r="ET141" s="18"/>
      <c r="EU141" s="18"/>
      <c r="EV141" s="18"/>
      <c r="EW141" s="18"/>
      <c r="EX141" s="18"/>
      <c r="EY141" s="18"/>
      <c r="EZ141" s="18"/>
      <c r="FA141" s="18"/>
      <c r="FB141" s="18"/>
      <c r="FC141" s="18"/>
      <c r="FD141" s="18"/>
      <c r="FE141" s="18"/>
      <c r="FF141" s="18"/>
      <c r="FG141" s="18"/>
      <c r="FH141" s="18"/>
      <c r="FI141" s="18"/>
      <c r="FJ141" s="18"/>
      <c r="FK141" s="18"/>
      <c r="FL141" s="18"/>
      <c r="FM141" s="18"/>
      <c r="FN141" s="18"/>
      <c r="FO141" s="18"/>
      <c r="FP141" s="18"/>
      <c r="FQ141" s="18"/>
      <c r="FR141" s="18"/>
      <c r="FS141" s="18"/>
      <c r="FT141" s="18"/>
      <c r="FU141" s="18"/>
      <c r="FV141" s="18"/>
      <c r="FW141" s="18"/>
      <c r="FX141" s="18"/>
      <c r="FY141" s="18"/>
      <c r="FZ141" s="18"/>
      <c r="GA141" s="18"/>
      <c r="GB141" s="18"/>
      <c r="GC141" s="18"/>
      <c r="GD141" s="18"/>
      <c r="GE141" s="18"/>
      <c r="GF141" s="18"/>
      <c r="GG141" s="18"/>
      <c r="GH141" s="18"/>
      <c r="GI141" s="18"/>
      <c r="GJ141" s="18"/>
      <c r="GK141" s="18"/>
      <c r="GL141" s="18"/>
      <c r="GM141" s="18"/>
      <c r="GN141" s="18"/>
      <c r="GO141" s="18"/>
      <c r="GP141" s="18"/>
      <c r="GQ141" s="18"/>
      <c r="GR141" s="18"/>
      <c r="GS141" s="18"/>
      <c r="GT141" s="18"/>
      <c r="GU141" s="18"/>
      <c r="GV141" s="18"/>
      <c r="GW141" s="18"/>
      <c r="GX141" s="18"/>
      <c r="GY141" s="18"/>
      <c r="GZ141" s="18"/>
      <c r="HA141" s="18"/>
      <c r="HB141" s="18"/>
      <c r="HC141" s="18"/>
      <c r="HD141" s="18"/>
      <c r="HE141" s="18"/>
      <c r="HF141" s="18"/>
      <c r="HG141" s="18"/>
      <c r="HH141" s="18"/>
      <c r="HI141" s="18"/>
      <c r="HJ141" s="18"/>
      <c r="HK141" s="18"/>
      <c r="HL141" s="18"/>
      <c r="HM141" s="18"/>
      <c r="HN141" s="18"/>
      <c r="HO141" s="18"/>
      <c r="HP141" s="18"/>
      <c r="HQ141" s="18"/>
      <c r="HR141" s="18"/>
      <c r="HS141" s="18"/>
      <c r="HT141" s="18"/>
      <c r="HU141" s="18"/>
      <c r="HV141" s="18"/>
      <c r="HW141" s="18"/>
      <c r="HX141" s="18"/>
      <c r="HY141" s="18"/>
      <c r="HZ141" s="18"/>
      <c r="IA141" s="18"/>
      <c r="IB141" s="18"/>
      <c r="IC141" s="18"/>
      <c r="ID141" s="18"/>
      <c r="IE141" s="18"/>
      <c r="IF141" s="18"/>
      <c r="IG141" s="18"/>
      <c r="IH141" s="18"/>
      <c r="II141" s="18"/>
      <c r="IJ141" s="18"/>
      <c r="IK141" s="18"/>
      <c r="IL141" s="18"/>
      <c r="IM141" s="18"/>
      <c r="IN141" s="18"/>
      <c r="IO141" s="18"/>
      <c r="IP141" s="18"/>
      <c r="IQ141" s="18"/>
      <c r="IR141" s="18"/>
      <c r="IS141" s="18"/>
      <c r="IT141" s="18"/>
      <c r="IU141" s="18"/>
      <c r="IV141" s="18"/>
      <c r="IW141" s="18"/>
      <c r="IX141" s="18"/>
      <c r="IY141" s="18"/>
      <c r="IZ141" s="18"/>
      <c r="JA141" s="18"/>
      <c r="JB141" s="18"/>
      <c r="JC141" s="18"/>
      <c r="JD141" s="18"/>
      <c r="JE141" s="18"/>
      <c r="JF141" s="18"/>
      <c r="JG141" s="18"/>
      <c r="JH141" s="18"/>
      <c r="JI141" s="18"/>
      <c r="JJ141" s="18"/>
      <c r="JK141" s="18"/>
      <c r="JL141" s="18"/>
      <c r="JM141" s="18"/>
      <c r="JN141" s="18"/>
      <c r="JO141" s="18"/>
      <c r="JP141" s="18"/>
      <c r="JQ141" s="18"/>
      <c r="JR141" s="18"/>
      <c r="JS141" s="18"/>
      <c r="JT141" s="18"/>
      <c r="JU141" s="18"/>
      <c r="JV141" s="18"/>
      <c r="JW141" s="18"/>
      <c r="JX141" s="18"/>
      <c r="JY141" s="18"/>
      <c r="JZ141" s="18"/>
      <c r="KA141" s="18"/>
      <c r="KB141" s="18"/>
      <c r="KC141" s="18"/>
      <c r="KD141" s="18"/>
      <c r="KE141" s="18"/>
      <c r="KF141" s="18"/>
      <c r="KG141" s="18"/>
      <c r="KH141" s="18"/>
      <c r="KI141" s="18"/>
      <c r="KJ141" s="18"/>
      <c r="KK141" s="18"/>
      <c r="KL141" s="18"/>
      <c r="KM141" s="18"/>
      <c r="KN141" s="18"/>
      <c r="KO141" s="18"/>
      <c r="KP141" s="18"/>
      <c r="KQ141" s="18"/>
      <c r="KR141" s="18"/>
      <c r="KS141" s="18"/>
      <c r="KT141" s="18"/>
      <c r="KU141" s="18"/>
      <c r="KV141" s="18"/>
      <c r="KW141" s="18"/>
      <c r="KX141" s="18"/>
      <c r="KY141" s="18"/>
      <c r="KZ141" s="18"/>
      <c r="LA141" s="18"/>
      <c r="LB141" s="18"/>
      <c r="LC141" s="18"/>
      <c r="LD141" s="18"/>
      <c r="LE141" s="18"/>
      <c r="LF141" s="18"/>
      <c r="LG141" s="18"/>
      <c r="LH141" s="18"/>
      <c r="LI141" s="18"/>
      <c r="LJ141" s="18"/>
      <c r="LK141" s="18"/>
      <c r="LL141" s="18"/>
      <c r="LM141" s="18"/>
      <c r="LN141" s="18"/>
      <c r="LO141" s="18"/>
      <c r="LP141" s="18"/>
      <c r="LQ141" s="18"/>
      <c r="LR141" s="18"/>
      <c r="LS141" s="18"/>
      <c r="LT141" s="18"/>
      <c r="LU141" s="18"/>
      <c r="LV141" s="18"/>
      <c r="LW141" s="18"/>
      <c r="LX141" s="18"/>
      <c r="LY141" s="18"/>
      <c r="LZ141" s="18"/>
      <c r="MA141" s="18"/>
      <c r="MB141" s="18"/>
      <c r="MC141" s="18"/>
      <c r="MD141" s="18"/>
      <c r="ME141" s="18"/>
      <c r="MF141" s="18"/>
      <c r="MG141" s="18"/>
      <c r="MH141" s="18"/>
      <c r="MI141" s="18"/>
      <c r="MJ141" s="18"/>
      <c r="MK141" s="18"/>
      <c r="ML141" s="18"/>
      <c r="MM141" s="18"/>
      <c r="MN141" s="18"/>
      <c r="MO141" s="18"/>
      <c r="MP141" s="18"/>
      <c r="MQ141" s="18"/>
      <c r="MR141" s="18"/>
      <c r="MS141" s="18"/>
      <c r="MT141" s="18"/>
      <c r="MU141" s="18"/>
      <c r="MV141" s="18"/>
      <c r="MW141" s="18"/>
      <c r="MX141" s="18"/>
      <c r="MY141" s="18"/>
      <c r="MZ141" s="18"/>
      <c r="NA141" s="18"/>
      <c r="NB141" s="18"/>
      <c r="NC141" s="18"/>
      <c r="ND141" s="18"/>
      <c r="NE141" s="18"/>
      <c r="NF141" s="18"/>
      <c r="NG141" s="18"/>
      <c r="NH141" s="18"/>
      <c r="NI141" s="18"/>
      <c r="NJ141" s="18"/>
      <c r="NK141" s="18"/>
      <c r="NL141" s="18"/>
      <c r="NM141" s="18"/>
      <c r="NN141" s="18"/>
      <c r="NO141" s="18"/>
      <c r="NP141" s="18"/>
      <c r="NQ141" s="18"/>
      <c r="NR141" s="18"/>
      <c r="NS141" s="18"/>
      <c r="NT141" s="18"/>
      <c r="NU141" s="18"/>
      <c r="NV141" s="18"/>
      <c r="NW141" s="18"/>
      <c r="NX141" s="18"/>
      <c r="NY141" s="18"/>
      <c r="NZ141" s="18"/>
      <c r="OA141" s="18"/>
      <c r="OB141" s="18"/>
      <c r="OC141" s="18"/>
      <c r="OD141" s="18"/>
      <c r="OE141" s="18"/>
      <c r="OF141" s="18"/>
      <c r="OG141" s="18"/>
      <c r="OH141" s="18"/>
      <c r="OI141" s="18"/>
      <c r="OJ141" s="18"/>
      <c r="OK141" s="18"/>
      <c r="OL141" s="18"/>
      <c r="OM141" s="18"/>
      <c r="ON141" s="18"/>
      <c r="OO141" s="18"/>
      <c r="OP141" s="18"/>
      <c r="OQ141" s="18"/>
      <c r="OR141" s="18"/>
      <c r="OS141" s="18"/>
      <c r="OT141" s="18"/>
      <c r="OU141" s="117">
        <f t="shared" si="1280"/>
        <v>0.56000000000000005</v>
      </c>
      <c r="OV141" s="114">
        <f t="shared" si="1281"/>
        <v>0.56000000000000005</v>
      </c>
      <c r="OW141" s="114">
        <f t="shared" si="1282"/>
        <v>0.56999999999999995</v>
      </c>
      <c r="OX141" s="114">
        <f t="shared" si="1283"/>
        <v>0.56999999999999995</v>
      </c>
      <c r="OY141" s="114">
        <f t="shared" si="1312"/>
        <v>0.56999999999999995</v>
      </c>
      <c r="OZ141" s="114">
        <f t="shared" si="1313"/>
        <v>0.57999999999999996</v>
      </c>
      <c r="PA141" s="114">
        <f t="shared" si="1314"/>
        <v>0.57999999999999996</v>
      </c>
      <c r="PB141" s="114">
        <f t="shared" si="1315"/>
        <v>0.59</v>
      </c>
      <c r="PC141" s="114">
        <f t="shared" si="1316"/>
        <v>0.59</v>
      </c>
      <c r="PD141" s="114">
        <f t="shared" si="1317"/>
        <v>0.59</v>
      </c>
      <c r="PE141" s="114">
        <f t="shared" si="1318"/>
        <v>0.6</v>
      </c>
      <c r="PF141" s="114">
        <f t="shared" si="1319"/>
        <v>0.6</v>
      </c>
      <c r="PG141" s="114">
        <f t="shared" si="1320"/>
        <v>0.61</v>
      </c>
      <c r="PH141" s="114">
        <f t="shared" si="1321"/>
        <v>0.61</v>
      </c>
      <c r="PI141" s="114">
        <f t="shared" si="1322"/>
        <v>0.62</v>
      </c>
      <c r="PJ141" s="114">
        <f t="shared" si="1323"/>
        <v>0.62</v>
      </c>
      <c r="PK141" s="114">
        <f t="shared" si="1324"/>
        <v>0.63</v>
      </c>
      <c r="PL141" s="114">
        <f t="shared" si="1325"/>
        <v>0.63</v>
      </c>
      <c r="PM141" s="114">
        <f t="shared" si="1326"/>
        <v>0.64</v>
      </c>
      <c r="PN141" s="114">
        <f t="shared" si="1327"/>
        <v>0.64</v>
      </c>
      <c r="PO141" s="114">
        <f t="shared" si="1328"/>
        <v>0.65</v>
      </c>
      <c r="PP141" s="114">
        <f t="shared" si="1329"/>
        <v>0.65</v>
      </c>
      <c r="PQ141" s="114">
        <f t="shared" si="1330"/>
        <v>0.66</v>
      </c>
      <c r="PR141" s="114">
        <f t="shared" si="1331"/>
        <v>0.66</v>
      </c>
      <c r="PS141" s="114">
        <f t="shared" si="1332"/>
        <v>0.66</v>
      </c>
      <c r="PT141" s="114">
        <f t="shared" si="1333"/>
        <v>0.67</v>
      </c>
      <c r="PU141" s="114">
        <f t="shared" si="1334"/>
        <v>0.67</v>
      </c>
      <c r="PV141" s="114">
        <f t="shared" si="1335"/>
        <v>0.68</v>
      </c>
      <c r="PW141" s="114">
        <f t="shared" si="1336"/>
        <v>0.68</v>
      </c>
      <c r="PX141" s="114">
        <f t="shared" si="1337"/>
        <v>0.68</v>
      </c>
      <c r="PY141" s="114">
        <f t="shared" si="1338"/>
        <v>0.69</v>
      </c>
      <c r="PZ141" s="114">
        <f t="shared" si="1339"/>
        <v>0.69</v>
      </c>
      <c r="QA141" s="114">
        <f t="shared" si="1340"/>
        <v>0.69</v>
      </c>
      <c r="QB141" s="114">
        <f t="shared" si="1341"/>
        <v>0.7</v>
      </c>
      <c r="QC141" s="114">
        <f t="shared" si="1342"/>
        <v>0.7</v>
      </c>
      <c r="QD141" s="114">
        <f t="shared" si="1343"/>
        <v>0.71</v>
      </c>
      <c r="QE141" s="114">
        <f t="shared" si="1344"/>
        <v>0.71</v>
      </c>
      <c r="QF141" s="114">
        <f t="shared" si="1345"/>
        <v>0.71</v>
      </c>
      <c r="QG141" s="114">
        <f t="shared" si="1346"/>
        <v>0.72</v>
      </c>
      <c r="QH141" s="114">
        <f t="shared" si="1347"/>
        <v>0.72</v>
      </c>
      <c r="QI141" s="114">
        <f t="shared" si="1348"/>
        <v>0.72</v>
      </c>
      <c r="QJ141" s="114">
        <f t="shared" si="1349"/>
        <v>0.73</v>
      </c>
      <c r="QK141" s="114">
        <f t="shared" si="1350"/>
        <v>0.73</v>
      </c>
      <c r="QL141" s="114">
        <f t="shared" si="1351"/>
        <v>0.73</v>
      </c>
      <c r="QM141" s="114">
        <f t="shared" si="1352"/>
        <v>0.74</v>
      </c>
      <c r="QN141" s="114">
        <f t="shared" si="1353"/>
        <v>0.74</v>
      </c>
      <c r="QO141" s="114">
        <f t="shared" si="1354"/>
        <v>0.74</v>
      </c>
      <c r="QP141" s="114">
        <f t="shared" si="1355"/>
        <v>0.75</v>
      </c>
      <c r="QQ141" s="114">
        <f t="shared" si="1356"/>
        <v>0.75</v>
      </c>
      <c r="QR141" s="114">
        <f t="shared" si="1357"/>
        <v>0.76</v>
      </c>
      <c r="QS141" s="172">
        <f t="shared" si="1358"/>
        <v>0.76</v>
      </c>
      <c r="QT141" s="151">
        <f t="shared" si="1359"/>
        <v>0.76</v>
      </c>
      <c r="QU141" s="151">
        <f t="shared" si="1360"/>
        <v>0.77</v>
      </c>
      <c r="QV141" s="151">
        <f t="shared" si="1361"/>
        <v>0.77</v>
      </c>
      <c r="QW141" s="151">
        <f t="shared" si="1362"/>
        <v>0.77</v>
      </c>
      <c r="QX141" s="151">
        <f t="shared" si="1363"/>
        <v>0.78</v>
      </c>
      <c r="QY141" s="151">
        <f t="shared" si="1364"/>
        <v>0.78</v>
      </c>
      <c r="QZ141" s="151">
        <f t="shared" si="1365"/>
        <v>0.78</v>
      </c>
      <c r="RA141" s="151">
        <f t="shared" si="1366"/>
        <v>0.78</v>
      </c>
      <c r="RB141" s="151">
        <f t="shared" si="1367"/>
        <v>0.79</v>
      </c>
      <c r="RC141" s="151">
        <f t="shared" si="1368"/>
        <v>0.79</v>
      </c>
      <c r="RD141" s="151">
        <f t="shared" si="1369"/>
        <v>0.79</v>
      </c>
      <c r="RE141" s="151">
        <f t="shared" si="1370"/>
        <v>0.79</v>
      </c>
      <c r="RF141" s="151">
        <f t="shared" si="1371"/>
        <v>0.8</v>
      </c>
      <c r="RG141" s="151">
        <f t="shared" si="1310"/>
        <v>0.8</v>
      </c>
      <c r="RH141" s="151">
        <f t="shared" si="1372"/>
        <v>0.8</v>
      </c>
      <c r="RI141" s="151">
        <f t="shared" si="1373"/>
        <v>0.8</v>
      </c>
      <c r="RJ141" s="151">
        <f t="shared" si="1374"/>
        <v>0.8</v>
      </c>
      <c r="RK141" s="151">
        <f t="shared" si="1375"/>
        <v>0.81</v>
      </c>
      <c r="RL141" s="151">
        <f t="shared" si="1376"/>
        <v>0.81</v>
      </c>
      <c r="RM141" s="151">
        <f t="shared" si="1377"/>
        <v>0.81</v>
      </c>
      <c r="RN141" s="151">
        <f t="shared" si="1378"/>
        <v>0.81</v>
      </c>
      <c r="RO141" s="151">
        <f t="shared" si="1379"/>
        <v>0.82</v>
      </c>
      <c r="RP141" s="151">
        <f t="shared" si="1380"/>
        <v>0.82</v>
      </c>
      <c r="RQ141" s="151">
        <f t="shared" si="1381"/>
        <v>0.82</v>
      </c>
      <c r="RR141" s="151">
        <f t="shared" si="1382"/>
        <v>0.82</v>
      </c>
      <c r="RS141" s="151">
        <f t="shared" si="1383"/>
        <v>0.82</v>
      </c>
      <c r="RT141" s="151">
        <f t="shared" si="1384"/>
        <v>0.83</v>
      </c>
      <c r="RU141" s="151">
        <f t="shared" si="1385"/>
        <v>0.83</v>
      </c>
      <c r="RV141" s="151">
        <f t="shared" si="1386"/>
        <v>0.83</v>
      </c>
      <c r="RW141" s="151">
        <f t="shared" si="1387"/>
        <v>0.83</v>
      </c>
      <c r="RX141" s="151">
        <f t="shared" si="1388"/>
        <v>0.83</v>
      </c>
      <c r="RY141" s="151">
        <f t="shared" si="1389"/>
        <v>0.83</v>
      </c>
      <c r="RZ141" s="151">
        <f t="shared" si="1390"/>
        <v>0.83</v>
      </c>
      <c r="SA141" s="151">
        <f t="shared" si="1391"/>
        <v>0.84</v>
      </c>
      <c r="SB141" s="151">
        <f t="shared" si="1392"/>
        <v>0.84</v>
      </c>
      <c r="SC141" s="151">
        <f t="shared" si="1393"/>
        <v>0.84</v>
      </c>
      <c r="SD141" s="151">
        <f t="shared" si="1394"/>
        <v>0.84</v>
      </c>
      <c r="SE141" s="151">
        <f t="shared" si="1395"/>
        <v>0.84</v>
      </c>
      <c r="SF141" s="151">
        <f t="shared" si="1396"/>
        <v>0.84</v>
      </c>
      <c r="SG141" s="151">
        <f t="shared" si="1397"/>
        <v>0.85</v>
      </c>
      <c r="SH141" s="151">
        <f t="shared" si="1398"/>
        <v>0.85</v>
      </c>
      <c r="SI141" s="151">
        <f t="shared" si="1399"/>
        <v>0.85</v>
      </c>
      <c r="SJ141" s="151">
        <f t="shared" si="1400"/>
        <v>0.85</v>
      </c>
      <c r="SK141" s="151">
        <f t="shared" si="1401"/>
        <v>0.85</v>
      </c>
      <c r="SL141" s="151">
        <f t="shared" si="1402"/>
        <v>0.85</v>
      </c>
      <c r="SM141" s="151">
        <f t="shared" si="1403"/>
        <v>0.85</v>
      </c>
      <c r="SN141" s="151">
        <f t="shared" si="1404"/>
        <v>0.85</v>
      </c>
      <c r="SO141" s="151">
        <f t="shared" si="1405"/>
        <v>0.86</v>
      </c>
      <c r="SP141" s="151">
        <f t="shared" si="1406"/>
        <v>0.86</v>
      </c>
      <c r="SQ141" s="151">
        <f t="shared" si="1407"/>
        <v>0.86</v>
      </c>
      <c r="SR141" s="176">
        <f t="shared" si="1408"/>
        <v>0.86</v>
      </c>
      <c r="SS141" s="163">
        <f t="shared" si="1409"/>
        <v>0.86</v>
      </c>
      <c r="ST141" s="163">
        <f t="shared" si="1410"/>
        <v>0.86</v>
      </c>
      <c r="SU141" s="163">
        <f t="shared" si="1411"/>
        <v>0.86</v>
      </c>
      <c r="SV141" s="163">
        <f t="shared" si="1412"/>
        <v>0.86</v>
      </c>
      <c r="SW141" s="163">
        <f t="shared" si="1413"/>
        <v>0.87</v>
      </c>
      <c r="SX141" s="163">
        <f t="shared" si="1414"/>
        <v>0.87</v>
      </c>
      <c r="SY141" s="163">
        <f t="shared" si="1415"/>
        <v>0.87</v>
      </c>
      <c r="SZ141" s="163">
        <f t="shared" si="1416"/>
        <v>0.87</v>
      </c>
      <c r="TA141" s="163">
        <f t="shared" si="1417"/>
        <v>0.87</v>
      </c>
      <c r="TB141" s="163">
        <f t="shared" si="1418"/>
        <v>0.87</v>
      </c>
      <c r="TC141" s="163">
        <f t="shared" si="1419"/>
        <v>0.87</v>
      </c>
      <c r="TD141" s="163">
        <f t="shared" si="1420"/>
        <v>0.88</v>
      </c>
      <c r="TE141" s="163">
        <f t="shared" si="1421"/>
        <v>0.88</v>
      </c>
      <c r="TF141" s="163">
        <f t="shared" si="1422"/>
        <v>0.88</v>
      </c>
      <c r="TG141" s="163">
        <f t="shared" si="1423"/>
        <v>0.88</v>
      </c>
      <c r="TH141" s="163">
        <f t="shared" si="1424"/>
        <v>0.88</v>
      </c>
      <c r="TI141" s="163">
        <f t="shared" si="1425"/>
        <v>0.88</v>
      </c>
      <c r="TJ141" s="163">
        <f t="shared" si="1426"/>
        <v>0.88</v>
      </c>
      <c r="TK141" s="163">
        <f t="shared" si="1427"/>
        <v>0.89</v>
      </c>
      <c r="TL141" s="163">
        <f t="shared" si="1428"/>
        <v>0.89</v>
      </c>
      <c r="TM141" s="163">
        <f t="shared" si="1429"/>
        <v>0.89</v>
      </c>
      <c r="TN141" s="163">
        <f t="shared" si="1430"/>
        <v>0.89</v>
      </c>
      <c r="TO141" s="163">
        <f t="shared" si="1431"/>
        <v>0.89</v>
      </c>
      <c r="TP141" s="163">
        <f t="shared" si="1432"/>
        <v>0.89</v>
      </c>
      <c r="TQ141" s="163">
        <f t="shared" si="1433"/>
        <v>0.89</v>
      </c>
      <c r="TR141" s="163">
        <f t="shared" si="1434"/>
        <v>0.9</v>
      </c>
      <c r="TS141" s="163">
        <f t="shared" si="1311"/>
        <v>0.9</v>
      </c>
      <c r="TT141" s="163">
        <f t="shared" ref="TT141:TT143" si="1439">EB37</f>
        <v>0.9</v>
      </c>
      <c r="TU141" s="163">
        <f t="shared" ref="TU141:TU143" si="1440">EC37</f>
        <v>0.9</v>
      </c>
      <c r="TV141" s="163">
        <f t="shared" ref="TV141:TV143" si="1441">ED37</f>
        <v>0.9</v>
      </c>
      <c r="TW141" s="163">
        <f t="shared" ref="TW141:TW143" si="1442">EE37</f>
        <v>0.9</v>
      </c>
      <c r="TX141" s="163">
        <f t="shared" ref="TX141:TX143" si="1443">EF37</f>
        <v>0.9</v>
      </c>
      <c r="TY141" s="163">
        <f t="shared" ref="TY141:TY143" si="1444">EG37</f>
        <v>0.91</v>
      </c>
      <c r="TZ141" s="163">
        <f t="shared" ref="TZ141:TZ143" si="1445">EH37</f>
        <v>0.91</v>
      </c>
      <c r="UA141" s="163">
        <f t="shared" ref="UA141:UA143" si="1446">EI37</f>
        <v>0.91</v>
      </c>
      <c r="UB141" s="163">
        <f t="shared" ref="UB141:UB143" si="1447">EJ37</f>
        <v>0.91</v>
      </c>
      <c r="UC141" s="163">
        <f t="shared" ref="UC141:UC143" si="1448">EK37</f>
        <v>0.91</v>
      </c>
      <c r="UD141" s="163">
        <f t="shared" ref="UD141:UD143" si="1449">EL37</f>
        <v>0.91</v>
      </c>
      <c r="UE141" s="163">
        <f t="shared" ref="UE141:UE143" si="1450">EM37</f>
        <v>0.91</v>
      </c>
      <c r="UF141" s="163">
        <f t="shared" ref="UF141:UF143" si="1451">EN37</f>
        <v>0.91</v>
      </c>
      <c r="UG141" s="163">
        <f t="shared" ref="UG141:UG143" si="1452">EO37</f>
        <v>0.91</v>
      </c>
      <c r="UH141" s="163">
        <f t="shared" ref="UH141:UH143" si="1453">EP37</f>
        <v>0.91</v>
      </c>
      <c r="UI141" s="163">
        <f t="shared" ref="UI141:UI143" si="1454">EQ37</f>
        <v>0.91</v>
      </c>
      <c r="UJ141" s="163">
        <f t="shared" ref="UJ141:UJ143" si="1455">ER37</f>
        <v>0.92</v>
      </c>
      <c r="UK141" s="163">
        <f t="shared" ref="UK141:UK143" si="1456">ES37</f>
        <v>0.92</v>
      </c>
      <c r="UL141" s="163">
        <f t="shared" ref="UL141:UL143" si="1457">ET37</f>
        <v>0.92</v>
      </c>
      <c r="UM141" s="163">
        <f t="shared" ref="UM141:UM143" si="1458">EU37</f>
        <v>0.92</v>
      </c>
      <c r="UN141" s="163">
        <f t="shared" ref="UN141:UN143" si="1459">EV37</f>
        <v>0.92</v>
      </c>
      <c r="UO141" s="163">
        <f t="shared" si="1436"/>
        <v>0.92</v>
      </c>
      <c r="UP141" s="163">
        <f t="shared" si="1437"/>
        <v>0.92</v>
      </c>
      <c r="UQ141" s="117">
        <f t="shared" si="1438"/>
        <v>0.92</v>
      </c>
      <c r="UR141" s="203"/>
      <c r="US141" s="203"/>
    </row>
    <row r="142" spans="1:629" ht="18.75" x14ac:dyDescent="0.25">
      <c r="A142" s="298"/>
      <c r="B142" s="25" t="s">
        <v>3</v>
      </c>
      <c r="BY142" s="18"/>
      <c r="BZ142" s="18"/>
      <c r="CA142" s="18"/>
      <c r="CB142" s="18"/>
      <c r="CC142" s="18"/>
      <c r="CD142" s="18"/>
      <c r="CE142" s="18"/>
      <c r="CF142" s="18"/>
      <c r="CG142" s="18"/>
      <c r="CH142" s="18"/>
      <c r="CI142" s="18"/>
      <c r="CJ142" s="18"/>
      <c r="CK142" s="18"/>
      <c r="CL142" s="18"/>
      <c r="CM142" s="18"/>
      <c r="CN142" s="18"/>
      <c r="CO142" s="18"/>
      <c r="CP142" s="18"/>
      <c r="CQ142" s="18"/>
      <c r="CR142" s="18"/>
      <c r="CS142" s="18"/>
      <c r="CT142" s="18"/>
      <c r="CU142" s="18"/>
      <c r="CV142" s="18"/>
      <c r="CW142" s="18"/>
      <c r="CX142" s="18"/>
      <c r="CY142" s="18"/>
      <c r="CZ142" s="18"/>
      <c r="DA142" s="18"/>
      <c r="DB142" s="18"/>
      <c r="DC142" s="18"/>
      <c r="DD142" s="18"/>
      <c r="DE142" s="18"/>
      <c r="DF142" s="18"/>
      <c r="DG142" s="18"/>
      <c r="DH142" s="18"/>
      <c r="DI142" s="18"/>
      <c r="DJ142" s="18"/>
      <c r="DK142" s="18"/>
      <c r="DL142" s="18"/>
      <c r="DM142" s="18"/>
      <c r="DN142" s="18"/>
      <c r="DO142" s="18"/>
      <c r="DP142" s="18"/>
      <c r="DQ142" s="18"/>
      <c r="DR142" s="18"/>
      <c r="DS142" s="18"/>
      <c r="DT142" s="18"/>
      <c r="DU142" s="18"/>
      <c r="DV142" s="18"/>
      <c r="DW142" s="18"/>
      <c r="DX142" s="18"/>
      <c r="DY142" s="18"/>
      <c r="DZ142" s="18"/>
      <c r="EA142" s="18"/>
      <c r="EB142" s="18"/>
      <c r="EC142" s="18"/>
      <c r="ED142" s="18"/>
      <c r="EE142" s="18"/>
      <c r="EF142" s="18"/>
      <c r="EG142" s="18"/>
      <c r="EH142" s="18"/>
      <c r="EI142" s="18"/>
      <c r="EJ142" s="18"/>
      <c r="EK142" s="18"/>
      <c r="EL142" s="18"/>
      <c r="EM142" s="18"/>
      <c r="EN142" s="18"/>
      <c r="EO142" s="18"/>
      <c r="EP142" s="18"/>
      <c r="EQ142" s="18"/>
      <c r="ER142" s="18"/>
      <c r="ES142" s="18"/>
      <c r="ET142" s="18"/>
      <c r="EU142" s="18"/>
      <c r="EV142" s="18"/>
      <c r="EW142" s="18"/>
      <c r="EX142" s="18"/>
      <c r="EY142" s="18"/>
      <c r="EZ142" s="18"/>
      <c r="FA142" s="18"/>
      <c r="FB142" s="18"/>
      <c r="FC142" s="18"/>
      <c r="FD142" s="18"/>
      <c r="FE142" s="18"/>
      <c r="FF142" s="18"/>
      <c r="FG142" s="18"/>
      <c r="FH142" s="18"/>
      <c r="FI142" s="18"/>
      <c r="FJ142" s="18"/>
      <c r="FK142" s="18"/>
      <c r="FL142" s="18"/>
      <c r="FM142" s="18"/>
      <c r="FN142" s="18"/>
      <c r="FO142" s="18"/>
      <c r="FP142" s="18"/>
      <c r="FQ142" s="18"/>
      <c r="FR142" s="18"/>
      <c r="FS142" s="18"/>
      <c r="FT142" s="18"/>
      <c r="FU142" s="18"/>
      <c r="FV142" s="18"/>
      <c r="FW142" s="18"/>
      <c r="FX142" s="18"/>
      <c r="FY142" s="18"/>
      <c r="FZ142" s="18"/>
      <c r="GA142" s="18"/>
      <c r="GB142" s="18"/>
      <c r="GC142" s="18"/>
      <c r="GD142" s="18"/>
      <c r="GE142" s="18"/>
      <c r="GF142" s="18"/>
      <c r="GG142" s="18"/>
      <c r="GH142" s="18"/>
      <c r="GI142" s="18"/>
      <c r="GJ142" s="18"/>
      <c r="GK142" s="18"/>
      <c r="GL142" s="18"/>
      <c r="GM142" s="18"/>
      <c r="GN142" s="18"/>
      <c r="GO142" s="18"/>
      <c r="GP142" s="18"/>
      <c r="GQ142" s="18"/>
      <c r="GR142" s="18"/>
      <c r="GS142" s="18"/>
      <c r="GT142" s="18"/>
      <c r="GU142" s="18"/>
      <c r="GV142" s="18"/>
      <c r="GW142" s="18"/>
      <c r="GX142" s="18"/>
      <c r="GY142" s="18"/>
      <c r="GZ142" s="18"/>
      <c r="HA142" s="18"/>
      <c r="HB142" s="18"/>
      <c r="HC142" s="18"/>
      <c r="HD142" s="18"/>
      <c r="HE142" s="18"/>
      <c r="HF142" s="18"/>
      <c r="HG142" s="18"/>
      <c r="HH142" s="18"/>
      <c r="HI142" s="18"/>
      <c r="HJ142" s="18"/>
      <c r="HK142" s="18"/>
      <c r="HL142" s="18"/>
      <c r="HM142" s="18"/>
      <c r="HN142" s="18"/>
      <c r="HO142" s="18"/>
      <c r="HP142" s="18"/>
      <c r="HQ142" s="18"/>
      <c r="HR142" s="18"/>
      <c r="HS142" s="18"/>
      <c r="HT142" s="18"/>
      <c r="HU142" s="18"/>
      <c r="HV142" s="18"/>
      <c r="HW142" s="18"/>
      <c r="HX142" s="18"/>
      <c r="HY142" s="18"/>
      <c r="HZ142" s="18"/>
      <c r="IA142" s="18"/>
      <c r="IB142" s="18"/>
      <c r="IC142" s="18"/>
      <c r="ID142" s="18"/>
      <c r="IE142" s="18"/>
      <c r="IF142" s="18"/>
      <c r="IG142" s="18"/>
      <c r="IH142" s="18"/>
      <c r="II142" s="18"/>
      <c r="IJ142" s="18"/>
      <c r="IK142" s="18"/>
      <c r="IL142" s="18"/>
      <c r="IM142" s="18"/>
      <c r="IN142" s="18"/>
      <c r="IO142" s="18"/>
      <c r="IP142" s="18"/>
      <c r="IQ142" s="18"/>
      <c r="IR142" s="18"/>
      <c r="IS142" s="18"/>
      <c r="IT142" s="18"/>
      <c r="IU142" s="18"/>
      <c r="IV142" s="18"/>
      <c r="IW142" s="18"/>
      <c r="IX142" s="18"/>
      <c r="IY142" s="18"/>
      <c r="IZ142" s="18"/>
      <c r="JA142" s="18"/>
      <c r="JB142" s="18"/>
      <c r="JC142" s="18"/>
      <c r="JD142" s="18"/>
      <c r="JE142" s="18"/>
      <c r="JF142" s="18"/>
      <c r="JG142" s="18"/>
      <c r="JH142" s="18"/>
      <c r="JI142" s="18"/>
      <c r="JJ142" s="18"/>
      <c r="JK142" s="18"/>
      <c r="JL142" s="18"/>
      <c r="JM142" s="18"/>
      <c r="JN142" s="18"/>
      <c r="JO142" s="18"/>
      <c r="JP142" s="18"/>
      <c r="JQ142" s="18"/>
      <c r="JR142" s="18"/>
      <c r="JS142" s="18"/>
      <c r="JT142" s="18"/>
      <c r="JU142" s="18"/>
      <c r="JV142" s="18"/>
      <c r="JW142" s="18"/>
      <c r="JX142" s="18"/>
      <c r="JY142" s="18"/>
      <c r="JZ142" s="18"/>
      <c r="KA142" s="18"/>
      <c r="KB142" s="18"/>
      <c r="KC142" s="18"/>
      <c r="KD142" s="18"/>
      <c r="KE142" s="18"/>
      <c r="KF142" s="18"/>
      <c r="KG142" s="18"/>
      <c r="KH142" s="18"/>
      <c r="KI142" s="18"/>
      <c r="KJ142" s="18"/>
      <c r="KK142" s="18"/>
      <c r="KL142" s="18"/>
      <c r="KM142" s="18"/>
      <c r="KN142" s="18"/>
      <c r="KO142" s="18"/>
      <c r="KP142" s="18"/>
      <c r="KQ142" s="18"/>
      <c r="KR142" s="18"/>
      <c r="KS142" s="18"/>
      <c r="KT142" s="18"/>
      <c r="KU142" s="18"/>
      <c r="KV142" s="18"/>
      <c r="KW142" s="18"/>
      <c r="KX142" s="18"/>
      <c r="KY142" s="18"/>
      <c r="KZ142" s="18"/>
      <c r="LA142" s="18"/>
      <c r="LB142" s="18"/>
      <c r="LC142" s="18"/>
      <c r="LD142" s="18"/>
      <c r="LE142" s="18"/>
      <c r="LF142" s="18"/>
      <c r="LG142" s="18"/>
      <c r="LH142" s="18"/>
      <c r="LI142" s="18"/>
      <c r="LJ142" s="18"/>
      <c r="LK142" s="18"/>
      <c r="LL142" s="18"/>
      <c r="LM142" s="18"/>
      <c r="LN142" s="18"/>
      <c r="LO142" s="18"/>
      <c r="LP142" s="18"/>
      <c r="LQ142" s="18"/>
      <c r="LR142" s="18"/>
      <c r="LS142" s="18"/>
      <c r="LT142" s="18"/>
      <c r="LU142" s="18"/>
      <c r="LV142" s="18"/>
      <c r="LW142" s="18"/>
      <c r="LX142" s="18"/>
      <c r="LY142" s="18"/>
      <c r="LZ142" s="18"/>
      <c r="MA142" s="18"/>
      <c r="MB142" s="18"/>
      <c r="MC142" s="18"/>
      <c r="MD142" s="18"/>
      <c r="ME142" s="18"/>
      <c r="MF142" s="18"/>
      <c r="MG142" s="18"/>
      <c r="MH142" s="18"/>
      <c r="MI142" s="18"/>
      <c r="MJ142" s="18"/>
      <c r="MK142" s="18"/>
      <c r="ML142" s="18"/>
      <c r="MM142" s="18"/>
      <c r="MN142" s="18"/>
      <c r="MO142" s="18"/>
      <c r="MP142" s="18"/>
      <c r="MQ142" s="18"/>
      <c r="MR142" s="18"/>
      <c r="MS142" s="18"/>
      <c r="MT142" s="18"/>
      <c r="MU142" s="18"/>
      <c r="MV142" s="18"/>
      <c r="MW142" s="18"/>
      <c r="MX142" s="18"/>
      <c r="MY142" s="18"/>
      <c r="MZ142" s="18"/>
      <c r="NA142" s="18"/>
      <c r="NB142" s="18"/>
      <c r="NC142" s="18"/>
      <c r="ND142" s="18"/>
      <c r="NE142" s="18"/>
      <c r="NF142" s="18"/>
      <c r="NG142" s="18"/>
      <c r="NH142" s="18"/>
      <c r="NI142" s="18"/>
      <c r="NJ142" s="18"/>
      <c r="NK142" s="18"/>
      <c r="NL142" s="18"/>
      <c r="NM142" s="18"/>
      <c r="NN142" s="18"/>
      <c r="NO142" s="18"/>
      <c r="NP142" s="18"/>
      <c r="NQ142" s="18"/>
      <c r="NR142" s="18"/>
      <c r="NS142" s="18"/>
      <c r="NT142" s="18"/>
      <c r="NU142" s="18"/>
      <c r="NV142" s="18"/>
      <c r="NW142" s="18"/>
      <c r="NX142" s="18"/>
      <c r="NY142" s="18"/>
      <c r="NZ142" s="18"/>
      <c r="OA142" s="18"/>
      <c r="OB142" s="18"/>
      <c r="OC142" s="18"/>
      <c r="OD142" s="18"/>
      <c r="OE142" s="18"/>
      <c r="OF142" s="18"/>
      <c r="OG142" s="18"/>
      <c r="OH142" s="18"/>
      <c r="OI142" s="18"/>
      <c r="OJ142" s="18"/>
      <c r="OK142" s="18"/>
      <c r="OL142" s="18"/>
      <c r="OM142" s="18"/>
      <c r="ON142" s="18"/>
      <c r="OO142" s="18"/>
      <c r="OP142" s="18"/>
      <c r="OQ142" s="18"/>
      <c r="OR142" s="18"/>
      <c r="OS142" s="18"/>
      <c r="OT142" s="18"/>
      <c r="OU142" s="125" t="str">
        <f t="shared" si="1280"/>
        <v>Tank 1</v>
      </c>
      <c r="OV142" s="111" t="str">
        <f t="shared" si="1281"/>
        <v>Tank 1</v>
      </c>
      <c r="OW142" s="111" t="str">
        <f t="shared" si="1282"/>
        <v>Tank 1</v>
      </c>
      <c r="OX142" s="111" t="str">
        <f t="shared" si="1283"/>
        <v>Tank 1</v>
      </c>
      <c r="OY142" s="111" t="str">
        <f t="shared" si="1312"/>
        <v>Tank 1</v>
      </c>
      <c r="OZ142" s="111" t="str">
        <f t="shared" si="1313"/>
        <v>Tank 1</v>
      </c>
      <c r="PA142" s="111" t="str">
        <f t="shared" si="1314"/>
        <v>Tank 1</v>
      </c>
      <c r="PB142" s="111" t="str">
        <f t="shared" si="1315"/>
        <v>Tank 1</v>
      </c>
      <c r="PC142" s="111" t="str">
        <f t="shared" si="1316"/>
        <v>Tank 1</v>
      </c>
      <c r="PD142" s="111" t="str">
        <f t="shared" si="1317"/>
        <v>Tank 1</v>
      </c>
      <c r="PE142" s="111" t="str">
        <f t="shared" si="1318"/>
        <v>Tank 1</v>
      </c>
      <c r="PF142" s="111" t="str">
        <f t="shared" si="1319"/>
        <v>Tank 1</v>
      </c>
      <c r="PG142" s="111" t="str">
        <f t="shared" si="1320"/>
        <v>Tank 1</v>
      </c>
      <c r="PH142" s="111" t="str">
        <f t="shared" si="1321"/>
        <v>Tank 1</v>
      </c>
      <c r="PI142" s="111" t="str">
        <f t="shared" si="1322"/>
        <v>Tank 1</v>
      </c>
      <c r="PJ142" s="111" t="str">
        <f t="shared" si="1323"/>
        <v>Tank 1</v>
      </c>
      <c r="PK142" s="111" t="str">
        <f t="shared" si="1324"/>
        <v>Tank 1</v>
      </c>
      <c r="PL142" s="111" t="str">
        <f t="shared" si="1325"/>
        <v>Tank 1</v>
      </c>
      <c r="PM142" s="111" t="str">
        <f t="shared" si="1326"/>
        <v>Tank 1</v>
      </c>
      <c r="PN142" s="111" t="str">
        <f t="shared" si="1327"/>
        <v>Tank 1</v>
      </c>
      <c r="PO142" s="111" t="str">
        <f t="shared" si="1328"/>
        <v>Tank 1</v>
      </c>
      <c r="PP142" s="111" t="str">
        <f t="shared" si="1329"/>
        <v>Tank 1</v>
      </c>
      <c r="PQ142" s="111" t="str">
        <f t="shared" si="1330"/>
        <v>Tank 1</v>
      </c>
      <c r="PR142" s="111" t="str">
        <f t="shared" si="1331"/>
        <v>Tank 1</v>
      </c>
      <c r="PS142" s="111" t="str">
        <f t="shared" si="1332"/>
        <v>Tank 1</v>
      </c>
      <c r="PT142" s="111" t="str">
        <f t="shared" si="1333"/>
        <v>Tank 1</v>
      </c>
      <c r="PU142" s="111" t="str">
        <f t="shared" si="1334"/>
        <v>Tank 1</v>
      </c>
      <c r="PV142" s="111" t="str">
        <f t="shared" si="1335"/>
        <v>Tank 1</v>
      </c>
      <c r="PW142" s="111" t="str">
        <f t="shared" si="1336"/>
        <v>Tank 1</v>
      </c>
      <c r="PX142" s="111" t="str">
        <f t="shared" si="1337"/>
        <v>Tank 1</v>
      </c>
      <c r="PY142" s="111" t="str">
        <f t="shared" si="1338"/>
        <v>Tank 1</v>
      </c>
      <c r="PZ142" s="111" t="str">
        <f t="shared" si="1339"/>
        <v>Tank 1</v>
      </c>
      <c r="QA142" s="111" t="str">
        <f t="shared" si="1340"/>
        <v>Tank 1</v>
      </c>
      <c r="QB142" s="111" t="str">
        <f t="shared" si="1341"/>
        <v>Tank 1</v>
      </c>
      <c r="QC142" s="111" t="str">
        <f t="shared" si="1342"/>
        <v>Tank 1</v>
      </c>
      <c r="QD142" s="111" t="str">
        <f t="shared" si="1343"/>
        <v>Tank 1</v>
      </c>
      <c r="QE142" s="111" t="str">
        <f t="shared" si="1344"/>
        <v>Tank 1</v>
      </c>
      <c r="QF142" s="111" t="str">
        <f t="shared" si="1345"/>
        <v>Tank 1</v>
      </c>
      <c r="QG142" s="111" t="str">
        <f t="shared" si="1346"/>
        <v>Tank 1</v>
      </c>
      <c r="QH142" s="111" t="str">
        <f t="shared" si="1347"/>
        <v>Tank 1</v>
      </c>
      <c r="QI142" s="111" t="str">
        <f t="shared" si="1348"/>
        <v>Tank 1</v>
      </c>
      <c r="QJ142" s="111" t="str">
        <f t="shared" si="1349"/>
        <v>Tank 1</v>
      </c>
      <c r="QK142" s="111" t="str">
        <f t="shared" si="1350"/>
        <v>Tank 1</v>
      </c>
      <c r="QL142" s="111" t="str">
        <f t="shared" si="1351"/>
        <v>Tank 1</v>
      </c>
      <c r="QM142" s="111" t="str">
        <f t="shared" si="1352"/>
        <v>Tank 1</v>
      </c>
      <c r="QN142" s="111" t="str">
        <f t="shared" si="1353"/>
        <v>Tank 1</v>
      </c>
      <c r="QO142" s="111" t="str">
        <f t="shared" si="1354"/>
        <v>Tank 1</v>
      </c>
      <c r="QP142" s="111" t="str">
        <f t="shared" si="1355"/>
        <v>Tank 1</v>
      </c>
      <c r="QQ142" s="111" t="str">
        <f t="shared" si="1356"/>
        <v>Tank 1</v>
      </c>
      <c r="QR142" s="111" t="str">
        <f t="shared" si="1357"/>
        <v>Tank 1</v>
      </c>
      <c r="QS142" s="111" t="str">
        <f t="shared" si="1358"/>
        <v>Tank 1</v>
      </c>
      <c r="QT142" s="152" t="str">
        <f t="shared" si="1359"/>
        <v>Tank 2 + 3</v>
      </c>
      <c r="QU142" s="152" t="str">
        <f t="shared" si="1360"/>
        <v>Tank 2 + 3</v>
      </c>
      <c r="QV142" s="152" t="str">
        <f t="shared" si="1361"/>
        <v>Tank 2 + 3</v>
      </c>
      <c r="QW142" s="152" t="str">
        <f t="shared" si="1362"/>
        <v>Tank 2 + 3</v>
      </c>
      <c r="QX142" s="152" t="str">
        <f t="shared" si="1363"/>
        <v>Tank 2 + 3</v>
      </c>
      <c r="QY142" s="152" t="str">
        <f t="shared" si="1364"/>
        <v>Tank 2 + 3</v>
      </c>
      <c r="QZ142" s="152" t="str">
        <f t="shared" si="1365"/>
        <v>Tank 2 + 3</v>
      </c>
      <c r="RA142" s="152" t="str">
        <f t="shared" si="1366"/>
        <v>Tank 2 + 3</v>
      </c>
      <c r="RB142" s="152" t="str">
        <f t="shared" si="1367"/>
        <v>Tank 2 + 3</v>
      </c>
      <c r="RC142" s="152" t="str">
        <f t="shared" si="1368"/>
        <v>Tank 2 + 3</v>
      </c>
      <c r="RD142" s="152" t="str">
        <f t="shared" si="1369"/>
        <v>Tank 2 + 3</v>
      </c>
      <c r="RE142" s="152" t="str">
        <f t="shared" si="1370"/>
        <v>Tank 2 + 3</v>
      </c>
      <c r="RF142" s="152" t="str">
        <f t="shared" si="1371"/>
        <v>Tank 2 + 3</v>
      </c>
      <c r="RG142" s="152" t="str">
        <f t="shared" si="1310"/>
        <v>Tank 2 + 3</v>
      </c>
      <c r="RH142" s="152" t="str">
        <f t="shared" si="1372"/>
        <v>Tank 2 + 3</v>
      </c>
      <c r="RI142" s="152" t="str">
        <f t="shared" si="1373"/>
        <v>Tank 2 + 3</v>
      </c>
      <c r="RJ142" s="152" t="str">
        <f t="shared" si="1374"/>
        <v>Tank 2 + 3</v>
      </c>
      <c r="RK142" s="152" t="str">
        <f t="shared" si="1375"/>
        <v>Tank 2 + 3</v>
      </c>
      <c r="RL142" s="152" t="str">
        <f t="shared" si="1376"/>
        <v>Tank 2 + 3</v>
      </c>
      <c r="RM142" s="152" t="str">
        <f t="shared" si="1377"/>
        <v>Tank 2 + 3</v>
      </c>
      <c r="RN142" s="152" t="str">
        <f t="shared" si="1378"/>
        <v>Tank 2 + 3</v>
      </c>
      <c r="RO142" s="152" t="str">
        <f t="shared" si="1379"/>
        <v>Tank 2 + 3</v>
      </c>
      <c r="RP142" s="152" t="str">
        <f t="shared" si="1380"/>
        <v>Tank 2 + 3</v>
      </c>
      <c r="RQ142" s="152" t="str">
        <f t="shared" si="1381"/>
        <v>Tank 2 + 3</v>
      </c>
      <c r="RR142" s="152" t="str">
        <f t="shared" si="1382"/>
        <v>Tank 2 + 3</v>
      </c>
      <c r="RS142" s="152" t="str">
        <f t="shared" si="1383"/>
        <v>Tank 2 + 3</v>
      </c>
      <c r="RT142" s="152" t="str">
        <f t="shared" si="1384"/>
        <v>Tank 2 + 3</v>
      </c>
      <c r="RU142" s="152" t="str">
        <f t="shared" si="1385"/>
        <v>Tank 2 + 3</v>
      </c>
      <c r="RV142" s="152" t="str">
        <f t="shared" si="1386"/>
        <v>Tank 2 + 3</v>
      </c>
      <c r="RW142" s="152" t="str">
        <f t="shared" si="1387"/>
        <v>Tank 2 + 3</v>
      </c>
      <c r="RX142" s="152" t="str">
        <f t="shared" si="1388"/>
        <v>Tank 2 + 3</v>
      </c>
      <c r="RY142" s="152" t="str">
        <f t="shared" si="1389"/>
        <v>Tank 2 + 3</v>
      </c>
      <c r="RZ142" s="152" t="str">
        <f t="shared" si="1390"/>
        <v>Tank 2 + 3</v>
      </c>
      <c r="SA142" s="152" t="str">
        <f t="shared" si="1391"/>
        <v>Tank 2 + 3</v>
      </c>
      <c r="SB142" s="152" t="str">
        <f t="shared" si="1392"/>
        <v>Tank 2 + 3</v>
      </c>
      <c r="SC142" s="152" t="str">
        <f t="shared" si="1393"/>
        <v>Tank 2 + 3</v>
      </c>
      <c r="SD142" s="152" t="str">
        <f t="shared" si="1394"/>
        <v>Tank 2 + 3</v>
      </c>
      <c r="SE142" s="152" t="str">
        <f t="shared" si="1395"/>
        <v>Tank 2 + 3</v>
      </c>
      <c r="SF142" s="152" t="str">
        <f t="shared" si="1396"/>
        <v>Tank 2 + 3</v>
      </c>
      <c r="SG142" s="152" t="str">
        <f t="shared" si="1397"/>
        <v>Tank 2 + 3</v>
      </c>
      <c r="SH142" s="152" t="str">
        <f t="shared" si="1398"/>
        <v>Tank 2 + 3</v>
      </c>
      <c r="SI142" s="152" t="str">
        <f t="shared" si="1399"/>
        <v>Tank 2 + 3</v>
      </c>
      <c r="SJ142" s="152" t="str">
        <f t="shared" si="1400"/>
        <v>Tank 2 + 3</v>
      </c>
      <c r="SK142" s="152" t="str">
        <f t="shared" si="1401"/>
        <v>Tank 2 + 3</v>
      </c>
      <c r="SL142" s="152" t="str">
        <f t="shared" si="1402"/>
        <v>Tank 2 + 3</v>
      </c>
      <c r="SM142" s="152" t="str">
        <f t="shared" si="1403"/>
        <v>Tank 2 + 3</v>
      </c>
      <c r="SN142" s="152" t="str">
        <f t="shared" si="1404"/>
        <v>Tank 2 + 3</v>
      </c>
      <c r="SO142" s="152" t="str">
        <f t="shared" si="1405"/>
        <v>Tank 2 + 3</v>
      </c>
      <c r="SP142" s="152" t="str">
        <f t="shared" si="1406"/>
        <v>Tank 2 + 3</v>
      </c>
      <c r="SQ142" s="152" t="str">
        <f t="shared" si="1407"/>
        <v>Tank 2 + 3</v>
      </c>
      <c r="SR142" s="152" t="str">
        <f t="shared" si="1408"/>
        <v>Tank 2 + 3</v>
      </c>
      <c r="SS142" s="158" t="str">
        <f t="shared" si="1409"/>
        <v xml:space="preserve">Tank 4 + 5 + 6 </v>
      </c>
      <c r="ST142" s="158" t="str">
        <f t="shared" si="1410"/>
        <v xml:space="preserve">Tank 4 + 5 + 6 </v>
      </c>
      <c r="SU142" s="158" t="str">
        <f t="shared" si="1411"/>
        <v xml:space="preserve">Tank 4 + 5 + 6 </v>
      </c>
      <c r="SV142" s="158" t="str">
        <f t="shared" si="1412"/>
        <v xml:space="preserve">Tank 4 + 5 + 6 </v>
      </c>
      <c r="SW142" s="158" t="str">
        <f t="shared" si="1413"/>
        <v xml:space="preserve">Tank 4 + 5 + 6 </v>
      </c>
      <c r="SX142" s="158" t="str">
        <f t="shared" si="1414"/>
        <v xml:space="preserve">Tank 4 + 5 + 6 </v>
      </c>
      <c r="SY142" s="158" t="str">
        <f t="shared" si="1415"/>
        <v xml:space="preserve">Tank 4 + 5 + 6 </v>
      </c>
      <c r="SZ142" s="158" t="str">
        <f t="shared" si="1416"/>
        <v xml:space="preserve">Tank 4 + 5 + 6 </v>
      </c>
      <c r="TA142" s="158" t="str">
        <f t="shared" si="1417"/>
        <v xml:space="preserve">Tank 4 + 5 + 6 </v>
      </c>
      <c r="TB142" s="158" t="str">
        <f t="shared" si="1418"/>
        <v xml:space="preserve">Tank 4 + 5 + 6 </v>
      </c>
      <c r="TC142" s="158" t="str">
        <f t="shared" si="1419"/>
        <v xml:space="preserve">Tank 4 + 5 + 6 </v>
      </c>
      <c r="TD142" s="158" t="str">
        <f t="shared" si="1420"/>
        <v xml:space="preserve">Tank 4 + 5 + 6 </v>
      </c>
      <c r="TE142" s="158" t="str">
        <f t="shared" si="1421"/>
        <v xml:space="preserve">Tank 4 + 5 + 6 </v>
      </c>
      <c r="TF142" s="158" t="str">
        <f t="shared" si="1422"/>
        <v xml:space="preserve">Tank 4 + 5 + 6 </v>
      </c>
      <c r="TG142" s="158" t="str">
        <f t="shared" si="1423"/>
        <v xml:space="preserve">Tank 4 + 5 + 6 </v>
      </c>
      <c r="TH142" s="158" t="str">
        <f t="shared" si="1424"/>
        <v xml:space="preserve">Tank 4 + 5 + 6 </v>
      </c>
      <c r="TI142" s="158" t="str">
        <f t="shared" si="1425"/>
        <v xml:space="preserve">Tank 4 + 5 + 6 </v>
      </c>
      <c r="TJ142" s="158" t="str">
        <f t="shared" si="1426"/>
        <v xml:space="preserve">Tank 4 + 5 + 6 </v>
      </c>
      <c r="TK142" s="158" t="str">
        <f t="shared" si="1427"/>
        <v xml:space="preserve">Tank 4 + 5 + 6 </v>
      </c>
      <c r="TL142" s="158" t="str">
        <f t="shared" si="1428"/>
        <v xml:space="preserve">Tank 4 + 5 + 6 </v>
      </c>
      <c r="TM142" s="158" t="str">
        <f t="shared" si="1429"/>
        <v xml:space="preserve">Tank 4 + 5 + 6 </v>
      </c>
      <c r="TN142" s="158" t="str">
        <f t="shared" si="1430"/>
        <v xml:space="preserve">Tank 4 + 5 + 6 </v>
      </c>
      <c r="TO142" s="158" t="str">
        <f t="shared" si="1431"/>
        <v xml:space="preserve">Tank 4 + 5 + 6 </v>
      </c>
      <c r="TP142" s="158" t="str">
        <f t="shared" si="1432"/>
        <v xml:space="preserve">Tank 4 + 5 + 6 </v>
      </c>
      <c r="TQ142" s="158" t="str">
        <f t="shared" si="1433"/>
        <v xml:space="preserve">Tank 4 + 5 + 6 </v>
      </c>
      <c r="TR142" s="158" t="str">
        <f t="shared" si="1434"/>
        <v xml:space="preserve">Tank 4 + 5 + 6 </v>
      </c>
      <c r="TS142" s="158" t="str">
        <f t="shared" si="1311"/>
        <v xml:space="preserve">Tank 4 + 5 + 6 </v>
      </c>
      <c r="TT142" s="158" t="str">
        <f t="shared" si="1439"/>
        <v xml:space="preserve">Tank 4 + 5 + 6 </v>
      </c>
      <c r="TU142" s="158" t="str">
        <f t="shared" si="1440"/>
        <v xml:space="preserve">Tank 4 + 5 + 6 </v>
      </c>
      <c r="TV142" s="158" t="str">
        <f t="shared" si="1441"/>
        <v xml:space="preserve">Tank 4 + 5 + 6 </v>
      </c>
      <c r="TW142" s="158" t="str">
        <f t="shared" si="1442"/>
        <v xml:space="preserve">Tank 4 + 5 + 6 </v>
      </c>
      <c r="TX142" s="158" t="str">
        <f t="shared" si="1443"/>
        <v xml:space="preserve">Tank 4 + 5 + 6 </v>
      </c>
      <c r="TY142" s="158" t="str">
        <f t="shared" si="1444"/>
        <v xml:space="preserve">Tank 4 + 5 + 6 </v>
      </c>
      <c r="TZ142" s="158" t="str">
        <f t="shared" si="1445"/>
        <v xml:space="preserve">Tank 4 + 5 + 6 </v>
      </c>
      <c r="UA142" s="158" t="str">
        <f t="shared" si="1446"/>
        <v xml:space="preserve">Tank 4 + 5 + 6 </v>
      </c>
      <c r="UB142" s="158" t="str">
        <f t="shared" si="1447"/>
        <v xml:space="preserve">Tank 4 + 5 + 6 </v>
      </c>
      <c r="UC142" s="158" t="str">
        <f t="shared" si="1448"/>
        <v xml:space="preserve">Tank 4 + 5 + 6 </v>
      </c>
      <c r="UD142" s="158" t="str">
        <f t="shared" si="1449"/>
        <v xml:space="preserve">Tank 4 + 5 + 6 </v>
      </c>
      <c r="UE142" s="158" t="str">
        <f t="shared" si="1450"/>
        <v xml:space="preserve">Tank 4 + 5 + 6 </v>
      </c>
      <c r="UF142" s="158" t="str">
        <f t="shared" si="1451"/>
        <v xml:space="preserve">Tank 4 + 5 + 6 </v>
      </c>
      <c r="UG142" s="158" t="str">
        <f t="shared" si="1452"/>
        <v xml:space="preserve">Tank 4 + 5 + 6 </v>
      </c>
      <c r="UH142" s="158" t="str">
        <f t="shared" si="1453"/>
        <v xml:space="preserve">Tank 4 + 5 + 6 </v>
      </c>
      <c r="UI142" s="158" t="str">
        <f t="shared" si="1454"/>
        <v xml:space="preserve">Tank 4 + 5 + 6 </v>
      </c>
      <c r="UJ142" s="158" t="str">
        <f t="shared" si="1455"/>
        <v xml:space="preserve">Tank 4 + 5 + 6 </v>
      </c>
      <c r="UK142" s="158" t="str">
        <f t="shared" si="1456"/>
        <v xml:space="preserve">Tank 4 + 5 + 6 </v>
      </c>
      <c r="UL142" s="158" t="str">
        <f t="shared" si="1457"/>
        <v xml:space="preserve">Tank 4 + 5 + 6 </v>
      </c>
      <c r="UM142" s="158" t="str">
        <f t="shared" si="1458"/>
        <v xml:space="preserve">Tank 4 + 5 + 6 </v>
      </c>
      <c r="UN142" s="158" t="str">
        <f t="shared" si="1459"/>
        <v xml:space="preserve">Tank 4 + 5 + 6 </v>
      </c>
      <c r="UO142" s="158" t="str">
        <f t="shared" si="1436"/>
        <v xml:space="preserve">Tank 4 + 5 + 6 </v>
      </c>
      <c r="UP142" s="158" t="str">
        <f t="shared" si="1437"/>
        <v xml:space="preserve">Tank 4 + 5 + 6 </v>
      </c>
      <c r="UQ142" s="158" t="str">
        <f t="shared" si="1438"/>
        <v xml:space="preserve">Tank 4 + 5 + 6 </v>
      </c>
      <c r="UR142" s="203"/>
      <c r="US142" s="203"/>
    </row>
    <row r="143" spans="1:629" ht="21.75" thickBot="1" x14ac:dyDescent="0.3">
      <c r="A143" s="299"/>
      <c r="B143" s="26" t="s">
        <v>113</v>
      </c>
      <c r="BY143" s="18"/>
      <c r="BZ143" s="18"/>
      <c r="CA143" s="18"/>
      <c r="CB143" s="18"/>
      <c r="CC143" s="18"/>
      <c r="CD143" s="18"/>
      <c r="CE143" s="18"/>
      <c r="CF143" s="18"/>
      <c r="CG143" s="18"/>
      <c r="CH143" s="18"/>
      <c r="CI143" s="18"/>
      <c r="CJ143" s="18"/>
      <c r="CK143" s="18"/>
      <c r="CL143" s="18"/>
      <c r="CM143" s="18"/>
      <c r="CN143" s="18"/>
      <c r="CO143" s="18"/>
      <c r="CP143" s="18"/>
      <c r="CQ143" s="18"/>
      <c r="CR143" s="18"/>
      <c r="CS143" s="18"/>
      <c r="CT143" s="18"/>
      <c r="CU143" s="18"/>
      <c r="CV143" s="18"/>
      <c r="CW143" s="18"/>
      <c r="CX143" s="18"/>
      <c r="CY143" s="18"/>
      <c r="CZ143" s="18"/>
      <c r="DA143" s="18"/>
      <c r="DB143" s="18"/>
      <c r="DC143" s="18"/>
      <c r="DD143" s="18"/>
      <c r="DE143" s="18"/>
      <c r="DF143" s="18"/>
      <c r="DG143" s="18"/>
      <c r="DH143" s="18"/>
      <c r="DI143" s="18"/>
      <c r="DJ143" s="18"/>
      <c r="DK143" s="18"/>
      <c r="DL143" s="18"/>
      <c r="DM143" s="18"/>
      <c r="DN143" s="18"/>
      <c r="DO143" s="18"/>
      <c r="DP143" s="18"/>
      <c r="DQ143" s="18"/>
      <c r="DR143" s="18"/>
      <c r="DS143" s="18"/>
      <c r="DT143" s="18"/>
      <c r="DU143" s="18"/>
      <c r="DV143" s="18"/>
      <c r="DW143" s="18"/>
      <c r="DX143" s="18"/>
      <c r="DY143" s="18"/>
      <c r="DZ143" s="18"/>
      <c r="EA143" s="18"/>
      <c r="EB143" s="18"/>
      <c r="EC143" s="18"/>
      <c r="ED143" s="18"/>
      <c r="EE143" s="18"/>
      <c r="EF143" s="18"/>
      <c r="EG143" s="18"/>
      <c r="EH143" s="18"/>
      <c r="EI143" s="18"/>
      <c r="EJ143" s="18"/>
      <c r="EK143" s="18"/>
      <c r="EL143" s="18"/>
      <c r="EM143" s="18"/>
      <c r="EN143" s="18"/>
      <c r="EO143" s="18"/>
      <c r="EP143" s="18"/>
      <c r="EQ143" s="18"/>
      <c r="ER143" s="18"/>
      <c r="ES143" s="18"/>
      <c r="ET143" s="18"/>
      <c r="EU143" s="18"/>
      <c r="EV143" s="18"/>
      <c r="EW143" s="18"/>
      <c r="EX143" s="18"/>
      <c r="EY143" s="18"/>
      <c r="EZ143" s="18"/>
      <c r="FA143" s="18"/>
      <c r="FB143" s="18"/>
      <c r="FC143" s="18"/>
      <c r="FD143" s="18"/>
      <c r="FE143" s="18"/>
      <c r="FF143" s="18"/>
      <c r="FG143" s="18"/>
      <c r="FH143" s="18"/>
      <c r="FI143" s="18"/>
      <c r="FJ143" s="18"/>
      <c r="FK143" s="18"/>
      <c r="FL143" s="18"/>
      <c r="FM143" s="18"/>
      <c r="FN143" s="18"/>
      <c r="FO143" s="18"/>
      <c r="FP143" s="18"/>
      <c r="FQ143" s="18"/>
      <c r="FR143" s="18"/>
      <c r="FS143" s="18"/>
      <c r="FT143" s="18"/>
      <c r="FU143" s="18"/>
      <c r="FV143" s="18"/>
      <c r="FW143" s="18"/>
      <c r="FX143" s="18"/>
      <c r="FY143" s="18"/>
      <c r="FZ143" s="18"/>
      <c r="GA143" s="18"/>
      <c r="GB143" s="18"/>
      <c r="GC143" s="18"/>
      <c r="GD143" s="18"/>
      <c r="GE143" s="18"/>
      <c r="GF143" s="18"/>
      <c r="GG143" s="18"/>
      <c r="GH143" s="18"/>
      <c r="GI143" s="18"/>
      <c r="GJ143" s="18"/>
      <c r="GK143" s="18"/>
      <c r="GL143" s="18"/>
      <c r="GM143" s="18"/>
      <c r="GN143" s="18"/>
      <c r="GO143" s="18"/>
      <c r="GP143" s="18"/>
      <c r="GQ143" s="18"/>
      <c r="GR143" s="18"/>
      <c r="GS143" s="18"/>
      <c r="GT143" s="18"/>
      <c r="GU143" s="18"/>
      <c r="GV143" s="18"/>
      <c r="GW143" s="18"/>
      <c r="GX143" s="18"/>
      <c r="GY143" s="18"/>
      <c r="GZ143" s="18"/>
      <c r="HA143" s="18"/>
      <c r="HB143" s="18"/>
      <c r="HC143" s="18"/>
      <c r="HD143" s="18"/>
      <c r="HE143" s="18"/>
      <c r="HF143" s="18"/>
      <c r="HG143" s="18"/>
      <c r="HH143" s="18"/>
      <c r="HI143" s="18"/>
      <c r="HJ143" s="18"/>
      <c r="HK143" s="18"/>
      <c r="HL143" s="18"/>
      <c r="HM143" s="18"/>
      <c r="HN143" s="18"/>
      <c r="HO143" s="18"/>
      <c r="HP143" s="18"/>
      <c r="HQ143" s="18"/>
      <c r="HR143" s="18"/>
      <c r="HS143" s="18"/>
      <c r="HT143" s="18"/>
      <c r="HU143" s="18"/>
      <c r="HV143" s="18"/>
      <c r="HW143" s="18"/>
      <c r="HX143" s="18"/>
      <c r="HY143" s="18"/>
      <c r="HZ143" s="18"/>
      <c r="IA143" s="18"/>
      <c r="IB143" s="18"/>
      <c r="IC143" s="18"/>
      <c r="ID143" s="18"/>
      <c r="IE143" s="18"/>
      <c r="IF143" s="18"/>
      <c r="IG143" s="18"/>
      <c r="IH143" s="18"/>
      <c r="II143" s="18"/>
      <c r="IJ143" s="18"/>
      <c r="IK143" s="18"/>
      <c r="IL143" s="18"/>
      <c r="IM143" s="18"/>
      <c r="IN143" s="18"/>
      <c r="IO143" s="18"/>
      <c r="IP143" s="18"/>
      <c r="IQ143" s="18"/>
      <c r="IR143" s="18"/>
      <c r="IS143" s="18"/>
      <c r="IT143" s="18"/>
      <c r="IU143" s="18"/>
      <c r="IV143" s="18"/>
      <c r="IW143" s="18"/>
      <c r="IX143" s="18"/>
      <c r="IY143" s="18"/>
      <c r="IZ143" s="18"/>
      <c r="JA143" s="18"/>
      <c r="JB143" s="18"/>
      <c r="JC143" s="18"/>
      <c r="JD143" s="18"/>
      <c r="JE143" s="18"/>
      <c r="JF143" s="18"/>
      <c r="JG143" s="18"/>
      <c r="JH143" s="18"/>
      <c r="JI143" s="18"/>
      <c r="JJ143" s="18"/>
      <c r="JK143" s="18"/>
      <c r="JL143" s="18"/>
      <c r="JM143" s="18"/>
      <c r="JN143" s="18"/>
      <c r="JO143" s="18"/>
      <c r="JP143" s="18"/>
      <c r="JQ143" s="18"/>
      <c r="JR143" s="18"/>
      <c r="JS143" s="18"/>
      <c r="JT143" s="18"/>
      <c r="JU143" s="18"/>
      <c r="JV143" s="18"/>
      <c r="JW143" s="18"/>
      <c r="JX143" s="18"/>
      <c r="JY143" s="18"/>
      <c r="JZ143" s="18"/>
      <c r="KA143" s="18"/>
      <c r="KB143" s="18"/>
      <c r="KC143" s="18"/>
      <c r="KD143" s="18"/>
      <c r="KE143" s="18"/>
      <c r="KF143" s="18"/>
      <c r="KG143" s="18"/>
      <c r="KH143" s="18"/>
      <c r="KI143" s="18"/>
      <c r="KJ143" s="18"/>
      <c r="KK143" s="18"/>
      <c r="KL143" s="18"/>
      <c r="KM143" s="18"/>
      <c r="KN143" s="18"/>
      <c r="KO143" s="18"/>
      <c r="KP143" s="18"/>
      <c r="KQ143" s="18"/>
      <c r="KR143" s="18"/>
      <c r="KS143" s="18"/>
      <c r="KT143" s="18"/>
      <c r="KU143" s="18"/>
      <c r="KV143" s="18"/>
      <c r="KW143" s="18"/>
      <c r="KX143" s="18"/>
      <c r="KY143" s="18"/>
      <c r="KZ143" s="18"/>
      <c r="LA143" s="18"/>
      <c r="LB143" s="18"/>
      <c r="LC143" s="18"/>
      <c r="LD143" s="18"/>
      <c r="LE143" s="18"/>
      <c r="LF143" s="18"/>
      <c r="LG143" s="18"/>
      <c r="LH143" s="18"/>
      <c r="LI143" s="18"/>
      <c r="LJ143" s="18"/>
      <c r="LK143" s="18"/>
      <c r="LL143" s="18"/>
      <c r="LM143" s="18"/>
      <c r="LN143" s="18"/>
      <c r="LO143" s="18"/>
      <c r="LP143" s="18"/>
      <c r="LQ143" s="18"/>
      <c r="LR143" s="18"/>
      <c r="LS143" s="18"/>
      <c r="LT143" s="18"/>
      <c r="LU143" s="18"/>
      <c r="LV143" s="18"/>
      <c r="LW143" s="18"/>
      <c r="LX143" s="18"/>
      <c r="LY143" s="18"/>
      <c r="LZ143" s="18"/>
      <c r="MA143" s="18"/>
      <c r="MB143" s="18"/>
      <c r="MC143" s="18"/>
      <c r="MD143" s="18"/>
      <c r="ME143" s="18"/>
      <c r="MF143" s="18"/>
      <c r="MG143" s="18"/>
      <c r="MH143" s="18"/>
      <c r="MI143" s="18"/>
      <c r="MJ143" s="18"/>
      <c r="MK143" s="18"/>
      <c r="ML143" s="18"/>
      <c r="MM143" s="18"/>
      <c r="MN143" s="18"/>
      <c r="MO143" s="18"/>
      <c r="MP143" s="18"/>
      <c r="MQ143" s="18"/>
      <c r="MR143" s="18"/>
      <c r="MS143" s="18"/>
      <c r="MT143" s="18"/>
      <c r="MU143" s="18"/>
      <c r="MV143" s="18"/>
      <c r="MW143" s="18"/>
      <c r="MX143" s="18"/>
      <c r="MY143" s="18"/>
      <c r="MZ143" s="18"/>
      <c r="NA143" s="18"/>
      <c r="NB143" s="18"/>
      <c r="NC143" s="18"/>
      <c r="ND143" s="18"/>
      <c r="NE143" s="18"/>
      <c r="NF143" s="18"/>
      <c r="NG143" s="18"/>
      <c r="NH143" s="18"/>
      <c r="NI143" s="18"/>
      <c r="NJ143" s="18"/>
      <c r="NK143" s="18"/>
      <c r="NL143" s="18"/>
      <c r="NM143" s="18"/>
      <c r="NN143" s="18"/>
      <c r="NO143" s="18"/>
      <c r="NP143" s="18"/>
      <c r="NQ143" s="18"/>
      <c r="NR143" s="18"/>
      <c r="NS143" s="18"/>
      <c r="NT143" s="18"/>
      <c r="NU143" s="18"/>
      <c r="NV143" s="18"/>
      <c r="NW143" s="18"/>
      <c r="NX143" s="18"/>
      <c r="NY143" s="18"/>
      <c r="NZ143" s="18"/>
      <c r="OA143" s="18"/>
      <c r="OB143" s="18"/>
      <c r="OC143" s="18"/>
      <c r="OD143" s="18"/>
      <c r="OE143" s="18"/>
      <c r="OF143" s="18"/>
      <c r="OG143" s="18"/>
      <c r="OH143" s="18"/>
      <c r="OI143" s="18"/>
      <c r="OJ143" s="18"/>
      <c r="OK143" s="18"/>
      <c r="OL143" s="18"/>
      <c r="OM143" s="18"/>
      <c r="ON143" s="18"/>
      <c r="OO143" s="18"/>
      <c r="OP143" s="18"/>
      <c r="OQ143" s="18"/>
      <c r="OR143" s="18"/>
      <c r="OS143" s="18"/>
      <c r="OT143" s="18"/>
      <c r="OU143" s="126">
        <f t="shared" si="1280"/>
        <v>4.166666666666667</v>
      </c>
      <c r="OV143" s="127">
        <f t="shared" si="1281"/>
        <v>4.5764880952380951</v>
      </c>
      <c r="OW143" s="127">
        <f t="shared" si="1282"/>
        <v>5.0241666985544224</v>
      </c>
      <c r="OX143" s="127">
        <f t="shared" si="1283"/>
        <v>5.5050764092090345</v>
      </c>
      <c r="OY143" s="127">
        <f t="shared" si="1312"/>
        <v>6.0300868541293902</v>
      </c>
      <c r="OZ143" s="127">
        <f t="shared" si="1313"/>
        <v>6.6009350763203054</v>
      </c>
      <c r="PA143" s="127">
        <f t="shared" si="1314"/>
        <v>7.210269669399942</v>
      </c>
      <c r="PB143" s="127">
        <f t="shared" si="1315"/>
        <v>7.8721226990531363</v>
      </c>
      <c r="PC143" s="127">
        <f t="shared" si="1316"/>
        <v>8.5768778193310791</v>
      </c>
      <c r="PD143" s="127">
        <f t="shared" si="1317"/>
        <v>9.3389116079570709</v>
      </c>
      <c r="PE143" s="127">
        <f t="shared" si="1318"/>
        <v>10.159152963083063</v>
      </c>
      <c r="PF143" s="127">
        <f t="shared" si="1319"/>
        <v>11.026067349266151</v>
      </c>
      <c r="PG143" s="127">
        <f t="shared" si="1320"/>
        <v>11.955932362387598</v>
      </c>
      <c r="PH143" s="127">
        <f t="shared" si="1321"/>
        <v>12.935534820538635</v>
      </c>
      <c r="PI143" s="127">
        <f t="shared" si="1322"/>
        <v>13.982676967158632</v>
      </c>
      <c r="PJ143" s="127">
        <f t="shared" si="1323"/>
        <v>15.080091582032725</v>
      </c>
      <c r="PK143" s="127">
        <f t="shared" si="1324"/>
        <v>16.246609634088035</v>
      </c>
      <c r="PL143" s="127">
        <f t="shared" si="1325"/>
        <v>17.462268647025983</v>
      </c>
      <c r="PM143" s="127">
        <f t="shared" si="1326"/>
        <v>18.749487307292473</v>
      </c>
      <c r="PN143" s="127">
        <f t="shared" si="1327"/>
        <v>20.088903806807178</v>
      </c>
      <c r="PO143" s="127">
        <f t="shared" si="1328"/>
        <v>21.502032633967268</v>
      </c>
      <c r="PP143" s="127">
        <f t="shared" si="1329"/>
        <v>22.96747885809765</v>
      </c>
      <c r="PQ143" s="127">
        <f t="shared" si="1330"/>
        <v>24.50453321244726</v>
      </c>
      <c r="PR143" s="127">
        <f t="shared" si="1331"/>
        <v>26.092872501581343</v>
      </c>
      <c r="PS143" s="127">
        <f t="shared" si="1332"/>
        <v>27.756490796833685</v>
      </c>
      <c r="PT143" s="127">
        <f t="shared" si="1333"/>
        <v>29.500944188125594</v>
      </c>
      <c r="PU143" s="127">
        <f t="shared" si="1334"/>
        <v>31.300061471001431</v>
      </c>
      <c r="PV143" s="127">
        <f t="shared" si="1335"/>
        <v>33.180868149841011</v>
      </c>
      <c r="PW143" s="127">
        <f t="shared" si="1336"/>
        <v>35.115117581399382</v>
      </c>
      <c r="PX143" s="127">
        <f t="shared" si="1337"/>
        <v>37.131138449602076</v>
      </c>
      <c r="PY143" s="127">
        <f t="shared" si="1338"/>
        <v>39.23013986431193</v>
      </c>
      <c r="PZ143" s="127">
        <f t="shared" si="1339"/>
        <v>41.380406371077548</v>
      </c>
      <c r="QA143" s="127">
        <f t="shared" si="1340"/>
        <v>43.612549450978278</v>
      </c>
      <c r="QB143" s="127">
        <f t="shared" si="1341"/>
        <v>45.927174901550487</v>
      </c>
      <c r="QC143" s="127">
        <f t="shared" si="1342"/>
        <v>48.289143896487367</v>
      </c>
      <c r="QD143" s="127">
        <f t="shared" si="1343"/>
        <v>50.731194887824017</v>
      </c>
      <c r="QE143" s="127">
        <f t="shared" si="1344"/>
        <v>53.209163674739131</v>
      </c>
      <c r="QF143" s="127">
        <f t="shared" si="1345"/>
        <v>55.763203531126614</v>
      </c>
      <c r="QG143" s="127">
        <f t="shared" si="1346"/>
        <v>58.384859494322392</v>
      </c>
      <c r="QH143" s="127">
        <f t="shared" si="1347"/>
        <v>61.04137060131405</v>
      </c>
      <c r="QI143" s="127">
        <f t="shared" si="1348"/>
        <v>63.767885154839412</v>
      </c>
      <c r="QJ143" s="127">
        <f t="shared" si="1349"/>
        <v>66.554187470077267</v>
      </c>
      <c r="QK143" s="127">
        <f t="shared" si="1350"/>
        <v>69.36587396538846</v>
      </c>
      <c r="QL143" s="127">
        <f t="shared" si="1351"/>
        <v>72.229829364452598</v>
      </c>
      <c r="QM143" s="127">
        <f t="shared" si="1352"/>
        <v>75.152663829419623</v>
      </c>
      <c r="QN143" s="127">
        <f t="shared" si="1353"/>
        <v>78.089711177996406</v>
      </c>
      <c r="QO143" s="127">
        <f t="shared" si="1354"/>
        <v>81.078225530105684</v>
      </c>
      <c r="QP143" s="127">
        <f t="shared" si="1355"/>
        <v>84.115372032395584</v>
      </c>
      <c r="QQ143" s="127">
        <f t="shared" si="1356"/>
        <v>87.154740808499469</v>
      </c>
      <c r="QR143" s="127">
        <f t="shared" si="1357"/>
        <v>90.234208317066447</v>
      </c>
      <c r="QS143" s="127">
        <f t="shared" si="1358"/>
        <v>93.306920568705493</v>
      </c>
      <c r="QT143" s="182">
        <f t="shared" si="1359"/>
        <v>46.560153363784046</v>
      </c>
      <c r="QU143" s="182">
        <f t="shared" si="1360"/>
        <v>48.07213308091324</v>
      </c>
      <c r="QV143" s="182">
        <f t="shared" si="1361"/>
        <v>49.574231161337615</v>
      </c>
      <c r="QW143" s="182">
        <f t="shared" si="1362"/>
        <v>51.084635658798625</v>
      </c>
      <c r="QX143" s="182">
        <f t="shared" si="1363"/>
        <v>52.614520981255644</v>
      </c>
      <c r="QY143" s="182">
        <f t="shared" si="1364"/>
        <v>54.141691179993622</v>
      </c>
      <c r="QZ143" s="182">
        <f t="shared" si="1365"/>
        <v>55.678482260410362</v>
      </c>
      <c r="RA143" s="182">
        <f t="shared" si="1366"/>
        <v>57.230341496745396</v>
      </c>
      <c r="RB143" s="182">
        <f t="shared" si="1367"/>
        <v>58.796104942310194</v>
      </c>
      <c r="RC143" s="182">
        <f t="shared" si="1368"/>
        <v>60.353085341542005</v>
      </c>
      <c r="RD143" s="182">
        <f t="shared" si="1369"/>
        <v>61.920737634210916</v>
      </c>
      <c r="RE143" s="182">
        <f t="shared" si="1370"/>
        <v>63.489918858814598</v>
      </c>
      <c r="RF143" s="182">
        <f t="shared" si="1371"/>
        <v>65.066719122118315</v>
      </c>
      <c r="RG143" s="182">
        <f t="shared" si="1310"/>
        <v>66.62832038104915</v>
      </c>
      <c r="RH143" s="182">
        <f t="shared" si="1372"/>
        <v>68.202414450051435</v>
      </c>
      <c r="RI143" s="182">
        <f t="shared" si="1373"/>
        <v>69.788120586015125</v>
      </c>
      <c r="RJ143" s="182">
        <f t="shared" si="1374"/>
        <v>71.384523844420229</v>
      </c>
      <c r="RK143" s="182">
        <f t="shared" si="1375"/>
        <v>72.990675630919668</v>
      </c>
      <c r="RL143" s="182">
        <f t="shared" si="1376"/>
        <v>74.583854822468638</v>
      </c>
      <c r="RM143" s="182">
        <f t="shared" si="1377"/>
        <v>76.184184941992712</v>
      </c>
      <c r="RN143" s="182">
        <f t="shared" si="1378"/>
        <v>77.790636644226339</v>
      </c>
      <c r="RO143" s="182">
        <f t="shared" si="1379"/>
        <v>79.402151314461051</v>
      </c>
      <c r="RP143" s="182">
        <f t="shared" si="1380"/>
        <v>80.996004254261095</v>
      </c>
      <c r="RQ143" s="182">
        <f t="shared" si="1381"/>
        <v>82.592218191759684</v>
      </c>
      <c r="RR143" s="182">
        <f t="shared" si="1382"/>
        <v>84.199744779979795</v>
      </c>
      <c r="RS143" s="182">
        <f t="shared" si="1383"/>
        <v>85.818022801604783</v>
      </c>
      <c r="RT143" s="182">
        <f t="shared" si="1384"/>
        <v>87.446472112327925</v>
      </c>
      <c r="RU143" s="182">
        <f t="shared" si="1385"/>
        <v>89.062651488476234</v>
      </c>
      <c r="RV143" s="182">
        <f t="shared" si="1386"/>
        <v>90.687240095145555</v>
      </c>
      <c r="RW143" s="182">
        <f t="shared" si="1387"/>
        <v>92.319610416858183</v>
      </c>
      <c r="RX143" s="182">
        <f t="shared" si="1388"/>
        <v>93.95911771510454</v>
      </c>
      <c r="RY143" s="182">
        <f t="shared" si="1389"/>
        <v>95.605100331463134</v>
      </c>
      <c r="RZ143" s="182">
        <f t="shared" si="1390"/>
        <v>97.256880016707925</v>
      </c>
      <c r="SA143" s="182">
        <f t="shared" si="1391"/>
        <v>98.91376228590822</v>
      </c>
      <c r="SB143" s="182">
        <f t="shared" si="1392"/>
        <v>100.56468008025162</v>
      </c>
      <c r="SC143" s="182">
        <f t="shared" si="1393"/>
        <v>102.23118049301006</v>
      </c>
      <c r="SD143" s="182">
        <f t="shared" si="1394"/>
        <v>103.91312681969268</v>
      </c>
      <c r="SE143" s="182">
        <f t="shared" si="1395"/>
        <v>105.61037455774766</v>
      </c>
      <c r="SF143" s="182">
        <f t="shared" si="1396"/>
        <v>107.32277134521972</v>
      </c>
      <c r="SG143" s="182">
        <f t="shared" si="1397"/>
        <v>109.05015690306182</v>
      </c>
      <c r="SH143" s="182">
        <f t="shared" si="1398"/>
        <v>110.76930055306305</v>
      </c>
      <c r="SI143" s="182">
        <f t="shared" si="1399"/>
        <v>112.50251431465804</v>
      </c>
      <c r="SJ143" s="182">
        <f t="shared" si="1400"/>
        <v>114.24961218401506</v>
      </c>
      <c r="SK143" s="182">
        <f t="shared" si="1401"/>
        <v>116.01040032473342</v>
      </c>
      <c r="SL143" s="182">
        <f t="shared" si="1402"/>
        <v>117.78467703558228</v>
      </c>
      <c r="SM143" s="182">
        <f t="shared" si="1403"/>
        <v>119.57223272235758</v>
      </c>
      <c r="SN143" s="182">
        <f t="shared" si="1404"/>
        <v>121.37284987394132</v>
      </c>
      <c r="SO143" s="182">
        <f t="shared" si="1405"/>
        <v>123.18630304264609</v>
      </c>
      <c r="SP143" s="182">
        <f t="shared" si="1406"/>
        <v>124.98826082436294</v>
      </c>
      <c r="SQ143" s="182">
        <f t="shared" si="1407"/>
        <v>126.80204395818626</v>
      </c>
      <c r="SR143" s="182">
        <f t="shared" si="1408"/>
        <v>128.62740361423548</v>
      </c>
      <c r="SS143" s="183">
        <f t="shared" si="1409"/>
        <v>85.580099204671342</v>
      </c>
      <c r="ST143" s="183">
        <f t="shared" si="1410"/>
        <v>86.792152237593314</v>
      </c>
      <c r="SU143" s="183">
        <f t="shared" si="1411"/>
        <v>88.011279213209733</v>
      </c>
      <c r="SV143" s="183">
        <f t="shared" si="1412"/>
        <v>89.237296800389089</v>
      </c>
      <c r="SW143" s="183">
        <f t="shared" si="1413"/>
        <v>90.470016667817731</v>
      </c>
      <c r="SX143" s="183">
        <f t="shared" si="1414"/>
        <v>91.692921720706849</v>
      </c>
      <c r="SY143" s="183">
        <f t="shared" si="1415"/>
        <v>92.921817660090127</v>
      </c>
      <c r="SZ143" s="183">
        <f t="shared" si="1416"/>
        <v>94.16718363010925</v>
      </c>
      <c r="TA143" s="183">
        <f t="shared" si="1417"/>
        <v>95.418416552826571</v>
      </c>
      <c r="TB143" s="183">
        <f t="shared" si="1418"/>
        <v>96.67530741914311</v>
      </c>
      <c r="TC143" s="183">
        <f t="shared" si="1419"/>
        <v>97.937642467742506</v>
      </c>
      <c r="TD143" s="183">
        <f t="shared" si="1420"/>
        <v>99.205203219681337</v>
      </c>
      <c r="TE143" s="183">
        <f t="shared" si="1421"/>
        <v>100.46105090589411</v>
      </c>
      <c r="TF143" s="183">
        <f t="shared" si="1422"/>
        <v>101.7213804536226</v>
      </c>
      <c r="TG143" s="183">
        <f t="shared" si="1423"/>
        <v>102.98596216062559</v>
      </c>
      <c r="TH143" s="183">
        <f t="shared" si="1424"/>
        <v>104.2662649174861</v>
      </c>
      <c r="TI143" s="183">
        <f t="shared" si="1425"/>
        <v>105.5506357262424</v>
      </c>
      <c r="TJ143" s="183">
        <f t="shared" si="1426"/>
        <v>106.8388332577195</v>
      </c>
      <c r="TK143" s="183">
        <f t="shared" si="1427"/>
        <v>108.13061187801738</v>
      </c>
      <c r="TL143" s="183">
        <f t="shared" si="1428"/>
        <v>109.40874000942945</v>
      </c>
      <c r="TM143" s="183">
        <f t="shared" si="1429"/>
        <v>110.70197590257463</v>
      </c>
      <c r="TN143" s="183">
        <f t="shared" si="1430"/>
        <v>111.99805971033285</v>
      </c>
      <c r="TO143" s="183">
        <f t="shared" si="1431"/>
        <v>113.2967338409066</v>
      </c>
      <c r="TP143" s="183">
        <f t="shared" si="1432"/>
        <v>114.59773678456285</v>
      </c>
      <c r="TQ143" s="183">
        <f t="shared" si="1433"/>
        <v>115.90080318485475</v>
      </c>
      <c r="TR143" s="183">
        <f t="shared" si="1434"/>
        <v>117.20566391284602</v>
      </c>
      <c r="TS143" s="183">
        <f t="shared" si="1311"/>
        <v>118.49492621588733</v>
      </c>
      <c r="TT143" s="183">
        <f t="shared" si="1439"/>
        <v>104.98650462727618</v>
      </c>
      <c r="TU143" s="183">
        <f t="shared" si="1440"/>
        <v>106.12969101099542</v>
      </c>
      <c r="TV143" s="183">
        <f t="shared" si="1441"/>
        <v>92.112148806193915</v>
      </c>
      <c r="TW143" s="183">
        <f t="shared" si="1442"/>
        <v>93.094678393460001</v>
      </c>
      <c r="TX143" s="183">
        <f t="shared" si="1443"/>
        <v>94.077344443168741</v>
      </c>
      <c r="TY143" s="183">
        <f t="shared" si="1444"/>
        <v>95.059930040686254</v>
      </c>
      <c r="TZ143" s="183">
        <f t="shared" si="1445"/>
        <v>96.029332404178092</v>
      </c>
      <c r="UA143" s="183">
        <f t="shared" si="1446"/>
        <v>80.993179133302633</v>
      </c>
      <c r="UB143" s="183">
        <f t="shared" si="1447"/>
        <v>81.810231204119916</v>
      </c>
      <c r="UC143" s="183">
        <f t="shared" si="1448"/>
        <v>66.264489248277698</v>
      </c>
      <c r="UD143" s="183">
        <f t="shared" si="1449"/>
        <v>66.918395966354112</v>
      </c>
      <c r="UE143" s="183">
        <f t="shared" si="1450"/>
        <v>67.571401852267556</v>
      </c>
      <c r="UF143" s="183">
        <f t="shared" si="1451"/>
        <v>68.223354498710307</v>
      </c>
      <c r="UG143" s="183">
        <f t="shared" si="1452"/>
        <v>68.881597413544029</v>
      </c>
      <c r="UH143" s="183">
        <f t="shared" si="1453"/>
        <v>52.318222527794894</v>
      </c>
      <c r="UI143" s="183">
        <f t="shared" si="1454"/>
        <v>52.811508625914108</v>
      </c>
      <c r="UJ143" s="183">
        <f t="shared" si="1455"/>
        <v>35.699806036119753</v>
      </c>
      <c r="UK143" s="183">
        <f t="shared" si="1456"/>
        <v>36.028089035104067</v>
      </c>
      <c r="UL143" s="183">
        <f t="shared" si="1457"/>
        <v>36.355474713727411</v>
      </c>
      <c r="UM143" s="183">
        <f t="shared" si="1458"/>
        <v>36.685835331778243</v>
      </c>
      <c r="UN143" s="183">
        <f t="shared" si="1459"/>
        <v>37.015210331604855</v>
      </c>
      <c r="UO143" s="183">
        <f t="shared" si="1436"/>
        <v>18.835913987874051</v>
      </c>
      <c r="UP143" s="183">
        <f t="shared" si="1437"/>
        <v>19.002980355418675</v>
      </c>
      <c r="UQ143" s="183">
        <f t="shared" si="1438"/>
        <v>-3.8414937896748588E-2</v>
      </c>
      <c r="UR143" s="203"/>
      <c r="US143" s="203"/>
    </row>
    <row r="144" spans="1:629" ht="19.5" thickBot="1" x14ac:dyDescent="0.3">
      <c r="A144" s="297" t="s">
        <v>117</v>
      </c>
      <c r="B144" s="24" t="s">
        <v>14</v>
      </c>
      <c r="BY144" s="18"/>
      <c r="BZ144" s="18"/>
      <c r="CA144" s="18"/>
      <c r="CB144" s="18"/>
      <c r="CC144" s="18"/>
      <c r="CD144" s="18"/>
      <c r="CE144" s="18"/>
      <c r="CF144" s="18"/>
      <c r="CG144" s="18"/>
      <c r="CH144" s="18"/>
      <c r="CI144" s="18"/>
      <c r="CJ144" s="18"/>
      <c r="CK144" s="18"/>
      <c r="CL144" s="18"/>
      <c r="CM144" s="18"/>
      <c r="CN144" s="18"/>
      <c r="CO144" s="18"/>
      <c r="CP144" s="18"/>
      <c r="CQ144" s="18"/>
      <c r="CR144" s="18"/>
      <c r="CS144" s="18"/>
      <c r="CT144" s="18"/>
      <c r="CU144" s="18"/>
      <c r="CV144" s="18"/>
      <c r="CW144" s="18"/>
      <c r="CX144" s="18"/>
      <c r="CY144" s="18"/>
      <c r="CZ144" s="18"/>
      <c r="DA144" s="18"/>
      <c r="DB144" s="18"/>
      <c r="DC144" s="18"/>
      <c r="DD144" s="18"/>
      <c r="DE144" s="18"/>
      <c r="DF144" s="18"/>
      <c r="DG144" s="18"/>
      <c r="DH144" s="18"/>
      <c r="DI144" s="18"/>
      <c r="DJ144" s="18"/>
      <c r="DK144" s="18"/>
      <c r="DL144" s="18"/>
      <c r="DM144" s="18"/>
      <c r="DN144" s="18"/>
      <c r="DO144" s="18"/>
      <c r="DP144" s="18"/>
      <c r="DQ144" s="18"/>
      <c r="DR144" s="18"/>
      <c r="DS144" s="18"/>
      <c r="DT144" s="18"/>
      <c r="DU144" s="18"/>
      <c r="DV144" s="18"/>
      <c r="DW144" s="18"/>
      <c r="DX144" s="18"/>
      <c r="DY144" s="18"/>
      <c r="DZ144" s="18"/>
      <c r="EA144" s="18"/>
      <c r="EB144" s="18"/>
      <c r="EC144" s="18"/>
      <c r="ED144" s="18"/>
      <c r="EE144" s="18"/>
      <c r="EF144" s="18"/>
      <c r="EG144" s="18"/>
      <c r="EH144" s="18"/>
      <c r="EI144" s="18"/>
      <c r="EJ144" s="18"/>
      <c r="EK144" s="18"/>
      <c r="EL144" s="18"/>
      <c r="EM144" s="18"/>
      <c r="EN144" s="18"/>
      <c r="EO144" s="18"/>
      <c r="EP144" s="18"/>
      <c r="EQ144" s="18"/>
      <c r="ER144" s="18"/>
      <c r="ES144" s="18"/>
      <c r="ET144" s="18"/>
      <c r="EU144" s="18"/>
      <c r="EV144" s="18"/>
      <c r="EW144" s="18"/>
      <c r="EX144" s="18"/>
      <c r="EY144" s="18"/>
      <c r="EZ144" s="18"/>
      <c r="FA144" s="18"/>
      <c r="FB144" s="18"/>
      <c r="FC144" s="18"/>
      <c r="FD144" s="18"/>
      <c r="FE144" s="18"/>
      <c r="FF144" s="18"/>
      <c r="FG144" s="18"/>
      <c r="FH144" s="18"/>
      <c r="FI144" s="18"/>
      <c r="FJ144" s="18"/>
      <c r="FK144" s="18"/>
      <c r="FL144" s="18"/>
      <c r="FM144" s="18"/>
      <c r="FN144" s="18"/>
      <c r="FO144" s="18"/>
      <c r="FP144" s="18"/>
      <c r="FQ144" s="18"/>
      <c r="FR144" s="18"/>
      <c r="FS144" s="18"/>
      <c r="FT144" s="18"/>
      <c r="FU144" s="18"/>
      <c r="FV144" s="18"/>
      <c r="FW144" s="18"/>
      <c r="FX144" s="18"/>
      <c r="FY144" s="18"/>
      <c r="FZ144" s="18"/>
      <c r="GA144" s="18"/>
      <c r="GB144" s="18"/>
      <c r="GC144" s="18"/>
      <c r="GD144" s="18"/>
      <c r="GE144" s="18"/>
      <c r="GF144" s="18"/>
      <c r="GG144" s="18"/>
      <c r="GH144" s="18"/>
      <c r="GI144" s="18"/>
      <c r="GJ144" s="18"/>
      <c r="GK144" s="18"/>
      <c r="GL144" s="18"/>
      <c r="GM144" s="18"/>
      <c r="GN144" s="18"/>
      <c r="GO144" s="18"/>
      <c r="GP144" s="18"/>
      <c r="GQ144" s="18"/>
      <c r="GR144" s="18"/>
      <c r="GS144" s="18"/>
      <c r="GT144" s="18"/>
      <c r="GU144" s="18"/>
      <c r="GV144" s="18"/>
      <c r="GW144" s="18"/>
      <c r="GX144" s="18"/>
      <c r="GY144" s="18"/>
      <c r="GZ144" s="18"/>
      <c r="HA144" s="18"/>
      <c r="HB144" s="18"/>
      <c r="HC144" s="18"/>
      <c r="HD144" s="18"/>
      <c r="HE144" s="18"/>
      <c r="HF144" s="18"/>
      <c r="HG144" s="18"/>
      <c r="HH144" s="18"/>
      <c r="HI144" s="18"/>
      <c r="HJ144" s="18"/>
      <c r="HK144" s="18"/>
      <c r="HL144" s="18"/>
      <c r="HM144" s="18"/>
      <c r="HN144" s="18"/>
      <c r="HO144" s="18"/>
      <c r="HP144" s="18"/>
      <c r="HQ144" s="18"/>
      <c r="HR144" s="18"/>
      <c r="HS144" s="18"/>
      <c r="HT144" s="18"/>
      <c r="HU144" s="18"/>
      <c r="HV144" s="18"/>
      <c r="HW144" s="18"/>
      <c r="HX144" s="18"/>
      <c r="HY144" s="18"/>
      <c r="HZ144" s="18"/>
      <c r="IA144" s="18"/>
      <c r="IB144" s="18"/>
      <c r="IC144" s="18"/>
      <c r="ID144" s="18"/>
      <c r="IE144" s="18"/>
      <c r="IF144" s="18"/>
      <c r="IG144" s="18"/>
      <c r="IH144" s="18"/>
      <c r="II144" s="18"/>
      <c r="IJ144" s="18"/>
      <c r="IK144" s="18"/>
      <c r="IL144" s="18"/>
      <c r="IM144" s="18"/>
      <c r="IN144" s="18"/>
      <c r="IO144" s="18"/>
      <c r="IP144" s="18"/>
      <c r="IQ144" s="18"/>
      <c r="IR144" s="18"/>
      <c r="IS144" s="18"/>
      <c r="IT144" s="18"/>
      <c r="IU144" s="18"/>
      <c r="IV144" s="18"/>
      <c r="IW144" s="18"/>
      <c r="IX144" s="18"/>
      <c r="IY144" s="18"/>
      <c r="IZ144" s="18"/>
      <c r="JA144" s="18"/>
      <c r="JB144" s="18"/>
      <c r="JC144" s="18"/>
      <c r="JD144" s="18"/>
      <c r="JE144" s="18"/>
      <c r="JF144" s="18"/>
      <c r="JG144" s="18"/>
      <c r="JH144" s="18"/>
      <c r="JI144" s="18"/>
      <c r="JJ144" s="18"/>
      <c r="JK144" s="18"/>
      <c r="JL144" s="18"/>
      <c r="JM144" s="18"/>
      <c r="JN144" s="18"/>
      <c r="JO144" s="18"/>
      <c r="JP144" s="18"/>
      <c r="JQ144" s="18"/>
      <c r="JR144" s="18"/>
      <c r="JS144" s="18"/>
      <c r="JT144" s="18"/>
      <c r="JU144" s="18"/>
      <c r="JV144" s="18"/>
      <c r="JW144" s="18"/>
      <c r="JX144" s="18"/>
      <c r="JY144" s="18"/>
      <c r="JZ144" s="18"/>
      <c r="KA144" s="18"/>
      <c r="KB144" s="18"/>
      <c r="KC144" s="18"/>
      <c r="KD144" s="18"/>
      <c r="KE144" s="18"/>
      <c r="KF144" s="18"/>
      <c r="KG144" s="18"/>
      <c r="KH144" s="18"/>
      <c r="KI144" s="18"/>
      <c r="KJ144" s="18"/>
      <c r="KK144" s="18"/>
      <c r="KL144" s="18"/>
      <c r="KM144" s="18"/>
      <c r="KN144" s="18"/>
      <c r="KO144" s="18"/>
      <c r="KP144" s="18"/>
      <c r="KQ144" s="18"/>
      <c r="KR144" s="18"/>
      <c r="KS144" s="18"/>
      <c r="KT144" s="18"/>
      <c r="KU144" s="18"/>
      <c r="KV144" s="18"/>
      <c r="KW144" s="18"/>
      <c r="KX144" s="18"/>
      <c r="KY144" s="18"/>
      <c r="KZ144" s="18"/>
      <c r="LA144" s="18"/>
      <c r="LB144" s="18"/>
      <c r="LC144" s="18"/>
      <c r="LD144" s="18"/>
      <c r="LE144" s="18"/>
      <c r="LF144" s="18"/>
      <c r="LG144" s="18"/>
      <c r="LH144" s="18"/>
      <c r="LI144" s="18"/>
      <c r="LJ144" s="18"/>
      <c r="LK144" s="18"/>
      <c r="LL144" s="18"/>
      <c r="LM144" s="18"/>
      <c r="LN144" s="18"/>
      <c r="LO144" s="18"/>
      <c r="LP144" s="18"/>
      <c r="LQ144" s="18"/>
      <c r="LR144" s="18"/>
      <c r="LS144" s="18"/>
      <c r="LT144" s="18"/>
      <c r="LU144" s="18"/>
      <c r="LV144" s="18"/>
      <c r="LW144" s="18"/>
      <c r="LX144" s="18"/>
      <c r="LY144" s="18"/>
      <c r="LZ144" s="18"/>
      <c r="MA144" s="18"/>
      <c r="MB144" s="18"/>
      <c r="MC144" s="18"/>
      <c r="MD144" s="18"/>
      <c r="ME144" s="18"/>
      <c r="MF144" s="18"/>
      <c r="MG144" s="18"/>
      <c r="MH144" s="18"/>
      <c r="MI144" s="18"/>
      <c r="MJ144" s="18"/>
      <c r="MK144" s="18"/>
      <c r="ML144" s="18"/>
      <c r="MM144" s="18"/>
      <c r="MN144" s="18"/>
      <c r="MO144" s="18"/>
      <c r="MP144" s="18"/>
      <c r="MQ144" s="18"/>
      <c r="MR144" s="18"/>
      <c r="MS144" s="18"/>
      <c r="MT144" s="18"/>
      <c r="MU144" s="18"/>
      <c r="MV144" s="18"/>
      <c r="MW144" s="18"/>
      <c r="MX144" s="18"/>
      <c r="MY144" s="18"/>
      <c r="MZ144" s="18"/>
      <c r="NA144" s="18"/>
      <c r="NB144" s="18"/>
      <c r="NC144" s="18"/>
      <c r="ND144" s="18"/>
      <c r="NE144" s="18"/>
      <c r="NF144" s="18"/>
      <c r="NG144" s="18"/>
      <c r="NH144" s="18"/>
      <c r="NI144" s="18"/>
      <c r="NJ144" s="18"/>
      <c r="NK144" s="18"/>
      <c r="NL144" s="18"/>
      <c r="NM144" s="18"/>
      <c r="NN144" s="18"/>
      <c r="NO144" s="18"/>
      <c r="NP144" s="18"/>
      <c r="NQ144" s="18"/>
      <c r="NR144" s="18"/>
      <c r="NS144" s="18"/>
      <c r="NT144" s="18"/>
      <c r="NU144" s="18"/>
      <c r="NV144" s="18"/>
      <c r="NW144" s="18"/>
      <c r="NX144" s="18"/>
      <c r="NY144" s="18"/>
      <c r="NZ144" s="18"/>
      <c r="OA144" s="18"/>
      <c r="OB144" s="18"/>
      <c r="OC144" s="18"/>
      <c r="OD144" s="18"/>
      <c r="OE144" s="18"/>
      <c r="OF144" s="18"/>
      <c r="OG144" s="18"/>
      <c r="OH144" s="18"/>
      <c r="OI144" s="18"/>
      <c r="OJ144" s="18"/>
      <c r="OK144" s="18"/>
      <c r="OL144" s="18"/>
      <c r="OM144" s="18"/>
      <c r="ON144" s="18"/>
      <c r="OO144" s="18"/>
      <c r="OP144" s="18"/>
      <c r="OQ144" s="18"/>
      <c r="OR144" s="18"/>
      <c r="OS144" s="18"/>
      <c r="OT144" s="18"/>
      <c r="OU144" s="18"/>
      <c r="OV144" s="18"/>
      <c r="OW144" s="18"/>
      <c r="OX144" s="18"/>
      <c r="OY144" s="18"/>
      <c r="OZ144" s="18"/>
      <c r="PA144" s="18"/>
      <c r="PB144" s="18"/>
      <c r="PC144" s="18"/>
      <c r="PD144" s="18"/>
      <c r="PE144" s="18"/>
      <c r="PF144" s="18"/>
      <c r="PG144" s="18"/>
      <c r="PH144" s="18"/>
      <c r="PI144" s="18"/>
      <c r="PJ144" s="18"/>
      <c r="PK144" s="18"/>
      <c r="PL144" s="18"/>
      <c r="PM144" s="18"/>
      <c r="PN144" s="18"/>
      <c r="PO144" s="18"/>
      <c r="PP144" s="18"/>
      <c r="PQ144" s="18"/>
      <c r="PR144" s="18"/>
      <c r="PS144" s="18"/>
      <c r="PT144" s="18"/>
      <c r="PU144" s="18"/>
      <c r="PV144" s="18"/>
      <c r="PW144" s="18"/>
      <c r="PX144" s="18"/>
      <c r="PY144" s="18"/>
      <c r="PZ144" s="18"/>
      <c r="QA144" s="18"/>
      <c r="QB144" s="18"/>
      <c r="QC144" s="18"/>
      <c r="QD144" s="18"/>
      <c r="QE144" s="18"/>
      <c r="QF144" s="18"/>
      <c r="QG144" s="18"/>
      <c r="QH144" s="18"/>
      <c r="QI144" s="18"/>
      <c r="QJ144" s="18"/>
      <c r="QK144" s="18"/>
      <c r="QL144" s="18"/>
      <c r="QM144" s="18"/>
      <c r="QN144" s="18"/>
      <c r="QO144" s="18"/>
      <c r="QP144" s="18"/>
      <c r="QQ144" s="18"/>
      <c r="QR144" s="18"/>
      <c r="QS144" s="18"/>
      <c r="QT144" s="134">
        <f t="shared" ref="QT144:QT156" si="1460">C27</f>
        <v>250</v>
      </c>
      <c r="QU144" s="142">
        <f t="shared" ref="QU144:QU156" si="1461">D27</f>
        <v>249.5</v>
      </c>
      <c r="QV144" s="109">
        <f t="shared" ref="QV144:QV156" si="1462">E27</f>
        <v>249.001</v>
      </c>
      <c r="QW144" s="109">
        <f t="shared" ref="QW144:QW156" si="1463">F27</f>
        <v>248.50299799999999</v>
      </c>
      <c r="QX144" s="109">
        <f t="shared" ref="QX144:SR149" si="1464">G27</f>
        <v>248.00599200399998</v>
      </c>
      <c r="QY144" s="109">
        <f t="shared" si="1464"/>
        <v>247.50998001999199</v>
      </c>
      <c r="QZ144" s="109">
        <f t="shared" si="1464"/>
        <v>247.01496005995199</v>
      </c>
      <c r="RA144" s="109">
        <f t="shared" si="1464"/>
        <v>246.52093013983207</v>
      </c>
      <c r="RB144" s="109">
        <f t="shared" si="1464"/>
        <v>246.0278882795524</v>
      </c>
      <c r="RC144" s="109">
        <f t="shared" si="1464"/>
        <v>245.53583250299329</v>
      </c>
      <c r="RD144" s="109">
        <f t="shared" si="1464"/>
        <v>245.0447608379873</v>
      </c>
      <c r="RE144" s="109">
        <f t="shared" si="1464"/>
        <v>244.55467131631133</v>
      </c>
      <c r="RF144" s="109">
        <f t="shared" si="1464"/>
        <v>244.06556197367871</v>
      </c>
      <c r="RG144" s="109">
        <f t="shared" si="1464"/>
        <v>243.57743084973134</v>
      </c>
      <c r="RH144" s="109">
        <f t="shared" si="1464"/>
        <v>243.09027598803189</v>
      </c>
      <c r="RI144" s="109">
        <f t="shared" si="1464"/>
        <v>242.60409543605581</v>
      </c>
      <c r="RJ144" s="109">
        <f t="shared" si="1464"/>
        <v>242.11888724518371</v>
      </c>
      <c r="RK144" s="109">
        <f t="shared" si="1464"/>
        <v>241.63464947069335</v>
      </c>
      <c r="RL144" s="109">
        <f t="shared" si="1464"/>
        <v>241.15138017175195</v>
      </c>
      <c r="RM144" s="109">
        <f t="shared" si="1464"/>
        <v>240.66907741140844</v>
      </c>
      <c r="RN144" s="109">
        <f t="shared" si="1464"/>
        <v>240.18773925658562</v>
      </c>
      <c r="RO144" s="109">
        <f t="shared" si="1464"/>
        <v>239.70736377807245</v>
      </c>
      <c r="RP144" s="109">
        <f t="shared" si="1464"/>
        <v>239.22794905051632</v>
      </c>
      <c r="RQ144" s="109">
        <f t="shared" si="1464"/>
        <v>238.74949315241528</v>
      </c>
      <c r="RR144" s="109">
        <f t="shared" si="1464"/>
        <v>238.27199416611046</v>
      </c>
      <c r="RS144" s="109">
        <f t="shared" si="1464"/>
        <v>237.79545017777824</v>
      </c>
      <c r="RT144" s="109">
        <f t="shared" si="1464"/>
        <v>237.31985927742267</v>
      </c>
      <c r="RU144" s="109">
        <f t="shared" si="1464"/>
        <v>236.84521955886783</v>
      </c>
      <c r="RV144" s="109">
        <f t="shared" si="1464"/>
        <v>236.37152911975008</v>
      </c>
      <c r="RW144" s="109">
        <f t="shared" si="1464"/>
        <v>235.89878606151058</v>
      </c>
      <c r="RX144" s="109">
        <f t="shared" si="1464"/>
        <v>235.42698848938755</v>
      </c>
      <c r="RY144" s="109">
        <f t="shared" si="1464"/>
        <v>234.95613451240877</v>
      </c>
      <c r="RZ144" s="109">
        <f t="shared" si="1464"/>
        <v>234.48622224338393</v>
      </c>
      <c r="SA144" s="109">
        <f t="shared" si="1464"/>
        <v>234.01724979889715</v>
      </c>
      <c r="SB144" s="109">
        <f t="shared" si="1464"/>
        <v>233.54921529929936</v>
      </c>
      <c r="SC144" s="109">
        <f t="shared" si="1464"/>
        <v>233.08211686870075</v>
      </c>
      <c r="SD144" s="109">
        <f t="shared" si="1464"/>
        <v>232.61595263496335</v>
      </c>
      <c r="SE144" s="109">
        <f t="shared" si="1464"/>
        <v>232.15072072969343</v>
      </c>
      <c r="SF144" s="109">
        <f t="shared" si="1464"/>
        <v>231.68641928823405</v>
      </c>
      <c r="SG144" s="109">
        <f t="shared" si="1464"/>
        <v>231.22304644965757</v>
      </c>
      <c r="SH144" s="109">
        <f t="shared" si="1464"/>
        <v>230.76060035675826</v>
      </c>
      <c r="SI144" s="109">
        <f t="shared" si="1464"/>
        <v>230.29907915604474</v>
      </c>
      <c r="SJ144" s="109">
        <f t="shared" si="1464"/>
        <v>229.83848099773266</v>
      </c>
      <c r="SK144" s="109">
        <f t="shared" si="1464"/>
        <v>229.3788040357372</v>
      </c>
      <c r="SL144" s="109">
        <f t="shared" si="1464"/>
        <v>228.92004642766574</v>
      </c>
      <c r="SM144" s="109">
        <f t="shared" si="1464"/>
        <v>228.46220633481042</v>
      </c>
      <c r="SN144" s="109">
        <f t="shared" si="1464"/>
        <v>228.0052819221408</v>
      </c>
      <c r="SO144" s="109">
        <f t="shared" si="1464"/>
        <v>227.54927135829652</v>
      </c>
      <c r="SP144" s="109">
        <f t="shared" si="1464"/>
        <v>227.09417281557992</v>
      </c>
      <c r="SQ144" s="109">
        <f t="shared" si="1464"/>
        <v>226.63998446994876</v>
      </c>
      <c r="SR144" s="109">
        <f t="shared" si="1464"/>
        <v>226.18670450100885</v>
      </c>
      <c r="SS144" s="144">
        <f t="shared" ref="SS144:VD147" si="1465">BB27</f>
        <v>225.73433109200684</v>
      </c>
      <c r="ST144" s="144">
        <f t="shared" si="1465"/>
        <v>225.28286242982281</v>
      </c>
      <c r="SU144" s="144">
        <f t="shared" si="1465"/>
        <v>224.83229670496317</v>
      </c>
      <c r="SV144" s="144">
        <f t="shared" si="1465"/>
        <v>224.38263211155325</v>
      </c>
      <c r="SW144" s="144">
        <f t="shared" si="1465"/>
        <v>223.93386684733014</v>
      </c>
      <c r="SX144" s="144">
        <f t="shared" si="1465"/>
        <v>223.48599911363547</v>
      </c>
      <c r="SY144" s="144">
        <f t="shared" si="1465"/>
        <v>223.0390271154082</v>
      </c>
      <c r="SZ144" s="144">
        <f t="shared" si="1465"/>
        <v>222.59294906117739</v>
      </c>
      <c r="TA144" s="144">
        <f t="shared" si="1465"/>
        <v>222.14776316305503</v>
      </c>
      <c r="TB144" s="144">
        <f t="shared" si="1465"/>
        <v>221.70346763672893</v>
      </c>
      <c r="TC144" s="144">
        <f t="shared" si="1465"/>
        <v>221.26006070145547</v>
      </c>
      <c r="TD144" s="144">
        <f t="shared" si="1465"/>
        <v>220.81754058005257</v>
      </c>
      <c r="TE144" s="144">
        <f t="shared" si="1465"/>
        <v>220.37590549889245</v>
      </c>
      <c r="TF144" s="144">
        <f t="shared" si="1465"/>
        <v>219.93515368789465</v>
      </c>
      <c r="TG144" s="144">
        <f t="shared" si="1465"/>
        <v>219.49528338051886</v>
      </c>
      <c r="TH144" s="144">
        <f t="shared" si="1465"/>
        <v>219.05629281375781</v>
      </c>
      <c r="TI144" s="144">
        <f t="shared" si="1465"/>
        <v>218.61818022813029</v>
      </c>
      <c r="TJ144" s="144">
        <f t="shared" si="1465"/>
        <v>218.18094386767402</v>
      </c>
      <c r="TK144" s="144">
        <f t="shared" si="1465"/>
        <v>217.74458197993866</v>
      </c>
      <c r="TL144" s="144">
        <f t="shared" si="1465"/>
        <v>217.30909281597877</v>
      </c>
      <c r="TM144" s="144">
        <f t="shared" si="1465"/>
        <v>216.87447463034681</v>
      </c>
      <c r="TN144" s="144">
        <f t="shared" si="1465"/>
        <v>216.44072568108612</v>
      </c>
      <c r="TO144" s="144">
        <f t="shared" si="1465"/>
        <v>216.00784422972396</v>
      </c>
      <c r="TP144" s="144">
        <f t="shared" si="1465"/>
        <v>215.57582854126451</v>
      </c>
      <c r="TQ144" s="144">
        <f t="shared" si="1465"/>
        <v>215.14467688418199</v>
      </c>
      <c r="TR144" s="144">
        <f t="shared" si="1465"/>
        <v>214.71438753041363</v>
      </c>
      <c r="TS144" s="144">
        <f t="shared" si="1465"/>
        <v>214.28495875535282</v>
      </c>
      <c r="TT144" s="144">
        <f t="shared" si="1465"/>
        <v>213.8563888378421</v>
      </c>
      <c r="TU144" s="144">
        <f t="shared" si="1465"/>
        <v>213.42867606016642</v>
      </c>
      <c r="TV144" s="144">
        <f t="shared" si="1465"/>
        <v>213.0018187080461</v>
      </c>
      <c r="TW144" s="144">
        <f t="shared" si="1465"/>
        <v>212.57581507063</v>
      </c>
      <c r="TX144" s="144">
        <f t="shared" si="1465"/>
        <v>212.15066344048873</v>
      </c>
      <c r="TY144" s="144">
        <f t="shared" si="1465"/>
        <v>211.72636211360776</v>
      </c>
      <c r="TZ144" s="144">
        <f t="shared" si="1465"/>
        <v>211.30290938938055</v>
      </c>
      <c r="UA144" s="144">
        <f t="shared" si="1465"/>
        <v>210.8803035706018</v>
      </c>
      <c r="UB144" s="144">
        <f t="shared" si="1465"/>
        <v>210.45854296346059</v>
      </c>
      <c r="UC144" s="144">
        <f t="shared" si="1465"/>
        <v>210.03762587753366</v>
      </c>
      <c r="UD144" s="144">
        <f t="shared" si="1465"/>
        <v>209.61755062577859</v>
      </c>
      <c r="UE144" s="144">
        <f t="shared" si="1465"/>
        <v>209.19831552452703</v>
      </c>
      <c r="UF144" s="144">
        <f t="shared" si="1465"/>
        <v>208.77991889347797</v>
      </c>
      <c r="UG144" s="144">
        <f t="shared" si="1465"/>
        <v>208.362359055691</v>
      </c>
      <c r="UH144" s="144">
        <f t="shared" si="1465"/>
        <v>207.94563433757963</v>
      </c>
      <c r="UI144" s="144">
        <f t="shared" si="1465"/>
        <v>207.52974306890448</v>
      </c>
      <c r="UJ144" s="144">
        <f t="shared" si="1465"/>
        <v>207.11468358276667</v>
      </c>
      <c r="UK144" s="144">
        <f t="shared" si="1465"/>
        <v>206.70045421560113</v>
      </c>
      <c r="UL144" s="144">
        <f t="shared" si="1465"/>
        <v>206.28705330716991</v>
      </c>
      <c r="UM144" s="144">
        <f t="shared" si="1465"/>
        <v>205.87447920055558</v>
      </c>
      <c r="UN144" s="144">
        <f t="shared" si="1465"/>
        <v>205.46273024215446</v>
      </c>
      <c r="UO144" s="144">
        <f t="shared" si="1465"/>
        <v>205.05180478167014</v>
      </c>
      <c r="UP144" s="144">
        <f t="shared" si="1465"/>
        <v>204.64170117210679</v>
      </c>
      <c r="UQ144" s="144">
        <f t="shared" si="1465"/>
        <v>204.23241776976258</v>
      </c>
      <c r="UR144" s="154">
        <f t="shared" si="1465"/>
        <v>203.82395293422306</v>
      </c>
      <c r="US144" s="154">
        <f t="shared" si="1465"/>
        <v>203.4163050283546</v>
      </c>
      <c r="UT144" s="154">
        <f t="shared" si="1465"/>
        <v>203.00947241829789</v>
      </c>
      <c r="UU144" s="154">
        <f t="shared" si="1465"/>
        <v>202.60345347346129</v>
      </c>
      <c r="UV144" s="154">
        <f t="shared" si="1465"/>
        <v>202.19824656651437</v>
      </c>
      <c r="UW144" s="154">
        <f t="shared" si="1465"/>
        <v>201.79385007338135</v>
      </c>
      <c r="UX144" s="154">
        <f t="shared" si="1465"/>
        <v>201.39026237323458</v>
      </c>
      <c r="UY144" s="154">
        <f t="shared" si="1465"/>
        <v>200.9874818484881</v>
      </c>
      <c r="UZ144" s="154">
        <f t="shared" si="1465"/>
        <v>200.58550688479113</v>
      </c>
      <c r="VA144" s="154">
        <f t="shared" si="1465"/>
        <v>200.18433587102155</v>
      </c>
      <c r="VB144" s="154">
        <f t="shared" si="1465"/>
        <v>199.78396719927952</v>
      </c>
      <c r="VC144" s="154">
        <f t="shared" si="1465"/>
        <v>199.38439926488095</v>
      </c>
      <c r="VD144" s="154">
        <f t="shared" si="1465"/>
        <v>198.98563046635118</v>
      </c>
      <c r="VE144" s="154">
        <f t="shared" ref="VE144:WP146" si="1466">DN27</f>
        <v>198.58765920541848</v>
      </c>
      <c r="VF144" s="154">
        <f t="shared" si="1466"/>
        <v>198.19048388700764</v>
      </c>
      <c r="VG144" s="154">
        <f t="shared" si="1466"/>
        <v>197.79410291923364</v>
      </c>
      <c r="VH144" s="154">
        <f t="shared" si="1466"/>
        <v>197.39851471339517</v>
      </c>
      <c r="VI144" s="154">
        <f t="shared" si="1466"/>
        <v>197.00371768396838</v>
      </c>
      <c r="VJ144" s="154">
        <f t="shared" si="1466"/>
        <v>196.60971024860044</v>
      </c>
      <c r="VK144" s="154">
        <f t="shared" si="1466"/>
        <v>196.21649082810325</v>
      </c>
      <c r="VL144" s="154">
        <f t="shared" si="1466"/>
        <v>195.82405784644703</v>
      </c>
      <c r="VM144" s="154">
        <f t="shared" si="1466"/>
        <v>195.43240973075413</v>
      </c>
      <c r="VN144" s="154">
        <f t="shared" si="1466"/>
        <v>195.04154491129262</v>
      </c>
      <c r="VO144" s="154">
        <f t="shared" si="1466"/>
        <v>194.65146182147004</v>
      </c>
      <c r="VP144" s="154">
        <f t="shared" si="1466"/>
        <v>194.26215889782711</v>
      </c>
      <c r="VQ144" s="154">
        <f t="shared" si="1466"/>
        <v>193.87363458003145</v>
      </c>
      <c r="VR144" s="154">
        <f t="shared" si="1466"/>
        <v>193.48588731087139</v>
      </c>
      <c r="VS144" s="179">
        <f t="shared" si="1466"/>
        <v>168.91317962239071</v>
      </c>
      <c r="VT144" s="154">
        <f t="shared" si="1466"/>
        <v>168.57535326314593</v>
      </c>
      <c r="VU144" s="179">
        <f t="shared" si="1466"/>
        <v>144.15600923331306</v>
      </c>
      <c r="VV144" s="154">
        <f t="shared" si="1466"/>
        <v>143.86769721484643</v>
      </c>
      <c r="VW144" s="154">
        <f t="shared" si="1466"/>
        <v>143.57996182041674</v>
      </c>
      <c r="VX144" s="154">
        <f t="shared" si="1466"/>
        <v>143.2928018967759</v>
      </c>
      <c r="VY144" s="154">
        <f t="shared" si="1466"/>
        <v>143.00621629298234</v>
      </c>
      <c r="VZ144" s="179">
        <f t="shared" si="1466"/>
        <v>118.88583447823264</v>
      </c>
      <c r="WA144" s="154">
        <f t="shared" si="1466"/>
        <v>118.64806280927617</v>
      </c>
      <c r="WB144" s="179">
        <f t="shared" si="1466"/>
        <v>94.681154121802379</v>
      </c>
      <c r="WC144" s="154">
        <f t="shared" si="1466"/>
        <v>94.491791813558777</v>
      </c>
      <c r="WD144" s="154">
        <f t="shared" si="1466"/>
        <v>94.302808229931657</v>
      </c>
      <c r="WE144" s="154">
        <f t="shared" si="1466"/>
        <v>94.11420261347179</v>
      </c>
      <c r="WF144" s="154">
        <f t="shared" si="1466"/>
        <v>93.925974208244853</v>
      </c>
      <c r="WG144" s="179">
        <f t="shared" si="1466"/>
        <v>70.256628707767149</v>
      </c>
      <c r="WH144" s="154">
        <f t="shared" si="1466"/>
        <v>70.116115450351614</v>
      </c>
      <c r="WI144" s="179">
        <f t="shared" si="1466"/>
        <v>46.603844736000369</v>
      </c>
      <c r="WJ144" s="154">
        <f t="shared" si="1466"/>
        <v>46.510637046528366</v>
      </c>
      <c r="WK144" s="154">
        <f t="shared" si="1466"/>
        <v>46.417615772435312</v>
      </c>
      <c r="WL144" s="154">
        <f t="shared" si="1466"/>
        <v>46.324780540890444</v>
      </c>
      <c r="WM144" s="154">
        <f t="shared" si="1466"/>
        <v>46.232130979808666</v>
      </c>
      <c r="WN144" s="179">
        <f t="shared" si="1466"/>
        <v>23.023601227944713</v>
      </c>
      <c r="WO144" s="154">
        <f t="shared" si="1466"/>
        <v>22.977554025488825</v>
      </c>
      <c r="WP144" s="179">
        <f t="shared" si="1466"/>
        <v>-4.5955108050979021E-2</v>
      </c>
      <c r="WQ144" s="203"/>
      <c r="WR144" s="203"/>
      <c r="WS144" s="203"/>
      <c r="WT144" s="203"/>
      <c r="WU144" s="203"/>
      <c r="WV144" s="203"/>
      <c r="WW144" s="203"/>
      <c r="WX144" s="203"/>
      <c r="WY144" s="203"/>
      <c r="WZ144" s="203"/>
      <c r="XA144" s="203"/>
      <c r="XB144" s="203"/>
      <c r="XC144" s="203"/>
      <c r="XD144" s="203"/>
      <c r="XE144" s="203"/>
    </row>
    <row r="145" spans="1:696" ht="19.5" thickBot="1" x14ac:dyDescent="0.3">
      <c r="A145" s="298"/>
      <c r="B145" s="25" t="s">
        <v>1</v>
      </c>
      <c r="BY145" s="18"/>
      <c r="BZ145" s="18"/>
      <c r="CA145" s="18"/>
      <c r="CB145" s="18"/>
      <c r="CC145" s="18"/>
      <c r="CD145" s="18"/>
      <c r="CE145" s="18"/>
      <c r="CF145" s="18"/>
      <c r="CG145" s="18"/>
      <c r="CH145" s="18"/>
      <c r="CI145" s="18"/>
      <c r="CJ145" s="18"/>
      <c r="CK145" s="18"/>
      <c r="CL145" s="18"/>
      <c r="CM145" s="18"/>
      <c r="CN145" s="18"/>
      <c r="CO145" s="18"/>
      <c r="CP145" s="18"/>
      <c r="CQ145" s="18"/>
      <c r="CR145" s="18"/>
      <c r="CS145" s="18"/>
      <c r="CT145" s="18"/>
      <c r="CU145" s="18"/>
      <c r="CV145" s="18"/>
      <c r="CW145" s="18"/>
      <c r="CX145" s="18"/>
      <c r="CY145" s="18"/>
      <c r="CZ145" s="18"/>
      <c r="DA145" s="18"/>
      <c r="DB145" s="18"/>
      <c r="DC145" s="18"/>
      <c r="DD145" s="18"/>
      <c r="DE145" s="18"/>
      <c r="DF145" s="18"/>
      <c r="DG145" s="18"/>
      <c r="DH145" s="18"/>
      <c r="DI145" s="18"/>
      <c r="DJ145" s="18"/>
      <c r="DK145" s="18"/>
      <c r="DL145" s="18"/>
      <c r="DM145" s="18"/>
      <c r="DN145" s="18"/>
      <c r="DO145" s="18"/>
      <c r="DP145" s="18"/>
      <c r="DQ145" s="18"/>
      <c r="DR145" s="18"/>
      <c r="DS145" s="18"/>
      <c r="DT145" s="18"/>
      <c r="DU145" s="18"/>
      <c r="DV145" s="18"/>
      <c r="DW145" s="18"/>
      <c r="DX145" s="18"/>
      <c r="DY145" s="18"/>
      <c r="DZ145" s="18"/>
      <c r="EA145" s="18"/>
      <c r="EB145" s="18"/>
      <c r="EC145" s="18"/>
      <c r="ED145" s="18"/>
      <c r="EE145" s="18"/>
      <c r="EF145" s="18"/>
      <c r="EG145" s="18"/>
      <c r="EH145" s="18"/>
      <c r="EI145" s="18"/>
      <c r="EJ145" s="18"/>
      <c r="EK145" s="18"/>
      <c r="EL145" s="18"/>
      <c r="EM145" s="18"/>
      <c r="EN145" s="18"/>
      <c r="EO145" s="18"/>
      <c r="EP145" s="18"/>
      <c r="EQ145" s="18"/>
      <c r="ER145" s="18"/>
      <c r="ES145" s="18"/>
      <c r="ET145" s="18"/>
      <c r="EU145" s="18"/>
      <c r="EV145" s="18"/>
      <c r="EW145" s="18"/>
      <c r="EX145" s="18"/>
      <c r="EY145" s="18"/>
      <c r="EZ145" s="18"/>
      <c r="FA145" s="18"/>
      <c r="FB145" s="18"/>
      <c r="FC145" s="18"/>
      <c r="FD145" s="18"/>
      <c r="FE145" s="18"/>
      <c r="FF145" s="18"/>
      <c r="FG145" s="18"/>
      <c r="FH145" s="18"/>
      <c r="FI145" s="18"/>
      <c r="FJ145" s="18"/>
      <c r="FK145" s="18"/>
      <c r="FL145" s="18"/>
      <c r="FM145" s="18"/>
      <c r="FN145" s="18"/>
      <c r="FO145" s="18"/>
      <c r="FP145" s="18"/>
      <c r="FQ145" s="18"/>
      <c r="FR145" s="18"/>
      <c r="FS145" s="18"/>
      <c r="FT145" s="18"/>
      <c r="FU145" s="18"/>
      <c r="FV145" s="18"/>
      <c r="FW145" s="18"/>
      <c r="FX145" s="18"/>
      <c r="FY145" s="18"/>
      <c r="FZ145" s="18"/>
      <c r="GA145" s="18"/>
      <c r="GB145" s="18"/>
      <c r="GC145" s="18"/>
      <c r="GD145" s="18"/>
      <c r="GE145" s="18"/>
      <c r="GF145" s="18"/>
      <c r="GG145" s="18"/>
      <c r="GH145" s="18"/>
      <c r="GI145" s="18"/>
      <c r="GJ145" s="18"/>
      <c r="GK145" s="18"/>
      <c r="GL145" s="18"/>
      <c r="GM145" s="18"/>
      <c r="GN145" s="18"/>
      <c r="GO145" s="18"/>
      <c r="GP145" s="18"/>
      <c r="GQ145" s="18"/>
      <c r="GR145" s="18"/>
      <c r="GS145" s="18"/>
      <c r="GT145" s="18"/>
      <c r="GU145" s="18"/>
      <c r="GV145" s="18"/>
      <c r="GW145" s="18"/>
      <c r="GX145" s="18"/>
      <c r="GY145" s="18"/>
      <c r="GZ145" s="18"/>
      <c r="HA145" s="18"/>
      <c r="HB145" s="18"/>
      <c r="HC145" s="18"/>
      <c r="HD145" s="18"/>
      <c r="HE145" s="18"/>
      <c r="HF145" s="18"/>
      <c r="HG145" s="18"/>
      <c r="HH145" s="18"/>
      <c r="HI145" s="18"/>
      <c r="HJ145" s="18"/>
      <c r="HK145" s="18"/>
      <c r="HL145" s="18"/>
      <c r="HM145" s="18"/>
      <c r="HN145" s="18"/>
      <c r="HO145" s="18"/>
      <c r="HP145" s="18"/>
      <c r="HQ145" s="18"/>
      <c r="HR145" s="18"/>
      <c r="HS145" s="18"/>
      <c r="HT145" s="18"/>
      <c r="HU145" s="18"/>
      <c r="HV145" s="18"/>
      <c r="HW145" s="18"/>
      <c r="HX145" s="18"/>
      <c r="HY145" s="18"/>
      <c r="HZ145" s="18"/>
      <c r="IA145" s="18"/>
      <c r="IB145" s="18"/>
      <c r="IC145" s="18"/>
      <c r="ID145" s="18"/>
      <c r="IE145" s="18"/>
      <c r="IF145" s="18"/>
      <c r="IG145" s="18"/>
      <c r="IH145" s="18"/>
      <c r="II145" s="18"/>
      <c r="IJ145" s="18"/>
      <c r="IK145" s="18"/>
      <c r="IL145" s="18"/>
      <c r="IM145" s="18"/>
      <c r="IN145" s="18"/>
      <c r="IO145" s="18"/>
      <c r="IP145" s="18"/>
      <c r="IQ145" s="18"/>
      <c r="IR145" s="18"/>
      <c r="IS145" s="18"/>
      <c r="IT145" s="18"/>
      <c r="IU145" s="18"/>
      <c r="IV145" s="18"/>
      <c r="IW145" s="18"/>
      <c r="IX145" s="18"/>
      <c r="IY145" s="18"/>
      <c r="IZ145" s="18"/>
      <c r="JA145" s="18"/>
      <c r="JB145" s="18"/>
      <c r="JC145" s="18"/>
      <c r="JD145" s="18"/>
      <c r="JE145" s="18"/>
      <c r="JF145" s="18"/>
      <c r="JG145" s="18"/>
      <c r="JH145" s="18"/>
      <c r="JI145" s="18"/>
      <c r="JJ145" s="18"/>
      <c r="JK145" s="18"/>
      <c r="JL145" s="18"/>
      <c r="JM145" s="18"/>
      <c r="JN145" s="18"/>
      <c r="JO145" s="18"/>
      <c r="JP145" s="18"/>
      <c r="JQ145" s="18"/>
      <c r="JR145" s="18"/>
      <c r="JS145" s="18"/>
      <c r="JT145" s="18"/>
      <c r="JU145" s="18"/>
      <c r="JV145" s="18"/>
      <c r="JW145" s="18"/>
      <c r="JX145" s="18"/>
      <c r="JY145" s="18"/>
      <c r="JZ145" s="18"/>
      <c r="KA145" s="18"/>
      <c r="KB145" s="18"/>
      <c r="KC145" s="18"/>
      <c r="KD145" s="18"/>
      <c r="KE145" s="18"/>
      <c r="KF145" s="18"/>
      <c r="KG145" s="18"/>
      <c r="KH145" s="18"/>
      <c r="KI145" s="18"/>
      <c r="KJ145" s="18"/>
      <c r="KK145" s="18"/>
      <c r="KL145" s="18"/>
      <c r="KM145" s="18"/>
      <c r="KN145" s="18"/>
      <c r="KO145" s="18"/>
      <c r="KP145" s="18"/>
      <c r="KQ145" s="18"/>
      <c r="KR145" s="18"/>
      <c r="KS145" s="18"/>
      <c r="KT145" s="18"/>
      <c r="KU145" s="18"/>
      <c r="KV145" s="18"/>
      <c r="KW145" s="18"/>
      <c r="KX145" s="18"/>
      <c r="KY145" s="18"/>
      <c r="KZ145" s="18"/>
      <c r="LA145" s="18"/>
      <c r="LB145" s="18"/>
      <c r="LC145" s="18"/>
      <c r="LD145" s="18"/>
      <c r="LE145" s="18"/>
      <c r="LF145" s="18"/>
      <c r="LG145" s="18"/>
      <c r="LH145" s="18"/>
      <c r="LI145" s="18"/>
      <c r="LJ145" s="18"/>
      <c r="LK145" s="18"/>
      <c r="LL145" s="18"/>
      <c r="LM145" s="18"/>
      <c r="LN145" s="18"/>
      <c r="LO145" s="18"/>
      <c r="LP145" s="18"/>
      <c r="LQ145" s="18"/>
      <c r="LR145" s="18"/>
      <c r="LS145" s="18"/>
      <c r="LT145" s="18"/>
      <c r="LU145" s="18"/>
      <c r="LV145" s="18"/>
      <c r="LW145" s="18"/>
      <c r="LX145" s="18"/>
      <c r="LY145" s="18"/>
      <c r="LZ145" s="18"/>
      <c r="MA145" s="18"/>
      <c r="MB145" s="18"/>
      <c r="MC145" s="18"/>
      <c r="MD145" s="18"/>
      <c r="ME145" s="18"/>
      <c r="MF145" s="18"/>
      <c r="MG145" s="18"/>
      <c r="MH145" s="18"/>
      <c r="MI145" s="18"/>
      <c r="MJ145" s="18"/>
      <c r="MK145" s="18"/>
      <c r="ML145" s="18"/>
      <c r="MM145" s="18"/>
      <c r="MN145" s="18"/>
      <c r="MO145" s="18"/>
      <c r="MP145" s="18"/>
      <c r="MQ145" s="18"/>
      <c r="MR145" s="18"/>
      <c r="MS145" s="18"/>
      <c r="MT145" s="18"/>
      <c r="MU145" s="18"/>
      <c r="MV145" s="18"/>
      <c r="MW145" s="18"/>
      <c r="MX145" s="18"/>
      <c r="MY145" s="18"/>
      <c r="MZ145" s="18"/>
      <c r="NA145" s="18"/>
      <c r="NB145" s="18"/>
      <c r="NC145" s="18"/>
      <c r="ND145" s="18"/>
      <c r="NE145" s="18"/>
      <c r="NF145" s="18"/>
      <c r="NG145" s="18"/>
      <c r="NH145" s="18"/>
      <c r="NI145" s="18"/>
      <c r="NJ145" s="18"/>
      <c r="NK145" s="18"/>
      <c r="NL145" s="18"/>
      <c r="NM145" s="18"/>
      <c r="NN145" s="18"/>
      <c r="NO145" s="18"/>
      <c r="NP145" s="18"/>
      <c r="NQ145" s="18"/>
      <c r="NR145" s="18"/>
      <c r="NS145" s="18"/>
      <c r="NT145" s="18"/>
      <c r="NU145" s="18"/>
      <c r="NV145" s="18"/>
      <c r="NW145" s="18"/>
      <c r="NX145" s="18"/>
      <c r="NY145" s="18"/>
      <c r="NZ145" s="18"/>
      <c r="OA145" s="18"/>
      <c r="OB145" s="18"/>
      <c r="OC145" s="18"/>
      <c r="OD145" s="18"/>
      <c r="OE145" s="18"/>
      <c r="OF145" s="18"/>
      <c r="OG145" s="18"/>
      <c r="OH145" s="18"/>
      <c r="OI145" s="18"/>
      <c r="OJ145" s="18"/>
      <c r="OK145" s="18"/>
      <c r="OL145" s="18"/>
      <c r="OM145" s="18"/>
      <c r="ON145" s="18"/>
      <c r="OO145" s="18"/>
      <c r="OP145" s="18"/>
      <c r="OQ145" s="18"/>
      <c r="OR145" s="18"/>
      <c r="OS145" s="18"/>
      <c r="OT145" s="18"/>
      <c r="OU145" s="18"/>
      <c r="OV145" s="18"/>
      <c r="OW145" s="18"/>
      <c r="OX145" s="18"/>
      <c r="OY145" s="18"/>
      <c r="OZ145" s="18"/>
      <c r="PA145" s="18"/>
      <c r="PB145" s="18"/>
      <c r="PC145" s="18"/>
      <c r="PD145" s="18"/>
      <c r="PE145" s="18"/>
      <c r="PF145" s="18"/>
      <c r="PG145" s="18"/>
      <c r="PH145" s="18"/>
      <c r="PI145" s="18"/>
      <c r="PJ145" s="18"/>
      <c r="PK145" s="18"/>
      <c r="PL145" s="18"/>
      <c r="PM145" s="18"/>
      <c r="PN145" s="18"/>
      <c r="PO145" s="18"/>
      <c r="PP145" s="18"/>
      <c r="PQ145" s="18"/>
      <c r="PR145" s="18"/>
      <c r="PS145" s="18"/>
      <c r="PT145" s="18"/>
      <c r="PU145" s="18"/>
      <c r="PV145" s="18"/>
      <c r="PW145" s="18"/>
      <c r="PX145" s="18"/>
      <c r="PY145" s="18"/>
      <c r="PZ145" s="18"/>
      <c r="QA145" s="18"/>
      <c r="QB145" s="18"/>
      <c r="QC145" s="18"/>
      <c r="QD145" s="18"/>
      <c r="QE145" s="18"/>
      <c r="QF145" s="18"/>
      <c r="QG145" s="18"/>
      <c r="QH145" s="18"/>
      <c r="QI145" s="18"/>
      <c r="QJ145" s="18"/>
      <c r="QK145" s="18"/>
      <c r="QL145" s="18"/>
      <c r="QM145" s="18"/>
      <c r="QN145" s="18"/>
      <c r="QO145" s="18"/>
      <c r="QP145" s="18"/>
      <c r="QQ145" s="18"/>
      <c r="QR145" s="18"/>
      <c r="QS145" s="18"/>
      <c r="QT145" s="128" t="str">
        <f t="shared" si="1460"/>
        <v>-</v>
      </c>
      <c r="QU145" s="108" t="str">
        <f t="shared" si="1461"/>
        <v>-</v>
      </c>
      <c r="QV145" s="108" t="str">
        <f t="shared" si="1462"/>
        <v>-</v>
      </c>
      <c r="QW145" s="108" t="str">
        <f t="shared" si="1463"/>
        <v>-</v>
      </c>
      <c r="QX145" s="108" t="str">
        <f t="shared" si="1464"/>
        <v>-</v>
      </c>
      <c r="QY145" s="108" t="str">
        <f t="shared" si="1464"/>
        <v>-</v>
      </c>
      <c r="QZ145" s="108" t="str">
        <f t="shared" si="1464"/>
        <v>-</v>
      </c>
      <c r="RA145" s="108" t="str">
        <f t="shared" si="1464"/>
        <v>-</v>
      </c>
      <c r="RB145" s="108" t="str">
        <f t="shared" si="1464"/>
        <v>-</v>
      </c>
      <c r="RC145" s="108" t="str">
        <f t="shared" si="1464"/>
        <v>-</v>
      </c>
      <c r="RD145" s="108" t="str">
        <f t="shared" si="1464"/>
        <v>-</v>
      </c>
      <c r="RE145" s="108" t="str">
        <f t="shared" si="1464"/>
        <v>-</v>
      </c>
      <c r="RF145" s="108" t="str">
        <f t="shared" si="1464"/>
        <v>-</v>
      </c>
      <c r="RG145" s="108" t="str">
        <f t="shared" si="1464"/>
        <v>-</v>
      </c>
      <c r="RH145" s="108" t="str">
        <f t="shared" si="1464"/>
        <v>-</v>
      </c>
      <c r="RI145" s="108" t="str">
        <f t="shared" si="1464"/>
        <v>-</v>
      </c>
      <c r="RJ145" s="108" t="str">
        <f t="shared" si="1464"/>
        <v>-</v>
      </c>
      <c r="RK145" s="108" t="str">
        <f t="shared" si="1464"/>
        <v>-</v>
      </c>
      <c r="RL145" s="108" t="str">
        <f t="shared" si="1464"/>
        <v>-</v>
      </c>
      <c r="RM145" s="108" t="str">
        <f t="shared" si="1464"/>
        <v>-</v>
      </c>
      <c r="RN145" s="108" t="str">
        <f t="shared" si="1464"/>
        <v>-</v>
      </c>
      <c r="RO145" s="108" t="str">
        <f t="shared" si="1464"/>
        <v>-</v>
      </c>
      <c r="RP145" s="108" t="str">
        <f t="shared" si="1464"/>
        <v>-</v>
      </c>
      <c r="RQ145" s="108" t="str">
        <f t="shared" si="1464"/>
        <v>-</v>
      </c>
      <c r="RR145" s="108" t="str">
        <f t="shared" si="1464"/>
        <v>-</v>
      </c>
      <c r="RS145" s="108" t="str">
        <f t="shared" si="1464"/>
        <v>-</v>
      </c>
      <c r="RT145" s="108" t="str">
        <f t="shared" si="1464"/>
        <v>-</v>
      </c>
      <c r="RU145" s="108" t="str">
        <f t="shared" si="1464"/>
        <v>-</v>
      </c>
      <c r="RV145" s="108" t="str">
        <f t="shared" si="1464"/>
        <v>-</v>
      </c>
      <c r="RW145" s="108" t="str">
        <f t="shared" si="1464"/>
        <v>-</v>
      </c>
      <c r="RX145" s="108" t="str">
        <f t="shared" si="1464"/>
        <v>-</v>
      </c>
      <c r="RY145" s="108" t="str">
        <f t="shared" si="1464"/>
        <v>-</v>
      </c>
      <c r="RZ145" s="108" t="str">
        <f t="shared" si="1464"/>
        <v>-</v>
      </c>
      <c r="SA145" s="108" t="str">
        <f t="shared" si="1464"/>
        <v>-</v>
      </c>
      <c r="SB145" s="108" t="str">
        <f t="shared" si="1464"/>
        <v>-</v>
      </c>
      <c r="SC145" s="108" t="str">
        <f t="shared" si="1464"/>
        <v>-</v>
      </c>
      <c r="SD145" s="108" t="str">
        <f t="shared" si="1464"/>
        <v>-</v>
      </c>
      <c r="SE145" s="108" t="str">
        <f t="shared" si="1464"/>
        <v>-</v>
      </c>
      <c r="SF145" s="108" t="str">
        <f t="shared" si="1464"/>
        <v>-</v>
      </c>
      <c r="SG145" s="108" t="str">
        <f t="shared" si="1464"/>
        <v>-</v>
      </c>
      <c r="SH145" s="108" t="str">
        <f t="shared" si="1464"/>
        <v>-</v>
      </c>
      <c r="SI145" s="108" t="str">
        <f t="shared" si="1464"/>
        <v>-</v>
      </c>
      <c r="SJ145" s="108" t="str">
        <f t="shared" si="1464"/>
        <v>-</v>
      </c>
      <c r="SK145" s="108" t="str">
        <f t="shared" si="1464"/>
        <v>-</v>
      </c>
      <c r="SL145" s="108" t="str">
        <f t="shared" si="1464"/>
        <v>-</v>
      </c>
      <c r="SM145" s="108" t="str">
        <f t="shared" si="1464"/>
        <v>-</v>
      </c>
      <c r="SN145" s="108" t="str">
        <f t="shared" si="1464"/>
        <v>-</v>
      </c>
      <c r="SO145" s="108" t="str">
        <f t="shared" si="1464"/>
        <v>-</v>
      </c>
      <c r="SP145" s="108" t="str">
        <f t="shared" si="1464"/>
        <v>-</v>
      </c>
      <c r="SQ145" s="108" t="str">
        <f t="shared" si="1464"/>
        <v>-</v>
      </c>
      <c r="SR145" s="108" t="str">
        <f t="shared" si="1464"/>
        <v>-</v>
      </c>
      <c r="SS145" s="145" t="str">
        <f t="shared" si="1465"/>
        <v>-</v>
      </c>
      <c r="ST145" s="145" t="str">
        <f t="shared" si="1465"/>
        <v>-</v>
      </c>
      <c r="SU145" s="145" t="str">
        <f t="shared" si="1465"/>
        <v>-</v>
      </c>
      <c r="SV145" s="145" t="str">
        <f t="shared" si="1465"/>
        <v>-</v>
      </c>
      <c r="SW145" s="145" t="str">
        <f t="shared" si="1465"/>
        <v>-</v>
      </c>
      <c r="SX145" s="145" t="str">
        <f t="shared" si="1465"/>
        <v>-</v>
      </c>
      <c r="SY145" s="145" t="str">
        <f t="shared" si="1465"/>
        <v>-</v>
      </c>
      <c r="SZ145" s="145" t="str">
        <f t="shared" si="1465"/>
        <v>-</v>
      </c>
      <c r="TA145" s="145" t="str">
        <f t="shared" si="1465"/>
        <v>-</v>
      </c>
      <c r="TB145" s="145" t="str">
        <f t="shared" si="1465"/>
        <v>-</v>
      </c>
      <c r="TC145" s="145" t="str">
        <f t="shared" si="1465"/>
        <v>-</v>
      </c>
      <c r="TD145" s="145" t="str">
        <f t="shared" si="1465"/>
        <v>-</v>
      </c>
      <c r="TE145" s="145" t="str">
        <f t="shared" si="1465"/>
        <v>-</v>
      </c>
      <c r="TF145" s="145" t="str">
        <f t="shared" si="1465"/>
        <v>-</v>
      </c>
      <c r="TG145" s="145" t="str">
        <f t="shared" si="1465"/>
        <v>-</v>
      </c>
      <c r="TH145" s="145" t="str">
        <f t="shared" si="1465"/>
        <v>-</v>
      </c>
      <c r="TI145" s="145" t="str">
        <f t="shared" si="1465"/>
        <v>-</v>
      </c>
      <c r="TJ145" s="145" t="str">
        <f t="shared" si="1465"/>
        <v>-</v>
      </c>
      <c r="TK145" s="145" t="str">
        <f t="shared" si="1465"/>
        <v>-</v>
      </c>
      <c r="TL145" s="145" t="str">
        <f t="shared" si="1465"/>
        <v>-</v>
      </c>
      <c r="TM145" s="145" t="str">
        <f t="shared" si="1465"/>
        <v>-</v>
      </c>
      <c r="TN145" s="145" t="str">
        <f t="shared" si="1465"/>
        <v>-</v>
      </c>
      <c r="TO145" s="145" t="str">
        <f t="shared" si="1465"/>
        <v>-</v>
      </c>
      <c r="TP145" s="145" t="str">
        <f t="shared" si="1465"/>
        <v>-</v>
      </c>
      <c r="TQ145" s="145" t="str">
        <f t="shared" si="1465"/>
        <v>-</v>
      </c>
      <c r="TR145" s="145" t="str">
        <f t="shared" si="1465"/>
        <v>-</v>
      </c>
      <c r="TS145" s="145" t="str">
        <f t="shared" si="1465"/>
        <v>-</v>
      </c>
      <c r="TT145" s="145" t="str">
        <f t="shared" si="1465"/>
        <v>-</v>
      </c>
      <c r="TU145" s="145" t="str">
        <f t="shared" si="1465"/>
        <v>-</v>
      </c>
      <c r="TV145" s="145" t="str">
        <f t="shared" si="1465"/>
        <v>-</v>
      </c>
      <c r="TW145" s="145" t="str">
        <f t="shared" si="1465"/>
        <v>-</v>
      </c>
      <c r="TX145" s="145" t="str">
        <f t="shared" si="1465"/>
        <v>-</v>
      </c>
      <c r="TY145" s="145" t="str">
        <f t="shared" si="1465"/>
        <v>-</v>
      </c>
      <c r="TZ145" s="145" t="str">
        <f t="shared" si="1465"/>
        <v>-</v>
      </c>
      <c r="UA145" s="145" t="str">
        <f t="shared" si="1465"/>
        <v>-</v>
      </c>
      <c r="UB145" s="145" t="str">
        <f t="shared" si="1465"/>
        <v>-</v>
      </c>
      <c r="UC145" s="145" t="str">
        <f t="shared" si="1465"/>
        <v>-</v>
      </c>
      <c r="UD145" s="145" t="str">
        <f t="shared" si="1465"/>
        <v>-</v>
      </c>
      <c r="UE145" s="145" t="str">
        <f t="shared" si="1465"/>
        <v>-</v>
      </c>
      <c r="UF145" s="145" t="str">
        <f t="shared" si="1465"/>
        <v>-</v>
      </c>
      <c r="UG145" s="145" t="str">
        <f t="shared" si="1465"/>
        <v>-</v>
      </c>
      <c r="UH145" s="145" t="str">
        <f t="shared" si="1465"/>
        <v>-</v>
      </c>
      <c r="UI145" s="145" t="str">
        <f t="shared" si="1465"/>
        <v>-</v>
      </c>
      <c r="UJ145" s="145" t="str">
        <f t="shared" si="1465"/>
        <v>-</v>
      </c>
      <c r="UK145" s="145" t="str">
        <f t="shared" si="1465"/>
        <v>-</v>
      </c>
      <c r="UL145" s="145" t="str">
        <f t="shared" si="1465"/>
        <v>-</v>
      </c>
      <c r="UM145" s="145" t="str">
        <f t="shared" si="1465"/>
        <v>-</v>
      </c>
      <c r="UN145" s="145" t="str">
        <f t="shared" si="1465"/>
        <v>-</v>
      </c>
      <c r="UO145" s="145" t="str">
        <f t="shared" si="1465"/>
        <v>-</v>
      </c>
      <c r="UP145" s="145" t="str">
        <f t="shared" si="1465"/>
        <v>-</v>
      </c>
      <c r="UQ145" s="145" t="str">
        <f t="shared" si="1465"/>
        <v>-</v>
      </c>
      <c r="UR145" s="155" t="str">
        <f t="shared" si="1465"/>
        <v>-</v>
      </c>
      <c r="US145" s="155" t="str">
        <f t="shared" si="1465"/>
        <v>-</v>
      </c>
      <c r="UT145" s="155" t="str">
        <f t="shared" si="1465"/>
        <v>-</v>
      </c>
      <c r="UU145" s="155" t="str">
        <f t="shared" si="1465"/>
        <v>-</v>
      </c>
      <c r="UV145" s="155" t="str">
        <f t="shared" si="1465"/>
        <v>-</v>
      </c>
      <c r="UW145" s="155" t="str">
        <f t="shared" si="1465"/>
        <v>-</v>
      </c>
      <c r="UX145" s="155" t="str">
        <f t="shared" si="1465"/>
        <v>-</v>
      </c>
      <c r="UY145" s="155" t="str">
        <f t="shared" si="1465"/>
        <v>-</v>
      </c>
      <c r="UZ145" s="155" t="str">
        <f t="shared" si="1465"/>
        <v>-</v>
      </c>
      <c r="VA145" s="155" t="str">
        <f t="shared" si="1465"/>
        <v>-</v>
      </c>
      <c r="VB145" s="155" t="str">
        <f t="shared" si="1465"/>
        <v>-</v>
      </c>
      <c r="VC145" s="155" t="str">
        <f t="shared" si="1465"/>
        <v>-</v>
      </c>
      <c r="VD145" s="155" t="str">
        <f t="shared" si="1465"/>
        <v>-</v>
      </c>
      <c r="VE145" s="155" t="str">
        <f t="shared" si="1466"/>
        <v>-</v>
      </c>
      <c r="VF145" s="155" t="str">
        <f t="shared" si="1466"/>
        <v>-</v>
      </c>
      <c r="VG145" s="155" t="str">
        <f t="shared" si="1466"/>
        <v>-</v>
      </c>
      <c r="VH145" s="155" t="str">
        <f t="shared" si="1466"/>
        <v>-</v>
      </c>
      <c r="VI145" s="155" t="str">
        <f t="shared" si="1466"/>
        <v>-</v>
      </c>
      <c r="VJ145" s="155" t="str">
        <f t="shared" si="1466"/>
        <v>-</v>
      </c>
      <c r="VK145" s="155" t="str">
        <f t="shared" si="1466"/>
        <v>-</v>
      </c>
      <c r="VL145" s="155" t="str">
        <f t="shared" si="1466"/>
        <v>-</v>
      </c>
      <c r="VM145" s="155" t="str">
        <f t="shared" si="1466"/>
        <v>-</v>
      </c>
      <c r="VN145" s="155" t="str">
        <f t="shared" si="1466"/>
        <v>-</v>
      </c>
      <c r="VO145" s="155" t="str">
        <f t="shared" si="1466"/>
        <v>-</v>
      </c>
      <c r="VP145" s="155" t="str">
        <f t="shared" si="1466"/>
        <v>-</v>
      </c>
      <c r="VQ145" s="155" t="str">
        <f t="shared" si="1466"/>
        <v>-</v>
      </c>
      <c r="VR145" s="177" t="str">
        <f t="shared" si="1466"/>
        <v>-</v>
      </c>
      <c r="VS145" s="181" t="str">
        <f t="shared" si="1466"/>
        <v>Harvest</v>
      </c>
      <c r="VT145" s="177" t="str">
        <f t="shared" si="1466"/>
        <v>-</v>
      </c>
      <c r="VU145" s="181" t="str">
        <f t="shared" si="1466"/>
        <v>Harvest</v>
      </c>
      <c r="VV145" s="155" t="str">
        <f t="shared" si="1466"/>
        <v>-</v>
      </c>
      <c r="VW145" s="155" t="str">
        <f t="shared" si="1466"/>
        <v>-</v>
      </c>
      <c r="VX145" s="155" t="str">
        <f t="shared" si="1466"/>
        <v>-</v>
      </c>
      <c r="VY145" s="177" t="str">
        <f t="shared" si="1466"/>
        <v>-</v>
      </c>
      <c r="VZ145" s="181" t="str">
        <f t="shared" si="1466"/>
        <v>Harvest</v>
      </c>
      <c r="WA145" s="177" t="str">
        <f t="shared" si="1466"/>
        <v>-</v>
      </c>
      <c r="WB145" s="181" t="str">
        <f t="shared" si="1466"/>
        <v>Harvest</v>
      </c>
      <c r="WC145" s="155" t="str">
        <f t="shared" si="1466"/>
        <v>-</v>
      </c>
      <c r="WD145" s="155" t="str">
        <f t="shared" si="1466"/>
        <v>-</v>
      </c>
      <c r="WE145" s="155" t="str">
        <f t="shared" si="1466"/>
        <v>-</v>
      </c>
      <c r="WF145" s="177" t="str">
        <f t="shared" si="1466"/>
        <v>-</v>
      </c>
      <c r="WG145" s="181" t="str">
        <f t="shared" si="1466"/>
        <v>Harvest</v>
      </c>
      <c r="WH145" s="177" t="str">
        <f t="shared" si="1466"/>
        <v>-</v>
      </c>
      <c r="WI145" s="181" t="str">
        <f t="shared" si="1466"/>
        <v>Harvest</v>
      </c>
      <c r="WJ145" s="155" t="str">
        <f t="shared" si="1466"/>
        <v>-</v>
      </c>
      <c r="WK145" s="155" t="str">
        <f t="shared" si="1466"/>
        <v>-</v>
      </c>
      <c r="WL145" s="155" t="str">
        <f t="shared" si="1466"/>
        <v>-</v>
      </c>
      <c r="WM145" s="177" t="str">
        <f t="shared" si="1466"/>
        <v>-</v>
      </c>
      <c r="WN145" s="181" t="str">
        <f t="shared" si="1466"/>
        <v>Harvest</v>
      </c>
      <c r="WO145" s="177" t="str">
        <f t="shared" si="1466"/>
        <v>-</v>
      </c>
      <c r="WP145" s="181" t="str">
        <f t="shared" si="1466"/>
        <v>Harvest</v>
      </c>
      <c r="WQ145" s="203"/>
      <c r="WR145" s="203"/>
      <c r="WS145" s="203"/>
      <c r="WT145" s="203"/>
      <c r="WU145" s="203"/>
      <c r="WV145" s="203"/>
      <c r="WW145" s="203"/>
      <c r="WX145" s="203"/>
      <c r="WY145" s="203"/>
      <c r="WZ145" s="203"/>
      <c r="XA145" s="203"/>
      <c r="XB145" s="203"/>
      <c r="XC145" s="203"/>
      <c r="XD145" s="203"/>
      <c r="XE145" s="203"/>
    </row>
    <row r="146" spans="1:696" ht="19.5" thickBot="1" x14ac:dyDescent="0.3">
      <c r="A146" s="298"/>
      <c r="B146" s="25" t="s">
        <v>27</v>
      </c>
      <c r="BY146" s="18"/>
      <c r="BZ146" s="18"/>
      <c r="CA146" s="18"/>
      <c r="CB146" s="18"/>
      <c r="CC146" s="18"/>
      <c r="CD146" s="18"/>
      <c r="CE146" s="18"/>
      <c r="CF146" s="18"/>
      <c r="CG146" s="18"/>
      <c r="CH146" s="18"/>
      <c r="CI146" s="18"/>
      <c r="CJ146" s="18"/>
      <c r="CK146" s="18"/>
      <c r="CL146" s="18"/>
      <c r="CM146" s="18"/>
      <c r="CN146" s="18"/>
      <c r="CO146" s="18"/>
      <c r="CP146" s="18"/>
      <c r="CQ146" s="18"/>
      <c r="CR146" s="18"/>
      <c r="CS146" s="18"/>
      <c r="CT146" s="18"/>
      <c r="CU146" s="18"/>
      <c r="CV146" s="18"/>
      <c r="CW146" s="18"/>
      <c r="CX146" s="18"/>
      <c r="CY146" s="18"/>
      <c r="CZ146" s="18"/>
      <c r="DA146" s="18"/>
      <c r="DB146" s="18"/>
      <c r="DC146" s="18"/>
      <c r="DD146" s="18"/>
      <c r="DE146" s="18"/>
      <c r="DF146" s="18"/>
      <c r="DG146" s="18"/>
      <c r="DH146" s="18"/>
      <c r="DI146" s="18"/>
      <c r="DJ146" s="18"/>
      <c r="DK146" s="18"/>
      <c r="DL146" s="18"/>
      <c r="DM146" s="18"/>
      <c r="DN146" s="18"/>
      <c r="DO146" s="18"/>
      <c r="DP146" s="18"/>
      <c r="DQ146" s="18"/>
      <c r="DR146" s="18"/>
      <c r="DS146" s="18"/>
      <c r="DT146" s="18"/>
      <c r="DU146" s="18"/>
      <c r="DV146" s="18"/>
      <c r="DW146" s="18"/>
      <c r="DX146" s="18"/>
      <c r="DY146" s="18"/>
      <c r="DZ146" s="18"/>
      <c r="EA146" s="18"/>
      <c r="EB146" s="18"/>
      <c r="EC146" s="18"/>
      <c r="ED146" s="18"/>
      <c r="EE146" s="18"/>
      <c r="EF146" s="18"/>
      <c r="EG146" s="18"/>
      <c r="EH146" s="18"/>
      <c r="EI146" s="18"/>
      <c r="EJ146" s="18"/>
      <c r="EK146" s="18"/>
      <c r="EL146" s="18"/>
      <c r="EM146" s="18"/>
      <c r="EN146" s="18"/>
      <c r="EO146" s="18"/>
      <c r="EP146" s="18"/>
      <c r="EQ146" s="18"/>
      <c r="ER146" s="18"/>
      <c r="ES146" s="18"/>
      <c r="ET146" s="18"/>
      <c r="EU146" s="18"/>
      <c r="EV146" s="18"/>
      <c r="EW146" s="18"/>
      <c r="EX146" s="18"/>
      <c r="EY146" s="18"/>
      <c r="EZ146" s="18"/>
      <c r="FA146" s="18"/>
      <c r="FB146" s="18"/>
      <c r="FC146" s="18"/>
      <c r="FD146" s="18"/>
      <c r="FE146" s="18"/>
      <c r="FF146" s="18"/>
      <c r="FG146" s="18"/>
      <c r="FH146" s="18"/>
      <c r="FI146" s="18"/>
      <c r="FJ146" s="18"/>
      <c r="FK146" s="18"/>
      <c r="FL146" s="18"/>
      <c r="FM146" s="18"/>
      <c r="FN146" s="18"/>
      <c r="FO146" s="18"/>
      <c r="FP146" s="18"/>
      <c r="FQ146" s="18"/>
      <c r="FR146" s="18"/>
      <c r="FS146" s="18"/>
      <c r="FT146" s="18"/>
      <c r="FU146" s="18"/>
      <c r="FV146" s="18"/>
      <c r="FW146" s="18"/>
      <c r="FX146" s="18"/>
      <c r="FY146" s="18"/>
      <c r="FZ146" s="18"/>
      <c r="GA146" s="18"/>
      <c r="GB146" s="18"/>
      <c r="GC146" s="18"/>
      <c r="GD146" s="18"/>
      <c r="GE146" s="18"/>
      <c r="GF146" s="18"/>
      <c r="GG146" s="18"/>
      <c r="GH146" s="18"/>
      <c r="GI146" s="18"/>
      <c r="GJ146" s="18"/>
      <c r="GK146" s="18"/>
      <c r="GL146" s="18"/>
      <c r="GM146" s="18"/>
      <c r="GN146" s="18"/>
      <c r="GO146" s="18"/>
      <c r="GP146" s="18"/>
      <c r="GQ146" s="18"/>
      <c r="GR146" s="18"/>
      <c r="GS146" s="18"/>
      <c r="GT146" s="18"/>
      <c r="GU146" s="18"/>
      <c r="GV146" s="18"/>
      <c r="GW146" s="18"/>
      <c r="GX146" s="18"/>
      <c r="GY146" s="18"/>
      <c r="GZ146" s="18"/>
      <c r="HA146" s="18"/>
      <c r="HB146" s="18"/>
      <c r="HC146" s="18"/>
      <c r="HD146" s="18"/>
      <c r="HE146" s="18"/>
      <c r="HF146" s="18"/>
      <c r="HG146" s="18"/>
      <c r="HH146" s="18"/>
      <c r="HI146" s="18"/>
      <c r="HJ146" s="18"/>
      <c r="HK146" s="18"/>
      <c r="HL146" s="18"/>
      <c r="HM146" s="18"/>
      <c r="HN146" s="18"/>
      <c r="HO146" s="18"/>
      <c r="HP146" s="18"/>
      <c r="HQ146" s="18"/>
      <c r="HR146" s="18"/>
      <c r="HS146" s="18"/>
      <c r="HT146" s="18"/>
      <c r="HU146" s="18"/>
      <c r="HV146" s="18"/>
      <c r="HW146" s="18"/>
      <c r="HX146" s="18"/>
      <c r="HY146" s="18"/>
      <c r="HZ146" s="18"/>
      <c r="IA146" s="18"/>
      <c r="IB146" s="18"/>
      <c r="IC146" s="18"/>
      <c r="ID146" s="18"/>
      <c r="IE146" s="18"/>
      <c r="IF146" s="18"/>
      <c r="IG146" s="18"/>
      <c r="IH146" s="18"/>
      <c r="II146" s="18"/>
      <c r="IJ146" s="18"/>
      <c r="IK146" s="18"/>
      <c r="IL146" s="18"/>
      <c r="IM146" s="18"/>
      <c r="IN146" s="18"/>
      <c r="IO146" s="18"/>
      <c r="IP146" s="18"/>
      <c r="IQ146" s="18"/>
      <c r="IR146" s="18"/>
      <c r="IS146" s="18"/>
      <c r="IT146" s="18"/>
      <c r="IU146" s="18"/>
      <c r="IV146" s="18"/>
      <c r="IW146" s="18"/>
      <c r="IX146" s="18"/>
      <c r="IY146" s="18"/>
      <c r="IZ146" s="18"/>
      <c r="JA146" s="18"/>
      <c r="JB146" s="18"/>
      <c r="JC146" s="18"/>
      <c r="JD146" s="18"/>
      <c r="JE146" s="18"/>
      <c r="JF146" s="18"/>
      <c r="JG146" s="18"/>
      <c r="JH146" s="18"/>
      <c r="JI146" s="18"/>
      <c r="JJ146" s="18"/>
      <c r="JK146" s="18"/>
      <c r="JL146" s="18"/>
      <c r="JM146" s="18"/>
      <c r="JN146" s="18"/>
      <c r="JO146" s="18"/>
      <c r="JP146" s="18"/>
      <c r="JQ146" s="18"/>
      <c r="JR146" s="18"/>
      <c r="JS146" s="18"/>
      <c r="JT146" s="18"/>
      <c r="JU146" s="18"/>
      <c r="JV146" s="18"/>
      <c r="JW146" s="18"/>
      <c r="JX146" s="18"/>
      <c r="JY146" s="18"/>
      <c r="JZ146" s="18"/>
      <c r="KA146" s="18"/>
      <c r="KB146" s="18"/>
      <c r="KC146" s="18"/>
      <c r="KD146" s="18"/>
      <c r="KE146" s="18"/>
      <c r="KF146" s="18"/>
      <c r="KG146" s="18"/>
      <c r="KH146" s="18"/>
      <c r="KI146" s="18"/>
      <c r="KJ146" s="18"/>
      <c r="KK146" s="18"/>
      <c r="KL146" s="18"/>
      <c r="KM146" s="18"/>
      <c r="KN146" s="18"/>
      <c r="KO146" s="18"/>
      <c r="KP146" s="18"/>
      <c r="KQ146" s="18"/>
      <c r="KR146" s="18"/>
      <c r="KS146" s="18"/>
      <c r="KT146" s="18"/>
      <c r="KU146" s="18"/>
      <c r="KV146" s="18"/>
      <c r="KW146" s="18"/>
      <c r="KX146" s="18"/>
      <c r="KY146" s="18"/>
      <c r="KZ146" s="18"/>
      <c r="LA146" s="18"/>
      <c r="LB146" s="18"/>
      <c r="LC146" s="18"/>
      <c r="LD146" s="18"/>
      <c r="LE146" s="18"/>
      <c r="LF146" s="18"/>
      <c r="LG146" s="18"/>
      <c r="LH146" s="18"/>
      <c r="LI146" s="18"/>
      <c r="LJ146" s="18"/>
      <c r="LK146" s="18"/>
      <c r="LL146" s="18"/>
      <c r="LM146" s="18"/>
      <c r="LN146" s="18"/>
      <c r="LO146" s="18"/>
      <c r="LP146" s="18"/>
      <c r="LQ146" s="18"/>
      <c r="LR146" s="18"/>
      <c r="LS146" s="18"/>
      <c r="LT146" s="18"/>
      <c r="LU146" s="18"/>
      <c r="LV146" s="18"/>
      <c r="LW146" s="18"/>
      <c r="LX146" s="18"/>
      <c r="LY146" s="18"/>
      <c r="LZ146" s="18"/>
      <c r="MA146" s="18"/>
      <c r="MB146" s="18"/>
      <c r="MC146" s="18"/>
      <c r="MD146" s="18"/>
      <c r="ME146" s="18"/>
      <c r="MF146" s="18"/>
      <c r="MG146" s="18"/>
      <c r="MH146" s="18"/>
      <c r="MI146" s="18"/>
      <c r="MJ146" s="18"/>
      <c r="MK146" s="18"/>
      <c r="ML146" s="18"/>
      <c r="MM146" s="18"/>
      <c r="MN146" s="18"/>
      <c r="MO146" s="18"/>
      <c r="MP146" s="18"/>
      <c r="MQ146" s="18"/>
      <c r="MR146" s="18"/>
      <c r="MS146" s="18"/>
      <c r="MT146" s="18"/>
      <c r="MU146" s="18"/>
      <c r="MV146" s="18"/>
      <c r="MW146" s="18"/>
      <c r="MX146" s="18"/>
      <c r="MY146" s="18"/>
      <c r="MZ146" s="18"/>
      <c r="NA146" s="18"/>
      <c r="NB146" s="18"/>
      <c r="NC146" s="18"/>
      <c r="ND146" s="18"/>
      <c r="NE146" s="18"/>
      <c r="NF146" s="18"/>
      <c r="NG146" s="18"/>
      <c r="NH146" s="18"/>
      <c r="NI146" s="18"/>
      <c r="NJ146" s="18"/>
      <c r="NK146" s="18"/>
      <c r="NL146" s="18"/>
      <c r="NM146" s="18"/>
      <c r="NN146" s="18"/>
      <c r="NO146" s="18"/>
      <c r="NP146" s="18"/>
      <c r="NQ146" s="18"/>
      <c r="NR146" s="18"/>
      <c r="NS146" s="18"/>
      <c r="NT146" s="18"/>
      <c r="NU146" s="18"/>
      <c r="NV146" s="18"/>
      <c r="NW146" s="18"/>
      <c r="NX146" s="18"/>
      <c r="NY146" s="18"/>
      <c r="NZ146" s="18"/>
      <c r="OA146" s="18"/>
      <c r="OB146" s="18"/>
      <c r="OC146" s="18"/>
      <c r="OD146" s="18"/>
      <c r="OE146" s="18"/>
      <c r="OF146" s="18"/>
      <c r="OG146" s="18"/>
      <c r="OH146" s="18"/>
      <c r="OI146" s="18"/>
      <c r="OJ146" s="18"/>
      <c r="OK146" s="18"/>
      <c r="OL146" s="18"/>
      <c r="OM146" s="18"/>
      <c r="ON146" s="18"/>
      <c r="OO146" s="18"/>
      <c r="OP146" s="18"/>
      <c r="OQ146" s="18"/>
      <c r="OR146" s="18"/>
      <c r="OS146" s="18"/>
      <c r="OT146" s="18"/>
      <c r="OU146" s="18"/>
      <c r="OV146" s="18"/>
      <c r="OW146" s="18"/>
      <c r="OX146" s="18"/>
      <c r="OY146" s="18"/>
      <c r="OZ146" s="18"/>
      <c r="PA146" s="18"/>
      <c r="PB146" s="18"/>
      <c r="PC146" s="18"/>
      <c r="PD146" s="18"/>
      <c r="PE146" s="18"/>
      <c r="PF146" s="18"/>
      <c r="PG146" s="18"/>
      <c r="PH146" s="18"/>
      <c r="PI146" s="18"/>
      <c r="PJ146" s="18"/>
      <c r="PK146" s="18"/>
      <c r="PL146" s="18"/>
      <c r="PM146" s="18"/>
      <c r="PN146" s="18"/>
      <c r="PO146" s="18"/>
      <c r="PP146" s="18"/>
      <c r="PQ146" s="18"/>
      <c r="PR146" s="18"/>
      <c r="PS146" s="18"/>
      <c r="PT146" s="18"/>
      <c r="PU146" s="18"/>
      <c r="PV146" s="18"/>
      <c r="PW146" s="18"/>
      <c r="PX146" s="18"/>
      <c r="PY146" s="18"/>
      <c r="PZ146" s="18"/>
      <c r="QA146" s="18"/>
      <c r="QB146" s="18"/>
      <c r="QC146" s="18"/>
      <c r="QD146" s="18"/>
      <c r="QE146" s="18"/>
      <c r="QF146" s="18"/>
      <c r="QG146" s="18"/>
      <c r="QH146" s="18"/>
      <c r="QI146" s="18"/>
      <c r="QJ146" s="18"/>
      <c r="QK146" s="18"/>
      <c r="QL146" s="18"/>
      <c r="QM146" s="18"/>
      <c r="QN146" s="18"/>
      <c r="QO146" s="18"/>
      <c r="QP146" s="18"/>
      <c r="QQ146" s="18"/>
      <c r="QR146" s="18"/>
      <c r="QS146" s="18"/>
      <c r="QT146" s="121">
        <f t="shared" si="1460"/>
        <v>0</v>
      </c>
      <c r="QU146" s="108">
        <f t="shared" si="1461"/>
        <v>0</v>
      </c>
      <c r="QV146" s="108">
        <f t="shared" si="1462"/>
        <v>0</v>
      </c>
      <c r="QW146" s="108">
        <f t="shared" si="1463"/>
        <v>0</v>
      </c>
      <c r="QX146" s="108">
        <f t="shared" si="1464"/>
        <v>0</v>
      </c>
      <c r="QY146" s="108">
        <f t="shared" si="1464"/>
        <v>0</v>
      </c>
      <c r="QZ146" s="108">
        <f t="shared" si="1464"/>
        <v>0</v>
      </c>
      <c r="RA146" s="108">
        <f t="shared" si="1464"/>
        <v>0</v>
      </c>
      <c r="RB146" s="108">
        <f t="shared" si="1464"/>
        <v>0</v>
      </c>
      <c r="RC146" s="108">
        <f t="shared" si="1464"/>
        <v>0</v>
      </c>
      <c r="RD146" s="108">
        <f t="shared" si="1464"/>
        <v>0</v>
      </c>
      <c r="RE146" s="108">
        <f t="shared" si="1464"/>
        <v>0</v>
      </c>
      <c r="RF146" s="108">
        <f t="shared" si="1464"/>
        <v>0</v>
      </c>
      <c r="RG146" s="108">
        <f t="shared" si="1464"/>
        <v>0</v>
      </c>
      <c r="RH146" s="108">
        <f t="shared" si="1464"/>
        <v>0</v>
      </c>
      <c r="RI146" s="108">
        <f t="shared" si="1464"/>
        <v>0</v>
      </c>
      <c r="RJ146" s="108">
        <f t="shared" si="1464"/>
        <v>0</v>
      </c>
      <c r="RK146" s="108">
        <f t="shared" si="1464"/>
        <v>0</v>
      </c>
      <c r="RL146" s="108">
        <f t="shared" si="1464"/>
        <v>0</v>
      </c>
      <c r="RM146" s="108">
        <f t="shared" si="1464"/>
        <v>0</v>
      </c>
      <c r="RN146" s="108">
        <f t="shared" si="1464"/>
        <v>0</v>
      </c>
      <c r="RO146" s="108">
        <f t="shared" si="1464"/>
        <v>0</v>
      </c>
      <c r="RP146" s="108">
        <f t="shared" si="1464"/>
        <v>0</v>
      </c>
      <c r="RQ146" s="108">
        <f t="shared" si="1464"/>
        <v>0</v>
      </c>
      <c r="RR146" s="108">
        <f t="shared" si="1464"/>
        <v>0</v>
      </c>
      <c r="RS146" s="108">
        <f t="shared" si="1464"/>
        <v>0</v>
      </c>
      <c r="RT146" s="108">
        <f t="shared" si="1464"/>
        <v>0</v>
      </c>
      <c r="RU146" s="108">
        <f t="shared" si="1464"/>
        <v>0</v>
      </c>
      <c r="RV146" s="108">
        <f t="shared" si="1464"/>
        <v>0</v>
      </c>
      <c r="RW146" s="108">
        <f t="shared" si="1464"/>
        <v>0</v>
      </c>
      <c r="RX146" s="108">
        <f t="shared" si="1464"/>
        <v>0</v>
      </c>
      <c r="RY146" s="108">
        <f t="shared" si="1464"/>
        <v>0</v>
      </c>
      <c r="RZ146" s="108">
        <f t="shared" si="1464"/>
        <v>0</v>
      </c>
      <c r="SA146" s="108">
        <f t="shared" si="1464"/>
        <v>0</v>
      </c>
      <c r="SB146" s="108">
        <f t="shared" si="1464"/>
        <v>0</v>
      </c>
      <c r="SC146" s="108">
        <f t="shared" si="1464"/>
        <v>0</v>
      </c>
      <c r="SD146" s="108">
        <f t="shared" si="1464"/>
        <v>0</v>
      </c>
      <c r="SE146" s="108">
        <f t="shared" si="1464"/>
        <v>0</v>
      </c>
      <c r="SF146" s="108">
        <f t="shared" si="1464"/>
        <v>0</v>
      </c>
      <c r="SG146" s="108">
        <f t="shared" si="1464"/>
        <v>0</v>
      </c>
      <c r="SH146" s="108">
        <f t="shared" si="1464"/>
        <v>0</v>
      </c>
      <c r="SI146" s="108">
        <f t="shared" si="1464"/>
        <v>0</v>
      </c>
      <c r="SJ146" s="108">
        <f t="shared" si="1464"/>
        <v>0</v>
      </c>
      <c r="SK146" s="108">
        <f t="shared" si="1464"/>
        <v>0</v>
      </c>
      <c r="SL146" s="108">
        <f t="shared" si="1464"/>
        <v>0</v>
      </c>
      <c r="SM146" s="108">
        <f t="shared" si="1464"/>
        <v>0</v>
      </c>
      <c r="SN146" s="108">
        <f t="shared" si="1464"/>
        <v>0</v>
      </c>
      <c r="SO146" s="108">
        <f t="shared" si="1464"/>
        <v>0</v>
      </c>
      <c r="SP146" s="108">
        <f t="shared" si="1464"/>
        <v>0</v>
      </c>
      <c r="SQ146" s="108">
        <f t="shared" si="1464"/>
        <v>0</v>
      </c>
      <c r="SR146" s="108">
        <f t="shared" si="1464"/>
        <v>0</v>
      </c>
      <c r="SS146" s="145">
        <f t="shared" si="1465"/>
        <v>0</v>
      </c>
      <c r="ST146" s="145">
        <f t="shared" si="1465"/>
        <v>0</v>
      </c>
      <c r="SU146" s="145">
        <f t="shared" si="1465"/>
        <v>0</v>
      </c>
      <c r="SV146" s="145">
        <f t="shared" si="1465"/>
        <v>0</v>
      </c>
      <c r="SW146" s="145">
        <f t="shared" si="1465"/>
        <v>0</v>
      </c>
      <c r="SX146" s="145">
        <f t="shared" si="1465"/>
        <v>0</v>
      </c>
      <c r="SY146" s="145">
        <f t="shared" si="1465"/>
        <v>0</v>
      </c>
      <c r="SZ146" s="145">
        <f t="shared" si="1465"/>
        <v>0</v>
      </c>
      <c r="TA146" s="145">
        <f t="shared" si="1465"/>
        <v>0</v>
      </c>
      <c r="TB146" s="145">
        <f t="shared" si="1465"/>
        <v>0</v>
      </c>
      <c r="TC146" s="145">
        <f t="shared" si="1465"/>
        <v>0</v>
      </c>
      <c r="TD146" s="145">
        <f t="shared" si="1465"/>
        <v>0</v>
      </c>
      <c r="TE146" s="145">
        <f t="shared" si="1465"/>
        <v>0</v>
      </c>
      <c r="TF146" s="145">
        <f t="shared" si="1465"/>
        <v>0</v>
      </c>
      <c r="TG146" s="145">
        <f t="shared" si="1465"/>
        <v>0</v>
      </c>
      <c r="TH146" s="145">
        <f t="shared" si="1465"/>
        <v>0</v>
      </c>
      <c r="TI146" s="145">
        <f t="shared" si="1465"/>
        <v>0</v>
      </c>
      <c r="TJ146" s="145">
        <f t="shared" si="1465"/>
        <v>0</v>
      </c>
      <c r="TK146" s="145">
        <f t="shared" si="1465"/>
        <v>0</v>
      </c>
      <c r="TL146" s="145">
        <f t="shared" si="1465"/>
        <v>0</v>
      </c>
      <c r="TM146" s="145">
        <f t="shared" si="1465"/>
        <v>0</v>
      </c>
      <c r="TN146" s="145">
        <f t="shared" si="1465"/>
        <v>0</v>
      </c>
      <c r="TO146" s="145">
        <f t="shared" si="1465"/>
        <v>0</v>
      </c>
      <c r="TP146" s="146">
        <f t="shared" si="1465"/>
        <v>0</v>
      </c>
      <c r="TQ146" s="146">
        <f t="shared" si="1465"/>
        <v>0</v>
      </c>
      <c r="TR146" s="146">
        <f t="shared" si="1465"/>
        <v>0</v>
      </c>
      <c r="TS146" s="146">
        <f t="shared" si="1465"/>
        <v>0</v>
      </c>
      <c r="TT146" s="146">
        <f t="shared" si="1465"/>
        <v>0</v>
      </c>
      <c r="TU146" s="146">
        <f t="shared" si="1465"/>
        <v>0</v>
      </c>
      <c r="TV146" s="146">
        <f t="shared" si="1465"/>
        <v>0</v>
      </c>
      <c r="TW146" s="146">
        <f t="shared" si="1465"/>
        <v>0</v>
      </c>
      <c r="TX146" s="146">
        <f t="shared" si="1465"/>
        <v>0</v>
      </c>
      <c r="TY146" s="146">
        <f t="shared" si="1465"/>
        <v>0</v>
      </c>
      <c r="TZ146" s="146">
        <f t="shared" si="1465"/>
        <v>0</v>
      </c>
      <c r="UA146" s="146">
        <f t="shared" si="1465"/>
        <v>0</v>
      </c>
      <c r="UB146" s="146">
        <f t="shared" si="1465"/>
        <v>0</v>
      </c>
      <c r="UC146" s="146">
        <f t="shared" si="1465"/>
        <v>0</v>
      </c>
      <c r="UD146" s="146">
        <f t="shared" si="1465"/>
        <v>0</v>
      </c>
      <c r="UE146" s="146">
        <f t="shared" si="1465"/>
        <v>0</v>
      </c>
      <c r="UF146" s="146">
        <f t="shared" si="1465"/>
        <v>0</v>
      </c>
      <c r="UG146" s="146">
        <f t="shared" si="1465"/>
        <v>0</v>
      </c>
      <c r="UH146" s="146">
        <f t="shared" si="1465"/>
        <v>0</v>
      </c>
      <c r="UI146" s="146">
        <f t="shared" si="1465"/>
        <v>0</v>
      </c>
      <c r="UJ146" s="146">
        <f t="shared" si="1465"/>
        <v>0</v>
      </c>
      <c r="UK146" s="146">
        <f t="shared" si="1465"/>
        <v>0</v>
      </c>
      <c r="UL146" s="146">
        <f t="shared" si="1465"/>
        <v>0</v>
      </c>
      <c r="UM146" s="146">
        <f t="shared" si="1465"/>
        <v>0</v>
      </c>
      <c r="UN146" s="146">
        <f t="shared" si="1465"/>
        <v>0</v>
      </c>
      <c r="UO146" s="146">
        <f t="shared" si="1465"/>
        <v>0</v>
      </c>
      <c r="UP146" s="146">
        <f t="shared" si="1465"/>
        <v>0</v>
      </c>
      <c r="UQ146" s="146">
        <f t="shared" si="1465"/>
        <v>0</v>
      </c>
      <c r="UR146" s="156">
        <f t="shared" si="1465"/>
        <v>0</v>
      </c>
      <c r="US146" s="156">
        <f t="shared" si="1465"/>
        <v>0</v>
      </c>
      <c r="UT146" s="156">
        <f t="shared" si="1465"/>
        <v>0</v>
      </c>
      <c r="UU146" s="156">
        <f t="shared" si="1465"/>
        <v>0</v>
      </c>
      <c r="UV146" s="156">
        <f t="shared" si="1465"/>
        <v>0</v>
      </c>
      <c r="UW146" s="156">
        <f t="shared" si="1465"/>
        <v>0</v>
      </c>
      <c r="UX146" s="156">
        <f t="shared" si="1465"/>
        <v>0</v>
      </c>
      <c r="UY146" s="156">
        <f t="shared" si="1465"/>
        <v>0</v>
      </c>
      <c r="UZ146" s="156">
        <f t="shared" si="1465"/>
        <v>0</v>
      </c>
      <c r="VA146" s="156">
        <f t="shared" si="1465"/>
        <v>0</v>
      </c>
      <c r="VB146" s="156">
        <f t="shared" si="1465"/>
        <v>0</v>
      </c>
      <c r="VC146" s="156">
        <f t="shared" si="1465"/>
        <v>0</v>
      </c>
      <c r="VD146" s="156">
        <f t="shared" si="1465"/>
        <v>0</v>
      </c>
      <c r="VE146" s="156">
        <f t="shared" si="1466"/>
        <v>0</v>
      </c>
      <c r="VF146" s="156">
        <f t="shared" si="1466"/>
        <v>0</v>
      </c>
      <c r="VG146" s="156">
        <f t="shared" si="1466"/>
        <v>0</v>
      </c>
      <c r="VH146" s="156">
        <f t="shared" si="1466"/>
        <v>0</v>
      </c>
      <c r="VI146" s="156">
        <f t="shared" si="1466"/>
        <v>0</v>
      </c>
      <c r="VJ146" s="156">
        <f t="shared" si="1466"/>
        <v>0</v>
      </c>
      <c r="VK146" s="156">
        <f t="shared" si="1466"/>
        <v>0</v>
      </c>
      <c r="VL146" s="156">
        <f t="shared" si="1466"/>
        <v>0</v>
      </c>
      <c r="VM146" s="156">
        <f t="shared" si="1466"/>
        <v>0</v>
      </c>
      <c r="VN146" s="156">
        <f t="shared" si="1466"/>
        <v>0</v>
      </c>
      <c r="VO146" s="156">
        <f t="shared" si="1466"/>
        <v>0</v>
      </c>
      <c r="VP146" s="156">
        <f t="shared" si="1466"/>
        <v>0</v>
      </c>
      <c r="VQ146" s="156">
        <f t="shared" si="1466"/>
        <v>0</v>
      </c>
      <c r="VR146" s="156">
        <f t="shared" si="1466"/>
        <v>0</v>
      </c>
      <c r="VS146" s="179">
        <f t="shared" si="1466"/>
        <v>0</v>
      </c>
      <c r="VT146" s="156">
        <f t="shared" si="1466"/>
        <v>0</v>
      </c>
      <c r="VU146" s="179">
        <f t="shared" si="1466"/>
        <v>0</v>
      </c>
      <c r="VV146" s="156">
        <f t="shared" si="1466"/>
        <v>0</v>
      </c>
      <c r="VW146" s="156">
        <f t="shared" si="1466"/>
        <v>0</v>
      </c>
      <c r="VX146" s="156">
        <f t="shared" si="1466"/>
        <v>0</v>
      </c>
      <c r="VY146" s="156">
        <f t="shared" si="1466"/>
        <v>0</v>
      </c>
      <c r="VZ146" s="179">
        <f t="shared" si="1466"/>
        <v>0</v>
      </c>
      <c r="WA146" s="156">
        <f t="shared" si="1466"/>
        <v>0</v>
      </c>
      <c r="WB146" s="179">
        <f t="shared" si="1466"/>
        <v>0</v>
      </c>
      <c r="WC146" s="156">
        <f t="shared" si="1466"/>
        <v>0</v>
      </c>
      <c r="WD146" s="156">
        <f t="shared" si="1466"/>
        <v>0</v>
      </c>
      <c r="WE146" s="156">
        <f t="shared" si="1466"/>
        <v>0</v>
      </c>
      <c r="WF146" s="156">
        <f t="shared" si="1466"/>
        <v>0</v>
      </c>
      <c r="WG146" s="179">
        <f t="shared" si="1466"/>
        <v>0</v>
      </c>
      <c r="WH146" s="156">
        <f t="shared" si="1466"/>
        <v>0</v>
      </c>
      <c r="WI146" s="179">
        <f t="shared" si="1466"/>
        <v>0</v>
      </c>
      <c r="WJ146" s="156">
        <f t="shared" si="1466"/>
        <v>0</v>
      </c>
      <c r="WK146" s="156">
        <f t="shared" si="1466"/>
        <v>0</v>
      </c>
      <c r="WL146" s="156">
        <f t="shared" si="1466"/>
        <v>0</v>
      </c>
      <c r="WM146" s="156">
        <f t="shared" si="1466"/>
        <v>0</v>
      </c>
      <c r="WN146" s="179">
        <f t="shared" si="1466"/>
        <v>0</v>
      </c>
      <c r="WO146" s="156">
        <f t="shared" si="1466"/>
        <v>0</v>
      </c>
      <c r="WP146" s="179">
        <f t="shared" si="1466"/>
        <v>0</v>
      </c>
      <c r="WQ146" s="203"/>
      <c r="WR146" s="203"/>
      <c r="WS146" s="203"/>
      <c r="WT146" s="203"/>
      <c r="WU146" s="203"/>
      <c r="WV146" s="203"/>
      <c r="WW146" s="203"/>
      <c r="WX146" s="203"/>
      <c r="WY146" s="203"/>
      <c r="WZ146" s="203"/>
      <c r="XA146" s="203"/>
      <c r="XB146" s="203"/>
      <c r="XC146" s="203"/>
      <c r="XD146" s="203"/>
      <c r="XE146" s="203"/>
    </row>
    <row r="147" spans="1:696" ht="19.5" thickBot="1" x14ac:dyDescent="0.3">
      <c r="A147" s="298"/>
      <c r="B147" s="25" t="s">
        <v>25</v>
      </c>
      <c r="BY147" s="18"/>
      <c r="BZ147" s="18"/>
      <c r="CA147" s="18"/>
      <c r="CB147" s="18"/>
      <c r="CC147" s="18"/>
      <c r="CD147" s="18"/>
      <c r="CE147" s="18"/>
      <c r="CF147" s="18"/>
      <c r="CG147" s="18"/>
      <c r="CH147" s="18"/>
      <c r="CI147" s="18"/>
      <c r="CJ147" s="18"/>
      <c r="CK147" s="18"/>
      <c r="CL147" s="18"/>
      <c r="CM147" s="18"/>
      <c r="CN147" s="18"/>
      <c r="CO147" s="18"/>
      <c r="CP147" s="18"/>
      <c r="CQ147" s="18"/>
      <c r="CR147" s="18"/>
      <c r="CS147" s="18"/>
      <c r="CT147" s="18"/>
      <c r="CU147" s="18"/>
      <c r="CV147" s="18"/>
      <c r="CW147" s="18"/>
      <c r="CX147" s="18"/>
      <c r="CY147" s="18"/>
      <c r="CZ147" s="18"/>
      <c r="DA147" s="18"/>
      <c r="DB147" s="18"/>
      <c r="DC147" s="18"/>
      <c r="DD147" s="18"/>
      <c r="DE147" s="18"/>
      <c r="DF147" s="18"/>
      <c r="DG147" s="18"/>
      <c r="DH147" s="18"/>
      <c r="DI147" s="18"/>
      <c r="DJ147" s="18"/>
      <c r="DK147" s="18"/>
      <c r="DL147" s="18"/>
      <c r="DM147" s="18"/>
      <c r="DN147" s="18"/>
      <c r="DO147" s="18"/>
      <c r="DP147" s="18"/>
      <c r="DQ147" s="18"/>
      <c r="DR147" s="18"/>
      <c r="DS147" s="18"/>
      <c r="DT147" s="18"/>
      <c r="DU147" s="18"/>
      <c r="DV147" s="18"/>
      <c r="DW147" s="18"/>
      <c r="DX147" s="18"/>
      <c r="DY147" s="18"/>
      <c r="DZ147" s="18"/>
      <c r="EA147" s="18"/>
      <c r="EB147" s="18"/>
      <c r="EC147" s="18"/>
      <c r="ED147" s="18"/>
      <c r="EE147" s="18"/>
      <c r="EF147" s="18"/>
      <c r="EG147" s="18"/>
      <c r="EH147" s="18"/>
      <c r="EI147" s="18"/>
      <c r="EJ147" s="18"/>
      <c r="EK147" s="18"/>
      <c r="EL147" s="18"/>
      <c r="EM147" s="18"/>
      <c r="EN147" s="18"/>
      <c r="EO147" s="18"/>
      <c r="EP147" s="18"/>
      <c r="EQ147" s="18"/>
      <c r="ER147" s="18"/>
      <c r="ES147" s="18"/>
      <c r="ET147" s="18"/>
      <c r="EU147" s="18"/>
      <c r="EV147" s="18"/>
      <c r="EW147" s="18"/>
      <c r="EX147" s="18"/>
      <c r="EY147" s="18"/>
      <c r="EZ147" s="18"/>
      <c r="FA147" s="18"/>
      <c r="FB147" s="18"/>
      <c r="FC147" s="18"/>
      <c r="FD147" s="18"/>
      <c r="FE147" s="18"/>
      <c r="FF147" s="18"/>
      <c r="FG147" s="18"/>
      <c r="FH147" s="18"/>
      <c r="FI147" s="18"/>
      <c r="FJ147" s="18"/>
      <c r="FK147" s="18"/>
      <c r="FL147" s="18"/>
      <c r="FM147" s="18"/>
      <c r="FN147" s="18"/>
      <c r="FO147" s="18"/>
      <c r="FP147" s="18"/>
      <c r="FQ147" s="18"/>
      <c r="FR147" s="18"/>
      <c r="FS147" s="18"/>
      <c r="FT147" s="18"/>
      <c r="FU147" s="18"/>
      <c r="FV147" s="18"/>
      <c r="FW147" s="18"/>
      <c r="FX147" s="18"/>
      <c r="FY147" s="18"/>
      <c r="FZ147" s="18"/>
      <c r="GA147" s="18"/>
      <c r="GB147" s="18"/>
      <c r="GC147" s="18"/>
      <c r="GD147" s="18"/>
      <c r="GE147" s="18"/>
      <c r="GF147" s="18"/>
      <c r="GG147" s="18"/>
      <c r="GH147" s="18"/>
      <c r="GI147" s="18"/>
      <c r="GJ147" s="18"/>
      <c r="GK147" s="18"/>
      <c r="GL147" s="18"/>
      <c r="GM147" s="18"/>
      <c r="GN147" s="18"/>
      <c r="GO147" s="18"/>
      <c r="GP147" s="18"/>
      <c r="GQ147" s="18"/>
      <c r="GR147" s="18"/>
      <c r="GS147" s="18"/>
      <c r="GT147" s="18"/>
      <c r="GU147" s="18"/>
      <c r="GV147" s="18"/>
      <c r="GW147" s="18"/>
      <c r="GX147" s="18"/>
      <c r="GY147" s="18"/>
      <c r="GZ147" s="18"/>
      <c r="HA147" s="18"/>
      <c r="HB147" s="18"/>
      <c r="HC147" s="18"/>
      <c r="HD147" s="18"/>
      <c r="HE147" s="18"/>
      <c r="HF147" s="18"/>
      <c r="HG147" s="18"/>
      <c r="HH147" s="18"/>
      <c r="HI147" s="18"/>
      <c r="HJ147" s="18"/>
      <c r="HK147" s="18"/>
      <c r="HL147" s="18"/>
      <c r="HM147" s="18"/>
      <c r="HN147" s="18"/>
      <c r="HO147" s="18"/>
      <c r="HP147" s="18"/>
      <c r="HQ147" s="18"/>
      <c r="HR147" s="18"/>
      <c r="HS147" s="18"/>
      <c r="HT147" s="18"/>
      <c r="HU147" s="18"/>
      <c r="HV147" s="18"/>
      <c r="HW147" s="18"/>
      <c r="HX147" s="18"/>
      <c r="HY147" s="18"/>
      <c r="HZ147" s="18"/>
      <c r="IA147" s="18"/>
      <c r="IB147" s="18"/>
      <c r="IC147" s="18"/>
      <c r="ID147" s="18"/>
      <c r="IE147" s="18"/>
      <c r="IF147" s="18"/>
      <c r="IG147" s="18"/>
      <c r="IH147" s="18"/>
      <c r="II147" s="18"/>
      <c r="IJ147" s="18"/>
      <c r="IK147" s="18"/>
      <c r="IL147" s="18"/>
      <c r="IM147" s="18"/>
      <c r="IN147" s="18"/>
      <c r="IO147" s="18"/>
      <c r="IP147" s="18"/>
      <c r="IQ147" s="18"/>
      <c r="IR147" s="18"/>
      <c r="IS147" s="18"/>
      <c r="IT147" s="18"/>
      <c r="IU147" s="18"/>
      <c r="IV147" s="18"/>
      <c r="IW147" s="18"/>
      <c r="IX147" s="18"/>
      <c r="IY147" s="18"/>
      <c r="IZ147" s="18"/>
      <c r="JA147" s="18"/>
      <c r="JB147" s="18"/>
      <c r="JC147" s="18"/>
      <c r="JD147" s="18"/>
      <c r="JE147" s="18"/>
      <c r="JF147" s="18"/>
      <c r="JG147" s="18"/>
      <c r="JH147" s="18"/>
      <c r="JI147" s="18"/>
      <c r="JJ147" s="18"/>
      <c r="JK147" s="18"/>
      <c r="JL147" s="18"/>
      <c r="JM147" s="18"/>
      <c r="JN147" s="18"/>
      <c r="JO147" s="18"/>
      <c r="JP147" s="18"/>
      <c r="JQ147" s="18"/>
      <c r="JR147" s="18"/>
      <c r="JS147" s="18"/>
      <c r="JT147" s="18"/>
      <c r="JU147" s="18"/>
      <c r="JV147" s="18"/>
      <c r="JW147" s="18"/>
      <c r="JX147" s="18"/>
      <c r="JY147" s="18"/>
      <c r="JZ147" s="18"/>
      <c r="KA147" s="18"/>
      <c r="KB147" s="18"/>
      <c r="KC147" s="18"/>
      <c r="KD147" s="18"/>
      <c r="KE147" s="18"/>
      <c r="KF147" s="18"/>
      <c r="KG147" s="18"/>
      <c r="KH147" s="18"/>
      <c r="KI147" s="18"/>
      <c r="KJ147" s="18"/>
      <c r="KK147" s="18"/>
      <c r="KL147" s="18"/>
      <c r="KM147" s="18"/>
      <c r="KN147" s="18"/>
      <c r="KO147" s="18"/>
      <c r="KP147" s="18"/>
      <c r="KQ147" s="18"/>
      <c r="KR147" s="18"/>
      <c r="KS147" s="18"/>
      <c r="KT147" s="18"/>
      <c r="KU147" s="18"/>
      <c r="KV147" s="18"/>
      <c r="KW147" s="18"/>
      <c r="KX147" s="18"/>
      <c r="KY147" s="18"/>
      <c r="KZ147" s="18"/>
      <c r="LA147" s="18"/>
      <c r="LB147" s="18"/>
      <c r="LC147" s="18"/>
      <c r="LD147" s="18"/>
      <c r="LE147" s="18"/>
      <c r="LF147" s="18"/>
      <c r="LG147" s="18"/>
      <c r="LH147" s="18"/>
      <c r="LI147" s="18"/>
      <c r="LJ147" s="18"/>
      <c r="LK147" s="18"/>
      <c r="LL147" s="18"/>
      <c r="LM147" s="18"/>
      <c r="LN147" s="18"/>
      <c r="LO147" s="18"/>
      <c r="LP147" s="18"/>
      <c r="LQ147" s="18"/>
      <c r="LR147" s="18"/>
      <c r="LS147" s="18"/>
      <c r="LT147" s="18"/>
      <c r="LU147" s="18"/>
      <c r="LV147" s="18"/>
      <c r="LW147" s="18"/>
      <c r="LX147" s="18"/>
      <c r="LY147" s="18"/>
      <c r="LZ147" s="18"/>
      <c r="MA147" s="18"/>
      <c r="MB147" s="18"/>
      <c r="MC147" s="18"/>
      <c r="MD147" s="18"/>
      <c r="ME147" s="18"/>
      <c r="MF147" s="18"/>
      <c r="MG147" s="18"/>
      <c r="MH147" s="18"/>
      <c r="MI147" s="18"/>
      <c r="MJ147" s="18"/>
      <c r="MK147" s="18"/>
      <c r="ML147" s="18"/>
      <c r="MM147" s="18"/>
      <c r="MN147" s="18"/>
      <c r="MO147" s="18"/>
      <c r="MP147" s="18"/>
      <c r="MQ147" s="18"/>
      <c r="MR147" s="18"/>
      <c r="MS147" s="18"/>
      <c r="MT147" s="18"/>
      <c r="MU147" s="18"/>
      <c r="MV147" s="18"/>
      <c r="MW147" s="18"/>
      <c r="MX147" s="18"/>
      <c r="MY147" s="18"/>
      <c r="MZ147" s="18"/>
      <c r="NA147" s="18"/>
      <c r="NB147" s="18"/>
      <c r="NC147" s="18"/>
      <c r="ND147" s="18"/>
      <c r="NE147" s="18"/>
      <c r="NF147" s="18"/>
      <c r="NG147" s="18"/>
      <c r="NH147" s="18"/>
      <c r="NI147" s="18"/>
      <c r="NJ147" s="18"/>
      <c r="NK147" s="18"/>
      <c r="NL147" s="18"/>
      <c r="NM147" s="18"/>
      <c r="NN147" s="18"/>
      <c r="NO147" s="18"/>
      <c r="NP147" s="18"/>
      <c r="NQ147" s="18"/>
      <c r="NR147" s="18"/>
      <c r="NS147" s="18"/>
      <c r="NT147" s="18"/>
      <c r="NU147" s="18"/>
      <c r="NV147" s="18"/>
      <c r="NW147" s="18"/>
      <c r="NX147" s="18"/>
      <c r="NY147" s="18"/>
      <c r="NZ147" s="18"/>
      <c r="OA147" s="18"/>
      <c r="OB147" s="18"/>
      <c r="OC147" s="18"/>
      <c r="OD147" s="18"/>
      <c r="OE147" s="18"/>
      <c r="OF147" s="18"/>
      <c r="OG147" s="18"/>
      <c r="OH147" s="18"/>
      <c r="OI147" s="18"/>
      <c r="OJ147" s="18"/>
      <c r="OK147" s="18"/>
      <c r="OL147" s="18"/>
      <c r="OM147" s="18"/>
      <c r="ON147" s="18"/>
      <c r="OO147" s="18"/>
      <c r="OP147" s="18"/>
      <c r="OQ147" s="18"/>
      <c r="OR147" s="18"/>
      <c r="OS147" s="18"/>
      <c r="OT147" s="18"/>
      <c r="OU147" s="18"/>
      <c r="OV147" s="18"/>
      <c r="OW147" s="18"/>
      <c r="OX147" s="18"/>
      <c r="OY147" s="18"/>
      <c r="OZ147" s="18"/>
      <c r="PA147" s="18"/>
      <c r="PB147" s="18"/>
      <c r="PC147" s="18"/>
      <c r="PD147" s="18"/>
      <c r="PE147" s="18"/>
      <c r="PF147" s="18"/>
      <c r="PG147" s="18"/>
      <c r="PH147" s="18"/>
      <c r="PI147" s="18"/>
      <c r="PJ147" s="18"/>
      <c r="PK147" s="18"/>
      <c r="PL147" s="18"/>
      <c r="PM147" s="18"/>
      <c r="PN147" s="18"/>
      <c r="PO147" s="18"/>
      <c r="PP147" s="18"/>
      <c r="PQ147" s="18"/>
      <c r="PR147" s="18"/>
      <c r="PS147" s="18"/>
      <c r="PT147" s="18"/>
      <c r="PU147" s="18"/>
      <c r="PV147" s="18"/>
      <c r="PW147" s="18"/>
      <c r="PX147" s="18"/>
      <c r="PY147" s="18"/>
      <c r="PZ147" s="18"/>
      <c r="QA147" s="18"/>
      <c r="QB147" s="18"/>
      <c r="QC147" s="18"/>
      <c r="QD147" s="18"/>
      <c r="QE147" s="18"/>
      <c r="QF147" s="18"/>
      <c r="QG147" s="18"/>
      <c r="QH147" s="18"/>
      <c r="QI147" s="18"/>
      <c r="QJ147" s="18"/>
      <c r="QK147" s="18"/>
      <c r="QL147" s="18"/>
      <c r="QM147" s="18"/>
      <c r="QN147" s="18"/>
      <c r="QO147" s="18"/>
      <c r="QP147" s="18"/>
      <c r="QQ147" s="18"/>
      <c r="QR147" s="18"/>
      <c r="QS147" s="18"/>
      <c r="QT147" s="138">
        <f t="shared" si="1460"/>
        <v>0</v>
      </c>
      <c r="QU147" s="108">
        <f t="shared" si="1461"/>
        <v>0</v>
      </c>
      <c r="QV147" s="108">
        <f t="shared" si="1462"/>
        <v>0</v>
      </c>
      <c r="QW147" s="108">
        <f t="shared" si="1463"/>
        <v>0</v>
      </c>
      <c r="QX147" s="108">
        <f t="shared" si="1464"/>
        <v>0</v>
      </c>
      <c r="QY147" s="108">
        <f t="shared" si="1464"/>
        <v>0</v>
      </c>
      <c r="QZ147" s="108">
        <f t="shared" si="1464"/>
        <v>0</v>
      </c>
      <c r="RA147" s="108">
        <f t="shared" si="1464"/>
        <v>0</v>
      </c>
      <c r="RB147" s="108">
        <f t="shared" si="1464"/>
        <v>0</v>
      </c>
      <c r="RC147" s="108">
        <f t="shared" si="1464"/>
        <v>0</v>
      </c>
      <c r="RD147" s="108">
        <f t="shared" si="1464"/>
        <v>0</v>
      </c>
      <c r="RE147" s="108">
        <f t="shared" si="1464"/>
        <v>0</v>
      </c>
      <c r="RF147" s="108">
        <f t="shared" si="1464"/>
        <v>0</v>
      </c>
      <c r="RG147" s="108">
        <f t="shared" si="1464"/>
        <v>0</v>
      </c>
      <c r="RH147" s="108">
        <f t="shared" si="1464"/>
        <v>0</v>
      </c>
      <c r="RI147" s="108">
        <f t="shared" si="1464"/>
        <v>0</v>
      </c>
      <c r="RJ147" s="108">
        <f t="shared" si="1464"/>
        <v>0</v>
      </c>
      <c r="RK147" s="108">
        <f t="shared" si="1464"/>
        <v>0</v>
      </c>
      <c r="RL147" s="108">
        <f t="shared" si="1464"/>
        <v>0</v>
      </c>
      <c r="RM147" s="108">
        <f t="shared" si="1464"/>
        <v>0</v>
      </c>
      <c r="RN147" s="108">
        <f t="shared" si="1464"/>
        <v>0</v>
      </c>
      <c r="RO147" s="108">
        <f t="shared" si="1464"/>
        <v>0</v>
      </c>
      <c r="RP147" s="108">
        <f t="shared" si="1464"/>
        <v>0</v>
      </c>
      <c r="RQ147" s="108">
        <f t="shared" si="1464"/>
        <v>0</v>
      </c>
      <c r="RR147" s="108">
        <f t="shared" si="1464"/>
        <v>0</v>
      </c>
      <c r="RS147" s="108">
        <f t="shared" si="1464"/>
        <v>0</v>
      </c>
      <c r="RT147" s="108">
        <f t="shared" si="1464"/>
        <v>0</v>
      </c>
      <c r="RU147" s="108">
        <f t="shared" si="1464"/>
        <v>0</v>
      </c>
      <c r="RV147" s="108">
        <f t="shared" si="1464"/>
        <v>0</v>
      </c>
      <c r="RW147" s="108">
        <f t="shared" si="1464"/>
        <v>0</v>
      </c>
      <c r="RX147" s="108">
        <f t="shared" si="1464"/>
        <v>0</v>
      </c>
      <c r="RY147" s="108">
        <f t="shared" si="1464"/>
        <v>0</v>
      </c>
      <c r="RZ147" s="108">
        <f t="shared" si="1464"/>
        <v>0</v>
      </c>
      <c r="SA147" s="108">
        <f t="shared" si="1464"/>
        <v>0</v>
      </c>
      <c r="SB147" s="108">
        <f t="shared" si="1464"/>
        <v>0</v>
      </c>
      <c r="SC147" s="108">
        <f t="shared" si="1464"/>
        <v>0</v>
      </c>
      <c r="SD147" s="108">
        <f t="shared" si="1464"/>
        <v>0</v>
      </c>
      <c r="SE147" s="108">
        <f t="shared" si="1464"/>
        <v>0</v>
      </c>
      <c r="SF147" s="108">
        <f t="shared" si="1464"/>
        <v>0</v>
      </c>
      <c r="SG147" s="108">
        <f t="shared" si="1464"/>
        <v>0</v>
      </c>
      <c r="SH147" s="108">
        <f t="shared" si="1464"/>
        <v>0</v>
      </c>
      <c r="SI147" s="108">
        <f t="shared" si="1464"/>
        <v>0</v>
      </c>
      <c r="SJ147" s="108">
        <f t="shared" si="1464"/>
        <v>0</v>
      </c>
      <c r="SK147" s="108">
        <f t="shared" si="1464"/>
        <v>0</v>
      </c>
      <c r="SL147" s="108">
        <f t="shared" si="1464"/>
        <v>0</v>
      </c>
      <c r="SM147" s="108">
        <f t="shared" si="1464"/>
        <v>0</v>
      </c>
      <c r="SN147" s="108">
        <f t="shared" si="1464"/>
        <v>0</v>
      </c>
      <c r="SO147" s="108">
        <f t="shared" si="1464"/>
        <v>0</v>
      </c>
      <c r="SP147" s="108">
        <f t="shared" si="1464"/>
        <v>0</v>
      </c>
      <c r="SQ147" s="108">
        <f t="shared" si="1464"/>
        <v>0</v>
      </c>
      <c r="SR147" s="108">
        <f t="shared" si="1464"/>
        <v>0</v>
      </c>
      <c r="SS147" s="145">
        <f t="shared" si="1465"/>
        <v>0</v>
      </c>
      <c r="ST147" s="145">
        <f t="shared" si="1465"/>
        <v>0</v>
      </c>
      <c r="SU147" s="145">
        <f t="shared" si="1465"/>
        <v>0</v>
      </c>
      <c r="SV147" s="145">
        <f t="shared" si="1465"/>
        <v>0</v>
      </c>
      <c r="SW147" s="145">
        <f t="shared" si="1465"/>
        <v>0</v>
      </c>
      <c r="SX147" s="145">
        <f t="shared" si="1465"/>
        <v>0</v>
      </c>
      <c r="SY147" s="145">
        <f t="shared" si="1465"/>
        <v>0</v>
      </c>
      <c r="SZ147" s="145">
        <f t="shared" si="1465"/>
        <v>0</v>
      </c>
      <c r="TA147" s="145">
        <f t="shared" si="1465"/>
        <v>0</v>
      </c>
      <c r="TB147" s="145">
        <f t="shared" si="1465"/>
        <v>0</v>
      </c>
      <c r="TC147" s="145">
        <f t="shared" si="1465"/>
        <v>0</v>
      </c>
      <c r="TD147" s="145">
        <f t="shared" si="1465"/>
        <v>0</v>
      </c>
      <c r="TE147" s="145">
        <f t="shared" si="1465"/>
        <v>0</v>
      </c>
      <c r="TF147" s="145">
        <f t="shared" si="1465"/>
        <v>0</v>
      </c>
      <c r="TG147" s="145">
        <f t="shared" si="1465"/>
        <v>0</v>
      </c>
      <c r="TH147" s="145">
        <f t="shared" si="1465"/>
        <v>0</v>
      </c>
      <c r="TI147" s="145">
        <f t="shared" si="1465"/>
        <v>0</v>
      </c>
      <c r="TJ147" s="145">
        <f t="shared" si="1465"/>
        <v>0</v>
      </c>
      <c r="TK147" s="145">
        <f t="shared" si="1465"/>
        <v>0</v>
      </c>
      <c r="TL147" s="145">
        <f t="shared" si="1465"/>
        <v>0</v>
      </c>
      <c r="TM147" s="145">
        <f t="shared" si="1465"/>
        <v>0</v>
      </c>
      <c r="TN147" s="145">
        <f t="shared" si="1465"/>
        <v>0</v>
      </c>
      <c r="TO147" s="145">
        <f t="shared" si="1465"/>
        <v>0</v>
      </c>
      <c r="TP147" s="146">
        <f t="shared" si="1465"/>
        <v>0</v>
      </c>
      <c r="TQ147" s="146">
        <f t="shared" si="1465"/>
        <v>0</v>
      </c>
      <c r="TR147" s="146">
        <f t="shared" si="1465"/>
        <v>0</v>
      </c>
      <c r="TS147" s="146">
        <f t="shared" si="1465"/>
        <v>0</v>
      </c>
      <c r="TT147" s="146">
        <f t="shared" si="1465"/>
        <v>0</v>
      </c>
      <c r="TU147" s="146">
        <f t="shared" si="1465"/>
        <v>0</v>
      </c>
      <c r="TV147" s="146">
        <f t="shared" si="1465"/>
        <v>0</v>
      </c>
      <c r="TW147" s="146">
        <f t="shared" si="1465"/>
        <v>0</v>
      </c>
      <c r="TX147" s="146">
        <f t="shared" si="1465"/>
        <v>0</v>
      </c>
      <c r="TY147" s="146">
        <f t="shared" si="1465"/>
        <v>0</v>
      </c>
      <c r="TZ147" s="146">
        <f t="shared" si="1465"/>
        <v>0</v>
      </c>
      <c r="UA147" s="146">
        <f t="shared" si="1465"/>
        <v>0</v>
      </c>
      <c r="UB147" s="146">
        <f t="shared" si="1465"/>
        <v>0</v>
      </c>
      <c r="UC147" s="146">
        <f t="shared" si="1465"/>
        <v>0</v>
      </c>
      <c r="UD147" s="146">
        <f t="shared" si="1465"/>
        <v>0</v>
      </c>
      <c r="UE147" s="146">
        <f t="shared" si="1465"/>
        <v>0</v>
      </c>
      <c r="UF147" s="146">
        <f t="shared" si="1465"/>
        <v>0</v>
      </c>
      <c r="UG147" s="146">
        <f t="shared" si="1465"/>
        <v>0</v>
      </c>
      <c r="UH147" s="146">
        <f t="shared" si="1465"/>
        <v>0</v>
      </c>
      <c r="UI147" s="146">
        <f t="shared" si="1465"/>
        <v>0</v>
      </c>
      <c r="UJ147" s="146">
        <f t="shared" si="1465"/>
        <v>0</v>
      </c>
      <c r="UK147" s="146">
        <f t="shared" si="1465"/>
        <v>0</v>
      </c>
      <c r="UL147" s="146">
        <f t="shared" si="1465"/>
        <v>0</v>
      </c>
      <c r="UM147" s="146">
        <f t="shared" si="1465"/>
        <v>0</v>
      </c>
      <c r="UN147" s="146">
        <f t="shared" si="1465"/>
        <v>0</v>
      </c>
      <c r="UO147" s="146">
        <f t="shared" si="1465"/>
        <v>0</v>
      </c>
      <c r="UP147" s="146">
        <f t="shared" si="1465"/>
        <v>0</v>
      </c>
      <c r="UQ147" s="146">
        <f t="shared" si="1465"/>
        <v>0</v>
      </c>
      <c r="UR147" s="156">
        <f t="shared" si="1465"/>
        <v>0</v>
      </c>
      <c r="US147" s="156">
        <f t="shared" si="1465"/>
        <v>0</v>
      </c>
      <c r="UT147" s="156">
        <f t="shared" si="1465"/>
        <v>0</v>
      </c>
      <c r="UU147" s="156">
        <f t="shared" si="1465"/>
        <v>0</v>
      </c>
      <c r="UV147" s="156">
        <f t="shared" si="1465"/>
        <v>0</v>
      </c>
      <c r="UW147" s="156">
        <f t="shared" si="1465"/>
        <v>0</v>
      </c>
      <c r="UX147" s="156">
        <f t="shared" si="1465"/>
        <v>0</v>
      </c>
      <c r="UY147" s="156">
        <f t="shared" si="1465"/>
        <v>0</v>
      </c>
      <c r="UZ147" s="156">
        <f t="shared" si="1465"/>
        <v>0</v>
      </c>
      <c r="VA147" s="156">
        <f t="shared" si="1465"/>
        <v>0</v>
      </c>
      <c r="VB147" s="156">
        <f t="shared" si="1465"/>
        <v>0</v>
      </c>
      <c r="VC147" s="156">
        <f t="shared" si="1465"/>
        <v>0</v>
      </c>
      <c r="VD147" s="156">
        <f t="shared" ref="VD147:WP151" si="1467">DM30</f>
        <v>0</v>
      </c>
      <c r="VE147" s="156">
        <f t="shared" si="1467"/>
        <v>0</v>
      </c>
      <c r="VF147" s="156">
        <f t="shared" si="1467"/>
        <v>0</v>
      </c>
      <c r="VG147" s="156">
        <f t="shared" si="1467"/>
        <v>0</v>
      </c>
      <c r="VH147" s="156">
        <f t="shared" si="1467"/>
        <v>0</v>
      </c>
      <c r="VI147" s="156">
        <f t="shared" si="1467"/>
        <v>0</v>
      </c>
      <c r="VJ147" s="156">
        <f t="shared" si="1467"/>
        <v>0</v>
      </c>
      <c r="VK147" s="156">
        <f t="shared" si="1467"/>
        <v>0</v>
      </c>
      <c r="VL147" s="156">
        <f t="shared" si="1467"/>
        <v>0</v>
      </c>
      <c r="VM147" s="156">
        <f t="shared" si="1467"/>
        <v>0</v>
      </c>
      <c r="VN147" s="156">
        <f t="shared" si="1467"/>
        <v>0</v>
      </c>
      <c r="VO147" s="156">
        <f t="shared" si="1467"/>
        <v>0</v>
      </c>
      <c r="VP147" s="156">
        <f t="shared" si="1467"/>
        <v>0</v>
      </c>
      <c r="VQ147" s="156">
        <f t="shared" si="1467"/>
        <v>0</v>
      </c>
      <c r="VR147" s="178">
        <f t="shared" si="1467"/>
        <v>0</v>
      </c>
      <c r="VS147" s="181">
        <f t="shared" si="1467"/>
        <v>24.185735913858924</v>
      </c>
      <c r="VT147" s="177">
        <f t="shared" si="1467"/>
        <v>0</v>
      </c>
      <c r="VU147" s="181">
        <f t="shared" si="1467"/>
        <v>24.082193323306559</v>
      </c>
      <c r="VV147" s="155">
        <f t="shared" si="1467"/>
        <v>0</v>
      </c>
      <c r="VW147" s="156">
        <f t="shared" si="1467"/>
        <v>0</v>
      </c>
      <c r="VX147" s="156">
        <f t="shared" si="1467"/>
        <v>0</v>
      </c>
      <c r="VY147" s="178">
        <f t="shared" si="1467"/>
        <v>0</v>
      </c>
      <c r="VZ147" s="181">
        <f t="shared" si="1467"/>
        <v>23.834369382163725</v>
      </c>
      <c r="WA147" s="177">
        <f t="shared" si="1467"/>
        <v>0</v>
      </c>
      <c r="WB147" s="181">
        <f t="shared" si="1467"/>
        <v>23.729612561855234</v>
      </c>
      <c r="WC147" s="155">
        <f t="shared" si="1467"/>
        <v>0</v>
      </c>
      <c r="WD147" s="156">
        <f t="shared" si="1467"/>
        <v>0</v>
      </c>
      <c r="WE147" s="156">
        <f t="shared" si="1467"/>
        <v>0</v>
      </c>
      <c r="WF147" s="178">
        <f t="shared" si="1467"/>
        <v>0</v>
      </c>
      <c r="WG147" s="181">
        <f t="shared" si="1467"/>
        <v>23.481493552061213</v>
      </c>
      <c r="WH147" s="177">
        <f t="shared" si="1467"/>
        <v>0</v>
      </c>
      <c r="WI147" s="181">
        <f t="shared" si="1467"/>
        <v>23.372038483450538</v>
      </c>
      <c r="WJ147" s="155">
        <f t="shared" si="1467"/>
        <v>0</v>
      </c>
      <c r="WK147" s="156">
        <f t="shared" si="1467"/>
        <v>0</v>
      </c>
      <c r="WL147" s="156">
        <f t="shared" si="1467"/>
        <v>0</v>
      </c>
      <c r="WM147" s="178">
        <f t="shared" si="1467"/>
        <v>0</v>
      </c>
      <c r="WN147" s="181">
        <f t="shared" si="1467"/>
        <v>23.116065489904333</v>
      </c>
      <c r="WO147" s="177">
        <f t="shared" si="1467"/>
        <v>0</v>
      </c>
      <c r="WP147" s="181">
        <f t="shared" si="1467"/>
        <v>22.977554025488825</v>
      </c>
      <c r="WQ147" s="203"/>
      <c r="WR147" s="203"/>
      <c r="WS147" s="203"/>
      <c r="WT147" s="203"/>
      <c r="WU147" s="203"/>
      <c r="WV147" s="203"/>
      <c r="WW147" s="203"/>
      <c r="WX147" s="203"/>
      <c r="WY147" s="203"/>
      <c r="WZ147" s="203"/>
      <c r="XA147" s="203"/>
      <c r="XB147" s="203"/>
      <c r="XC147" s="203"/>
      <c r="XD147" s="203"/>
      <c r="XE147" s="203"/>
    </row>
    <row r="148" spans="1:696" ht="19.5" thickBot="1" x14ac:dyDescent="0.3">
      <c r="A148" s="298"/>
      <c r="B148" s="25" t="s">
        <v>2</v>
      </c>
      <c r="BY148" s="18"/>
      <c r="BZ148" s="18"/>
      <c r="CA148" s="18"/>
      <c r="CB148" s="18"/>
      <c r="CC148" s="18"/>
      <c r="CD148" s="18"/>
      <c r="CE148" s="18"/>
      <c r="CF148" s="18"/>
      <c r="CG148" s="18"/>
      <c r="CH148" s="18"/>
      <c r="CI148" s="18"/>
      <c r="CJ148" s="18"/>
      <c r="CK148" s="18"/>
      <c r="CL148" s="18"/>
      <c r="CM148" s="18"/>
      <c r="CN148" s="18"/>
      <c r="CO148" s="18"/>
      <c r="CP148" s="18"/>
      <c r="CQ148" s="18"/>
      <c r="CR148" s="18"/>
      <c r="CS148" s="18"/>
      <c r="CT148" s="18"/>
      <c r="CU148" s="18"/>
      <c r="CV148" s="18"/>
      <c r="CW148" s="18"/>
      <c r="CX148" s="18"/>
      <c r="CY148" s="18"/>
      <c r="CZ148" s="18"/>
      <c r="DA148" s="18"/>
      <c r="DB148" s="18"/>
      <c r="DC148" s="18"/>
      <c r="DD148" s="18"/>
      <c r="DE148" s="18"/>
      <c r="DF148" s="18"/>
      <c r="DG148" s="18"/>
      <c r="DH148" s="18"/>
      <c r="DI148" s="18"/>
      <c r="DJ148" s="18"/>
      <c r="DK148" s="18"/>
      <c r="DL148" s="18"/>
      <c r="DM148" s="18"/>
      <c r="DN148" s="18"/>
      <c r="DO148" s="18"/>
      <c r="DP148" s="18"/>
      <c r="DQ148" s="18"/>
      <c r="DR148" s="18"/>
      <c r="DS148" s="18"/>
      <c r="DT148" s="18"/>
      <c r="DU148" s="18"/>
      <c r="DV148" s="18"/>
      <c r="DW148" s="18"/>
      <c r="DX148" s="18"/>
      <c r="DY148" s="18"/>
      <c r="DZ148" s="18"/>
      <c r="EA148" s="18"/>
      <c r="EB148" s="18"/>
      <c r="EC148" s="18"/>
      <c r="ED148" s="18"/>
      <c r="EE148" s="18"/>
      <c r="EF148" s="18"/>
      <c r="EG148" s="18"/>
      <c r="EH148" s="18"/>
      <c r="EI148" s="18"/>
      <c r="EJ148" s="18"/>
      <c r="EK148" s="18"/>
      <c r="EL148" s="18"/>
      <c r="EM148" s="18"/>
      <c r="EN148" s="18"/>
      <c r="EO148" s="18"/>
      <c r="EP148" s="18"/>
      <c r="EQ148" s="18"/>
      <c r="ER148" s="18"/>
      <c r="ES148" s="18"/>
      <c r="ET148" s="18"/>
      <c r="EU148" s="18"/>
      <c r="EV148" s="18"/>
      <c r="EW148" s="18"/>
      <c r="EX148" s="18"/>
      <c r="EY148" s="18"/>
      <c r="EZ148" s="18"/>
      <c r="FA148" s="18"/>
      <c r="FB148" s="18"/>
      <c r="FC148" s="18"/>
      <c r="FD148" s="18"/>
      <c r="FE148" s="18"/>
      <c r="FF148" s="18"/>
      <c r="FG148" s="18"/>
      <c r="FH148" s="18"/>
      <c r="FI148" s="18"/>
      <c r="FJ148" s="18"/>
      <c r="FK148" s="18"/>
      <c r="FL148" s="18"/>
      <c r="FM148" s="18"/>
      <c r="FN148" s="18"/>
      <c r="FO148" s="18"/>
      <c r="FP148" s="18"/>
      <c r="FQ148" s="18"/>
      <c r="FR148" s="18"/>
      <c r="FS148" s="18"/>
      <c r="FT148" s="18"/>
      <c r="FU148" s="18"/>
      <c r="FV148" s="18"/>
      <c r="FW148" s="18"/>
      <c r="FX148" s="18"/>
      <c r="FY148" s="18"/>
      <c r="FZ148" s="18"/>
      <c r="GA148" s="18"/>
      <c r="GB148" s="18"/>
      <c r="GC148" s="18"/>
      <c r="GD148" s="18"/>
      <c r="GE148" s="18"/>
      <c r="GF148" s="18"/>
      <c r="GG148" s="18"/>
      <c r="GH148" s="18"/>
      <c r="GI148" s="18"/>
      <c r="GJ148" s="18"/>
      <c r="GK148" s="18"/>
      <c r="GL148" s="18"/>
      <c r="GM148" s="18"/>
      <c r="GN148" s="18"/>
      <c r="GO148" s="18"/>
      <c r="GP148" s="18"/>
      <c r="GQ148" s="18"/>
      <c r="GR148" s="18"/>
      <c r="GS148" s="18"/>
      <c r="GT148" s="18"/>
      <c r="GU148" s="18"/>
      <c r="GV148" s="18"/>
      <c r="GW148" s="18"/>
      <c r="GX148" s="18"/>
      <c r="GY148" s="18"/>
      <c r="GZ148" s="18"/>
      <c r="HA148" s="18"/>
      <c r="HB148" s="18"/>
      <c r="HC148" s="18"/>
      <c r="HD148" s="18"/>
      <c r="HE148" s="18"/>
      <c r="HF148" s="18"/>
      <c r="HG148" s="18"/>
      <c r="HH148" s="18"/>
      <c r="HI148" s="18"/>
      <c r="HJ148" s="18"/>
      <c r="HK148" s="18"/>
      <c r="HL148" s="18"/>
      <c r="HM148" s="18"/>
      <c r="HN148" s="18"/>
      <c r="HO148" s="18"/>
      <c r="HP148" s="18"/>
      <c r="HQ148" s="18"/>
      <c r="HR148" s="18"/>
      <c r="HS148" s="18"/>
      <c r="HT148" s="18"/>
      <c r="HU148" s="18"/>
      <c r="HV148" s="18"/>
      <c r="HW148" s="18"/>
      <c r="HX148" s="18"/>
      <c r="HY148" s="18"/>
      <c r="HZ148" s="18"/>
      <c r="IA148" s="18"/>
      <c r="IB148" s="18"/>
      <c r="IC148" s="18"/>
      <c r="ID148" s="18"/>
      <c r="IE148" s="18"/>
      <c r="IF148" s="18"/>
      <c r="IG148" s="18"/>
      <c r="IH148" s="18"/>
      <c r="II148" s="18"/>
      <c r="IJ148" s="18"/>
      <c r="IK148" s="18"/>
      <c r="IL148" s="18"/>
      <c r="IM148" s="18"/>
      <c r="IN148" s="18"/>
      <c r="IO148" s="18"/>
      <c r="IP148" s="18"/>
      <c r="IQ148" s="18"/>
      <c r="IR148" s="18"/>
      <c r="IS148" s="18"/>
      <c r="IT148" s="18"/>
      <c r="IU148" s="18"/>
      <c r="IV148" s="18"/>
      <c r="IW148" s="18"/>
      <c r="IX148" s="18"/>
      <c r="IY148" s="18"/>
      <c r="IZ148" s="18"/>
      <c r="JA148" s="18"/>
      <c r="JB148" s="18"/>
      <c r="JC148" s="18"/>
      <c r="JD148" s="18"/>
      <c r="JE148" s="18"/>
      <c r="JF148" s="18"/>
      <c r="JG148" s="18"/>
      <c r="JH148" s="18"/>
      <c r="JI148" s="18"/>
      <c r="JJ148" s="18"/>
      <c r="JK148" s="18"/>
      <c r="JL148" s="18"/>
      <c r="JM148" s="18"/>
      <c r="JN148" s="18"/>
      <c r="JO148" s="18"/>
      <c r="JP148" s="18"/>
      <c r="JQ148" s="18"/>
      <c r="JR148" s="18"/>
      <c r="JS148" s="18"/>
      <c r="JT148" s="18"/>
      <c r="JU148" s="18"/>
      <c r="JV148" s="18"/>
      <c r="JW148" s="18"/>
      <c r="JX148" s="18"/>
      <c r="JY148" s="18"/>
      <c r="JZ148" s="18"/>
      <c r="KA148" s="18"/>
      <c r="KB148" s="18"/>
      <c r="KC148" s="18"/>
      <c r="KD148" s="18"/>
      <c r="KE148" s="18"/>
      <c r="KF148" s="18"/>
      <c r="KG148" s="18"/>
      <c r="KH148" s="18"/>
      <c r="KI148" s="18"/>
      <c r="KJ148" s="18"/>
      <c r="KK148" s="18"/>
      <c r="KL148" s="18"/>
      <c r="KM148" s="18"/>
      <c r="KN148" s="18"/>
      <c r="KO148" s="18"/>
      <c r="KP148" s="18"/>
      <c r="KQ148" s="18"/>
      <c r="KR148" s="18"/>
      <c r="KS148" s="18"/>
      <c r="KT148" s="18"/>
      <c r="KU148" s="18"/>
      <c r="KV148" s="18"/>
      <c r="KW148" s="18"/>
      <c r="KX148" s="18"/>
      <c r="KY148" s="18"/>
      <c r="KZ148" s="18"/>
      <c r="LA148" s="18"/>
      <c r="LB148" s="18"/>
      <c r="LC148" s="18"/>
      <c r="LD148" s="18"/>
      <c r="LE148" s="18"/>
      <c r="LF148" s="18"/>
      <c r="LG148" s="18"/>
      <c r="LH148" s="18"/>
      <c r="LI148" s="18"/>
      <c r="LJ148" s="18"/>
      <c r="LK148" s="18"/>
      <c r="LL148" s="18"/>
      <c r="LM148" s="18"/>
      <c r="LN148" s="18"/>
      <c r="LO148" s="18"/>
      <c r="LP148" s="18"/>
      <c r="LQ148" s="18"/>
      <c r="LR148" s="18"/>
      <c r="LS148" s="18"/>
      <c r="LT148" s="18"/>
      <c r="LU148" s="18"/>
      <c r="LV148" s="18"/>
      <c r="LW148" s="18"/>
      <c r="LX148" s="18"/>
      <c r="LY148" s="18"/>
      <c r="LZ148" s="18"/>
      <c r="MA148" s="18"/>
      <c r="MB148" s="18"/>
      <c r="MC148" s="18"/>
      <c r="MD148" s="18"/>
      <c r="ME148" s="18"/>
      <c r="MF148" s="18"/>
      <c r="MG148" s="18"/>
      <c r="MH148" s="18"/>
      <c r="MI148" s="18"/>
      <c r="MJ148" s="18"/>
      <c r="MK148" s="18"/>
      <c r="ML148" s="18"/>
      <c r="MM148" s="18"/>
      <c r="MN148" s="18"/>
      <c r="MO148" s="18"/>
      <c r="MP148" s="18"/>
      <c r="MQ148" s="18"/>
      <c r="MR148" s="18"/>
      <c r="MS148" s="18"/>
      <c r="MT148" s="18"/>
      <c r="MU148" s="18"/>
      <c r="MV148" s="18"/>
      <c r="MW148" s="18"/>
      <c r="MX148" s="18"/>
      <c r="MY148" s="18"/>
      <c r="MZ148" s="18"/>
      <c r="NA148" s="18"/>
      <c r="NB148" s="18"/>
      <c r="NC148" s="18"/>
      <c r="ND148" s="18"/>
      <c r="NE148" s="18"/>
      <c r="NF148" s="18"/>
      <c r="NG148" s="18"/>
      <c r="NH148" s="18"/>
      <c r="NI148" s="18"/>
      <c r="NJ148" s="18"/>
      <c r="NK148" s="18"/>
      <c r="NL148" s="18"/>
      <c r="NM148" s="18"/>
      <c r="NN148" s="18"/>
      <c r="NO148" s="18"/>
      <c r="NP148" s="18"/>
      <c r="NQ148" s="18"/>
      <c r="NR148" s="18"/>
      <c r="NS148" s="18"/>
      <c r="NT148" s="18"/>
      <c r="NU148" s="18"/>
      <c r="NV148" s="18"/>
      <c r="NW148" s="18"/>
      <c r="NX148" s="18"/>
      <c r="NY148" s="18"/>
      <c r="NZ148" s="18"/>
      <c r="OA148" s="18"/>
      <c r="OB148" s="18"/>
      <c r="OC148" s="18"/>
      <c r="OD148" s="18"/>
      <c r="OE148" s="18"/>
      <c r="OF148" s="18"/>
      <c r="OG148" s="18"/>
      <c r="OH148" s="18"/>
      <c r="OI148" s="18"/>
      <c r="OJ148" s="18"/>
      <c r="OK148" s="18"/>
      <c r="OL148" s="18"/>
      <c r="OM148" s="18"/>
      <c r="ON148" s="18"/>
      <c r="OO148" s="18"/>
      <c r="OP148" s="18"/>
      <c r="OQ148" s="18"/>
      <c r="OR148" s="18"/>
      <c r="OS148" s="18"/>
      <c r="OT148" s="18"/>
      <c r="OU148" s="18"/>
      <c r="OV148" s="18"/>
      <c r="OW148" s="18"/>
      <c r="OX148" s="18"/>
      <c r="OY148" s="18"/>
      <c r="OZ148" s="18"/>
      <c r="PA148" s="18"/>
      <c r="PB148" s="18"/>
      <c r="PC148" s="18"/>
      <c r="PD148" s="18"/>
      <c r="PE148" s="18"/>
      <c r="PF148" s="18"/>
      <c r="PG148" s="18"/>
      <c r="PH148" s="18"/>
      <c r="PI148" s="18"/>
      <c r="PJ148" s="18"/>
      <c r="PK148" s="18"/>
      <c r="PL148" s="18"/>
      <c r="PM148" s="18"/>
      <c r="PN148" s="18"/>
      <c r="PO148" s="18"/>
      <c r="PP148" s="18"/>
      <c r="PQ148" s="18"/>
      <c r="PR148" s="18"/>
      <c r="PS148" s="18"/>
      <c r="PT148" s="18"/>
      <c r="PU148" s="18"/>
      <c r="PV148" s="18"/>
      <c r="PW148" s="18"/>
      <c r="PX148" s="18"/>
      <c r="PY148" s="18"/>
      <c r="PZ148" s="18"/>
      <c r="QA148" s="18"/>
      <c r="QB148" s="18"/>
      <c r="QC148" s="18"/>
      <c r="QD148" s="18"/>
      <c r="QE148" s="18"/>
      <c r="QF148" s="18"/>
      <c r="QG148" s="18"/>
      <c r="QH148" s="18"/>
      <c r="QI148" s="18"/>
      <c r="QJ148" s="18"/>
      <c r="QK148" s="18"/>
      <c r="QL148" s="18"/>
      <c r="QM148" s="18"/>
      <c r="QN148" s="18"/>
      <c r="QO148" s="18"/>
      <c r="QP148" s="18"/>
      <c r="QQ148" s="18"/>
      <c r="QR148" s="18"/>
      <c r="QS148" s="18"/>
      <c r="QT148" s="135">
        <f t="shared" si="1460"/>
        <v>2E-3</v>
      </c>
      <c r="QU148" s="112">
        <f t="shared" si="1461"/>
        <v>2E-3</v>
      </c>
      <c r="QV148" s="113">
        <f t="shared" si="1462"/>
        <v>2E-3</v>
      </c>
      <c r="QW148" s="113">
        <f t="shared" si="1463"/>
        <v>2E-3</v>
      </c>
      <c r="QX148" s="113">
        <f t="shared" si="1464"/>
        <v>2E-3</v>
      </c>
      <c r="QY148" s="113">
        <f t="shared" si="1464"/>
        <v>2E-3</v>
      </c>
      <c r="QZ148" s="113">
        <f t="shared" si="1464"/>
        <v>2E-3</v>
      </c>
      <c r="RA148" s="113">
        <f t="shared" si="1464"/>
        <v>2E-3</v>
      </c>
      <c r="RB148" s="113">
        <f t="shared" si="1464"/>
        <v>2E-3</v>
      </c>
      <c r="RC148" s="113">
        <f t="shared" si="1464"/>
        <v>2E-3</v>
      </c>
      <c r="RD148" s="113">
        <f t="shared" si="1464"/>
        <v>2E-3</v>
      </c>
      <c r="RE148" s="113">
        <f t="shared" si="1464"/>
        <v>2E-3</v>
      </c>
      <c r="RF148" s="113">
        <f t="shared" si="1464"/>
        <v>2E-3</v>
      </c>
      <c r="RG148" s="113">
        <f t="shared" si="1464"/>
        <v>2E-3</v>
      </c>
      <c r="RH148" s="113">
        <f t="shared" si="1464"/>
        <v>2E-3</v>
      </c>
      <c r="RI148" s="113">
        <f t="shared" si="1464"/>
        <v>2E-3</v>
      </c>
      <c r="RJ148" s="113">
        <f t="shared" si="1464"/>
        <v>2E-3</v>
      </c>
      <c r="RK148" s="113">
        <f t="shared" si="1464"/>
        <v>2E-3</v>
      </c>
      <c r="RL148" s="113">
        <f t="shared" si="1464"/>
        <v>2E-3</v>
      </c>
      <c r="RM148" s="113">
        <f t="shared" si="1464"/>
        <v>2E-3</v>
      </c>
      <c r="RN148" s="113">
        <f t="shared" si="1464"/>
        <v>2E-3</v>
      </c>
      <c r="RO148" s="113">
        <f t="shared" si="1464"/>
        <v>2E-3</v>
      </c>
      <c r="RP148" s="113">
        <f t="shared" si="1464"/>
        <v>2E-3</v>
      </c>
      <c r="RQ148" s="113">
        <f t="shared" si="1464"/>
        <v>2E-3</v>
      </c>
      <c r="RR148" s="113">
        <f t="shared" si="1464"/>
        <v>2E-3</v>
      </c>
      <c r="RS148" s="113">
        <f t="shared" si="1464"/>
        <v>2E-3</v>
      </c>
      <c r="RT148" s="113">
        <f t="shared" si="1464"/>
        <v>2E-3</v>
      </c>
      <c r="RU148" s="113">
        <f t="shared" si="1464"/>
        <v>2E-3</v>
      </c>
      <c r="RV148" s="113">
        <f t="shared" si="1464"/>
        <v>2E-3</v>
      </c>
      <c r="RW148" s="113">
        <f t="shared" si="1464"/>
        <v>2E-3</v>
      </c>
      <c r="RX148" s="113">
        <f t="shared" si="1464"/>
        <v>2E-3</v>
      </c>
      <c r="RY148" s="113">
        <f t="shared" si="1464"/>
        <v>2E-3</v>
      </c>
      <c r="RZ148" s="113">
        <f t="shared" si="1464"/>
        <v>2E-3</v>
      </c>
      <c r="SA148" s="113">
        <f t="shared" si="1464"/>
        <v>2E-3</v>
      </c>
      <c r="SB148" s="113">
        <f t="shared" si="1464"/>
        <v>2E-3</v>
      </c>
      <c r="SC148" s="113">
        <f t="shared" si="1464"/>
        <v>2E-3</v>
      </c>
      <c r="SD148" s="113">
        <f t="shared" si="1464"/>
        <v>2E-3</v>
      </c>
      <c r="SE148" s="113">
        <f t="shared" si="1464"/>
        <v>2E-3</v>
      </c>
      <c r="SF148" s="113">
        <f t="shared" si="1464"/>
        <v>2E-3</v>
      </c>
      <c r="SG148" s="113">
        <f t="shared" si="1464"/>
        <v>2E-3</v>
      </c>
      <c r="SH148" s="113">
        <f t="shared" si="1464"/>
        <v>2E-3</v>
      </c>
      <c r="SI148" s="113">
        <f t="shared" si="1464"/>
        <v>2E-3</v>
      </c>
      <c r="SJ148" s="113">
        <f t="shared" si="1464"/>
        <v>2E-3</v>
      </c>
      <c r="SK148" s="113">
        <f t="shared" si="1464"/>
        <v>2E-3</v>
      </c>
      <c r="SL148" s="113">
        <f t="shared" si="1464"/>
        <v>2E-3</v>
      </c>
      <c r="SM148" s="113">
        <f t="shared" si="1464"/>
        <v>2E-3</v>
      </c>
      <c r="SN148" s="113">
        <f t="shared" si="1464"/>
        <v>2E-3</v>
      </c>
      <c r="SO148" s="113">
        <f t="shared" si="1464"/>
        <v>2E-3</v>
      </c>
      <c r="SP148" s="113">
        <f t="shared" si="1464"/>
        <v>2E-3</v>
      </c>
      <c r="SQ148" s="113">
        <f t="shared" si="1464"/>
        <v>2E-3</v>
      </c>
      <c r="SR148" s="113">
        <f t="shared" si="1464"/>
        <v>2E-3</v>
      </c>
      <c r="SS148" s="147">
        <f t="shared" ref="SS148:VD151" si="1468">BB31</f>
        <v>2E-3</v>
      </c>
      <c r="ST148" s="147">
        <f t="shared" si="1468"/>
        <v>2E-3</v>
      </c>
      <c r="SU148" s="147">
        <f t="shared" si="1468"/>
        <v>2E-3</v>
      </c>
      <c r="SV148" s="147">
        <f t="shared" si="1468"/>
        <v>2E-3</v>
      </c>
      <c r="SW148" s="147">
        <f t="shared" si="1468"/>
        <v>2E-3</v>
      </c>
      <c r="SX148" s="147">
        <f t="shared" si="1468"/>
        <v>2E-3</v>
      </c>
      <c r="SY148" s="147">
        <f t="shared" si="1468"/>
        <v>2E-3</v>
      </c>
      <c r="SZ148" s="147">
        <f t="shared" si="1468"/>
        <v>2E-3</v>
      </c>
      <c r="TA148" s="147">
        <f t="shared" si="1468"/>
        <v>2E-3</v>
      </c>
      <c r="TB148" s="147">
        <f t="shared" si="1468"/>
        <v>2E-3</v>
      </c>
      <c r="TC148" s="147">
        <f t="shared" si="1468"/>
        <v>2E-3</v>
      </c>
      <c r="TD148" s="147">
        <f t="shared" si="1468"/>
        <v>2E-3</v>
      </c>
      <c r="TE148" s="147">
        <f t="shared" si="1468"/>
        <v>2E-3</v>
      </c>
      <c r="TF148" s="147">
        <f t="shared" si="1468"/>
        <v>2E-3</v>
      </c>
      <c r="TG148" s="147">
        <f t="shared" si="1468"/>
        <v>2E-3</v>
      </c>
      <c r="TH148" s="147">
        <f t="shared" si="1468"/>
        <v>2E-3</v>
      </c>
      <c r="TI148" s="147">
        <f t="shared" si="1468"/>
        <v>2E-3</v>
      </c>
      <c r="TJ148" s="147">
        <f t="shared" si="1468"/>
        <v>2E-3</v>
      </c>
      <c r="TK148" s="147">
        <f t="shared" si="1468"/>
        <v>2E-3</v>
      </c>
      <c r="TL148" s="147">
        <f t="shared" si="1468"/>
        <v>2E-3</v>
      </c>
      <c r="TM148" s="147">
        <f t="shared" si="1468"/>
        <v>2E-3</v>
      </c>
      <c r="TN148" s="147">
        <f t="shared" si="1468"/>
        <v>2E-3</v>
      </c>
      <c r="TO148" s="147">
        <f t="shared" si="1468"/>
        <v>2E-3</v>
      </c>
      <c r="TP148" s="147">
        <f t="shared" si="1468"/>
        <v>2E-3</v>
      </c>
      <c r="TQ148" s="147">
        <f t="shared" si="1468"/>
        <v>2E-3</v>
      </c>
      <c r="TR148" s="147">
        <f t="shared" si="1468"/>
        <v>2E-3</v>
      </c>
      <c r="TS148" s="147">
        <f t="shared" si="1468"/>
        <v>2E-3</v>
      </c>
      <c r="TT148" s="147">
        <f t="shared" si="1468"/>
        <v>2E-3</v>
      </c>
      <c r="TU148" s="147">
        <f t="shared" si="1468"/>
        <v>2E-3</v>
      </c>
      <c r="TV148" s="147">
        <f t="shared" si="1468"/>
        <v>2E-3</v>
      </c>
      <c r="TW148" s="147">
        <f t="shared" si="1468"/>
        <v>2E-3</v>
      </c>
      <c r="TX148" s="147">
        <f t="shared" si="1468"/>
        <v>2E-3</v>
      </c>
      <c r="TY148" s="147">
        <f t="shared" si="1468"/>
        <v>2E-3</v>
      </c>
      <c r="TZ148" s="147">
        <f t="shared" si="1468"/>
        <v>2E-3</v>
      </c>
      <c r="UA148" s="147">
        <f t="shared" si="1468"/>
        <v>2E-3</v>
      </c>
      <c r="UB148" s="147">
        <f t="shared" si="1468"/>
        <v>2E-3</v>
      </c>
      <c r="UC148" s="147">
        <f t="shared" si="1468"/>
        <v>2E-3</v>
      </c>
      <c r="UD148" s="147">
        <f t="shared" si="1468"/>
        <v>2E-3</v>
      </c>
      <c r="UE148" s="147">
        <f t="shared" si="1468"/>
        <v>2E-3</v>
      </c>
      <c r="UF148" s="147">
        <f t="shared" si="1468"/>
        <v>2E-3</v>
      </c>
      <c r="UG148" s="147">
        <f t="shared" si="1468"/>
        <v>2E-3</v>
      </c>
      <c r="UH148" s="147">
        <f t="shared" si="1468"/>
        <v>2E-3</v>
      </c>
      <c r="UI148" s="147">
        <f t="shared" si="1468"/>
        <v>2E-3</v>
      </c>
      <c r="UJ148" s="147">
        <f t="shared" si="1468"/>
        <v>2E-3</v>
      </c>
      <c r="UK148" s="147">
        <f t="shared" si="1468"/>
        <v>2E-3</v>
      </c>
      <c r="UL148" s="147">
        <f t="shared" si="1468"/>
        <v>2E-3</v>
      </c>
      <c r="UM148" s="147">
        <f t="shared" si="1468"/>
        <v>2E-3</v>
      </c>
      <c r="UN148" s="147">
        <f t="shared" si="1468"/>
        <v>2E-3</v>
      </c>
      <c r="UO148" s="147">
        <f t="shared" si="1468"/>
        <v>2E-3</v>
      </c>
      <c r="UP148" s="147">
        <f t="shared" si="1468"/>
        <v>2E-3</v>
      </c>
      <c r="UQ148" s="147">
        <f t="shared" si="1468"/>
        <v>2E-3</v>
      </c>
      <c r="UR148" s="157">
        <f t="shared" si="1468"/>
        <v>2E-3</v>
      </c>
      <c r="US148" s="157">
        <f t="shared" si="1468"/>
        <v>2E-3</v>
      </c>
      <c r="UT148" s="157">
        <f t="shared" si="1468"/>
        <v>2E-3</v>
      </c>
      <c r="UU148" s="157">
        <f t="shared" si="1468"/>
        <v>2E-3</v>
      </c>
      <c r="UV148" s="157">
        <f t="shared" si="1468"/>
        <v>2E-3</v>
      </c>
      <c r="UW148" s="157">
        <f t="shared" si="1468"/>
        <v>2E-3</v>
      </c>
      <c r="UX148" s="157">
        <f t="shared" si="1468"/>
        <v>2E-3</v>
      </c>
      <c r="UY148" s="157">
        <f t="shared" si="1468"/>
        <v>2E-3</v>
      </c>
      <c r="UZ148" s="157">
        <f t="shared" si="1468"/>
        <v>2E-3</v>
      </c>
      <c r="VA148" s="157">
        <f t="shared" si="1468"/>
        <v>2E-3</v>
      </c>
      <c r="VB148" s="157">
        <f t="shared" si="1468"/>
        <v>2E-3</v>
      </c>
      <c r="VC148" s="157">
        <f t="shared" si="1468"/>
        <v>2E-3</v>
      </c>
      <c r="VD148" s="157">
        <f t="shared" si="1468"/>
        <v>2E-3</v>
      </c>
      <c r="VE148" s="157">
        <f t="shared" si="1467"/>
        <v>2E-3</v>
      </c>
      <c r="VF148" s="157">
        <f t="shared" si="1467"/>
        <v>2E-3</v>
      </c>
      <c r="VG148" s="157">
        <f t="shared" si="1467"/>
        <v>2E-3</v>
      </c>
      <c r="VH148" s="157">
        <f t="shared" si="1467"/>
        <v>2E-3</v>
      </c>
      <c r="VI148" s="157">
        <f t="shared" si="1467"/>
        <v>2E-3</v>
      </c>
      <c r="VJ148" s="157">
        <f t="shared" si="1467"/>
        <v>2E-3</v>
      </c>
      <c r="VK148" s="157">
        <f t="shared" si="1467"/>
        <v>2E-3</v>
      </c>
      <c r="VL148" s="157">
        <f t="shared" si="1467"/>
        <v>2E-3</v>
      </c>
      <c r="VM148" s="157">
        <f t="shared" si="1467"/>
        <v>2E-3</v>
      </c>
      <c r="VN148" s="157">
        <f t="shared" si="1467"/>
        <v>2E-3</v>
      </c>
      <c r="VO148" s="157">
        <f t="shared" si="1467"/>
        <v>2E-3</v>
      </c>
      <c r="VP148" s="157">
        <f t="shared" si="1467"/>
        <v>2E-3</v>
      </c>
      <c r="VQ148" s="157">
        <f t="shared" si="1467"/>
        <v>2E-3</v>
      </c>
      <c r="VR148" s="157">
        <f t="shared" si="1467"/>
        <v>2E-3</v>
      </c>
      <c r="VS148" s="180">
        <f t="shared" si="1467"/>
        <v>2E-3</v>
      </c>
      <c r="VT148" s="157">
        <f t="shared" si="1467"/>
        <v>2E-3</v>
      </c>
      <c r="VU148" s="180">
        <f t="shared" si="1467"/>
        <v>2E-3</v>
      </c>
      <c r="VV148" s="157">
        <f t="shared" si="1467"/>
        <v>2E-3</v>
      </c>
      <c r="VW148" s="157">
        <f t="shared" si="1467"/>
        <v>2E-3</v>
      </c>
      <c r="VX148" s="157">
        <f t="shared" si="1467"/>
        <v>2E-3</v>
      </c>
      <c r="VY148" s="157">
        <f t="shared" si="1467"/>
        <v>2E-3</v>
      </c>
      <c r="VZ148" s="180">
        <f t="shared" si="1467"/>
        <v>2E-3</v>
      </c>
      <c r="WA148" s="157">
        <f t="shared" si="1467"/>
        <v>2E-3</v>
      </c>
      <c r="WB148" s="180">
        <f t="shared" si="1467"/>
        <v>2E-3</v>
      </c>
      <c r="WC148" s="157">
        <f t="shared" si="1467"/>
        <v>2E-3</v>
      </c>
      <c r="WD148" s="157">
        <f t="shared" si="1467"/>
        <v>2E-3</v>
      </c>
      <c r="WE148" s="157">
        <f t="shared" si="1467"/>
        <v>2E-3</v>
      </c>
      <c r="WF148" s="157">
        <f t="shared" si="1467"/>
        <v>2E-3</v>
      </c>
      <c r="WG148" s="180">
        <f t="shared" si="1467"/>
        <v>2E-3</v>
      </c>
      <c r="WH148" s="157">
        <f t="shared" si="1467"/>
        <v>2E-3</v>
      </c>
      <c r="WI148" s="180">
        <f t="shared" si="1467"/>
        <v>2E-3</v>
      </c>
      <c r="WJ148" s="157">
        <f t="shared" si="1467"/>
        <v>2E-3</v>
      </c>
      <c r="WK148" s="157">
        <f t="shared" si="1467"/>
        <v>2E-3</v>
      </c>
      <c r="WL148" s="157">
        <f t="shared" si="1467"/>
        <v>2E-3</v>
      </c>
      <c r="WM148" s="157">
        <f t="shared" si="1467"/>
        <v>2E-3</v>
      </c>
      <c r="WN148" s="180">
        <f t="shared" si="1467"/>
        <v>2E-3</v>
      </c>
      <c r="WO148" s="157">
        <f t="shared" si="1467"/>
        <v>2E-3</v>
      </c>
      <c r="WP148" s="180">
        <f t="shared" si="1467"/>
        <v>2E-3</v>
      </c>
      <c r="WQ148" s="203"/>
      <c r="WR148" s="203"/>
      <c r="WS148" s="203"/>
      <c r="WT148" s="203"/>
      <c r="WU148" s="203"/>
      <c r="WV148" s="203"/>
      <c r="WW148" s="203"/>
      <c r="WX148" s="203"/>
      <c r="WY148" s="203"/>
      <c r="WZ148" s="203"/>
      <c r="XA148" s="203"/>
      <c r="XB148" s="203"/>
      <c r="XC148" s="203"/>
      <c r="XD148" s="203"/>
      <c r="XE148" s="203"/>
    </row>
    <row r="149" spans="1:696" ht="18.75" x14ac:dyDescent="0.25">
      <c r="A149" s="298"/>
      <c r="B149" s="25" t="s">
        <v>15</v>
      </c>
      <c r="BY149" s="18"/>
      <c r="BZ149" s="18"/>
      <c r="CA149" s="18"/>
      <c r="CB149" s="18"/>
      <c r="CC149" s="18"/>
      <c r="CD149" s="18"/>
      <c r="CE149" s="18"/>
      <c r="CF149" s="18"/>
      <c r="CG149" s="18"/>
      <c r="CH149" s="18"/>
      <c r="CI149" s="18"/>
      <c r="CJ149" s="18"/>
      <c r="CK149" s="18"/>
      <c r="CL149" s="18"/>
      <c r="CM149" s="18"/>
      <c r="CN149" s="18"/>
      <c r="CO149" s="18"/>
      <c r="CP149" s="18"/>
      <c r="CQ149" s="18"/>
      <c r="CR149" s="18"/>
      <c r="CS149" s="18"/>
      <c r="CT149" s="18"/>
      <c r="CU149" s="18"/>
      <c r="CV149" s="18"/>
      <c r="CW149" s="18"/>
      <c r="CX149" s="18"/>
      <c r="CY149" s="18"/>
      <c r="CZ149" s="18"/>
      <c r="DA149" s="18"/>
      <c r="DB149" s="18"/>
      <c r="DC149" s="18"/>
      <c r="DD149" s="18"/>
      <c r="DE149" s="18"/>
      <c r="DF149" s="18"/>
      <c r="DG149" s="18"/>
      <c r="DH149" s="18"/>
      <c r="DI149" s="18"/>
      <c r="DJ149" s="18"/>
      <c r="DK149" s="18"/>
      <c r="DL149" s="18"/>
      <c r="DM149" s="18"/>
      <c r="DN149" s="18"/>
      <c r="DO149" s="18"/>
      <c r="DP149" s="18"/>
      <c r="DQ149" s="18"/>
      <c r="DR149" s="18"/>
      <c r="DS149" s="18"/>
      <c r="DT149" s="18"/>
      <c r="DU149" s="18"/>
      <c r="DV149" s="18"/>
      <c r="DW149" s="18"/>
      <c r="DX149" s="18"/>
      <c r="DY149" s="18"/>
      <c r="DZ149" s="18"/>
      <c r="EA149" s="18"/>
      <c r="EB149" s="18"/>
      <c r="EC149" s="18"/>
      <c r="ED149" s="18"/>
      <c r="EE149" s="18"/>
      <c r="EF149" s="18"/>
      <c r="EG149" s="18"/>
      <c r="EH149" s="18"/>
      <c r="EI149" s="18"/>
      <c r="EJ149" s="18"/>
      <c r="EK149" s="18"/>
      <c r="EL149" s="18"/>
      <c r="EM149" s="18"/>
      <c r="EN149" s="18"/>
      <c r="EO149" s="18"/>
      <c r="EP149" s="18"/>
      <c r="EQ149" s="18"/>
      <c r="ER149" s="18"/>
      <c r="ES149" s="18"/>
      <c r="ET149" s="18"/>
      <c r="EU149" s="18"/>
      <c r="EV149" s="18"/>
      <c r="EW149" s="18"/>
      <c r="EX149" s="18"/>
      <c r="EY149" s="18"/>
      <c r="EZ149" s="18"/>
      <c r="FA149" s="18"/>
      <c r="FB149" s="18"/>
      <c r="FC149" s="18"/>
      <c r="FD149" s="18"/>
      <c r="FE149" s="18"/>
      <c r="FF149" s="18"/>
      <c r="FG149" s="18"/>
      <c r="FH149" s="18"/>
      <c r="FI149" s="18"/>
      <c r="FJ149" s="18"/>
      <c r="FK149" s="18"/>
      <c r="FL149" s="18"/>
      <c r="FM149" s="18"/>
      <c r="FN149" s="18"/>
      <c r="FO149" s="18"/>
      <c r="FP149" s="18"/>
      <c r="FQ149" s="18"/>
      <c r="FR149" s="18"/>
      <c r="FS149" s="18"/>
      <c r="FT149" s="18"/>
      <c r="FU149" s="18"/>
      <c r="FV149" s="18"/>
      <c r="FW149" s="18"/>
      <c r="FX149" s="18"/>
      <c r="FY149" s="18"/>
      <c r="FZ149" s="18"/>
      <c r="GA149" s="18"/>
      <c r="GB149" s="18"/>
      <c r="GC149" s="18"/>
      <c r="GD149" s="18"/>
      <c r="GE149" s="18"/>
      <c r="GF149" s="18"/>
      <c r="GG149" s="18"/>
      <c r="GH149" s="18"/>
      <c r="GI149" s="18"/>
      <c r="GJ149" s="18"/>
      <c r="GK149" s="18"/>
      <c r="GL149" s="18"/>
      <c r="GM149" s="18"/>
      <c r="GN149" s="18"/>
      <c r="GO149" s="18"/>
      <c r="GP149" s="18"/>
      <c r="GQ149" s="18"/>
      <c r="GR149" s="18"/>
      <c r="GS149" s="18"/>
      <c r="GT149" s="18"/>
      <c r="GU149" s="18"/>
      <c r="GV149" s="18"/>
      <c r="GW149" s="18"/>
      <c r="GX149" s="18"/>
      <c r="GY149" s="18"/>
      <c r="GZ149" s="18"/>
      <c r="HA149" s="18"/>
      <c r="HB149" s="18"/>
      <c r="HC149" s="18"/>
      <c r="HD149" s="18"/>
      <c r="HE149" s="18"/>
      <c r="HF149" s="18"/>
      <c r="HG149" s="18"/>
      <c r="HH149" s="18"/>
      <c r="HI149" s="18"/>
      <c r="HJ149" s="18"/>
      <c r="HK149" s="18"/>
      <c r="HL149" s="18"/>
      <c r="HM149" s="18"/>
      <c r="HN149" s="18"/>
      <c r="HO149" s="18"/>
      <c r="HP149" s="18"/>
      <c r="HQ149" s="18"/>
      <c r="HR149" s="18"/>
      <c r="HS149" s="18"/>
      <c r="HT149" s="18"/>
      <c r="HU149" s="18"/>
      <c r="HV149" s="18"/>
      <c r="HW149" s="18"/>
      <c r="HX149" s="18"/>
      <c r="HY149" s="18"/>
      <c r="HZ149" s="18"/>
      <c r="IA149" s="18"/>
      <c r="IB149" s="18"/>
      <c r="IC149" s="18"/>
      <c r="ID149" s="18"/>
      <c r="IE149" s="18"/>
      <c r="IF149" s="18"/>
      <c r="IG149" s="18"/>
      <c r="IH149" s="18"/>
      <c r="II149" s="18"/>
      <c r="IJ149" s="18"/>
      <c r="IK149" s="18"/>
      <c r="IL149" s="18"/>
      <c r="IM149" s="18"/>
      <c r="IN149" s="18"/>
      <c r="IO149" s="18"/>
      <c r="IP149" s="18"/>
      <c r="IQ149" s="18"/>
      <c r="IR149" s="18"/>
      <c r="IS149" s="18"/>
      <c r="IT149" s="18"/>
      <c r="IU149" s="18"/>
      <c r="IV149" s="18"/>
      <c r="IW149" s="18"/>
      <c r="IX149" s="18"/>
      <c r="IY149" s="18"/>
      <c r="IZ149" s="18"/>
      <c r="JA149" s="18"/>
      <c r="JB149" s="18"/>
      <c r="JC149" s="18"/>
      <c r="JD149" s="18"/>
      <c r="JE149" s="18"/>
      <c r="JF149" s="18"/>
      <c r="JG149" s="18"/>
      <c r="JH149" s="18"/>
      <c r="JI149" s="18"/>
      <c r="JJ149" s="18"/>
      <c r="JK149" s="18"/>
      <c r="JL149" s="18"/>
      <c r="JM149" s="18"/>
      <c r="JN149" s="18"/>
      <c r="JO149" s="18"/>
      <c r="JP149" s="18"/>
      <c r="JQ149" s="18"/>
      <c r="JR149" s="18"/>
      <c r="JS149" s="18"/>
      <c r="JT149" s="18"/>
      <c r="JU149" s="18"/>
      <c r="JV149" s="18"/>
      <c r="JW149" s="18"/>
      <c r="JX149" s="18"/>
      <c r="JY149" s="18"/>
      <c r="JZ149" s="18"/>
      <c r="KA149" s="18"/>
      <c r="KB149" s="18"/>
      <c r="KC149" s="18"/>
      <c r="KD149" s="18"/>
      <c r="KE149" s="18"/>
      <c r="KF149" s="18"/>
      <c r="KG149" s="18"/>
      <c r="KH149" s="18"/>
      <c r="KI149" s="18"/>
      <c r="KJ149" s="18"/>
      <c r="KK149" s="18"/>
      <c r="KL149" s="18"/>
      <c r="KM149" s="18"/>
      <c r="KN149" s="18"/>
      <c r="KO149" s="18"/>
      <c r="KP149" s="18"/>
      <c r="KQ149" s="18"/>
      <c r="KR149" s="18"/>
      <c r="KS149" s="18"/>
      <c r="KT149" s="18"/>
      <c r="KU149" s="18"/>
      <c r="KV149" s="18"/>
      <c r="KW149" s="18"/>
      <c r="KX149" s="18"/>
      <c r="KY149" s="18"/>
      <c r="KZ149" s="18"/>
      <c r="LA149" s="18"/>
      <c r="LB149" s="18"/>
      <c r="LC149" s="18"/>
      <c r="LD149" s="18"/>
      <c r="LE149" s="18"/>
      <c r="LF149" s="18"/>
      <c r="LG149" s="18"/>
      <c r="LH149" s="18"/>
      <c r="LI149" s="18"/>
      <c r="LJ149" s="18"/>
      <c r="LK149" s="18"/>
      <c r="LL149" s="18"/>
      <c r="LM149" s="18"/>
      <c r="LN149" s="18"/>
      <c r="LO149" s="18"/>
      <c r="LP149" s="18"/>
      <c r="LQ149" s="18"/>
      <c r="LR149" s="18"/>
      <c r="LS149" s="18"/>
      <c r="LT149" s="18"/>
      <c r="LU149" s="18"/>
      <c r="LV149" s="18"/>
      <c r="LW149" s="18"/>
      <c r="LX149" s="18"/>
      <c r="LY149" s="18"/>
      <c r="LZ149" s="18"/>
      <c r="MA149" s="18"/>
      <c r="MB149" s="18"/>
      <c r="MC149" s="18"/>
      <c r="MD149" s="18"/>
      <c r="ME149" s="18"/>
      <c r="MF149" s="18"/>
      <c r="MG149" s="18"/>
      <c r="MH149" s="18"/>
      <c r="MI149" s="18"/>
      <c r="MJ149" s="18"/>
      <c r="MK149" s="18"/>
      <c r="ML149" s="18"/>
      <c r="MM149" s="18"/>
      <c r="MN149" s="18"/>
      <c r="MO149" s="18"/>
      <c r="MP149" s="18"/>
      <c r="MQ149" s="18"/>
      <c r="MR149" s="18"/>
      <c r="MS149" s="18"/>
      <c r="MT149" s="18"/>
      <c r="MU149" s="18"/>
      <c r="MV149" s="18"/>
      <c r="MW149" s="18"/>
      <c r="MX149" s="18"/>
      <c r="MY149" s="18"/>
      <c r="MZ149" s="18"/>
      <c r="NA149" s="18"/>
      <c r="NB149" s="18"/>
      <c r="NC149" s="18"/>
      <c r="ND149" s="18"/>
      <c r="NE149" s="18"/>
      <c r="NF149" s="18"/>
      <c r="NG149" s="18"/>
      <c r="NH149" s="18"/>
      <c r="NI149" s="18"/>
      <c r="NJ149" s="18"/>
      <c r="NK149" s="18"/>
      <c r="NL149" s="18"/>
      <c r="NM149" s="18"/>
      <c r="NN149" s="18"/>
      <c r="NO149" s="18"/>
      <c r="NP149" s="18"/>
      <c r="NQ149" s="18"/>
      <c r="NR149" s="18"/>
      <c r="NS149" s="18"/>
      <c r="NT149" s="18"/>
      <c r="NU149" s="18"/>
      <c r="NV149" s="18"/>
      <c r="NW149" s="18"/>
      <c r="NX149" s="18"/>
      <c r="NY149" s="18"/>
      <c r="NZ149" s="18"/>
      <c r="OA149" s="18"/>
      <c r="OB149" s="18"/>
      <c r="OC149" s="18"/>
      <c r="OD149" s="18"/>
      <c r="OE149" s="18"/>
      <c r="OF149" s="18"/>
      <c r="OG149" s="18"/>
      <c r="OH149" s="18"/>
      <c r="OI149" s="18"/>
      <c r="OJ149" s="18"/>
      <c r="OK149" s="18"/>
      <c r="OL149" s="18"/>
      <c r="OM149" s="18"/>
      <c r="ON149" s="18"/>
      <c r="OO149" s="18"/>
      <c r="OP149" s="18"/>
      <c r="OQ149" s="18"/>
      <c r="OR149" s="18"/>
      <c r="OS149" s="18"/>
      <c r="OT149" s="18"/>
      <c r="OU149" s="18"/>
      <c r="OV149" s="18"/>
      <c r="OW149" s="18"/>
      <c r="OX149" s="18"/>
      <c r="OY149" s="18"/>
      <c r="OZ149" s="18"/>
      <c r="PA149" s="18"/>
      <c r="PB149" s="18"/>
      <c r="PC149" s="18"/>
      <c r="PD149" s="18"/>
      <c r="PE149" s="18"/>
      <c r="PF149" s="18"/>
      <c r="PG149" s="18"/>
      <c r="PH149" s="18"/>
      <c r="PI149" s="18"/>
      <c r="PJ149" s="18"/>
      <c r="PK149" s="18"/>
      <c r="PL149" s="18"/>
      <c r="PM149" s="18"/>
      <c r="PN149" s="18"/>
      <c r="PO149" s="18"/>
      <c r="PP149" s="18"/>
      <c r="PQ149" s="18"/>
      <c r="PR149" s="18"/>
      <c r="PS149" s="18"/>
      <c r="PT149" s="18"/>
      <c r="PU149" s="18"/>
      <c r="PV149" s="18"/>
      <c r="PW149" s="18"/>
      <c r="PX149" s="18"/>
      <c r="PY149" s="18"/>
      <c r="PZ149" s="18"/>
      <c r="QA149" s="18"/>
      <c r="QB149" s="18"/>
      <c r="QC149" s="18"/>
      <c r="QD149" s="18"/>
      <c r="QE149" s="18"/>
      <c r="QF149" s="18"/>
      <c r="QG149" s="18"/>
      <c r="QH149" s="18"/>
      <c r="QI149" s="18"/>
      <c r="QJ149" s="18"/>
      <c r="QK149" s="18"/>
      <c r="QL149" s="18"/>
      <c r="QM149" s="18"/>
      <c r="QN149" s="18"/>
      <c r="QO149" s="18"/>
      <c r="QP149" s="18"/>
      <c r="QQ149" s="18"/>
      <c r="QR149" s="18"/>
      <c r="QS149" s="18"/>
      <c r="QT149" s="139">
        <f t="shared" si="1460"/>
        <v>0.5</v>
      </c>
      <c r="QU149" s="110">
        <f t="shared" si="1461"/>
        <v>0.499</v>
      </c>
      <c r="QV149" s="110">
        <f t="shared" si="1462"/>
        <v>0.498002</v>
      </c>
      <c r="QW149" s="110">
        <f t="shared" si="1463"/>
        <v>0.49700599600000001</v>
      </c>
      <c r="QX149" s="110">
        <f t="shared" si="1464"/>
        <v>0.49601198400799995</v>
      </c>
      <c r="QY149" s="110">
        <f t="shared" si="1464"/>
        <v>0.495019960039984</v>
      </c>
      <c r="QZ149" s="110">
        <f t="shared" ref="QZ149:QZ156" si="1469">I32</f>
        <v>0.49402992011990399</v>
      </c>
      <c r="RA149" s="110">
        <f t="shared" ref="RA149:RA156" si="1470">J32</f>
        <v>0.49304186027966418</v>
      </c>
      <c r="RB149" s="110">
        <f t="shared" ref="RB149:RB156" si="1471">K32</f>
        <v>0.49205577655910482</v>
      </c>
      <c r="RC149" s="110">
        <f t="shared" ref="RC149:RC156" si="1472">L32</f>
        <v>0.49107166500598659</v>
      </c>
      <c r="RD149" s="110">
        <f t="shared" ref="RD149:RD156" si="1473">M32</f>
        <v>0.49008952167597458</v>
      </c>
      <c r="RE149" s="110">
        <f t="shared" ref="RE149:RE156" si="1474">N32</f>
        <v>0.48910934263262268</v>
      </c>
      <c r="RF149" s="110">
        <f t="shared" ref="RF149:RF156" si="1475">O32</f>
        <v>0.48813112394735741</v>
      </c>
      <c r="RG149" s="110">
        <f t="shared" ref="RG149:RG156" si="1476">P32</f>
        <v>0.4871548616994627</v>
      </c>
      <c r="RH149" s="110">
        <f t="shared" ref="RH149:RH156" si="1477">Q32</f>
        <v>0.4861805519760638</v>
      </c>
      <c r="RI149" s="110">
        <f t="shared" ref="RI149:RI156" si="1478">R32</f>
        <v>0.48520819087211164</v>
      </c>
      <c r="RJ149" s="110">
        <f t="shared" ref="RJ149:RJ156" si="1479">S32</f>
        <v>0.48423777449036742</v>
      </c>
      <c r="RK149" s="110">
        <f t="shared" ref="RK149:RK156" si="1480">T32</f>
        <v>0.4832692989413867</v>
      </c>
      <c r="RL149" s="110">
        <f t="shared" ref="RL149:RL156" si="1481">U32</f>
        <v>0.48230276034350389</v>
      </c>
      <c r="RM149" s="110">
        <f t="shared" ref="RM149:RM156" si="1482">V32</f>
        <v>0.48133815482281689</v>
      </c>
      <c r="RN149" s="110">
        <f t="shared" ref="RN149:RN156" si="1483">W32</f>
        <v>0.48037547851317125</v>
      </c>
      <c r="RO149" s="110">
        <f t="shared" ref="RO149:RO156" si="1484">X32</f>
        <v>0.47941472755614489</v>
      </c>
      <c r="RP149" s="110">
        <f t="shared" ref="RP149:RP156" si="1485">Y32</f>
        <v>0.47845589810103262</v>
      </c>
      <c r="RQ149" s="110">
        <f t="shared" ref="RQ149:RQ156" si="1486">Z32</f>
        <v>0.47749898630483056</v>
      </c>
      <c r="RR149" s="110">
        <f t="shared" ref="RR149:RR156" si="1487">AA32</f>
        <v>0.47654398833222095</v>
      </c>
      <c r="RS149" s="110">
        <f t="shared" ref="RS149:RS156" si="1488">AB32</f>
        <v>0.47559090035555646</v>
      </c>
      <c r="RT149" s="110">
        <f t="shared" ref="RT149:RT156" si="1489">AC32</f>
        <v>0.47463971855484532</v>
      </c>
      <c r="RU149" s="110">
        <f t="shared" ref="RU149:RU156" si="1490">AD32</f>
        <v>0.47369043911773567</v>
      </c>
      <c r="RV149" s="110">
        <f t="shared" ref="RV149:RV156" si="1491">AE32</f>
        <v>0.47274305823950019</v>
      </c>
      <c r="RW149" s="110">
        <f t="shared" ref="RW149:RW156" si="1492">AF32</f>
        <v>0.47179757212302115</v>
      </c>
      <c r="RX149" s="110">
        <f t="shared" ref="RX149:RX156" si="1493">AG32</f>
        <v>0.47085397697877512</v>
      </c>
      <c r="RY149" s="110">
        <f t="shared" ref="RY149:RY156" si="1494">AH32</f>
        <v>0.46991226902481753</v>
      </c>
      <c r="RZ149" s="110">
        <f t="shared" ref="RZ149:RZ156" si="1495">AI32</f>
        <v>0.46897244448676789</v>
      </c>
      <c r="SA149" s="110">
        <f t="shared" ref="SA149:SA156" si="1496">AJ32</f>
        <v>0.46803449959779431</v>
      </c>
      <c r="SB149" s="110">
        <f t="shared" ref="SB149:SB156" si="1497">AK32</f>
        <v>0.46709843059859874</v>
      </c>
      <c r="SC149" s="110">
        <f t="shared" ref="SC149:SC156" si="1498">AL32</f>
        <v>0.46616423373740151</v>
      </c>
      <c r="SD149" s="110">
        <f t="shared" ref="SD149:SD156" si="1499">AM32</f>
        <v>0.46523190526992669</v>
      </c>
      <c r="SE149" s="110">
        <f t="shared" ref="SE149:SE156" si="1500">AN32</f>
        <v>0.4643014414593869</v>
      </c>
      <c r="SF149" s="110">
        <f t="shared" ref="SF149:SF156" si="1501">AO32</f>
        <v>0.4633728385764681</v>
      </c>
      <c r="SG149" s="110">
        <f t="shared" ref="SG149:SG156" si="1502">AP32</f>
        <v>0.46244609289931515</v>
      </c>
      <c r="SH149" s="110">
        <f t="shared" ref="SH149:SH156" si="1503">AQ32</f>
        <v>0.46152120071351654</v>
      </c>
      <c r="SI149" s="110">
        <f t="shared" ref="SI149:SI156" si="1504">AR32</f>
        <v>0.4605981583120895</v>
      </c>
      <c r="SJ149" s="110">
        <f t="shared" ref="SJ149:SJ156" si="1505">AS32</f>
        <v>0.45967696199546532</v>
      </c>
      <c r="SK149" s="110">
        <f t="shared" ref="SK149:SK156" si="1506">AT32</f>
        <v>0.45875760807147442</v>
      </c>
      <c r="SL149" s="110">
        <f t="shared" ref="SL149:SL156" si="1507">AU32</f>
        <v>0.4578400928553315</v>
      </c>
      <c r="SM149" s="110">
        <f t="shared" ref="SM149:SM156" si="1508">AV32</f>
        <v>0.45692441266962086</v>
      </c>
      <c r="SN149" s="110">
        <f t="shared" ref="SN149:SN156" si="1509">AW32</f>
        <v>0.45601056384428162</v>
      </c>
      <c r="SO149" s="110">
        <f t="shared" ref="SO149:SO156" si="1510">AX32</f>
        <v>0.45509854271659306</v>
      </c>
      <c r="SP149" s="110">
        <f t="shared" ref="SP149:SP156" si="1511">AY32</f>
        <v>0.45418834563115984</v>
      </c>
      <c r="SQ149" s="110">
        <f t="shared" ref="SQ149:SQ156" si="1512">AZ32</f>
        <v>0.45327996893989753</v>
      </c>
      <c r="SR149" s="110">
        <f t="shared" ref="SR149:SR156" si="1513">BA32</f>
        <v>0.45237340900201772</v>
      </c>
      <c r="SS149" s="148">
        <f t="shared" si="1468"/>
        <v>0.45146866218401371</v>
      </c>
      <c r="ST149" s="148">
        <f t="shared" si="1468"/>
        <v>0.45056572485964563</v>
      </c>
      <c r="SU149" s="148">
        <f t="shared" si="1468"/>
        <v>0.44966459340992637</v>
      </c>
      <c r="SV149" s="148">
        <f t="shared" si="1468"/>
        <v>0.44876526422310653</v>
      </c>
      <c r="SW149" s="148">
        <f t="shared" si="1468"/>
        <v>0.44786773369466026</v>
      </c>
      <c r="SX149" s="148">
        <f t="shared" si="1468"/>
        <v>0.44697199822727096</v>
      </c>
      <c r="SY149" s="148">
        <f t="shared" si="1468"/>
        <v>0.44607805423081642</v>
      </c>
      <c r="SZ149" s="148">
        <f t="shared" si="1468"/>
        <v>0.44518589812235482</v>
      </c>
      <c r="TA149" s="148">
        <f t="shared" si="1468"/>
        <v>0.44429552632611008</v>
      </c>
      <c r="TB149" s="148">
        <f t="shared" si="1468"/>
        <v>0.44340693527345787</v>
      </c>
      <c r="TC149" s="148">
        <f t="shared" si="1468"/>
        <v>0.44252012140291097</v>
      </c>
      <c r="TD149" s="148">
        <f t="shared" si="1468"/>
        <v>0.44163508116010514</v>
      </c>
      <c r="TE149" s="148">
        <f t="shared" si="1468"/>
        <v>0.44075181099778493</v>
      </c>
      <c r="TF149" s="148">
        <f t="shared" si="1468"/>
        <v>0.4398703073757893</v>
      </c>
      <c r="TG149" s="148">
        <f t="shared" si="1468"/>
        <v>0.4389905667610377</v>
      </c>
      <c r="TH149" s="148">
        <f t="shared" si="1468"/>
        <v>0.43811258562751565</v>
      </c>
      <c r="TI149" s="148">
        <f t="shared" si="1468"/>
        <v>0.43723636045626058</v>
      </c>
      <c r="TJ149" s="148">
        <f t="shared" si="1468"/>
        <v>0.43636188773534806</v>
      </c>
      <c r="TK149" s="148">
        <f t="shared" si="1468"/>
        <v>0.4354891639598773</v>
      </c>
      <c r="TL149" s="148">
        <f t="shared" si="1468"/>
        <v>0.43461818563195753</v>
      </c>
      <c r="TM149" s="148">
        <f t="shared" si="1468"/>
        <v>0.43374894926069363</v>
      </c>
      <c r="TN149" s="148">
        <f t="shared" si="1468"/>
        <v>0.43288145136217226</v>
      </c>
      <c r="TO149" s="148">
        <f t="shared" si="1468"/>
        <v>0.43201568845944793</v>
      </c>
      <c r="TP149" s="148">
        <f t="shared" si="1468"/>
        <v>0.43115165708252906</v>
      </c>
      <c r="TQ149" s="148">
        <f t="shared" si="1468"/>
        <v>0.43028935376836397</v>
      </c>
      <c r="TR149" s="148">
        <f t="shared" si="1468"/>
        <v>0.42942877506082727</v>
      </c>
      <c r="TS149" s="148">
        <f t="shared" si="1468"/>
        <v>0.42856991751070567</v>
      </c>
      <c r="TT149" s="148">
        <f t="shared" si="1468"/>
        <v>0.42771277767568422</v>
      </c>
      <c r="TU149" s="148">
        <f t="shared" si="1468"/>
        <v>0.42685735212033288</v>
      </c>
      <c r="TV149" s="148">
        <f t="shared" si="1468"/>
        <v>0.42600363741609221</v>
      </c>
      <c r="TW149" s="148">
        <f t="shared" si="1468"/>
        <v>0.42515163014126001</v>
      </c>
      <c r="TX149" s="148">
        <f t="shared" si="1468"/>
        <v>0.42430132688097749</v>
      </c>
      <c r="TY149" s="148">
        <f t="shared" si="1468"/>
        <v>0.42345272422721553</v>
      </c>
      <c r="TZ149" s="148">
        <f t="shared" si="1468"/>
        <v>0.42260581877876108</v>
      </c>
      <c r="UA149" s="148">
        <f t="shared" si="1468"/>
        <v>0.42176060714120361</v>
      </c>
      <c r="UB149" s="148">
        <f t="shared" si="1468"/>
        <v>0.42091708592692118</v>
      </c>
      <c r="UC149" s="148">
        <f t="shared" si="1468"/>
        <v>0.42007525175506732</v>
      </c>
      <c r="UD149" s="148">
        <f t="shared" si="1468"/>
        <v>0.41923510125155722</v>
      </c>
      <c r="UE149" s="148">
        <f t="shared" si="1468"/>
        <v>0.41839663104905406</v>
      </c>
      <c r="UF149" s="148">
        <f t="shared" si="1468"/>
        <v>0.41755983778695593</v>
      </c>
      <c r="UG149" s="148">
        <f t="shared" si="1468"/>
        <v>0.41672471811138201</v>
      </c>
      <c r="UH149" s="148">
        <f t="shared" si="1468"/>
        <v>0.4158912686751593</v>
      </c>
      <c r="UI149" s="148">
        <f t="shared" si="1468"/>
        <v>0.41505948613780896</v>
      </c>
      <c r="UJ149" s="148">
        <f t="shared" si="1468"/>
        <v>0.41422936716553338</v>
      </c>
      <c r="UK149" s="148">
        <f t="shared" si="1468"/>
        <v>0.41340090843120225</v>
      </c>
      <c r="UL149" s="148">
        <f t="shared" si="1468"/>
        <v>0.41257410661433985</v>
      </c>
      <c r="UM149" s="148">
        <f t="shared" si="1468"/>
        <v>0.4117489584011112</v>
      </c>
      <c r="UN149" s="148">
        <f t="shared" si="1468"/>
        <v>0.41092546048430895</v>
      </c>
      <c r="UO149" s="148">
        <f t="shared" si="1468"/>
        <v>0.4101036095633403</v>
      </c>
      <c r="UP149" s="148">
        <f t="shared" si="1468"/>
        <v>0.40928340234421362</v>
      </c>
      <c r="UQ149" s="148">
        <f t="shared" si="1468"/>
        <v>0.40846483553952517</v>
      </c>
      <c r="UR149" s="158">
        <f t="shared" si="1468"/>
        <v>0.40764790586844613</v>
      </c>
      <c r="US149" s="158">
        <f t="shared" si="1468"/>
        <v>0.40683261005670923</v>
      </c>
      <c r="UT149" s="158">
        <f t="shared" si="1468"/>
        <v>0.40601894483659579</v>
      </c>
      <c r="UU149" s="158">
        <f t="shared" si="1468"/>
        <v>0.40520690694692257</v>
      </c>
      <c r="UV149" s="158">
        <f t="shared" si="1468"/>
        <v>0.40439649313302872</v>
      </c>
      <c r="UW149" s="158">
        <f t="shared" si="1468"/>
        <v>0.40358770014676271</v>
      </c>
      <c r="UX149" s="158">
        <f t="shared" si="1468"/>
        <v>0.40278052474646914</v>
      </c>
      <c r="UY149" s="158">
        <f t="shared" si="1468"/>
        <v>0.40197496369697622</v>
      </c>
      <c r="UZ149" s="158">
        <f t="shared" si="1468"/>
        <v>0.40117101376958225</v>
      </c>
      <c r="VA149" s="158">
        <f t="shared" si="1468"/>
        <v>0.4003686717420431</v>
      </c>
      <c r="VB149" s="158">
        <f t="shared" si="1468"/>
        <v>0.39956793439855903</v>
      </c>
      <c r="VC149" s="158">
        <f t="shared" si="1468"/>
        <v>0.39876879852976194</v>
      </c>
      <c r="VD149" s="158">
        <f t="shared" si="1468"/>
        <v>0.39797126093270235</v>
      </c>
      <c r="VE149" s="158">
        <f t="shared" si="1467"/>
        <v>0.39717531841083697</v>
      </c>
      <c r="VF149" s="158">
        <f t="shared" si="1467"/>
        <v>0.39638096777401532</v>
      </c>
      <c r="VG149" s="158">
        <f t="shared" si="1467"/>
        <v>0.39558820583846727</v>
      </c>
      <c r="VH149" s="158">
        <f t="shared" si="1467"/>
        <v>0.39479702942679035</v>
      </c>
      <c r="VI149" s="158">
        <f t="shared" si="1467"/>
        <v>0.39400743536793675</v>
      </c>
      <c r="VJ149" s="158">
        <f t="shared" si="1467"/>
        <v>0.39321942049720088</v>
      </c>
      <c r="VK149" s="158">
        <f t="shared" si="1467"/>
        <v>0.39243298165620649</v>
      </c>
      <c r="VL149" s="158">
        <f t="shared" si="1467"/>
        <v>0.39164811569289409</v>
      </c>
      <c r="VM149" s="158">
        <f t="shared" si="1467"/>
        <v>0.39086481946150825</v>
      </c>
      <c r="VN149" s="158">
        <f t="shared" si="1467"/>
        <v>0.39008308982258527</v>
      </c>
      <c r="VO149" s="158">
        <f t="shared" si="1467"/>
        <v>0.38930292364294006</v>
      </c>
      <c r="VP149" s="158">
        <f t="shared" si="1467"/>
        <v>0.38852431779565422</v>
      </c>
      <c r="VQ149" s="158">
        <f t="shared" si="1467"/>
        <v>0.38774726916006291</v>
      </c>
      <c r="VR149" s="158">
        <f t="shared" si="1467"/>
        <v>0.38697177462174281</v>
      </c>
      <c r="VS149" s="158">
        <f t="shared" si="1467"/>
        <v>0.33782635924478144</v>
      </c>
      <c r="VT149" s="158">
        <f t="shared" si="1467"/>
        <v>0.33715070652629187</v>
      </c>
      <c r="VU149" s="158">
        <f t="shared" si="1467"/>
        <v>0.28831201846662613</v>
      </c>
      <c r="VV149" s="158">
        <f t="shared" si="1467"/>
        <v>0.28773539442969287</v>
      </c>
      <c r="VW149" s="158">
        <f t="shared" si="1467"/>
        <v>0.28715992364083348</v>
      </c>
      <c r="VX149" s="158">
        <f t="shared" si="1467"/>
        <v>0.2865856037935518</v>
      </c>
      <c r="VY149" s="158">
        <f t="shared" si="1467"/>
        <v>0.2860124325859647</v>
      </c>
      <c r="VZ149" s="158">
        <f t="shared" si="1467"/>
        <v>0.23777166895646529</v>
      </c>
      <c r="WA149" s="158">
        <f t="shared" si="1467"/>
        <v>0.23729612561855234</v>
      </c>
      <c r="WB149" s="158">
        <f t="shared" si="1467"/>
        <v>0.18936230824360475</v>
      </c>
      <c r="WC149" s="158">
        <f t="shared" si="1467"/>
        <v>0.18898358362711756</v>
      </c>
      <c r="WD149" s="158">
        <f t="shared" si="1467"/>
        <v>0.18860561645986332</v>
      </c>
      <c r="WE149" s="158">
        <f t="shared" si="1467"/>
        <v>0.18822840522694359</v>
      </c>
      <c r="WF149" s="158">
        <f t="shared" si="1467"/>
        <v>0.18785194841648972</v>
      </c>
      <c r="WG149" s="158">
        <f t="shared" si="1467"/>
        <v>0.1405132574155343</v>
      </c>
      <c r="WH149" s="158">
        <f t="shared" si="1467"/>
        <v>0.14023223090070322</v>
      </c>
      <c r="WI149" s="158">
        <f t="shared" si="1467"/>
        <v>9.320768947200074E-2</v>
      </c>
      <c r="WJ149" s="158">
        <f t="shared" si="1467"/>
        <v>9.302127409305673E-2</v>
      </c>
      <c r="WK149" s="158">
        <f t="shared" si="1467"/>
        <v>9.2835231544870625E-2</v>
      </c>
      <c r="WL149" s="158">
        <f t="shared" si="1467"/>
        <v>9.2649561081780893E-2</v>
      </c>
      <c r="WM149" s="158">
        <f t="shared" si="1467"/>
        <v>9.2464261959617336E-2</v>
      </c>
      <c r="WN149" s="158">
        <f t="shared" si="1467"/>
        <v>4.6047202455889426E-2</v>
      </c>
      <c r="WO149" s="158">
        <f t="shared" si="1467"/>
        <v>4.5955108050977654E-2</v>
      </c>
      <c r="WP149" s="158">
        <f t="shared" si="1467"/>
        <v>-9.1910216101958044E-5</v>
      </c>
      <c r="WQ149" s="203"/>
      <c r="WR149" s="203"/>
      <c r="WS149" s="203"/>
      <c r="WT149" s="203"/>
      <c r="WU149" s="203"/>
      <c r="WV149" s="203"/>
      <c r="WW149" s="203"/>
      <c r="WX149" s="203"/>
      <c r="WY149" s="203"/>
      <c r="WZ149" s="203"/>
      <c r="XA149" s="203"/>
      <c r="XB149" s="203"/>
      <c r="XC149" s="203"/>
      <c r="XD149" s="203"/>
      <c r="XE149" s="203"/>
    </row>
    <row r="150" spans="1:696" ht="18.75" x14ac:dyDescent="0.25">
      <c r="A150" s="298"/>
      <c r="B150" s="25" t="s">
        <v>10</v>
      </c>
      <c r="BY150" s="18"/>
      <c r="BZ150" s="18"/>
      <c r="CA150" s="18"/>
      <c r="CB150" s="18"/>
      <c r="CC150" s="18"/>
      <c r="CD150" s="18"/>
      <c r="CE150" s="18"/>
      <c r="CF150" s="18"/>
      <c r="CG150" s="18"/>
      <c r="CH150" s="18"/>
      <c r="CI150" s="18"/>
      <c r="CJ150" s="18"/>
      <c r="CK150" s="18"/>
      <c r="CL150" s="18"/>
      <c r="CM150" s="18"/>
      <c r="CN150" s="18"/>
      <c r="CO150" s="18"/>
      <c r="CP150" s="18"/>
      <c r="CQ150" s="18"/>
      <c r="CR150" s="18"/>
      <c r="CS150" s="18"/>
      <c r="CT150" s="18"/>
      <c r="CU150" s="18"/>
      <c r="CV150" s="18"/>
      <c r="CW150" s="18"/>
      <c r="CX150" s="18"/>
      <c r="CY150" s="18"/>
      <c r="CZ150" s="18"/>
      <c r="DA150" s="18"/>
      <c r="DB150" s="18"/>
      <c r="DC150" s="18"/>
      <c r="DD150" s="18"/>
      <c r="DE150" s="18"/>
      <c r="DF150" s="18"/>
      <c r="DG150" s="18"/>
      <c r="DH150" s="18"/>
      <c r="DI150" s="18"/>
      <c r="DJ150" s="18"/>
      <c r="DK150" s="18"/>
      <c r="DL150" s="18"/>
      <c r="DM150" s="18"/>
      <c r="DN150" s="18"/>
      <c r="DO150" s="18"/>
      <c r="DP150" s="18"/>
      <c r="DQ150" s="18"/>
      <c r="DR150" s="18"/>
      <c r="DS150" s="18"/>
      <c r="DT150" s="18"/>
      <c r="DU150" s="18"/>
      <c r="DV150" s="18"/>
      <c r="DW150" s="18"/>
      <c r="DX150" s="18"/>
      <c r="DY150" s="18"/>
      <c r="DZ150" s="18"/>
      <c r="EA150" s="18"/>
      <c r="EB150" s="18"/>
      <c r="EC150" s="18"/>
      <c r="ED150" s="18"/>
      <c r="EE150" s="18"/>
      <c r="EF150" s="18"/>
      <c r="EG150" s="18"/>
      <c r="EH150" s="18"/>
      <c r="EI150" s="18"/>
      <c r="EJ150" s="18"/>
      <c r="EK150" s="18"/>
      <c r="EL150" s="18"/>
      <c r="EM150" s="18"/>
      <c r="EN150" s="18"/>
      <c r="EO150" s="18"/>
      <c r="EP150" s="18"/>
      <c r="EQ150" s="18"/>
      <c r="ER150" s="18"/>
      <c r="ES150" s="18"/>
      <c r="ET150" s="18"/>
      <c r="EU150" s="18"/>
      <c r="EV150" s="18"/>
      <c r="EW150" s="18"/>
      <c r="EX150" s="18"/>
      <c r="EY150" s="18"/>
      <c r="EZ150" s="18"/>
      <c r="FA150" s="18"/>
      <c r="FB150" s="18"/>
      <c r="FC150" s="18"/>
      <c r="FD150" s="18"/>
      <c r="FE150" s="18"/>
      <c r="FF150" s="18"/>
      <c r="FG150" s="18"/>
      <c r="FH150" s="18"/>
      <c r="FI150" s="18"/>
      <c r="FJ150" s="18"/>
      <c r="FK150" s="18"/>
      <c r="FL150" s="18"/>
      <c r="FM150" s="18"/>
      <c r="FN150" s="18"/>
      <c r="FO150" s="18"/>
      <c r="FP150" s="18"/>
      <c r="FQ150" s="18"/>
      <c r="FR150" s="18"/>
      <c r="FS150" s="18"/>
      <c r="FT150" s="18"/>
      <c r="FU150" s="18"/>
      <c r="FV150" s="18"/>
      <c r="FW150" s="18"/>
      <c r="FX150" s="18"/>
      <c r="FY150" s="18"/>
      <c r="FZ150" s="18"/>
      <c r="GA150" s="18"/>
      <c r="GB150" s="18"/>
      <c r="GC150" s="18"/>
      <c r="GD150" s="18"/>
      <c r="GE150" s="18"/>
      <c r="GF150" s="18"/>
      <c r="GG150" s="18"/>
      <c r="GH150" s="18"/>
      <c r="GI150" s="18"/>
      <c r="GJ150" s="18"/>
      <c r="GK150" s="18"/>
      <c r="GL150" s="18"/>
      <c r="GM150" s="18"/>
      <c r="GN150" s="18"/>
      <c r="GO150" s="18"/>
      <c r="GP150" s="18"/>
      <c r="GQ150" s="18"/>
      <c r="GR150" s="18"/>
      <c r="GS150" s="18"/>
      <c r="GT150" s="18"/>
      <c r="GU150" s="18"/>
      <c r="GV150" s="18"/>
      <c r="GW150" s="18"/>
      <c r="GX150" s="18"/>
      <c r="GY150" s="18"/>
      <c r="GZ150" s="18"/>
      <c r="HA150" s="18"/>
      <c r="HB150" s="18"/>
      <c r="HC150" s="18"/>
      <c r="HD150" s="18"/>
      <c r="HE150" s="18"/>
      <c r="HF150" s="18"/>
      <c r="HG150" s="18"/>
      <c r="HH150" s="18"/>
      <c r="HI150" s="18"/>
      <c r="HJ150" s="18"/>
      <c r="HK150" s="18"/>
      <c r="HL150" s="18"/>
      <c r="HM150" s="18"/>
      <c r="HN150" s="18"/>
      <c r="HO150" s="18"/>
      <c r="HP150" s="18"/>
      <c r="HQ150" s="18"/>
      <c r="HR150" s="18"/>
      <c r="HS150" s="18"/>
      <c r="HT150" s="18"/>
      <c r="HU150" s="18"/>
      <c r="HV150" s="18"/>
      <c r="HW150" s="18"/>
      <c r="HX150" s="18"/>
      <c r="HY150" s="18"/>
      <c r="HZ150" s="18"/>
      <c r="IA150" s="18"/>
      <c r="IB150" s="18"/>
      <c r="IC150" s="18"/>
      <c r="ID150" s="18"/>
      <c r="IE150" s="18"/>
      <c r="IF150" s="18"/>
      <c r="IG150" s="18"/>
      <c r="IH150" s="18"/>
      <c r="II150" s="18"/>
      <c r="IJ150" s="18"/>
      <c r="IK150" s="18"/>
      <c r="IL150" s="18"/>
      <c r="IM150" s="18"/>
      <c r="IN150" s="18"/>
      <c r="IO150" s="18"/>
      <c r="IP150" s="18"/>
      <c r="IQ150" s="18"/>
      <c r="IR150" s="18"/>
      <c r="IS150" s="18"/>
      <c r="IT150" s="18"/>
      <c r="IU150" s="18"/>
      <c r="IV150" s="18"/>
      <c r="IW150" s="18"/>
      <c r="IX150" s="18"/>
      <c r="IY150" s="18"/>
      <c r="IZ150" s="18"/>
      <c r="JA150" s="18"/>
      <c r="JB150" s="18"/>
      <c r="JC150" s="18"/>
      <c r="JD150" s="18"/>
      <c r="JE150" s="18"/>
      <c r="JF150" s="18"/>
      <c r="JG150" s="18"/>
      <c r="JH150" s="18"/>
      <c r="JI150" s="18"/>
      <c r="JJ150" s="18"/>
      <c r="JK150" s="18"/>
      <c r="JL150" s="18"/>
      <c r="JM150" s="18"/>
      <c r="JN150" s="18"/>
      <c r="JO150" s="18"/>
      <c r="JP150" s="18"/>
      <c r="JQ150" s="18"/>
      <c r="JR150" s="18"/>
      <c r="JS150" s="18"/>
      <c r="JT150" s="18"/>
      <c r="JU150" s="18"/>
      <c r="JV150" s="18"/>
      <c r="JW150" s="18"/>
      <c r="JX150" s="18"/>
      <c r="JY150" s="18"/>
      <c r="JZ150" s="18"/>
      <c r="KA150" s="18"/>
      <c r="KB150" s="18"/>
      <c r="KC150" s="18"/>
      <c r="KD150" s="18"/>
      <c r="KE150" s="18"/>
      <c r="KF150" s="18"/>
      <c r="KG150" s="18"/>
      <c r="KH150" s="18"/>
      <c r="KI150" s="18"/>
      <c r="KJ150" s="18"/>
      <c r="KK150" s="18"/>
      <c r="KL150" s="18"/>
      <c r="KM150" s="18"/>
      <c r="KN150" s="18"/>
      <c r="KO150" s="18"/>
      <c r="KP150" s="18"/>
      <c r="KQ150" s="18"/>
      <c r="KR150" s="18"/>
      <c r="KS150" s="18"/>
      <c r="KT150" s="18"/>
      <c r="KU150" s="18"/>
      <c r="KV150" s="18"/>
      <c r="KW150" s="18"/>
      <c r="KX150" s="18"/>
      <c r="KY150" s="18"/>
      <c r="KZ150" s="18"/>
      <c r="LA150" s="18"/>
      <c r="LB150" s="18"/>
      <c r="LC150" s="18"/>
      <c r="LD150" s="18"/>
      <c r="LE150" s="18"/>
      <c r="LF150" s="18"/>
      <c r="LG150" s="18"/>
      <c r="LH150" s="18"/>
      <c r="LI150" s="18"/>
      <c r="LJ150" s="18"/>
      <c r="LK150" s="18"/>
      <c r="LL150" s="18"/>
      <c r="LM150" s="18"/>
      <c r="LN150" s="18"/>
      <c r="LO150" s="18"/>
      <c r="LP150" s="18"/>
      <c r="LQ150" s="18"/>
      <c r="LR150" s="18"/>
      <c r="LS150" s="18"/>
      <c r="LT150" s="18"/>
      <c r="LU150" s="18"/>
      <c r="LV150" s="18"/>
      <c r="LW150" s="18"/>
      <c r="LX150" s="18"/>
      <c r="LY150" s="18"/>
      <c r="LZ150" s="18"/>
      <c r="MA150" s="18"/>
      <c r="MB150" s="18"/>
      <c r="MC150" s="18"/>
      <c r="MD150" s="18"/>
      <c r="ME150" s="18"/>
      <c r="MF150" s="18"/>
      <c r="MG150" s="18"/>
      <c r="MH150" s="18"/>
      <c r="MI150" s="18"/>
      <c r="MJ150" s="18"/>
      <c r="MK150" s="18"/>
      <c r="ML150" s="18"/>
      <c r="MM150" s="18"/>
      <c r="MN150" s="18"/>
      <c r="MO150" s="18"/>
      <c r="MP150" s="18"/>
      <c r="MQ150" s="18"/>
      <c r="MR150" s="18"/>
      <c r="MS150" s="18"/>
      <c r="MT150" s="18"/>
      <c r="MU150" s="18"/>
      <c r="MV150" s="18"/>
      <c r="MW150" s="18"/>
      <c r="MX150" s="18"/>
      <c r="MY150" s="18"/>
      <c r="MZ150" s="18"/>
      <c r="NA150" s="18"/>
      <c r="NB150" s="18"/>
      <c r="NC150" s="18"/>
      <c r="ND150" s="18"/>
      <c r="NE150" s="18"/>
      <c r="NF150" s="18"/>
      <c r="NG150" s="18"/>
      <c r="NH150" s="18"/>
      <c r="NI150" s="18"/>
      <c r="NJ150" s="18"/>
      <c r="NK150" s="18"/>
      <c r="NL150" s="18"/>
      <c r="NM150" s="18"/>
      <c r="NN150" s="18"/>
      <c r="NO150" s="18"/>
      <c r="NP150" s="18"/>
      <c r="NQ150" s="18"/>
      <c r="NR150" s="18"/>
      <c r="NS150" s="18"/>
      <c r="NT150" s="18"/>
      <c r="NU150" s="18"/>
      <c r="NV150" s="18"/>
      <c r="NW150" s="18"/>
      <c r="NX150" s="18"/>
      <c r="NY150" s="18"/>
      <c r="NZ150" s="18"/>
      <c r="OA150" s="18"/>
      <c r="OB150" s="18"/>
      <c r="OC150" s="18"/>
      <c r="OD150" s="18"/>
      <c r="OE150" s="18"/>
      <c r="OF150" s="18"/>
      <c r="OG150" s="18"/>
      <c r="OH150" s="18"/>
      <c r="OI150" s="18"/>
      <c r="OJ150" s="18"/>
      <c r="OK150" s="18"/>
      <c r="OL150" s="18"/>
      <c r="OM150" s="18"/>
      <c r="ON150" s="18"/>
      <c r="OO150" s="18"/>
      <c r="OP150" s="18"/>
      <c r="OQ150" s="18"/>
      <c r="OR150" s="18"/>
      <c r="OS150" s="18"/>
      <c r="OT150" s="18"/>
      <c r="OU150" s="18"/>
      <c r="OV150" s="18"/>
      <c r="OW150" s="18"/>
      <c r="OX150" s="18"/>
      <c r="OY150" s="18"/>
      <c r="OZ150" s="18"/>
      <c r="PA150" s="18"/>
      <c r="PB150" s="18"/>
      <c r="PC150" s="18"/>
      <c r="PD150" s="18"/>
      <c r="PE150" s="18"/>
      <c r="PF150" s="18"/>
      <c r="PG150" s="18"/>
      <c r="PH150" s="18"/>
      <c r="PI150" s="18"/>
      <c r="PJ150" s="18"/>
      <c r="PK150" s="18"/>
      <c r="PL150" s="18"/>
      <c r="PM150" s="18"/>
      <c r="PN150" s="18"/>
      <c r="PO150" s="18"/>
      <c r="PP150" s="18"/>
      <c r="PQ150" s="18"/>
      <c r="PR150" s="18"/>
      <c r="PS150" s="18"/>
      <c r="PT150" s="18"/>
      <c r="PU150" s="18"/>
      <c r="PV150" s="18"/>
      <c r="PW150" s="18"/>
      <c r="PX150" s="18"/>
      <c r="PY150" s="18"/>
      <c r="PZ150" s="18"/>
      <c r="QA150" s="18"/>
      <c r="QB150" s="18"/>
      <c r="QC150" s="18"/>
      <c r="QD150" s="18"/>
      <c r="QE150" s="18"/>
      <c r="QF150" s="18"/>
      <c r="QG150" s="18"/>
      <c r="QH150" s="18"/>
      <c r="QI150" s="18"/>
      <c r="QJ150" s="18"/>
      <c r="QK150" s="18"/>
      <c r="QL150" s="18"/>
      <c r="QM150" s="18"/>
      <c r="QN150" s="18"/>
      <c r="QO150" s="18"/>
      <c r="QP150" s="18"/>
      <c r="QQ150" s="18"/>
      <c r="QR150" s="18"/>
      <c r="QS150" s="18"/>
      <c r="QT150" s="122">
        <f t="shared" si="1460"/>
        <v>0.01</v>
      </c>
      <c r="QU150" s="115">
        <f t="shared" si="1461"/>
        <v>1.1005582593758946E-2</v>
      </c>
      <c r="QV150" s="115">
        <f t="shared" si="1462"/>
        <v>1.2106377159660616E-2</v>
      </c>
      <c r="QW150" s="115">
        <f t="shared" si="1463"/>
        <v>1.329177463494996E-2</v>
      </c>
      <c r="QX150" s="115">
        <f t="shared" ref="QX150:QX156" si="1514">G33</f>
        <v>1.4588567329531619E-2</v>
      </c>
      <c r="QY150" s="115">
        <f t="shared" ref="QY150:QY156" si="1515">H33</f>
        <v>1.6001621613287186E-2</v>
      </c>
      <c r="QZ150" s="115">
        <f t="shared" si="1469"/>
        <v>1.7513764350912106E-2</v>
      </c>
      <c r="RA150" s="115">
        <f t="shared" si="1470"/>
        <v>1.9159726586917943E-2</v>
      </c>
      <c r="RB150" s="115">
        <f t="shared" si="1471"/>
        <v>2.0916842913967924E-2</v>
      </c>
      <c r="RC150" s="115">
        <f t="shared" si="1472"/>
        <v>2.2820893014488763E-2</v>
      </c>
      <c r="RD150" s="115">
        <f t="shared" si="1473"/>
        <v>2.4875013679153523E-2</v>
      </c>
      <c r="RE150" s="115">
        <f t="shared" si="1474"/>
        <v>2.7051785083274507E-2</v>
      </c>
      <c r="RF150" s="115">
        <f t="shared" si="1475"/>
        <v>2.9391936164292577E-2</v>
      </c>
      <c r="RG150" s="115">
        <f t="shared" si="1476"/>
        <v>3.1863875340368962E-2</v>
      </c>
      <c r="RH150" s="115">
        <f t="shared" si="1477"/>
        <v>3.4512306780663762E-2</v>
      </c>
      <c r="RI150" s="115">
        <f t="shared" si="1478"/>
        <v>3.7295557327491485E-2</v>
      </c>
      <c r="RJ150" s="115">
        <f t="shared" si="1479"/>
        <v>4.026107129173058E-2</v>
      </c>
      <c r="RK150" s="115">
        <f t="shared" si="1480"/>
        <v>4.3360342612975861E-2</v>
      </c>
      <c r="RL150" s="115">
        <f t="shared" si="1481"/>
        <v>4.664991913528866E-2</v>
      </c>
      <c r="RM150" s="115">
        <f t="shared" si="1482"/>
        <v>5.0082638009534913E-2</v>
      </c>
      <c r="RN150" s="115">
        <f t="shared" si="1483"/>
        <v>5.3713064706430995E-2</v>
      </c>
      <c r="RO150" s="115">
        <f t="shared" si="1484"/>
        <v>5.7488794243371416E-2</v>
      </c>
      <c r="RP150" s="115">
        <f t="shared" si="1485"/>
        <v>6.1459039321378257E-2</v>
      </c>
      <c r="RQ150" s="115">
        <f t="shared" si="1486"/>
        <v>6.5573850206895934E-2</v>
      </c>
      <c r="RR150" s="115">
        <f t="shared" si="1487"/>
        <v>6.9894468866911849E-2</v>
      </c>
      <c r="RS150" s="115">
        <f t="shared" si="1488"/>
        <v>7.4436102539565979E-2</v>
      </c>
      <c r="RT150" s="115">
        <f t="shared" si="1489"/>
        <v>7.9133861530936309E-2</v>
      </c>
      <c r="RU150" s="115">
        <f t="shared" si="1490"/>
        <v>8.405709402530856E-2</v>
      </c>
      <c r="RV150" s="115">
        <f t="shared" si="1491"/>
        <v>8.9135398951392567E-2</v>
      </c>
      <c r="RW150" s="115">
        <f t="shared" si="1492"/>
        <v>9.4441702908772407E-2</v>
      </c>
      <c r="RX150" s="115">
        <f t="shared" si="1493"/>
        <v>9.9980397615493405E-2</v>
      </c>
      <c r="RY150" s="115">
        <f t="shared" si="1494"/>
        <v>0.10567182625033895</v>
      </c>
      <c r="RZ150" s="115">
        <f t="shared" si="1495"/>
        <v>0.11159516930349321</v>
      </c>
      <c r="SA150" s="115">
        <f t="shared" si="1496"/>
        <v>0.11775330649604171</v>
      </c>
      <c r="SB150" s="115">
        <f t="shared" si="1497"/>
        <v>0.12405730544100586</v>
      </c>
      <c r="SC150" s="115">
        <f t="shared" si="1498"/>
        <v>0.13059224509206371</v>
      </c>
      <c r="SD150" s="115">
        <f t="shared" si="1499"/>
        <v>0.13724552354731717</v>
      </c>
      <c r="SE150" s="115">
        <f t="shared" si="1500"/>
        <v>0.14412155178115069</v>
      </c>
      <c r="SF150" s="115">
        <f t="shared" si="1501"/>
        <v>0.15119969398384345</v>
      </c>
      <c r="SG150" s="115">
        <f t="shared" si="1502"/>
        <v>0.15839607220451735</v>
      </c>
      <c r="SH150" s="115">
        <f t="shared" si="1503"/>
        <v>0.16580270216732043</v>
      </c>
      <c r="SI150" s="115">
        <f t="shared" si="1504"/>
        <v>0.17339414742075068</v>
      </c>
      <c r="SJ150" s="115">
        <f t="shared" si="1505"/>
        <v>0.18108161957284974</v>
      </c>
      <c r="SK150" s="115">
        <f t="shared" si="1506"/>
        <v>0.18893592980770582</v>
      </c>
      <c r="SL150" s="115">
        <f t="shared" si="1507"/>
        <v>0.19697531518673633</v>
      </c>
      <c r="SM150" s="115">
        <f t="shared" si="1508"/>
        <v>0.20508349043138344</v>
      </c>
      <c r="SN150" s="115">
        <f t="shared" si="1509"/>
        <v>0.21335880865547383</v>
      </c>
      <c r="SO150" s="115">
        <f t="shared" si="1510"/>
        <v>0.22179470370603419</v>
      </c>
      <c r="SP150" s="115">
        <f t="shared" si="1511"/>
        <v>0.2302694245156435</v>
      </c>
      <c r="SQ150" s="115">
        <f t="shared" si="1512"/>
        <v>0.23888337760373704</v>
      </c>
      <c r="SR150" s="115">
        <f t="shared" si="1513"/>
        <v>0.24751301127415998</v>
      </c>
      <c r="SS150" s="149">
        <f t="shared" si="1468"/>
        <v>0.24751301127415998</v>
      </c>
      <c r="ST150" s="149">
        <f t="shared" si="1468"/>
        <v>0.25606279623273898</v>
      </c>
      <c r="SU150" s="149">
        <f t="shared" si="1468"/>
        <v>0.26459311346923547</v>
      </c>
      <c r="SV150" s="149">
        <f t="shared" si="1468"/>
        <v>0.27320101477409309</v>
      </c>
      <c r="SW150" s="149">
        <f t="shared" si="1468"/>
        <v>0.28194674644970757</v>
      </c>
      <c r="SX150" s="149">
        <f t="shared" si="1468"/>
        <v>0.29071185521092607</v>
      </c>
      <c r="SY150" s="149">
        <f t="shared" si="1468"/>
        <v>0.29956272485855329</v>
      </c>
      <c r="SZ150" s="149">
        <f t="shared" si="1468"/>
        <v>0.3085291339449367</v>
      </c>
      <c r="TA150" s="149">
        <f t="shared" si="1468"/>
        <v>0.31760538538029337</v>
      </c>
      <c r="TB150" s="149">
        <f t="shared" si="1468"/>
        <v>0.32666923608303633</v>
      </c>
      <c r="TC150" s="149">
        <f t="shared" si="1468"/>
        <v>0.33582601815025315</v>
      </c>
      <c r="TD150" s="149">
        <f t="shared" si="1468"/>
        <v>0.34502649758005638</v>
      </c>
      <c r="TE150" s="149">
        <f t="shared" si="1468"/>
        <v>0.35430399149027836</v>
      </c>
      <c r="TF150" s="149">
        <f t="shared" si="1468"/>
        <v>0.36353435599804113</v>
      </c>
      <c r="TG150" s="149">
        <f t="shared" si="1468"/>
        <v>0.3728685923431812</v>
      </c>
      <c r="TH150" s="149">
        <f t="shared" si="1468"/>
        <v>0.38230239189895809</v>
      </c>
      <c r="TI150" s="149">
        <f t="shared" si="1468"/>
        <v>0.39183122155676026</v>
      </c>
      <c r="TJ150" s="149">
        <f t="shared" si="1468"/>
        <v>0.4014503246911697</v>
      </c>
      <c r="TK150" s="149">
        <f t="shared" si="1468"/>
        <v>0.41103491518888063</v>
      </c>
      <c r="TL150" s="149">
        <f t="shared" si="1468"/>
        <v>0.42069579669088308</v>
      </c>
      <c r="TM150" s="149">
        <f t="shared" si="1468"/>
        <v>0.43042762008844304</v>
      </c>
      <c r="TN150" s="149">
        <f t="shared" si="1468"/>
        <v>0.44022482958104225</v>
      </c>
      <c r="TO150" s="149">
        <f t="shared" si="1468"/>
        <v>0.44996146066689308</v>
      </c>
      <c r="TP150" s="149">
        <f t="shared" si="1468"/>
        <v>0.45974849082461178</v>
      </c>
      <c r="TQ150" s="149">
        <f t="shared" si="1468"/>
        <v>0.46963603840576573</v>
      </c>
      <c r="TR150" s="149">
        <f t="shared" si="1468"/>
        <v>0.47962145688694802</v>
      </c>
      <c r="TS150" s="149">
        <f t="shared" si="1468"/>
        <v>0.48970197042433439</v>
      </c>
      <c r="TT150" s="149">
        <f t="shared" si="1468"/>
        <v>0.49975211106370188</v>
      </c>
      <c r="TU150" s="149">
        <f t="shared" si="1468"/>
        <v>0.50988784695218992</v>
      </c>
      <c r="TV150" s="149">
        <f t="shared" si="1468"/>
        <v>0.5201060402778851</v>
      </c>
      <c r="TW150" s="149">
        <f t="shared" si="1468"/>
        <v>0.53040342910440241</v>
      </c>
      <c r="TX150" s="149">
        <f t="shared" si="1468"/>
        <v>0.54077662797381754</v>
      </c>
      <c r="TY150" s="149">
        <f t="shared" si="1468"/>
        <v>0.55122212867109288</v>
      </c>
      <c r="TZ150" s="149">
        <f t="shared" si="1468"/>
        <v>0.56173630115220363</v>
      </c>
      <c r="UA150" s="149">
        <f t="shared" si="1468"/>
        <v>0.57225646043277623</v>
      </c>
      <c r="UB150" s="149">
        <f t="shared" si="1468"/>
        <v>0.58290537824787225</v>
      </c>
      <c r="UC150" s="149">
        <f t="shared" si="1468"/>
        <v>0.59368292544087975</v>
      </c>
      <c r="UD150" s="149">
        <f t="shared" si="1468"/>
        <v>0.6045889244052246</v>
      </c>
      <c r="UE150" s="149">
        <f t="shared" si="1468"/>
        <v>0.61562314826174713</v>
      </c>
      <c r="UF150" s="149">
        <f t="shared" si="1468"/>
        <v>0.62678532005006016</v>
      </c>
      <c r="UG150" s="149">
        <f t="shared" si="1468"/>
        <v>0.63794229085373333</v>
      </c>
      <c r="UH150" s="149">
        <f t="shared" si="1468"/>
        <v>0.64922265671817514</v>
      </c>
      <c r="UI150" s="149">
        <f t="shared" si="1468"/>
        <v>0.66062595459050899</v>
      </c>
      <c r="UJ150" s="149">
        <f t="shared" si="1468"/>
        <v>0.67215166970065821</v>
      </c>
      <c r="UK150" s="149">
        <f t="shared" si="1468"/>
        <v>0.68379923488349403</v>
      </c>
      <c r="UL150" s="149">
        <f t="shared" si="1468"/>
        <v>0.69556802991980082</v>
      </c>
      <c r="UM150" s="149">
        <f t="shared" si="1468"/>
        <v>0.70745738089685739</v>
      </c>
      <c r="UN150" s="149">
        <f t="shared" si="1468"/>
        <v>0.71946655958943639</v>
      </c>
      <c r="UO150" s="149">
        <f t="shared" si="1468"/>
        <v>0.73145375701000881</v>
      </c>
      <c r="UP150" s="149">
        <f t="shared" si="1468"/>
        <v>0.74355545266823475</v>
      </c>
      <c r="UQ150" s="149">
        <f t="shared" si="1468"/>
        <v>0.75577073425771846</v>
      </c>
      <c r="UR150" s="159">
        <f t="shared" si="1468"/>
        <v>0.75577073425771846</v>
      </c>
      <c r="US150" s="159">
        <f t="shared" si="1468"/>
        <v>0.76801057813871565</v>
      </c>
      <c r="UT150" s="159">
        <f t="shared" si="1468"/>
        <v>0.78035916598687038</v>
      </c>
      <c r="UU150" s="159">
        <f t="shared" si="1468"/>
        <v>0.7928153814107648</v>
      </c>
      <c r="UV150" s="159">
        <f t="shared" si="1468"/>
        <v>0.80537805231907722</v>
      </c>
      <c r="UW150" s="159">
        <f t="shared" si="1468"/>
        <v>0.81790034253895094</v>
      </c>
      <c r="UX150" s="159">
        <f t="shared" si="1468"/>
        <v>0.83052313362689922</v>
      </c>
      <c r="UY150" s="159">
        <f t="shared" si="1468"/>
        <v>0.84334073433475221</v>
      </c>
      <c r="UZ150" s="159">
        <f t="shared" si="1468"/>
        <v>0.85625902121500952</v>
      </c>
      <c r="VA150" s="159">
        <f t="shared" si="1468"/>
        <v>0.86927657250153445</v>
      </c>
      <c r="VB150" s="159">
        <f t="shared" si="1468"/>
        <v>0.88239191018813767</v>
      </c>
      <c r="VC150" s="159">
        <f t="shared" si="1468"/>
        <v>0.8956034998415201</v>
      </c>
      <c r="VD150" s="159">
        <f t="shared" si="1468"/>
        <v>0.9087585430506151</v>
      </c>
      <c r="VE150" s="159">
        <f t="shared" si="1467"/>
        <v>0.92200333872269546</v>
      </c>
      <c r="VF150" s="159">
        <f t="shared" si="1467"/>
        <v>0.93533618897066662</v>
      </c>
      <c r="VG150" s="159">
        <f t="shared" si="1467"/>
        <v>0.94886184209501467</v>
      </c>
      <c r="VH150" s="159">
        <f t="shared" si="1467"/>
        <v>0.96247504487602809</v>
      </c>
      <c r="VI150" s="159">
        <f t="shared" si="1467"/>
        <v>0.97617396323655636</v>
      </c>
      <c r="VJ150" s="159">
        <f t="shared" si="1467"/>
        <v>0.98995670729755714</v>
      </c>
      <c r="VK150" s="159">
        <f t="shared" si="1467"/>
        <v>1.0036655491382722</v>
      </c>
      <c r="VL150" s="159">
        <f t="shared" si="1467"/>
        <v>1.0175642299317702</v>
      </c>
      <c r="VM150" s="159">
        <f t="shared" si="1467"/>
        <v>1.0315408163688777</v>
      </c>
      <c r="VN150" s="159">
        <f t="shared" si="1467"/>
        <v>1.0455932401806174</v>
      </c>
      <c r="VO150" s="159">
        <f t="shared" si="1467"/>
        <v>1.0597193788423986</v>
      </c>
      <c r="VP150" s="159">
        <f t="shared" si="1467"/>
        <v>1.0739170557785458</v>
      </c>
      <c r="VQ150" s="159">
        <f t="shared" si="1467"/>
        <v>1.0881840406000842</v>
      </c>
      <c r="VR150" s="159">
        <f t="shared" si="1467"/>
        <v>1.102358782611909</v>
      </c>
      <c r="VS150" s="159">
        <f t="shared" si="1467"/>
        <v>1.1187742054915824</v>
      </c>
      <c r="VT150" s="159">
        <f t="shared" si="1467"/>
        <v>1.1332228592253859</v>
      </c>
      <c r="VU150" s="159">
        <f t="shared" si="1467"/>
        <v>1.1501557842295889</v>
      </c>
      <c r="VV150" s="159">
        <f t="shared" si="1467"/>
        <v>1.1647536198343733</v>
      </c>
      <c r="VW150" s="159">
        <f t="shared" si="1467"/>
        <v>1.1794070554880456</v>
      </c>
      <c r="VX150" s="159">
        <f t="shared" si="1467"/>
        <v>1.1941135340245252</v>
      </c>
      <c r="VY150" s="159">
        <f t="shared" si="1467"/>
        <v>1.2087082842146553</v>
      </c>
      <c r="VZ150" s="159">
        <f t="shared" si="1467"/>
        <v>1.2262833758099052</v>
      </c>
      <c r="WA150" s="159">
        <f t="shared" si="1467"/>
        <v>1.2411362872744927</v>
      </c>
      <c r="WB150" s="159">
        <f t="shared" si="1467"/>
        <v>1.2597658082352627</v>
      </c>
      <c r="WC150" s="159">
        <f t="shared" si="1467"/>
        <v>1.274746837027948</v>
      </c>
      <c r="WD150" s="159">
        <f t="shared" si="1467"/>
        <v>1.2897656561565338</v>
      </c>
      <c r="WE150" s="159">
        <f t="shared" si="1467"/>
        <v>1.3048194075662316</v>
      </c>
      <c r="WF150" s="159">
        <f t="shared" si="1467"/>
        <v>1.3200488617715675</v>
      </c>
      <c r="WG150" s="159">
        <f t="shared" si="1467"/>
        <v>1.3404116064513016</v>
      </c>
      <c r="WH150" s="159">
        <f t="shared" si="1467"/>
        <v>1.3557612956176492</v>
      </c>
      <c r="WI150" s="159">
        <f t="shared" si="1467"/>
        <v>1.3788487029134848</v>
      </c>
      <c r="WJ150" s="159">
        <f t="shared" si="1467"/>
        <v>1.3943167494848983</v>
      </c>
      <c r="WK150" s="159">
        <f t="shared" si="1467"/>
        <v>1.4098064580811625</v>
      </c>
      <c r="WL150" s="159">
        <f t="shared" si="1467"/>
        <v>1.4254682445589308</v>
      </c>
      <c r="WM150" s="159">
        <f t="shared" si="1467"/>
        <v>1.4411487678555732</v>
      </c>
      <c r="WN150" s="159">
        <f t="shared" si="1467"/>
        <v>1.4726039094623389</v>
      </c>
      <c r="WO150" s="159">
        <f t="shared" si="1467"/>
        <v>1.4886425509786578</v>
      </c>
      <c r="WP150" s="159">
        <f t="shared" si="1467"/>
        <v>1.5046616392989716</v>
      </c>
      <c r="WQ150" s="203"/>
      <c r="WR150" s="203"/>
      <c r="WS150" s="203"/>
      <c r="WT150" s="203"/>
      <c r="WU150" s="203"/>
      <c r="WV150" s="203"/>
      <c r="WW150" s="203"/>
      <c r="WX150" s="203"/>
      <c r="WY150" s="203"/>
      <c r="WZ150" s="203"/>
      <c r="XA150" s="203"/>
      <c r="XB150" s="203"/>
      <c r="XC150" s="203"/>
      <c r="XD150" s="203"/>
      <c r="XE150" s="203"/>
    </row>
    <row r="151" spans="1:696" ht="19.5" thickBot="1" x14ac:dyDescent="0.3">
      <c r="A151" s="298"/>
      <c r="B151" s="25" t="s">
        <v>11</v>
      </c>
      <c r="BY151" s="18"/>
      <c r="BZ151" s="18"/>
      <c r="CA151" s="18"/>
      <c r="CB151" s="18"/>
      <c r="CC151" s="18"/>
      <c r="CD151" s="18"/>
      <c r="CE151" s="18"/>
      <c r="CF151" s="18"/>
      <c r="CG151" s="18"/>
      <c r="CH151" s="18"/>
      <c r="CI151" s="18"/>
      <c r="CJ151" s="18"/>
      <c r="CK151" s="18"/>
      <c r="CL151" s="18"/>
      <c r="CM151" s="18"/>
      <c r="CN151" s="18"/>
      <c r="CO151" s="18"/>
      <c r="CP151" s="18"/>
      <c r="CQ151" s="18"/>
      <c r="CR151" s="18"/>
      <c r="CS151" s="18"/>
      <c r="CT151" s="18"/>
      <c r="CU151" s="18"/>
      <c r="CV151" s="18"/>
      <c r="CW151" s="18"/>
      <c r="CX151" s="18"/>
      <c r="CY151" s="18"/>
      <c r="CZ151" s="18"/>
      <c r="DA151" s="18"/>
      <c r="DB151" s="18"/>
      <c r="DC151" s="18"/>
      <c r="DD151" s="18"/>
      <c r="DE151" s="18"/>
      <c r="DF151" s="18"/>
      <c r="DG151" s="18"/>
      <c r="DH151" s="18"/>
      <c r="DI151" s="18"/>
      <c r="DJ151" s="18"/>
      <c r="DK151" s="18"/>
      <c r="DL151" s="18"/>
      <c r="DM151" s="18"/>
      <c r="DN151" s="18"/>
      <c r="DO151" s="18"/>
      <c r="DP151" s="18"/>
      <c r="DQ151" s="18"/>
      <c r="DR151" s="18"/>
      <c r="DS151" s="18"/>
      <c r="DT151" s="18"/>
      <c r="DU151" s="18"/>
      <c r="DV151" s="18"/>
      <c r="DW151" s="18"/>
      <c r="DX151" s="18"/>
      <c r="DY151" s="18"/>
      <c r="DZ151" s="18"/>
      <c r="EA151" s="18"/>
      <c r="EB151" s="18"/>
      <c r="EC151" s="18"/>
      <c r="ED151" s="18"/>
      <c r="EE151" s="18"/>
      <c r="EF151" s="18"/>
      <c r="EG151" s="18"/>
      <c r="EH151" s="18"/>
      <c r="EI151" s="18"/>
      <c r="EJ151" s="18"/>
      <c r="EK151" s="18"/>
      <c r="EL151" s="18"/>
      <c r="EM151" s="18"/>
      <c r="EN151" s="18"/>
      <c r="EO151" s="18"/>
      <c r="EP151" s="18"/>
      <c r="EQ151" s="18"/>
      <c r="ER151" s="18"/>
      <c r="ES151" s="18"/>
      <c r="ET151" s="18"/>
      <c r="EU151" s="18"/>
      <c r="EV151" s="18"/>
      <c r="EW151" s="18"/>
      <c r="EX151" s="18"/>
      <c r="EY151" s="18"/>
      <c r="EZ151" s="18"/>
      <c r="FA151" s="18"/>
      <c r="FB151" s="18"/>
      <c r="FC151" s="18"/>
      <c r="FD151" s="18"/>
      <c r="FE151" s="18"/>
      <c r="FF151" s="18"/>
      <c r="FG151" s="18"/>
      <c r="FH151" s="18"/>
      <c r="FI151" s="18"/>
      <c r="FJ151" s="18"/>
      <c r="FK151" s="18"/>
      <c r="FL151" s="18"/>
      <c r="FM151" s="18"/>
      <c r="FN151" s="18"/>
      <c r="FO151" s="18"/>
      <c r="FP151" s="18"/>
      <c r="FQ151" s="18"/>
      <c r="FR151" s="18"/>
      <c r="FS151" s="18"/>
      <c r="FT151" s="18"/>
      <c r="FU151" s="18"/>
      <c r="FV151" s="18"/>
      <c r="FW151" s="18"/>
      <c r="FX151" s="18"/>
      <c r="FY151" s="18"/>
      <c r="FZ151" s="18"/>
      <c r="GA151" s="18"/>
      <c r="GB151" s="18"/>
      <c r="GC151" s="18"/>
      <c r="GD151" s="18"/>
      <c r="GE151" s="18"/>
      <c r="GF151" s="18"/>
      <c r="GG151" s="18"/>
      <c r="GH151" s="18"/>
      <c r="GI151" s="18"/>
      <c r="GJ151" s="18"/>
      <c r="GK151" s="18"/>
      <c r="GL151" s="18"/>
      <c r="GM151" s="18"/>
      <c r="GN151" s="18"/>
      <c r="GO151" s="18"/>
      <c r="GP151" s="18"/>
      <c r="GQ151" s="18"/>
      <c r="GR151" s="18"/>
      <c r="GS151" s="18"/>
      <c r="GT151" s="18"/>
      <c r="GU151" s="18"/>
      <c r="GV151" s="18"/>
      <c r="GW151" s="18"/>
      <c r="GX151" s="18"/>
      <c r="GY151" s="18"/>
      <c r="GZ151" s="18"/>
      <c r="HA151" s="18"/>
      <c r="HB151" s="18"/>
      <c r="HC151" s="18"/>
      <c r="HD151" s="18"/>
      <c r="HE151" s="18"/>
      <c r="HF151" s="18"/>
      <c r="HG151" s="18"/>
      <c r="HH151" s="18"/>
      <c r="HI151" s="18"/>
      <c r="HJ151" s="18"/>
      <c r="HK151" s="18"/>
      <c r="HL151" s="18"/>
      <c r="HM151" s="18"/>
      <c r="HN151" s="18"/>
      <c r="HO151" s="18"/>
      <c r="HP151" s="18"/>
      <c r="HQ151" s="18"/>
      <c r="HR151" s="18"/>
      <c r="HS151" s="18"/>
      <c r="HT151" s="18"/>
      <c r="HU151" s="18"/>
      <c r="HV151" s="18"/>
      <c r="HW151" s="18"/>
      <c r="HX151" s="18"/>
      <c r="HY151" s="18"/>
      <c r="HZ151" s="18"/>
      <c r="IA151" s="18"/>
      <c r="IB151" s="18"/>
      <c r="IC151" s="18"/>
      <c r="ID151" s="18"/>
      <c r="IE151" s="18"/>
      <c r="IF151" s="18"/>
      <c r="IG151" s="18"/>
      <c r="IH151" s="18"/>
      <c r="II151" s="18"/>
      <c r="IJ151" s="18"/>
      <c r="IK151" s="18"/>
      <c r="IL151" s="18"/>
      <c r="IM151" s="18"/>
      <c r="IN151" s="18"/>
      <c r="IO151" s="18"/>
      <c r="IP151" s="18"/>
      <c r="IQ151" s="18"/>
      <c r="IR151" s="18"/>
      <c r="IS151" s="18"/>
      <c r="IT151" s="18"/>
      <c r="IU151" s="18"/>
      <c r="IV151" s="18"/>
      <c r="IW151" s="18"/>
      <c r="IX151" s="18"/>
      <c r="IY151" s="18"/>
      <c r="IZ151" s="18"/>
      <c r="JA151" s="18"/>
      <c r="JB151" s="18"/>
      <c r="JC151" s="18"/>
      <c r="JD151" s="18"/>
      <c r="JE151" s="18"/>
      <c r="JF151" s="18"/>
      <c r="JG151" s="18"/>
      <c r="JH151" s="18"/>
      <c r="JI151" s="18"/>
      <c r="JJ151" s="18"/>
      <c r="JK151" s="18"/>
      <c r="JL151" s="18"/>
      <c r="JM151" s="18"/>
      <c r="JN151" s="18"/>
      <c r="JO151" s="18"/>
      <c r="JP151" s="18"/>
      <c r="JQ151" s="18"/>
      <c r="JR151" s="18"/>
      <c r="JS151" s="18"/>
      <c r="JT151" s="18"/>
      <c r="JU151" s="18"/>
      <c r="JV151" s="18"/>
      <c r="JW151" s="18"/>
      <c r="JX151" s="18"/>
      <c r="JY151" s="18"/>
      <c r="JZ151" s="18"/>
      <c r="KA151" s="18"/>
      <c r="KB151" s="18"/>
      <c r="KC151" s="18"/>
      <c r="KD151" s="18"/>
      <c r="KE151" s="18"/>
      <c r="KF151" s="18"/>
      <c r="KG151" s="18"/>
      <c r="KH151" s="18"/>
      <c r="KI151" s="18"/>
      <c r="KJ151" s="18"/>
      <c r="KK151" s="18"/>
      <c r="KL151" s="18"/>
      <c r="KM151" s="18"/>
      <c r="KN151" s="18"/>
      <c r="KO151" s="18"/>
      <c r="KP151" s="18"/>
      <c r="KQ151" s="18"/>
      <c r="KR151" s="18"/>
      <c r="KS151" s="18"/>
      <c r="KT151" s="18"/>
      <c r="KU151" s="18"/>
      <c r="KV151" s="18"/>
      <c r="KW151" s="18"/>
      <c r="KX151" s="18"/>
      <c r="KY151" s="18"/>
      <c r="KZ151" s="18"/>
      <c r="LA151" s="18"/>
      <c r="LB151" s="18"/>
      <c r="LC151" s="18"/>
      <c r="LD151" s="18"/>
      <c r="LE151" s="18"/>
      <c r="LF151" s="18"/>
      <c r="LG151" s="18"/>
      <c r="LH151" s="18"/>
      <c r="LI151" s="18"/>
      <c r="LJ151" s="18"/>
      <c r="LK151" s="18"/>
      <c r="LL151" s="18"/>
      <c r="LM151" s="18"/>
      <c r="LN151" s="18"/>
      <c r="LO151" s="18"/>
      <c r="LP151" s="18"/>
      <c r="LQ151" s="18"/>
      <c r="LR151" s="18"/>
      <c r="LS151" s="18"/>
      <c r="LT151" s="18"/>
      <c r="LU151" s="18"/>
      <c r="LV151" s="18"/>
      <c r="LW151" s="18"/>
      <c r="LX151" s="18"/>
      <c r="LY151" s="18"/>
      <c r="LZ151" s="18"/>
      <c r="MA151" s="18"/>
      <c r="MB151" s="18"/>
      <c r="MC151" s="18"/>
      <c r="MD151" s="18"/>
      <c r="ME151" s="18"/>
      <c r="MF151" s="18"/>
      <c r="MG151" s="18"/>
      <c r="MH151" s="18"/>
      <c r="MI151" s="18"/>
      <c r="MJ151" s="18"/>
      <c r="MK151" s="18"/>
      <c r="ML151" s="18"/>
      <c r="MM151" s="18"/>
      <c r="MN151" s="18"/>
      <c r="MO151" s="18"/>
      <c r="MP151" s="18"/>
      <c r="MQ151" s="18"/>
      <c r="MR151" s="18"/>
      <c r="MS151" s="18"/>
      <c r="MT151" s="18"/>
      <c r="MU151" s="18"/>
      <c r="MV151" s="18"/>
      <c r="MW151" s="18"/>
      <c r="MX151" s="18"/>
      <c r="MY151" s="18"/>
      <c r="MZ151" s="18"/>
      <c r="NA151" s="18"/>
      <c r="NB151" s="18"/>
      <c r="NC151" s="18"/>
      <c r="ND151" s="18"/>
      <c r="NE151" s="18"/>
      <c r="NF151" s="18"/>
      <c r="NG151" s="18"/>
      <c r="NH151" s="18"/>
      <c r="NI151" s="18"/>
      <c r="NJ151" s="18"/>
      <c r="NK151" s="18"/>
      <c r="NL151" s="18"/>
      <c r="NM151" s="18"/>
      <c r="NN151" s="18"/>
      <c r="NO151" s="18"/>
      <c r="NP151" s="18"/>
      <c r="NQ151" s="18"/>
      <c r="NR151" s="18"/>
      <c r="NS151" s="18"/>
      <c r="NT151" s="18"/>
      <c r="NU151" s="18"/>
      <c r="NV151" s="18"/>
      <c r="NW151" s="18"/>
      <c r="NX151" s="18"/>
      <c r="NY151" s="18"/>
      <c r="NZ151" s="18"/>
      <c r="OA151" s="18"/>
      <c r="OB151" s="18"/>
      <c r="OC151" s="18"/>
      <c r="OD151" s="18"/>
      <c r="OE151" s="18"/>
      <c r="OF151" s="18"/>
      <c r="OG151" s="18"/>
      <c r="OH151" s="18"/>
      <c r="OI151" s="18"/>
      <c r="OJ151" s="18"/>
      <c r="OK151" s="18"/>
      <c r="OL151" s="18"/>
      <c r="OM151" s="18"/>
      <c r="ON151" s="18"/>
      <c r="OO151" s="18"/>
      <c r="OP151" s="18"/>
      <c r="OQ151" s="18"/>
      <c r="OR151" s="18"/>
      <c r="OS151" s="18"/>
      <c r="OT151" s="18"/>
      <c r="OU151" s="18"/>
      <c r="OV151" s="18"/>
      <c r="OW151" s="18"/>
      <c r="OX151" s="18"/>
      <c r="OY151" s="18"/>
      <c r="OZ151" s="18"/>
      <c r="PA151" s="18"/>
      <c r="PB151" s="18"/>
      <c r="PC151" s="18"/>
      <c r="PD151" s="18"/>
      <c r="PE151" s="18"/>
      <c r="PF151" s="18"/>
      <c r="PG151" s="18"/>
      <c r="PH151" s="18"/>
      <c r="PI151" s="18"/>
      <c r="PJ151" s="18"/>
      <c r="PK151" s="18"/>
      <c r="PL151" s="18"/>
      <c r="PM151" s="18"/>
      <c r="PN151" s="18"/>
      <c r="PO151" s="18"/>
      <c r="PP151" s="18"/>
      <c r="PQ151" s="18"/>
      <c r="PR151" s="18"/>
      <c r="PS151" s="18"/>
      <c r="PT151" s="18"/>
      <c r="PU151" s="18"/>
      <c r="PV151" s="18"/>
      <c r="PW151" s="18"/>
      <c r="PX151" s="18"/>
      <c r="PY151" s="18"/>
      <c r="PZ151" s="18"/>
      <c r="QA151" s="18"/>
      <c r="QB151" s="18"/>
      <c r="QC151" s="18"/>
      <c r="QD151" s="18"/>
      <c r="QE151" s="18"/>
      <c r="QF151" s="18"/>
      <c r="QG151" s="18"/>
      <c r="QH151" s="18"/>
      <c r="QI151" s="18"/>
      <c r="QJ151" s="18"/>
      <c r="QK151" s="18"/>
      <c r="QL151" s="18"/>
      <c r="QM151" s="18"/>
      <c r="QN151" s="18"/>
      <c r="QO151" s="18"/>
      <c r="QP151" s="18"/>
      <c r="QQ151" s="18"/>
      <c r="QR151" s="18"/>
      <c r="QS151" s="18"/>
      <c r="QT151" s="123">
        <f t="shared" si="1460"/>
        <v>2.5</v>
      </c>
      <c r="QU151" s="110">
        <f t="shared" si="1461"/>
        <v>2.7458928571428571</v>
      </c>
      <c r="QV151" s="110">
        <f t="shared" si="1462"/>
        <v>3.0145000191326532</v>
      </c>
      <c r="QW151" s="110">
        <f t="shared" si="1463"/>
        <v>3.3030458455254204</v>
      </c>
      <c r="QX151" s="110">
        <f t="shared" si="1514"/>
        <v>3.6180521124776339</v>
      </c>
      <c r="QY151" s="110">
        <f t="shared" si="1515"/>
        <v>3.9605610457921832</v>
      </c>
      <c r="QZ151" s="110">
        <f t="shared" si="1469"/>
        <v>4.326161801639965</v>
      </c>
      <c r="RA151" s="110">
        <f t="shared" si="1470"/>
        <v>4.7232736194318816</v>
      </c>
      <c r="RB151" s="110">
        <f t="shared" si="1471"/>
        <v>5.1461266915986474</v>
      </c>
      <c r="RC151" s="110">
        <f t="shared" si="1472"/>
        <v>5.603346964774242</v>
      </c>
      <c r="RD151" s="110">
        <f t="shared" si="1473"/>
        <v>6.0954917778498379</v>
      </c>
      <c r="RE151" s="110">
        <f t="shared" si="1474"/>
        <v>6.615640409559691</v>
      </c>
      <c r="RF151" s="110">
        <f t="shared" si="1475"/>
        <v>7.1735594174325588</v>
      </c>
      <c r="RG151" s="110">
        <f t="shared" si="1476"/>
        <v>7.7613208923231802</v>
      </c>
      <c r="RH151" s="110">
        <f t="shared" si="1477"/>
        <v>8.3896061802951785</v>
      </c>
      <c r="RI151" s="110">
        <f t="shared" si="1478"/>
        <v>9.0480549492196349</v>
      </c>
      <c r="RJ151" s="110">
        <f t="shared" si="1479"/>
        <v>9.7479657804528195</v>
      </c>
      <c r="RK151" s="110">
        <f t="shared" si="1480"/>
        <v>10.477361188215589</v>
      </c>
      <c r="RL151" s="110">
        <f t="shared" si="1481"/>
        <v>11.249692384375482</v>
      </c>
      <c r="RM151" s="110">
        <f t="shared" si="1482"/>
        <v>12.053342284084305</v>
      </c>
      <c r="RN151" s="110">
        <f t="shared" si="1483"/>
        <v>12.90121958038036</v>
      </c>
      <c r="RO151" s="110">
        <f t="shared" si="1484"/>
        <v>13.78048731485859</v>
      </c>
      <c r="RP151" s="110">
        <f t="shared" si="1485"/>
        <v>14.702719927468356</v>
      </c>
      <c r="RQ151" s="110">
        <f t="shared" si="1486"/>
        <v>15.655723500948806</v>
      </c>
      <c r="RR151" s="110">
        <f t="shared" si="1487"/>
        <v>16.653894478100209</v>
      </c>
      <c r="RS151" s="110">
        <f t="shared" si="1488"/>
        <v>17.700566512875355</v>
      </c>
      <c r="RT151" s="110">
        <f t="shared" si="1489"/>
        <v>18.780036882600857</v>
      </c>
      <c r="RU151" s="110">
        <f t="shared" si="1490"/>
        <v>19.908520889904604</v>
      </c>
      <c r="RV151" s="110">
        <f t="shared" si="1491"/>
        <v>21.06907054883963</v>
      </c>
      <c r="RW151" s="110">
        <f t="shared" si="1492"/>
        <v>22.278683069761243</v>
      </c>
      <c r="RX151" s="110">
        <f t="shared" si="1493"/>
        <v>23.538083918587155</v>
      </c>
      <c r="RY151" s="110">
        <f t="shared" si="1494"/>
        <v>24.828243822646527</v>
      </c>
      <c r="RZ151" s="110">
        <f t="shared" si="1495"/>
        <v>26.167529670586966</v>
      </c>
      <c r="SA151" s="110">
        <f t="shared" si="1496"/>
        <v>27.556304940930293</v>
      </c>
      <c r="SB151" s="110">
        <f t="shared" si="1497"/>
        <v>28.973486337892421</v>
      </c>
      <c r="SC151" s="110">
        <f t="shared" si="1498"/>
        <v>30.438716932694408</v>
      </c>
      <c r="SD151" s="110">
        <f t="shared" si="1499"/>
        <v>31.925498204843478</v>
      </c>
      <c r="SE151" s="110">
        <f t="shared" si="1500"/>
        <v>33.457922118675967</v>
      </c>
      <c r="SF151" s="110">
        <f t="shared" si="1501"/>
        <v>35.030915696593432</v>
      </c>
      <c r="SG151" s="110">
        <f t="shared" si="1502"/>
        <v>36.624822360788428</v>
      </c>
      <c r="SH151" s="110">
        <f t="shared" si="1503"/>
        <v>38.260731092903647</v>
      </c>
      <c r="SI151" s="110">
        <f t="shared" si="1504"/>
        <v>39.932512482046356</v>
      </c>
      <c r="SJ151" s="110">
        <f t="shared" si="1505"/>
        <v>41.619524379233077</v>
      </c>
      <c r="SK151" s="110">
        <f t="shared" si="1506"/>
        <v>43.337897618671555</v>
      </c>
      <c r="SL151" s="110">
        <f t="shared" si="1507"/>
        <v>45.091598297651771</v>
      </c>
      <c r="SM151" s="110">
        <f t="shared" si="1508"/>
        <v>46.85382670679784</v>
      </c>
      <c r="SN151" s="110">
        <f t="shared" si="1509"/>
        <v>48.646935318063406</v>
      </c>
      <c r="SO151" s="110">
        <f t="shared" si="1510"/>
        <v>50.469223219437346</v>
      </c>
      <c r="SP151" s="110">
        <f t="shared" si="1511"/>
        <v>52.292844485099678</v>
      </c>
      <c r="SQ151" s="110">
        <f t="shared" si="1512"/>
        <v>54.140524990239868</v>
      </c>
      <c r="SR151" s="110">
        <f t="shared" si="1513"/>
        <v>55.984152341223293</v>
      </c>
      <c r="SS151" s="148">
        <f t="shared" si="1468"/>
        <v>55.872184036540851</v>
      </c>
      <c r="ST151" s="148">
        <f t="shared" si="1468"/>
        <v>57.686559697095888</v>
      </c>
      <c r="SU151" s="148">
        <f t="shared" si="1468"/>
        <v>59.489077393605136</v>
      </c>
      <c r="SV151" s="148">
        <f t="shared" si="1468"/>
        <v>61.30156279055835</v>
      </c>
      <c r="SW151" s="148">
        <f t="shared" si="1468"/>
        <v>63.137425177506771</v>
      </c>
      <c r="SX151" s="148">
        <f t="shared" si="1468"/>
        <v>64.970029415992343</v>
      </c>
      <c r="SY151" s="148">
        <f t="shared" si="1468"/>
        <v>66.814178712492435</v>
      </c>
      <c r="SZ151" s="148">
        <f t="shared" si="1468"/>
        <v>68.676409796094475</v>
      </c>
      <c r="TA151" s="148">
        <f t="shared" si="1468"/>
        <v>70.555325930772227</v>
      </c>
      <c r="TB151" s="148">
        <f t="shared" si="1468"/>
        <v>72.423702409850407</v>
      </c>
      <c r="TC151" s="148">
        <f t="shared" si="1468"/>
        <v>74.304885161053093</v>
      </c>
      <c r="TD151" s="148">
        <f t="shared" si="1468"/>
        <v>76.187902630577511</v>
      </c>
      <c r="TE151" s="148">
        <f t="shared" si="1468"/>
        <v>78.080062946541972</v>
      </c>
      <c r="TF151" s="148">
        <f t="shared" si="1468"/>
        <v>79.953984457258983</v>
      </c>
      <c r="TG151" s="148">
        <f t="shared" si="1468"/>
        <v>81.842897340061725</v>
      </c>
      <c r="TH151" s="148">
        <f t="shared" si="1468"/>
        <v>83.745744703218151</v>
      </c>
      <c r="TI151" s="148">
        <f t="shared" si="1468"/>
        <v>85.661428613304267</v>
      </c>
      <c r="TJ151" s="148">
        <f t="shared" si="1468"/>
        <v>87.588810757103602</v>
      </c>
      <c r="TK151" s="148">
        <f t="shared" si="1468"/>
        <v>89.50062578696236</v>
      </c>
      <c r="TL151" s="148">
        <f t="shared" si="1468"/>
        <v>91.421021930391248</v>
      </c>
      <c r="TM151" s="148">
        <f t="shared" si="1468"/>
        <v>93.348763973071598</v>
      </c>
      <c r="TN151" s="148">
        <f t="shared" si="1468"/>
        <v>95.282581577353255</v>
      </c>
      <c r="TO151" s="148">
        <f t="shared" si="1468"/>
        <v>97.195205105113303</v>
      </c>
      <c r="TP151" s="148">
        <f t="shared" si="1468"/>
        <v>99.110661830111624</v>
      </c>
      <c r="TQ151" s="148">
        <f t="shared" si="1468"/>
        <v>101.03969373597575</v>
      </c>
      <c r="TR151" s="148">
        <f t="shared" si="1468"/>
        <v>102.98162736192573</v>
      </c>
      <c r="TS151" s="148">
        <f t="shared" si="1468"/>
        <v>104.9357665347935</v>
      </c>
      <c r="TT151" s="148">
        <f t="shared" si="1468"/>
        <v>106.87518178617148</v>
      </c>
      <c r="TU151" s="148">
        <f t="shared" si="1468"/>
        <v>108.82468811417466</v>
      </c>
      <c r="TV151" s="148">
        <f t="shared" si="1468"/>
        <v>110.78353250022981</v>
      </c>
      <c r="TW151" s="148">
        <f t="shared" si="1468"/>
        <v>112.75094125812545</v>
      </c>
      <c r="TX151" s="148">
        <f t="shared" si="1468"/>
        <v>114.72612039775575</v>
      </c>
      <c r="TY151" s="148">
        <f t="shared" si="1468"/>
        <v>116.7082560200495</v>
      </c>
      <c r="TZ151" s="148">
        <f t="shared" si="1468"/>
        <v>118.69651474308986</v>
      </c>
      <c r="UA151" s="148">
        <f t="shared" si="1468"/>
        <v>120.67761609630193</v>
      </c>
      <c r="UB151" s="148">
        <f t="shared" si="1468"/>
        <v>122.67741659161207</v>
      </c>
      <c r="UC151" s="148">
        <f t="shared" si="1468"/>
        <v>124.69575218363121</v>
      </c>
      <c r="UD151" s="148">
        <f t="shared" si="1468"/>
        <v>126.73244946929719</v>
      </c>
      <c r="UE151" s="148">
        <f t="shared" si="1468"/>
        <v>128.78732561426366</v>
      </c>
      <c r="UF151" s="148">
        <f t="shared" si="1468"/>
        <v>130.86018828367418</v>
      </c>
      <c r="UG151" s="148">
        <f t="shared" si="1468"/>
        <v>132.92316066367565</v>
      </c>
      <c r="UH151" s="148">
        <f t="shared" si="1468"/>
        <v>135.00301717758964</v>
      </c>
      <c r="UI151" s="148">
        <f t="shared" si="1468"/>
        <v>137.09953462081808</v>
      </c>
      <c r="UJ151" s="148">
        <f t="shared" si="1468"/>
        <v>139.21248038968011</v>
      </c>
      <c r="UK151" s="148">
        <f t="shared" si="1468"/>
        <v>141.34161244269873</v>
      </c>
      <c r="UL151" s="148">
        <f t="shared" si="1468"/>
        <v>143.4866792668291</v>
      </c>
      <c r="UM151" s="148">
        <f t="shared" si="1468"/>
        <v>145.64741984872958</v>
      </c>
      <c r="UN151" s="148">
        <f t="shared" si="1468"/>
        <v>147.82356365117531</v>
      </c>
      <c r="UO151" s="148">
        <f t="shared" si="1468"/>
        <v>149.98591298923552</v>
      </c>
      <c r="UP151" s="148">
        <f t="shared" si="1468"/>
        <v>152.1624527498235</v>
      </c>
      <c r="UQ151" s="148">
        <f t="shared" si="1468"/>
        <v>154.35288433708257</v>
      </c>
      <c r="UR151" s="158">
        <f t="shared" si="1468"/>
        <v>154.0441785684084</v>
      </c>
      <c r="US151" s="158">
        <f t="shared" si="1468"/>
        <v>156.22587402766794</v>
      </c>
      <c r="UT151" s="158">
        <f t="shared" si="1468"/>
        <v>158.4203025837775</v>
      </c>
      <c r="UU151" s="158">
        <f t="shared" si="1468"/>
        <v>160.62713424070034</v>
      </c>
      <c r="UV151" s="158">
        <f t="shared" si="1468"/>
        <v>162.8460300020719</v>
      </c>
      <c r="UW151" s="158">
        <f t="shared" si="1468"/>
        <v>165.0472590972723</v>
      </c>
      <c r="UX151" s="158">
        <f t="shared" si="1468"/>
        <v>167.25927178816221</v>
      </c>
      <c r="UY151" s="158">
        <f t="shared" si="1468"/>
        <v>169.50093053419664</v>
      </c>
      <c r="UZ151" s="158">
        <f t="shared" si="1468"/>
        <v>171.75314979508781</v>
      </c>
      <c r="VA151" s="158">
        <f t="shared" si="1468"/>
        <v>174.01555335445758</v>
      </c>
      <c r="VB151" s="158">
        <f t="shared" si="1468"/>
        <v>176.28775644193649</v>
      </c>
      <c r="VC151" s="158">
        <f t="shared" si="1468"/>
        <v>178.56936579542639</v>
      </c>
      <c r="VD151" s="158">
        <f t="shared" ref="VD151:VD156" si="1516">DM34</f>
        <v>180.82989163060938</v>
      </c>
      <c r="VE151" s="158">
        <f t="shared" si="1467"/>
        <v>183.09848481652065</v>
      </c>
      <c r="VF151" s="158">
        <f t="shared" si="1467"/>
        <v>185.37473188912605</v>
      </c>
      <c r="VG151" s="158">
        <f t="shared" si="1467"/>
        <v>187.67927685147495</v>
      </c>
      <c r="VH151" s="158">
        <f t="shared" si="1467"/>
        <v>189.99114430723631</v>
      </c>
      <c r="VI151" s="158">
        <f t="shared" si="1467"/>
        <v>192.30989986389508</v>
      </c>
      <c r="VJ151" s="158">
        <f t="shared" si="1467"/>
        <v>194.63510138043125</v>
      </c>
      <c r="VK151" s="158">
        <f t="shared" si="1467"/>
        <v>196.93573201697299</v>
      </c>
      <c r="VL151" s="158">
        <f t="shared" si="1467"/>
        <v>199.2635566246343</v>
      </c>
      <c r="VM151" s="158">
        <f t="shared" si="1467"/>
        <v>201.59650747859911</v>
      </c>
      <c r="VN151" s="158">
        <f t="shared" si="1467"/>
        <v>203.93412091363186</v>
      </c>
      <c r="VO151" s="158">
        <f t="shared" si="1467"/>
        <v>206.27592621221311</v>
      </c>
      <c r="VP151" s="158">
        <f t="shared" si="1467"/>
        <v>208.62144573273852</v>
      </c>
      <c r="VQ151" s="158">
        <f t="shared" si="1467"/>
        <v>210.97019504312283</v>
      </c>
      <c r="VR151" s="158">
        <f t="shared" si="1467"/>
        <v>213.29086718859719</v>
      </c>
      <c r="VS151" s="158">
        <f t="shared" si="1467"/>
        <v>188.9757083290971</v>
      </c>
      <c r="VT151" s="158">
        <f t="shared" si="1467"/>
        <v>191.03344381979173</v>
      </c>
      <c r="VU151" s="158">
        <f t="shared" si="1467"/>
        <v>165.80186785114904</v>
      </c>
      <c r="VV151" s="158">
        <f t="shared" si="1467"/>
        <v>167.57042110822798</v>
      </c>
      <c r="VW151" s="158">
        <f t="shared" si="1467"/>
        <v>169.33921999770371</v>
      </c>
      <c r="VX151" s="158">
        <f t="shared" si="1467"/>
        <v>171.10787407323525</v>
      </c>
      <c r="VY151" s="158">
        <f t="shared" si="1467"/>
        <v>172.85279832752056</v>
      </c>
      <c r="VZ151" s="158">
        <f t="shared" si="1467"/>
        <v>145.78772243994473</v>
      </c>
      <c r="WA151" s="158">
        <f t="shared" si="1467"/>
        <v>147.25841616741585</v>
      </c>
      <c r="WB151" s="158">
        <f t="shared" si="1467"/>
        <v>119.27608064689986</v>
      </c>
      <c r="WC151" s="158">
        <f t="shared" si="1467"/>
        <v>120.4531127394374</v>
      </c>
      <c r="WD151" s="158">
        <f t="shared" si="1467"/>
        <v>121.62852333408158</v>
      </c>
      <c r="WE151" s="158">
        <f t="shared" si="1467"/>
        <v>122.80203809767855</v>
      </c>
      <c r="WF151" s="158">
        <f t="shared" si="1467"/>
        <v>123.98687534437923</v>
      </c>
      <c r="WG151" s="158">
        <f t="shared" si="1467"/>
        <v>94.1728005500308</v>
      </c>
      <c r="WH151" s="158">
        <f t="shared" si="1467"/>
        <v>95.060715526645382</v>
      </c>
      <c r="WI151" s="158">
        <f t="shared" si="1467"/>
        <v>64.259650865015544</v>
      </c>
      <c r="WJ151" s="158">
        <f t="shared" si="1467"/>
        <v>64.850560263187319</v>
      </c>
      <c r="WK151" s="158">
        <f t="shared" si="1467"/>
        <v>65.439854484709329</v>
      </c>
      <c r="WL151" s="158">
        <f t="shared" si="1467"/>
        <v>66.034503597200825</v>
      </c>
      <c r="WM151" s="158">
        <f t="shared" si="1467"/>
        <v>66.627378596888732</v>
      </c>
      <c r="WN151" s="158">
        <f t="shared" si="1467"/>
        <v>33.90464517817329</v>
      </c>
      <c r="WO151" s="158">
        <f t="shared" si="1467"/>
        <v>34.205364639753611</v>
      </c>
      <c r="WP151" s="160">
        <f t="shared" si="1467"/>
        <v>-6.9146888214147453E-2</v>
      </c>
      <c r="WQ151" s="203"/>
      <c r="WR151" s="203"/>
      <c r="WS151" s="203"/>
      <c r="WT151" s="203"/>
      <c r="WU151" s="203"/>
      <c r="WV151" s="203"/>
      <c r="WW151" s="203"/>
      <c r="WX151" s="203"/>
      <c r="WY151" s="203"/>
      <c r="WZ151" s="203"/>
      <c r="XA151" s="203"/>
      <c r="XB151" s="203"/>
      <c r="XC151" s="203"/>
      <c r="XD151" s="203"/>
      <c r="XE151" s="203"/>
    </row>
    <row r="152" spans="1:696" ht="19.5" thickBot="1" x14ac:dyDescent="0.3">
      <c r="A152" s="298"/>
      <c r="B152" s="25" t="s">
        <v>12</v>
      </c>
      <c r="BY152" s="18"/>
      <c r="BZ152" s="18"/>
      <c r="CA152" s="18"/>
      <c r="CB152" s="18"/>
      <c r="CC152" s="18"/>
      <c r="CD152" s="18"/>
      <c r="CE152" s="18"/>
      <c r="CF152" s="18"/>
      <c r="CG152" s="18"/>
      <c r="CH152" s="18"/>
      <c r="CI152" s="18"/>
      <c r="CJ152" s="18"/>
      <c r="CK152" s="18"/>
      <c r="CL152" s="18"/>
      <c r="CM152" s="18"/>
      <c r="CN152" s="18"/>
      <c r="CO152" s="18"/>
      <c r="CP152" s="18"/>
      <c r="CQ152" s="18"/>
      <c r="CR152" s="18"/>
      <c r="CS152" s="18"/>
      <c r="CT152" s="18"/>
      <c r="CU152" s="18"/>
      <c r="CV152" s="18"/>
      <c r="CW152" s="18"/>
      <c r="CX152" s="18"/>
      <c r="CY152" s="18"/>
      <c r="CZ152" s="18"/>
      <c r="DA152" s="18"/>
      <c r="DB152" s="18"/>
      <c r="DC152" s="18"/>
      <c r="DD152" s="18"/>
      <c r="DE152" s="18"/>
      <c r="DF152" s="18"/>
      <c r="DG152" s="18"/>
      <c r="DH152" s="18"/>
      <c r="DI152" s="18"/>
      <c r="DJ152" s="18"/>
      <c r="DK152" s="18"/>
      <c r="DL152" s="18"/>
      <c r="DM152" s="18"/>
      <c r="DN152" s="18"/>
      <c r="DO152" s="18"/>
      <c r="DP152" s="18"/>
      <c r="DQ152" s="18"/>
      <c r="DR152" s="18"/>
      <c r="DS152" s="18"/>
      <c r="DT152" s="18"/>
      <c r="DU152" s="18"/>
      <c r="DV152" s="18"/>
      <c r="DW152" s="18"/>
      <c r="DX152" s="18"/>
      <c r="DY152" s="18"/>
      <c r="DZ152" s="18"/>
      <c r="EA152" s="18"/>
      <c r="EB152" s="18"/>
      <c r="EC152" s="18"/>
      <c r="ED152" s="18"/>
      <c r="EE152" s="18"/>
      <c r="EF152" s="18"/>
      <c r="EG152" s="18"/>
      <c r="EH152" s="18"/>
      <c r="EI152" s="18"/>
      <c r="EJ152" s="18"/>
      <c r="EK152" s="18"/>
      <c r="EL152" s="18"/>
      <c r="EM152" s="18"/>
      <c r="EN152" s="18"/>
      <c r="EO152" s="18"/>
      <c r="EP152" s="18"/>
      <c r="EQ152" s="18"/>
      <c r="ER152" s="18"/>
      <c r="ES152" s="18"/>
      <c r="ET152" s="18"/>
      <c r="EU152" s="18"/>
      <c r="EV152" s="18"/>
      <c r="EW152" s="18"/>
      <c r="EX152" s="18"/>
      <c r="EY152" s="18"/>
      <c r="EZ152" s="18"/>
      <c r="FA152" s="18"/>
      <c r="FB152" s="18"/>
      <c r="FC152" s="18"/>
      <c r="FD152" s="18"/>
      <c r="FE152" s="18"/>
      <c r="FF152" s="18"/>
      <c r="FG152" s="18"/>
      <c r="FH152" s="18"/>
      <c r="FI152" s="18"/>
      <c r="FJ152" s="18"/>
      <c r="FK152" s="18"/>
      <c r="FL152" s="18"/>
      <c r="FM152" s="18"/>
      <c r="FN152" s="18"/>
      <c r="FO152" s="18"/>
      <c r="FP152" s="18"/>
      <c r="FQ152" s="18"/>
      <c r="FR152" s="18"/>
      <c r="FS152" s="18"/>
      <c r="FT152" s="18"/>
      <c r="FU152" s="18"/>
      <c r="FV152" s="18"/>
      <c r="FW152" s="18"/>
      <c r="FX152" s="18"/>
      <c r="FY152" s="18"/>
      <c r="FZ152" s="18"/>
      <c r="GA152" s="18"/>
      <c r="GB152" s="18"/>
      <c r="GC152" s="18"/>
      <c r="GD152" s="18"/>
      <c r="GE152" s="18"/>
      <c r="GF152" s="18"/>
      <c r="GG152" s="18"/>
      <c r="GH152" s="18"/>
      <c r="GI152" s="18"/>
      <c r="GJ152" s="18"/>
      <c r="GK152" s="18"/>
      <c r="GL152" s="18"/>
      <c r="GM152" s="18"/>
      <c r="GN152" s="18"/>
      <c r="GO152" s="18"/>
      <c r="GP152" s="18"/>
      <c r="GQ152" s="18"/>
      <c r="GR152" s="18"/>
      <c r="GS152" s="18"/>
      <c r="GT152" s="18"/>
      <c r="GU152" s="18"/>
      <c r="GV152" s="18"/>
      <c r="GW152" s="18"/>
      <c r="GX152" s="18"/>
      <c r="GY152" s="18"/>
      <c r="GZ152" s="18"/>
      <c r="HA152" s="18"/>
      <c r="HB152" s="18"/>
      <c r="HC152" s="18"/>
      <c r="HD152" s="18"/>
      <c r="HE152" s="18"/>
      <c r="HF152" s="18"/>
      <c r="HG152" s="18"/>
      <c r="HH152" s="18"/>
      <c r="HI152" s="18"/>
      <c r="HJ152" s="18"/>
      <c r="HK152" s="18"/>
      <c r="HL152" s="18"/>
      <c r="HM152" s="18"/>
      <c r="HN152" s="18"/>
      <c r="HO152" s="18"/>
      <c r="HP152" s="18"/>
      <c r="HQ152" s="18"/>
      <c r="HR152" s="18"/>
      <c r="HS152" s="18"/>
      <c r="HT152" s="18"/>
      <c r="HU152" s="18"/>
      <c r="HV152" s="18"/>
      <c r="HW152" s="18"/>
      <c r="HX152" s="18"/>
      <c r="HY152" s="18"/>
      <c r="HZ152" s="18"/>
      <c r="IA152" s="18"/>
      <c r="IB152" s="18"/>
      <c r="IC152" s="18"/>
      <c r="ID152" s="18"/>
      <c r="IE152" s="18"/>
      <c r="IF152" s="18"/>
      <c r="IG152" s="18"/>
      <c r="IH152" s="18"/>
      <c r="II152" s="18"/>
      <c r="IJ152" s="18"/>
      <c r="IK152" s="18"/>
      <c r="IL152" s="18"/>
      <c r="IM152" s="18"/>
      <c r="IN152" s="18"/>
      <c r="IO152" s="18"/>
      <c r="IP152" s="18"/>
      <c r="IQ152" s="18"/>
      <c r="IR152" s="18"/>
      <c r="IS152" s="18"/>
      <c r="IT152" s="18"/>
      <c r="IU152" s="18"/>
      <c r="IV152" s="18"/>
      <c r="IW152" s="18"/>
      <c r="IX152" s="18"/>
      <c r="IY152" s="18"/>
      <c r="IZ152" s="18"/>
      <c r="JA152" s="18"/>
      <c r="JB152" s="18"/>
      <c r="JC152" s="18"/>
      <c r="JD152" s="18"/>
      <c r="JE152" s="18"/>
      <c r="JF152" s="18"/>
      <c r="JG152" s="18"/>
      <c r="JH152" s="18"/>
      <c r="JI152" s="18"/>
      <c r="JJ152" s="18"/>
      <c r="JK152" s="18"/>
      <c r="JL152" s="18"/>
      <c r="JM152" s="18"/>
      <c r="JN152" s="18"/>
      <c r="JO152" s="18"/>
      <c r="JP152" s="18"/>
      <c r="JQ152" s="18"/>
      <c r="JR152" s="18"/>
      <c r="JS152" s="18"/>
      <c r="JT152" s="18"/>
      <c r="JU152" s="18"/>
      <c r="JV152" s="18"/>
      <c r="JW152" s="18"/>
      <c r="JX152" s="18"/>
      <c r="JY152" s="18"/>
      <c r="JZ152" s="18"/>
      <c r="KA152" s="18"/>
      <c r="KB152" s="18"/>
      <c r="KC152" s="18"/>
      <c r="KD152" s="18"/>
      <c r="KE152" s="18"/>
      <c r="KF152" s="18"/>
      <c r="KG152" s="18"/>
      <c r="KH152" s="18"/>
      <c r="KI152" s="18"/>
      <c r="KJ152" s="18"/>
      <c r="KK152" s="18"/>
      <c r="KL152" s="18"/>
      <c r="KM152" s="18"/>
      <c r="KN152" s="18"/>
      <c r="KO152" s="18"/>
      <c r="KP152" s="18"/>
      <c r="KQ152" s="18"/>
      <c r="KR152" s="18"/>
      <c r="KS152" s="18"/>
      <c r="KT152" s="18"/>
      <c r="KU152" s="18"/>
      <c r="KV152" s="18"/>
      <c r="KW152" s="18"/>
      <c r="KX152" s="18"/>
      <c r="KY152" s="18"/>
      <c r="KZ152" s="18"/>
      <c r="LA152" s="18"/>
      <c r="LB152" s="18"/>
      <c r="LC152" s="18"/>
      <c r="LD152" s="18"/>
      <c r="LE152" s="18"/>
      <c r="LF152" s="18"/>
      <c r="LG152" s="18"/>
      <c r="LH152" s="18"/>
      <c r="LI152" s="18"/>
      <c r="LJ152" s="18"/>
      <c r="LK152" s="18"/>
      <c r="LL152" s="18"/>
      <c r="LM152" s="18"/>
      <c r="LN152" s="18"/>
      <c r="LO152" s="18"/>
      <c r="LP152" s="18"/>
      <c r="LQ152" s="18"/>
      <c r="LR152" s="18"/>
      <c r="LS152" s="18"/>
      <c r="LT152" s="18"/>
      <c r="LU152" s="18"/>
      <c r="LV152" s="18"/>
      <c r="LW152" s="18"/>
      <c r="LX152" s="18"/>
      <c r="LY152" s="18"/>
      <c r="LZ152" s="18"/>
      <c r="MA152" s="18"/>
      <c r="MB152" s="18"/>
      <c r="MC152" s="18"/>
      <c r="MD152" s="18"/>
      <c r="ME152" s="18"/>
      <c r="MF152" s="18"/>
      <c r="MG152" s="18"/>
      <c r="MH152" s="18"/>
      <c r="MI152" s="18"/>
      <c r="MJ152" s="18"/>
      <c r="MK152" s="18"/>
      <c r="ML152" s="18"/>
      <c r="MM152" s="18"/>
      <c r="MN152" s="18"/>
      <c r="MO152" s="18"/>
      <c r="MP152" s="18"/>
      <c r="MQ152" s="18"/>
      <c r="MR152" s="18"/>
      <c r="MS152" s="18"/>
      <c r="MT152" s="18"/>
      <c r="MU152" s="18"/>
      <c r="MV152" s="18"/>
      <c r="MW152" s="18"/>
      <c r="MX152" s="18"/>
      <c r="MY152" s="18"/>
      <c r="MZ152" s="18"/>
      <c r="NA152" s="18"/>
      <c r="NB152" s="18"/>
      <c r="NC152" s="18"/>
      <c r="ND152" s="18"/>
      <c r="NE152" s="18"/>
      <c r="NF152" s="18"/>
      <c r="NG152" s="18"/>
      <c r="NH152" s="18"/>
      <c r="NI152" s="18"/>
      <c r="NJ152" s="18"/>
      <c r="NK152" s="18"/>
      <c r="NL152" s="18"/>
      <c r="NM152" s="18"/>
      <c r="NN152" s="18"/>
      <c r="NO152" s="18"/>
      <c r="NP152" s="18"/>
      <c r="NQ152" s="18"/>
      <c r="NR152" s="18"/>
      <c r="NS152" s="18"/>
      <c r="NT152" s="18"/>
      <c r="NU152" s="18"/>
      <c r="NV152" s="18"/>
      <c r="NW152" s="18"/>
      <c r="NX152" s="18"/>
      <c r="NY152" s="18"/>
      <c r="NZ152" s="18"/>
      <c r="OA152" s="18"/>
      <c r="OB152" s="18"/>
      <c r="OC152" s="18"/>
      <c r="OD152" s="18"/>
      <c r="OE152" s="18"/>
      <c r="OF152" s="18"/>
      <c r="OG152" s="18"/>
      <c r="OH152" s="18"/>
      <c r="OI152" s="18"/>
      <c r="OJ152" s="18"/>
      <c r="OK152" s="18"/>
      <c r="OL152" s="18"/>
      <c r="OM152" s="18"/>
      <c r="ON152" s="18"/>
      <c r="OO152" s="18"/>
      <c r="OP152" s="18"/>
      <c r="OQ152" s="18"/>
      <c r="OR152" s="18"/>
      <c r="OS152" s="18"/>
      <c r="OT152" s="18"/>
      <c r="OU152" s="18"/>
      <c r="OV152" s="18"/>
      <c r="OW152" s="18"/>
      <c r="OX152" s="18"/>
      <c r="OY152" s="18"/>
      <c r="OZ152" s="18"/>
      <c r="PA152" s="18"/>
      <c r="PB152" s="18"/>
      <c r="PC152" s="18"/>
      <c r="PD152" s="18"/>
      <c r="PE152" s="18"/>
      <c r="PF152" s="18"/>
      <c r="PG152" s="18"/>
      <c r="PH152" s="18"/>
      <c r="PI152" s="18"/>
      <c r="PJ152" s="18"/>
      <c r="PK152" s="18"/>
      <c r="PL152" s="18"/>
      <c r="PM152" s="18"/>
      <c r="PN152" s="18"/>
      <c r="PO152" s="18"/>
      <c r="PP152" s="18"/>
      <c r="PQ152" s="18"/>
      <c r="PR152" s="18"/>
      <c r="PS152" s="18"/>
      <c r="PT152" s="18"/>
      <c r="PU152" s="18"/>
      <c r="PV152" s="18"/>
      <c r="PW152" s="18"/>
      <c r="PX152" s="18"/>
      <c r="PY152" s="18"/>
      <c r="PZ152" s="18"/>
      <c r="QA152" s="18"/>
      <c r="QB152" s="18"/>
      <c r="QC152" s="18"/>
      <c r="QD152" s="18"/>
      <c r="QE152" s="18"/>
      <c r="QF152" s="18"/>
      <c r="QG152" s="18"/>
      <c r="QH152" s="18"/>
      <c r="QI152" s="18"/>
      <c r="QJ152" s="18"/>
      <c r="QK152" s="18"/>
      <c r="QL152" s="18"/>
      <c r="QM152" s="18"/>
      <c r="QN152" s="18"/>
      <c r="QO152" s="18"/>
      <c r="QP152" s="18"/>
      <c r="QQ152" s="18"/>
      <c r="QR152" s="18"/>
      <c r="QS152" s="18"/>
      <c r="QT152" s="118">
        <f t="shared" si="1460"/>
        <v>5.62E-2</v>
      </c>
      <c r="QU152" s="116">
        <f t="shared" si="1461"/>
        <v>5.5899999999999998E-2</v>
      </c>
      <c r="QV152" s="116">
        <f t="shared" si="1462"/>
        <v>5.57E-2</v>
      </c>
      <c r="QW152" s="116">
        <f t="shared" si="1463"/>
        <v>5.5500000000000001E-2</v>
      </c>
      <c r="QX152" s="116">
        <f t="shared" si="1514"/>
        <v>5.5099999999999996E-2</v>
      </c>
      <c r="QY152" s="116">
        <f t="shared" si="1515"/>
        <v>5.4699999999999999E-2</v>
      </c>
      <c r="QZ152" s="116">
        <f t="shared" si="1469"/>
        <v>5.4400000000000004E-2</v>
      </c>
      <c r="RA152" s="116">
        <f t="shared" si="1470"/>
        <v>5.4000000000000006E-2</v>
      </c>
      <c r="RB152" s="116">
        <f t="shared" si="1471"/>
        <v>5.3600000000000002E-2</v>
      </c>
      <c r="RC152" s="116">
        <f t="shared" si="1472"/>
        <v>5.2999999999999999E-2</v>
      </c>
      <c r="RD152" s="116">
        <f t="shared" si="1473"/>
        <v>5.2400000000000002E-2</v>
      </c>
      <c r="RE152" s="116">
        <f t="shared" si="1474"/>
        <v>5.1799999999999999E-2</v>
      </c>
      <c r="RF152" s="116">
        <f t="shared" si="1475"/>
        <v>5.1200000000000002E-2</v>
      </c>
      <c r="RG152" s="116">
        <f t="shared" si="1476"/>
        <v>5.0599999999999999E-2</v>
      </c>
      <c r="RH152" s="116">
        <f t="shared" si="1477"/>
        <v>4.99E-2</v>
      </c>
      <c r="RI152" s="116">
        <f t="shared" si="1478"/>
        <v>4.9200000000000001E-2</v>
      </c>
      <c r="RJ152" s="116">
        <f t="shared" si="1479"/>
        <v>4.8399999999999999E-2</v>
      </c>
      <c r="RK152" s="116">
        <f t="shared" si="1480"/>
        <v>4.7699999999999992E-2</v>
      </c>
      <c r="RL152" s="116">
        <f t="shared" si="1481"/>
        <v>4.7E-2</v>
      </c>
      <c r="RM152" s="116">
        <f t="shared" si="1482"/>
        <v>4.6300000000000001E-2</v>
      </c>
      <c r="RN152" s="116">
        <f t="shared" si="1483"/>
        <v>4.5599999999999995E-2</v>
      </c>
      <c r="RO152" s="116">
        <f t="shared" si="1484"/>
        <v>4.4800000000000006E-2</v>
      </c>
      <c r="RP152" s="116">
        <f t="shared" si="1485"/>
        <v>4.41E-2</v>
      </c>
      <c r="RQ152" s="116">
        <f t="shared" si="1486"/>
        <v>4.3400000000000001E-2</v>
      </c>
      <c r="RR152" s="116">
        <f t="shared" si="1487"/>
        <v>4.2800000000000005E-2</v>
      </c>
      <c r="RS152" s="116">
        <f t="shared" si="1488"/>
        <v>4.2199999999999994E-2</v>
      </c>
      <c r="RT152" s="116">
        <f t="shared" si="1489"/>
        <v>4.1599999999999998E-2</v>
      </c>
      <c r="RU152" s="116">
        <f t="shared" si="1490"/>
        <v>4.0999999999999995E-2</v>
      </c>
      <c r="RV152" s="116">
        <f t="shared" si="1491"/>
        <v>4.0399999999999998E-2</v>
      </c>
      <c r="RW152" s="116">
        <f t="shared" si="1492"/>
        <v>3.9800000000000002E-2</v>
      </c>
      <c r="RX152" s="116">
        <f t="shared" si="1493"/>
        <v>3.9199999999999999E-2</v>
      </c>
      <c r="RY152" s="116">
        <f t="shared" si="1494"/>
        <v>3.8599999999999995E-2</v>
      </c>
      <c r="RZ152" s="116">
        <f t="shared" si="1495"/>
        <v>3.7999999999999999E-2</v>
      </c>
      <c r="SA152" s="116">
        <f t="shared" si="1496"/>
        <v>3.7400000000000003E-2</v>
      </c>
      <c r="SB152" s="116">
        <f t="shared" si="1497"/>
        <v>3.6799999999999999E-2</v>
      </c>
      <c r="SC152" s="116">
        <f t="shared" si="1498"/>
        <v>3.61E-2</v>
      </c>
      <c r="SD152" s="116">
        <f t="shared" si="1499"/>
        <v>3.5499999999999997E-2</v>
      </c>
      <c r="SE152" s="116">
        <f t="shared" si="1500"/>
        <v>3.4799999999999998E-2</v>
      </c>
      <c r="SF152" s="116">
        <f t="shared" si="1501"/>
        <v>3.4200000000000001E-2</v>
      </c>
      <c r="SG152" s="116">
        <f t="shared" si="1502"/>
        <v>3.3599999999999998E-2</v>
      </c>
      <c r="SH152" s="116">
        <f t="shared" si="1503"/>
        <v>3.2899999999999999E-2</v>
      </c>
      <c r="SI152" s="116">
        <f t="shared" si="1504"/>
        <v>3.2300000000000002E-2</v>
      </c>
      <c r="SJ152" s="116">
        <f t="shared" si="1505"/>
        <v>3.1600000000000003E-2</v>
      </c>
      <c r="SK152" s="116">
        <f t="shared" si="1506"/>
        <v>3.1E-2</v>
      </c>
      <c r="SL152" s="116">
        <f t="shared" si="1507"/>
        <v>3.04E-2</v>
      </c>
      <c r="SM152" s="116">
        <f t="shared" si="1508"/>
        <v>2.98E-2</v>
      </c>
      <c r="SN152" s="116">
        <f t="shared" si="1509"/>
        <v>2.92E-2</v>
      </c>
      <c r="SO152" s="116">
        <f t="shared" si="1510"/>
        <v>2.86E-2</v>
      </c>
      <c r="SP152" s="116">
        <f t="shared" si="1511"/>
        <v>2.7999999999999997E-2</v>
      </c>
      <c r="SQ152" s="116">
        <f t="shared" si="1512"/>
        <v>2.7400000000000001E-2</v>
      </c>
      <c r="SR152" s="171">
        <f t="shared" si="1513"/>
        <v>2.6800000000000001E-2</v>
      </c>
      <c r="SS152" s="150">
        <f t="shared" ref="SS152:SS156" si="1517">BB35</f>
        <v>2.6200000000000001E-2</v>
      </c>
      <c r="ST152" s="150">
        <f t="shared" ref="ST152:ST156" si="1518">BC35</f>
        <v>2.5600000000000001E-2</v>
      </c>
      <c r="SU152" s="150">
        <f t="shared" ref="SU152:SU156" si="1519">BD35</f>
        <v>2.5000000000000001E-2</v>
      </c>
      <c r="SV152" s="150">
        <f t="shared" ref="SV152:SV156" si="1520">BE35</f>
        <v>2.46E-2</v>
      </c>
      <c r="SW152" s="150">
        <f t="shared" ref="SW152:SW156" si="1521">BF35</f>
        <v>2.4199999999999999E-2</v>
      </c>
      <c r="SX152" s="150">
        <f t="shared" ref="SX152:SX156" si="1522">BG35</f>
        <v>2.3700000000000002E-2</v>
      </c>
      <c r="SY152" s="150">
        <f t="shared" ref="SY152:SY156" si="1523">BH35</f>
        <v>2.3300000000000001E-2</v>
      </c>
      <c r="SZ152" s="150">
        <f t="shared" ref="SZ152:SZ156" si="1524">BI35</f>
        <v>2.29E-2</v>
      </c>
      <c r="TA152" s="150">
        <f t="shared" ref="TA152:TA156" si="1525">BJ35</f>
        <v>2.2499999999999999E-2</v>
      </c>
      <c r="TB152" s="150">
        <f t="shared" ref="TB152:TB156" si="1526">BK35</f>
        <v>2.2099999999999998E-2</v>
      </c>
      <c r="TC152" s="150">
        <f t="shared" ref="TC152:TC156" si="1527">BL35</f>
        <v>2.1600000000000001E-2</v>
      </c>
      <c r="TD152" s="150">
        <f t="shared" ref="TD152:TD156" si="1528">BM35</f>
        <v>2.12E-2</v>
      </c>
      <c r="TE152" s="150">
        <f t="shared" ref="TE152:TE156" si="1529">BN35</f>
        <v>2.0799999999999999E-2</v>
      </c>
      <c r="TF152" s="150">
        <f t="shared" ref="TF152:TF156" si="1530">BO35</f>
        <v>2.0499999999999997E-2</v>
      </c>
      <c r="TG152" s="150">
        <f t="shared" ref="TG152:TG156" si="1531">BP35</f>
        <v>2.0199999999999999E-2</v>
      </c>
      <c r="TH152" s="150">
        <f t="shared" ref="TH152:TH156" si="1532">BQ35</f>
        <v>1.9900000000000001E-2</v>
      </c>
      <c r="TI152" s="150">
        <f t="shared" ref="TI152:TI156" si="1533">BR35</f>
        <v>1.9599999999999999E-2</v>
      </c>
      <c r="TJ152" s="150">
        <f t="shared" ref="TJ152:TJ156" si="1534">BS35</f>
        <v>1.9299999999999998E-2</v>
      </c>
      <c r="TK152" s="150">
        <f t="shared" ref="TK152:TK156" si="1535">BT35</f>
        <v>1.9E-2</v>
      </c>
      <c r="TL152" s="150">
        <f t="shared" ref="TL152:TL156" si="1536">BU35</f>
        <v>1.8700000000000001E-2</v>
      </c>
      <c r="TM152" s="150">
        <f t="shared" ref="TM152:TM156" si="1537">BV35</f>
        <v>1.84E-2</v>
      </c>
      <c r="TN152" s="150">
        <f t="shared" ref="TN152:TN156" si="1538">BW35</f>
        <v>1.8100000000000002E-2</v>
      </c>
      <c r="TO152" s="150">
        <f t="shared" ref="TO152:TO156" si="1539">BX35</f>
        <v>1.78E-2</v>
      </c>
      <c r="TP152" s="150">
        <f t="shared" ref="TP152:TP156" si="1540">BY35</f>
        <v>1.7600000000000001E-2</v>
      </c>
      <c r="TQ152" s="150">
        <f t="shared" ref="TQ152:TQ156" si="1541">BZ35</f>
        <v>1.7399999999999999E-2</v>
      </c>
      <c r="TR152" s="150">
        <f t="shared" ref="TR152:TR156" si="1542">CA35</f>
        <v>1.72E-2</v>
      </c>
      <c r="TS152" s="150">
        <f t="shared" ref="TS152:TS156" si="1543">CB35</f>
        <v>1.7000000000000001E-2</v>
      </c>
      <c r="TT152" s="150">
        <f t="shared" ref="TT152:TT156" si="1544">CC35</f>
        <v>1.6799999999999999E-2</v>
      </c>
      <c r="TU152" s="150">
        <f t="shared" ref="TU152:TU156" si="1545">CD35</f>
        <v>1.66E-2</v>
      </c>
      <c r="TV152" s="150">
        <f t="shared" ref="TV152:TV156" si="1546">CE35</f>
        <v>1.6399999999999998E-2</v>
      </c>
      <c r="TW152" s="150">
        <f t="shared" ref="TW152:TW156" si="1547">CF35</f>
        <v>1.6200000000000003E-2</v>
      </c>
      <c r="TX152" s="150">
        <f t="shared" ref="TX152:TX156" si="1548">CG35</f>
        <v>1.6E-2</v>
      </c>
      <c r="TY152" s="150">
        <f t="shared" ref="TY152:TY156" si="1549">CH35</f>
        <v>1.5800000000000002E-2</v>
      </c>
      <c r="TZ152" s="150">
        <f t="shared" ref="TZ152:TZ156" si="1550">CI35</f>
        <v>1.5700000000000002E-2</v>
      </c>
      <c r="UA152" s="150">
        <f t="shared" ref="UA152:UA156" si="1551">CJ35</f>
        <v>1.5600000000000001E-2</v>
      </c>
      <c r="UB152" s="150">
        <f t="shared" ref="UB152:UB156" si="1552">CK35</f>
        <v>1.55E-2</v>
      </c>
      <c r="UC152" s="150">
        <f t="shared" ref="UC152:UC156" si="1553">CL35</f>
        <v>1.54E-2</v>
      </c>
      <c r="UD152" s="150">
        <f t="shared" ref="UD152:UD156" si="1554">CM35</f>
        <v>1.5300000000000001E-2</v>
      </c>
      <c r="UE152" s="150">
        <f t="shared" ref="UE152:UE156" si="1555">CN35</f>
        <v>1.52E-2</v>
      </c>
      <c r="UF152" s="150">
        <f t="shared" ref="UF152:UF156" si="1556">CO35</f>
        <v>1.5100000000000001E-2</v>
      </c>
      <c r="UG152" s="150">
        <f t="shared" ref="UG152:UG156" si="1557">CP35</f>
        <v>1.4999999999999999E-2</v>
      </c>
      <c r="UH152" s="150">
        <f t="shared" ref="UH152:UH156" si="1558">CQ35</f>
        <v>1.49E-2</v>
      </c>
      <c r="UI152" s="150">
        <f t="shared" ref="UI152:UI156" si="1559">CR35</f>
        <v>1.4800000000000001E-2</v>
      </c>
      <c r="UJ152" s="150">
        <f t="shared" ref="UJ152:UJ156" si="1560">CS35</f>
        <v>1.47E-2</v>
      </c>
      <c r="UK152" s="150">
        <f t="shared" ref="UK152:UK156" si="1561">CT35</f>
        <v>1.46E-2</v>
      </c>
      <c r="UL152" s="150">
        <f t="shared" ref="UL152:UL156" si="1562">CU35</f>
        <v>1.4499999999999999E-2</v>
      </c>
      <c r="UM152" s="150">
        <f t="shared" ref="UM152:UM156" si="1563">CV35</f>
        <v>1.44E-2</v>
      </c>
      <c r="UN152" s="150">
        <f t="shared" ref="UN152:UN156" si="1564">CW35</f>
        <v>1.43E-2</v>
      </c>
      <c r="UO152" s="150">
        <f t="shared" ref="UO152:UO156" si="1565">CX35</f>
        <v>1.4199999999999999E-2</v>
      </c>
      <c r="UP152" s="150">
        <f t="shared" ref="UP152:UP156" si="1566">CY35</f>
        <v>1.41E-2</v>
      </c>
      <c r="UQ152" s="175">
        <f t="shared" ref="UQ152:UQ156" si="1567">CZ35</f>
        <v>1.3999999999999999E-2</v>
      </c>
      <c r="UR152" s="161">
        <f t="shared" ref="UR152:UR156" si="1568">DA35</f>
        <v>1.3899999999999999E-2</v>
      </c>
      <c r="US152" s="161">
        <f t="shared" ref="US152:US156" si="1569">DB35</f>
        <v>1.38E-2</v>
      </c>
      <c r="UT152" s="161">
        <f t="shared" ref="UT152:UT156" si="1570">DC35</f>
        <v>1.37E-2</v>
      </c>
      <c r="UU152" s="161">
        <f t="shared" ref="UU152:UU156" si="1571">DD35</f>
        <v>1.3600000000000001E-2</v>
      </c>
      <c r="UV152" s="161">
        <f t="shared" ref="UV152:UV156" si="1572">DE35</f>
        <v>1.3500000000000002E-2</v>
      </c>
      <c r="UW152" s="161">
        <f t="shared" ref="UW152:UW156" si="1573">DF35</f>
        <v>1.34E-2</v>
      </c>
      <c r="UX152" s="161">
        <f t="shared" ref="UX152:UX156" si="1574">DG35</f>
        <v>1.34E-2</v>
      </c>
      <c r="UY152" s="161">
        <f t="shared" ref="UY152:UY156" si="1575">DH35</f>
        <v>1.3300000000000001E-2</v>
      </c>
      <c r="UZ152" s="161">
        <f t="shared" ref="UZ152:UZ156" si="1576">DI35</f>
        <v>1.32E-2</v>
      </c>
      <c r="VA152" s="161">
        <f t="shared" ref="VA152:VA156" si="1577">DJ35</f>
        <v>1.3100000000000001E-2</v>
      </c>
      <c r="VB152" s="161">
        <f t="shared" ref="VB152:VB156" si="1578">DK35</f>
        <v>1.3000000000000001E-2</v>
      </c>
      <c r="VC152" s="161">
        <f t="shared" ref="VC152:VC156" si="1579">DL35</f>
        <v>1.29E-2</v>
      </c>
      <c r="VD152" s="161">
        <f t="shared" si="1516"/>
        <v>1.2800000000000001E-2</v>
      </c>
      <c r="VE152" s="161">
        <f t="shared" ref="VE152:VE156" si="1580">DN35</f>
        <v>1.2699999999999999E-2</v>
      </c>
      <c r="VF152" s="161">
        <f t="shared" ref="VF152:VF156" si="1581">DO35</f>
        <v>1.2699999999999999E-2</v>
      </c>
      <c r="VG152" s="161">
        <f t="shared" ref="VG152:VG156" si="1582">DP35</f>
        <v>1.26E-2</v>
      </c>
      <c r="VH152" s="161">
        <f t="shared" ref="VH152:VH156" si="1583">DQ35</f>
        <v>1.2500000000000001E-2</v>
      </c>
      <c r="VI152" s="161">
        <f t="shared" ref="VI152:VI156" si="1584">DR35</f>
        <v>1.24E-2</v>
      </c>
      <c r="VJ152" s="161">
        <f t="shared" ref="VJ152:VJ156" si="1585">DS35</f>
        <v>1.23E-2</v>
      </c>
      <c r="VK152" s="161">
        <f t="shared" ref="VK152:VK156" si="1586">DT35</f>
        <v>1.23E-2</v>
      </c>
      <c r="VL152" s="161">
        <f t="shared" ref="VL152:VL156" si="1587">DU35</f>
        <v>1.2199999999999999E-2</v>
      </c>
      <c r="VM152" s="161">
        <f t="shared" ref="VM152:VM156" si="1588">DV35</f>
        <v>1.21E-2</v>
      </c>
      <c r="VN152" s="161">
        <f t="shared" ref="VN152:VN156" si="1589">DW35</f>
        <v>1.2E-2</v>
      </c>
      <c r="VO152" s="161">
        <f t="shared" ref="VO152:VO156" si="1590">DX35</f>
        <v>1.1899999999999999E-2</v>
      </c>
      <c r="VP152" s="161">
        <f t="shared" ref="VP152:VP156" si="1591">DY35</f>
        <v>1.18E-2</v>
      </c>
      <c r="VQ152" s="161">
        <f t="shared" ref="VQ152:VQ156" si="1592">DZ35</f>
        <v>1.1699999999999999E-2</v>
      </c>
      <c r="VR152" s="161">
        <f t="shared" ref="VR152:VR156" si="1593">EA35</f>
        <v>1.1699999999999999E-2</v>
      </c>
      <c r="VS152" s="161">
        <f t="shared" ref="VS152:VS156" si="1594">EB35</f>
        <v>1.1599999999999999E-2</v>
      </c>
      <c r="VT152" s="161">
        <f t="shared" ref="VT152:VT156" si="1595">EC35</f>
        <v>1.15E-2</v>
      </c>
      <c r="VU152" s="161">
        <f t="shared" ref="VU152:VU156" si="1596">ED35</f>
        <v>1.1399999999999999E-2</v>
      </c>
      <c r="VV152" s="161">
        <f t="shared" ref="VV152:VV156" si="1597">EE35</f>
        <v>1.1299999999999999E-2</v>
      </c>
      <c r="VW152" s="161">
        <f t="shared" ref="VW152:VW156" si="1598">EF35</f>
        <v>1.1200000000000002E-2</v>
      </c>
      <c r="VX152" s="161">
        <f t="shared" ref="VX152:VX156" si="1599">EG35</f>
        <v>1.11E-2</v>
      </c>
      <c r="VY152" s="161">
        <f t="shared" ref="VY152:VY156" si="1600">EH35</f>
        <v>1.1000000000000001E-2</v>
      </c>
      <c r="VZ152" s="161">
        <f t="shared" ref="VZ152:VZ156" si="1601">EI35</f>
        <v>1.1000000000000001E-2</v>
      </c>
      <c r="WA152" s="161">
        <f t="shared" ref="WA152:WA156" si="1602">EJ35</f>
        <v>1.09E-2</v>
      </c>
      <c r="WB152" s="161">
        <f t="shared" ref="WB152:WB156" si="1603">EK35</f>
        <v>1.0800000000000001E-2</v>
      </c>
      <c r="WC152" s="161">
        <f t="shared" ref="WC152:WC156" si="1604">EL35</f>
        <v>1.0700000000000001E-2</v>
      </c>
      <c r="WD152" s="161">
        <f t="shared" ref="WD152:WD156" si="1605">EM35</f>
        <v>1.06E-2</v>
      </c>
      <c r="WE152" s="161">
        <f t="shared" ref="WE152:WE156" si="1606">EN35</f>
        <v>1.06E-2</v>
      </c>
      <c r="WF152" s="161">
        <f t="shared" ref="WF152:WF156" si="1607">EO35</f>
        <v>1.0500000000000001E-2</v>
      </c>
      <c r="WG152" s="161">
        <f t="shared" ref="WG152:WG156" si="1608">EP35</f>
        <v>1.04E-2</v>
      </c>
      <c r="WH152" s="161">
        <f t="shared" ref="WH152:WH156" si="1609">EQ35</f>
        <v>1.03E-2</v>
      </c>
      <c r="WI152" s="161">
        <f t="shared" ref="WI152:WI156" si="1610">ER35</f>
        <v>1.03E-2</v>
      </c>
      <c r="WJ152" s="161">
        <f t="shared" ref="WJ152:WJ156" si="1611">ES35</f>
        <v>1.0200000000000001E-2</v>
      </c>
      <c r="WK152" s="161">
        <f t="shared" ref="WK152:WK156" si="1612">ET35</f>
        <v>1.0200000000000001E-2</v>
      </c>
      <c r="WL152" s="161">
        <f t="shared" ref="WL152:WL156" si="1613">EU35</f>
        <v>1.01E-2</v>
      </c>
      <c r="WM152" s="161">
        <f t="shared" ref="WM152:WM156" si="1614">EV35</f>
        <v>0.01</v>
      </c>
      <c r="WN152" s="161">
        <f t="shared" ref="WN152:WN156" si="1615">EW35</f>
        <v>0.01</v>
      </c>
      <c r="WO152" s="161">
        <f t="shared" ref="WO152:WO156" si="1616">EX35</f>
        <v>9.8999999999999991E-3</v>
      </c>
      <c r="WP152" s="118">
        <f t="shared" ref="WP152:WP156" si="1617">EY35</f>
        <v>9.8999999999999991E-3</v>
      </c>
      <c r="WQ152" s="203"/>
      <c r="WR152" s="203"/>
      <c r="WS152" s="203"/>
      <c r="WT152" s="203"/>
      <c r="WU152" s="203"/>
      <c r="WV152" s="203"/>
      <c r="WW152" s="203"/>
      <c r="WX152" s="203"/>
      <c r="WY152" s="203"/>
      <c r="WZ152" s="203"/>
      <c r="XA152" s="203"/>
      <c r="XB152" s="203"/>
      <c r="XC152" s="203"/>
      <c r="XD152" s="203"/>
      <c r="XE152" s="203"/>
    </row>
    <row r="153" spans="1:696" ht="19.5" thickBot="1" x14ac:dyDescent="0.3">
      <c r="A153" s="298"/>
      <c r="B153" s="25" t="s">
        <v>105</v>
      </c>
      <c r="BY153" s="18"/>
      <c r="BZ153" s="18"/>
      <c r="CA153" s="18"/>
      <c r="CB153" s="18"/>
      <c r="CC153" s="18"/>
      <c r="CD153" s="18"/>
      <c r="CE153" s="18"/>
      <c r="CF153" s="18"/>
      <c r="CG153" s="18"/>
      <c r="CH153" s="18"/>
      <c r="CI153" s="18"/>
      <c r="CJ153" s="18"/>
      <c r="CK153" s="18"/>
      <c r="CL153" s="18"/>
      <c r="CM153" s="18"/>
      <c r="CN153" s="18"/>
      <c r="CO153" s="18"/>
      <c r="CP153" s="18"/>
      <c r="CQ153" s="18"/>
      <c r="CR153" s="18"/>
      <c r="CS153" s="18"/>
      <c r="CT153" s="18"/>
      <c r="CU153" s="18"/>
      <c r="CV153" s="18"/>
      <c r="CW153" s="18"/>
      <c r="CX153" s="18"/>
      <c r="CY153" s="18"/>
      <c r="CZ153" s="18"/>
      <c r="DA153" s="18"/>
      <c r="DB153" s="18"/>
      <c r="DC153" s="18"/>
      <c r="DD153" s="18"/>
      <c r="DE153" s="18"/>
      <c r="DF153" s="18"/>
      <c r="DG153" s="18"/>
      <c r="DH153" s="18"/>
      <c r="DI153" s="18"/>
      <c r="DJ153" s="18"/>
      <c r="DK153" s="18"/>
      <c r="DL153" s="18"/>
      <c r="DM153" s="18"/>
      <c r="DN153" s="18"/>
      <c r="DO153" s="18"/>
      <c r="DP153" s="18"/>
      <c r="DQ153" s="18"/>
      <c r="DR153" s="18"/>
      <c r="DS153" s="18"/>
      <c r="DT153" s="18"/>
      <c r="DU153" s="18"/>
      <c r="DV153" s="18"/>
      <c r="DW153" s="18"/>
      <c r="DX153" s="18"/>
      <c r="DY153" s="18"/>
      <c r="DZ153" s="18"/>
      <c r="EA153" s="18"/>
      <c r="EB153" s="18"/>
      <c r="EC153" s="18"/>
      <c r="ED153" s="18"/>
      <c r="EE153" s="18"/>
      <c r="EF153" s="18"/>
      <c r="EG153" s="18"/>
      <c r="EH153" s="18"/>
      <c r="EI153" s="18"/>
      <c r="EJ153" s="18"/>
      <c r="EK153" s="18"/>
      <c r="EL153" s="18"/>
      <c r="EM153" s="18"/>
      <c r="EN153" s="18"/>
      <c r="EO153" s="18"/>
      <c r="EP153" s="18"/>
      <c r="EQ153" s="18"/>
      <c r="ER153" s="18"/>
      <c r="ES153" s="18"/>
      <c r="ET153" s="18"/>
      <c r="EU153" s="18"/>
      <c r="EV153" s="18"/>
      <c r="EW153" s="18"/>
      <c r="EX153" s="18"/>
      <c r="EY153" s="18"/>
      <c r="EZ153" s="18"/>
      <c r="FA153" s="18"/>
      <c r="FB153" s="18"/>
      <c r="FC153" s="18"/>
      <c r="FD153" s="18"/>
      <c r="FE153" s="18"/>
      <c r="FF153" s="18"/>
      <c r="FG153" s="18"/>
      <c r="FH153" s="18"/>
      <c r="FI153" s="18"/>
      <c r="FJ153" s="18"/>
      <c r="FK153" s="18"/>
      <c r="FL153" s="18"/>
      <c r="FM153" s="18"/>
      <c r="FN153" s="18"/>
      <c r="FO153" s="18"/>
      <c r="FP153" s="18"/>
      <c r="FQ153" s="18"/>
      <c r="FR153" s="18"/>
      <c r="FS153" s="18"/>
      <c r="FT153" s="18"/>
      <c r="FU153" s="18"/>
      <c r="FV153" s="18"/>
      <c r="FW153" s="18"/>
      <c r="FX153" s="18"/>
      <c r="FY153" s="18"/>
      <c r="FZ153" s="18"/>
      <c r="GA153" s="18"/>
      <c r="GB153" s="18"/>
      <c r="GC153" s="18"/>
      <c r="GD153" s="18"/>
      <c r="GE153" s="18"/>
      <c r="GF153" s="18"/>
      <c r="GG153" s="18"/>
      <c r="GH153" s="18"/>
      <c r="GI153" s="18"/>
      <c r="GJ153" s="18"/>
      <c r="GK153" s="18"/>
      <c r="GL153" s="18"/>
      <c r="GM153" s="18"/>
      <c r="GN153" s="18"/>
      <c r="GO153" s="18"/>
      <c r="GP153" s="18"/>
      <c r="GQ153" s="18"/>
      <c r="GR153" s="18"/>
      <c r="GS153" s="18"/>
      <c r="GT153" s="18"/>
      <c r="GU153" s="18"/>
      <c r="GV153" s="18"/>
      <c r="GW153" s="18"/>
      <c r="GX153" s="18"/>
      <c r="GY153" s="18"/>
      <c r="GZ153" s="18"/>
      <c r="HA153" s="18"/>
      <c r="HB153" s="18"/>
      <c r="HC153" s="18"/>
      <c r="HD153" s="18"/>
      <c r="HE153" s="18"/>
      <c r="HF153" s="18"/>
      <c r="HG153" s="18"/>
      <c r="HH153" s="18"/>
      <c r="HI153" s="18"/>
      <c r="HJ153" s="18"/>
      <c r="HK153" s="18"/>
      <c r="HL153" s="18"/>
      <c r="HM153" s="18"/>
      <c r="HN153" s="18"/>
      <c r="HO153" s="18"/>
      <c r="HP153" s="18"/>
      <c r="HQ153" s="18"/>
      <c r="HR153" s="18"/>
      <c r="HS153" s="18"/>
      <c r="HT153" s="18"/>
      <c r="HU153" s="18"/>
      <c r="HV153" s="18"/>
      <c r="HW153" s="18"/>
      <c r="HX153" s="18"/>
      <c r="HY153" s="18"/>
      <c r="HZ153" s="18"/>
      <c r="IA153" s="18"/>
      <c r="IB153" s="18"/>
      <c r="IC153" s="18"/>
      <c r="ID153" s="18"/>
      <c r="IE153" s="18"/>
      <c r="IF153" s="18"/>
      <c r="IG153" s="18"/>
      <c r="IH153" s="18"/>
      <c r="II153" s="18"/>
      <c r="IJ153" s="18"/>
      <c r="IK153" s="18"/>
      <c r="IL153" s="18"/>
      <c r="IM153" s="18"/>
      <c r="IN153" s="18"/>
      <c r="IO153" s="18"/>
      <c r="IP153" s="18"/>
      <c r="IQ153" s="18"/>
      <c r="IR153" s="18"/>
      <c r="IS153" s="18"/>
      <c r="IT153" s="18"/>
      <c r="IU153" s="18"/>
      <c r="IV153" s="18"/>
      <c r="IW153" s="18"/>
      <c r="IX153" s="18"/>
      <c r="IY153" s="18"/>
      <c r="IZ153" s="18"/>
      <c r="JA153" s="18"/>
      <c r="JB153" s="18"/>
      <c r="JC153" s="18"/>
      <c r="JD153" s="18"/>
      <c r="JE153" s="18"/>
      <c r="JF153" s="18"/>
      <c r="JG153" s="18"/>
      <c r="JH153" s="18"/>
      <c r="JI153" s="18"/>
      <c r="JJ153" s="18"/>
      <c r="JK153" s="18"/>
      <c r="JL153" s="18"/>
      <c r="JM153" s="18"/>
      <c r="JN153" s="18"/>
      <c r="JO153" s="18"/>
      <c r="JP153" s="18"/>
      <c r="JQ153" s="18"/>
      <c r="JR153" s="18"/>
      <c r="JS153" s="18"/>
      <c r="JT153" s="18"/>
      <c r="JU153" s="18"/>
      <c r="JV153" s="18"/>
      <c r="JW153" s="18"/>
      <c r="JX153" s="18"/>
      <c r="JY153" s="18"/>
      <c r="JZ153" s="18"/>
      <c r="KA153" s="18"/>
      <c r="KB153" s="18"/>
      <c r="KC153" s="18"/>
      <c r="KD153" s="18"/>
      <c r="KE153" s="18"/>
      <c r="KF153" s="18"/>
      <c r="KG153" s="18"/>
      <c r="KH153" s="18"/>
      <c r="KI153" s="18"/>
      <c r="KJ153" s="18"/>
      <c r="KK153" s="18"/>
      <c r="KL153" s="18"/>
      <c r="KM153" s="18"/>
      <c r="KN153" s="18"/>
      <c r="KO153" s="18"/>
      <c r="KP153" s="18"/>
      <c r="KQ153" s="18"/>
      <c r="KR153" s="18"/>
      <c r="KS153" s="18"/>
      <c r="KT153" s="18"/>
      <c r="KU153" s="18"/>
      <c r="KV153" s="18"/>
      <c r="KW153" s="18"/>
      <c r="KX153" s="18"/>
      <c r="KY153" s="18"/>
      <c r="KZ153" s="18"/>
      <c r="LA153" s="18"/>
      <c r="LB153" s="18"/>
      <c r="LC153" s="18"/>
      <c r="LD153" s="18"/>
      <c r="LE153" s="18"/>
      <c r="LF153" s="18"/>
      <c r="LG153" s="18"/>
      <c r="LH153" s="18"/>
      <c r="LI153" s="18"/>
      <c r="LJ153" s="18"/>
      <c r="LK153" s="18"/>
      <c r="LL153" s="18"/>
      <c r="LM153" s="18"/>
      <c r="LN153" s="18"/>
      <c r="LO153" s="18"/>
      <c r="LP153" s="18"/>
      <c r="LQ153" s="18"/>
      <c r="LR153" s="18"/>
      <c r="LS153" s="18"/>
      <c r="LT153" s="18"/>
      <c r="LU153" s="18"/>
      <c r="LV153" s="18"/>
      <c r="LW153" s="18"/>
      <c r="LX153" s="18"/>
      <c r="LY153" s="18"/>
      <c r="LZ153" s="18"/>
      <c r="MA153" s="18"/>
      <c r="MB153" s="18"/>
      <c r="MC153" s="18"/>
      <c r="MD153" s="18"/>
      <c r="ME153" s="18"/>
      <c r="MF153" s="18"/>
      <c r="MG153" s="18"/>
      <c r="MH153" s="18"/>
      <c r="MI153" s="18"/>
      <c r="MJ153" s="18"/>
      <c r="MK153" s="18"/>
      <c r="ML153" s="18"/>
      <c r="MM153" s="18"/>
      <c r="MN153" s="18"/>
      <c r="MO153" s="18"/>
      <c r="MP153" s="18"/>
      <c r="MQ153" s="18"/>
      <c r="MR153" s="18"/>
      <c r="MS153" s="18"/>
      <c r="MT153" s="18"/>
      <c r="MU153" s="18"/>
      <c r="MV153" s="18"/>
      <c r="MW153" s="18"/>
      <c r="MX153" s="18"/>
      <c r="MY153" s="18"/>
      <c r="MZ153" s="18"/>
      <c r="NA153" s="18"/>
      <c r="NB153" s="18"/>
      <c r="NC153" s="18"/>
      <c r="ND153" s="18"/>
      <c r="NE153" s="18"/>
      <c r="NF153" s="18"/>
      <c r="NG153" s="18"/>
      <c r="NH153" s="18"/>
      <c r="NI153" s="18"/>
      <c r="NJ153" s="18"/>
      <c r="NK153" s="18"/>
      <c r="NL153" s="18"/>
      <c r="NM153" s="18"/>
      <c r="NN153" s="18"/>
      <c r="NO153" s="18"/>
      <c r="NP153" s="18"/>
      <c r="NQ153" s="18"/>
      <c r="NR153" s="18"/>
      <c r="NS153" s="18"/>
      <c r="NT153" s="18"/>
      <c r="NU153" s="18"/>
      <c r="NV153" s="18"/>
      <c r="NW153" s="18"/>
      <c r="NX153" s="18"/>
      <c r="NY153" s="18"/>
      <c r="NZ153" s="18"/>
      <c r="OA153" s="18"/>
      <c r="OB153" s="18"/>
      <c r="OC153" s="18"/>
      <c r="OD153" s="18"/>
      <c r="OE153" s="18"/>
      <c r="OF153" s="18"/>
      <c r="OG153" s="18"/>
      <c r="OH153" s="18"/>
      <c r="OI153" s="18"/>
      <c r="OJ153" s="18"/>
      <c r="OK153" s="18"/>
      <c r="OL153" s="18"/>
      <c r="OM153" s="18"/>
      <c r="ON153" s="18"/>
      <c r="OO153" s="18"/>
      <c r="OP153" s="18"/>
      <c r="OQ153" s="18"/>
      <c r="OR153" s="18"/>
      <c r="OS153" s="18"/>
      <c r="OT153" s="18"/>
      <c r="OU153" s="18"/>
      <c r="OV153" s="18"/>
      <c r="OW153" s="18"/>
      <c r="OX153" s="18"/>
      <c r="OY153" s="18"/>
      <c r="OZ153" s="18"/>
      <c r="PA153" s="18"/>
      <c r="PB153" s="18"/>
      <c r="PC153" s="18"/>
      <c r="PD153" s="18"/>
      <c r="PE153" s="18"/>
      <c r="PF153" s="18"/>
      <c r="PG153" s="18"/>
      <c r="PH153" s="18"/>
      <c r="PI153" s="18"/>
      <c r="PJ153" s="18"/>
      <c r="PK153" s="18"/>
      <c r="PL153" s="18"/>
      <c r="PM153" s="18"/>
      <c r="PN153" s="18"/>
      <c r="PO153" s="18"/>
      <c r="PP153" s="18"/>
      <c r="PQ153" s="18"/>
      <c r="PR153" s="18"/>
      <c r="PS153" s="18"/>
      <c r="PT153" s="18"/>
      <c r="PU153" s="18"/>
      <c r="PV153" s="18"/>
      <c r="PW153" s="18"/>
      <c r="PX153" s="18"/>
      <c r="PY153" s="18"/>
      <c r="PZ153" s="18"/>
      <c r="QA153" s="18"/>
      <c r="QB153" s="18"/>
      <c r="QC153" s="18"/>
      <c r="QD153" s="18"/>
      <c r="QE153" s="18"/>
      <c r="QF153" s="18"/>
      <c r="QG153" s="18"/>
      <c r="QH153" s="18"/>
      <c r="QI153" s="18"/>
      <c r="QJ153" s="18"/>
      <c r="QK153" s="18"/>
      <c r="QL153" s="18"/>
      <c r="QM153" s="18"/>
      <c r="QN153" s="18"/>
      <c r="QO153" s="18"/>
      <c r="QP153" s="18"/>
      <c r="QQ153" s="18"/>
      <c r="QR153" s="18"/>
      <c r="QS153" s="18"/>
      <c r="QT153" s="124">
        <f t="shared" si="1460"/>
        <v>0.14050000000000001</v>
      </c>
      <c r="QU153" s="115">
        <f t="shared" si="1461"/>
        <v>0.15349541071428571</v>
      </c>
      <c r="QV153" s="115">
        <f t="shared" si="1462"/>
        <v>0.16790765106568878</v>
      </c>
      <c r="QW153" s="115">
        <f t="shared" si="1463"/>
        <v>0.18331904442666083</v>
      </c>
      <c r="QX153" s="115">
        <f t="shared" si="1514"/>
        <v>0.19935467139751761</v>
      </c>
      <c r="QY153" s="115">
        <f t="shared" si="1515"/>
        <v>0.2166426892048324</v>
      </c>
      <c r="QZ153" s="115">
        <f t="shared" si="1469"/>
        <v>0.2353432020092141</v>
      </c>
      <c r="RA153" s="115">
        <f t="shared" si="1470"/>
        <v>0.25505677544932165</v>
      </c>
      <c r="RB153" s="115">
        <f t="shared" si="1471"/>
        <v>0.27583239066968751</v>
      </c>
      <c r="RC153" s="115">
        <f t="shared" si="1472"/>
        <v>0.29697738913303484</v>
      </c>
      <c r="RD153" s="115">
        <f t="shared" si="1473"/>
        <v>0.3194037691593315</v>
      </c>
      <c r="RE153" s="115">
        <f t="shared" si="1474"/>
        <v>0.34269017321519196</v>
      </c>
      <c r="RF153" s="115">
        <f t="shared" si="1475"/>
        <v>0.36728624217254702</v>
      </c>
      <c r="RG153" s="115">
        <f t="shared" si="1476"/>
        <v>0.39272283715155293</v>
      </c>
      <c r="RH153" s="115">
        <f t="shared" si="1477"/>
        <v>0.4186413483967294</v>
      </c>
      <c r="RI153" s="115">
        <f t="shared" si="1478"/>
        <v>0.44516430350160602</v>
      </c>
      <c r="RJ153" s="115">
        <f t="shared" si="1479"/>
        <v>0.47180154377391648</v>
      </c>
      <c r="RK153" s="115">
        <f t="shared" si="1480"/>
        <v>0.49977012867788351</v>
      </c>
      <c r="RL153" s="115">
        <f t="shared" si="1481"/>
        <v>0.52873554206564766</v>
      </c>
      <c r="RM153" s="115">
        <f t="shared" si="1482"/>
        <v>0.55806974775310336</v>
      </c>
      <c r="RN153" s="115">
        <f t="shared" si="1483"/>
        <v>0.58829561286534438</v>
      </c>
      <c r="RO153" s="115">
        <f t="shared" si="1484"/>
        <v>0.61736583170566495</v>
      </c>
      <c r="RP153" s="115">
        <f t="shared" si="1485"/>
        <v>0.64838994880135448</v>
      </c>
      <c r="RQ153" s="115">
        <f t="shared" si="1486"/>
        <v>0.67945839994117818</v>
      </c>
      <c r="RR153" s="115">
        <f t="shared" si="1487"/>
        <v>0.71278668366268905</v>
      </c>
      <c r="RS153" s="115">
        <f t="shared" si="1488"/>
        <v>0.74696390684333991</v>
      </c>
      <c r="RT153" s="115">
        <f t="shared" si="1489"/>
        <v>0.78124953431619559</v>
      </c>
      <c r="RU153" s="115">
        <f t="shared" si="1490"/>
        <v>0.81624935648608865</v>
      </c>
      <c r="RV153" s="115">
        <f t="shared" si="1491"/>
        <v>0.851190450173121</v>
      </c>
      <c r="RW153" s="115">
        <f t="shared" si="1492"/>
        <v>0.88669158617649757</v>
      </c>
      <c r="RX153" s="115">
        <f t="shared" si="1493"/>
        <v>0.9226928896086164</v>
      </c>
      <c r="RY153" s="115">
        <f t="shared" si="1494"/>
        <v>0.9583702115541558</v>
      </c>
      <c r="RZ153" s="115">
        <f t="shared" si="1495"/>
        <v>0.99436612748230468</v>
      </c>
      <c r="SA153" s="115">
        <f t="shared" si="1496"/>
        <v>1.0306058047907931</v>
      </c>
      <c r="SB153" s="115">
        <f t="shared" si="1497"/>
        <v>1.0662242972344411</v>
      </c>
      <c r="SC153" s="115">
        <f t="shared" si="1498"/>
        <v>1.098837681270268</v>
      </c>
      <c r="SD153" s="115">
        <f t="shared" si="1499"/>
        <v>1.1333551862719433</v>
      </c>
      <c r="SE153" s="115">
        <f t="shared" si="1500"/>
        <v>1.1643356897299235</v>
      </c>
      <c r="SF153" s="115">
        <f t="shared" si="1501"/>
        <v>1.1980573168234954</v>
      </c>
      <c r="SG153" s="115">
        <f t="shared" si="1502"/>
        <v>1.230594031322491</v>
      </c>
      <c r="SH153" s="115">
        <f t="shared" si="1503"/>
        <v>1.25877805295653</v>
      </c>
      <c r="SI153" s="115">
        <f t="shared" si="1504"/>
        <v>1.2898201531700975</v>
      </c>
      <c r="SJ153" s="115">
        <f t="shared" si="1505"/>
        <v>1.3151769703837655</v>
      </c>
      <c r="SK153" s="115">
        <f t="shared" si="1506"/>
        <v>1.3434748261788181</v>
      </c>
      <c r="SL153" s="115">
        <f t="shared" si="1507"/>
        <v>1.3707845882486138</v>
      </c>
      <c r="SM153" s="115">
        <f t="shared" si="1508"/>
        <v>1.3962440358625756</v>
      </c>
      <c r="SN153" s="115">
        <f t="shared" si="1509"/>
        <v>1.4204905112874515</v>
      </c>
      <c r="SO153" s="115">
        <f t="shared" si="1510"/>
        <v>1.4434197840759082</v>
      </c>
      <c r="SP153" s="115">
        <f t="shared" si="1511"/>
        <v>1.4641996455827908</v>
      </c>
      <c r="SQ153" s="169">
        <f t="shared" si="1512"/>
        <v>1.4834503847325724</v>
      </c>
      <c r="SR153" s="136">
        <f t="shared" si="1513"/>
        <v>0</v>
      </c>
      <c r="SS153" s="170">
        <f t="shared" si="1517"/>
        <v>1.4638512217573703</v>
      </c>
      <c r="ST153" s="149">
        <f t="shared" si="1518"/>
        <v>1.4767759282456547</v>
      </c>
      <c r="SU153" s="149">
        <f t="shared" si="1519"/>
        <v>1.4872269348401286</v>
      </c>
      <c r="SV153" s="149">
        <f t="shared" si="1520"/>
        <v>1.5080184446477354</v>
      </c>
      <c r="SW153" s="149">
        <f t="shared" si="1521"/>
        <v>1.5279256892956639</v>
      </c>
      <c r="SX153" s="149">
        <f t="shared" si="1522"/>
        <v>1.5397896971590186</v>
      </c>
      <c r="SY153" s="149">
        <f t="shared" si="1523"/>
        <v>1.5567703640010737</v>
      </c>
      <c r="SZ153" s="149">
        <f t="shared" si="1524"/>
        <v>1.5726897843305634</v>
      </c>
      <c r="TA153" s="149">
        <f t="shared" si="1525"/>
        <v>1.5874948334423751</v>
      </c>
      <c r="TB153" s="149">
        <f t="shared" si="1526"/>
        <v>1.6005638232576938</v>
      </c>
      <c r="TC153" s="149">
        <f t="shared" si="1527"/>
        <v>1.6049855194787468</v>
      </c>
      <c r="TD153" s="149">
        <f t="shared" si="1528"/>
        <v>1.6151835357682431</v>
      </c>
      <c r="TE153" s="149">
        <f t="shared" si="1529"/>
        <v>1.624065309288073</v>
      </c>
      <c r="TF153" s="149">
        <f t="shared" si="1530"/>
        <v>1.639056681373809</v>
      </c>
      <c r="TG153" s="149">
        <f t="shared" si="1531"/>
        <v>1.6532265262692467</v>
      </c>
      <c r="TH153" s="149">
        <f t="shared" si="1532"/>
        <v>1.6665403195940414</v>
      </c>
      <c r="TI153" s="149">
        <f t="shared" si="1533"/>
        <v>1.6789640008207636</v>
      </c>
      <c r="TJ153" s="149">
        <f t="shared" si="1534"/>
        <v>1.6904640476120993</v>
      </c>
      <c r="TK153" s="149">
        <f t="shared" si="1535"/>
        <v>1.7005118899522849</v>
      </c>
      <c r="TL153" s="149">
        <f t="shared" si="1536"/>
        <v>1.7095731100983165</v>
      </c>
      <c r="TM153" s="149">
        <f t="shared" si="1537"/>
        <v>1.7176172571045174</v>
      </c>
      <c r="TN153" s="149">
        <f t="shared" si="1538"/>
        <v>1.724614726550094</v>
      </c>
      <c r="TO153" s="149">
        <f t="shared" si="1539"/>
        <v>1.7300746508710168</v>
      </c>
      <c r="TP153" s="149">
        <f t="shared" si="1540"/>
        <v>1.7443476482099647</v>
      </c>
      <c r="TQ153" s="149">
        <f t="shared" si="1541"/>
        <v>1.7580906710059778</v>
      </c>
      <c r="TR153" s="149">
        <f t="shared" si="1542"/>
        <v>1.7712839906251225</v>
      </c>
      <c r="TS153" s="149">
        <f t="shared" si="1543"/>
        <v>1.7839080310914897</v>
      </c>
      <c r="TT153" s="149">
        <f t="shared" si="1544"/>
        <v>1.7955030540076808</v>
      </c>
      <c r="TU153" s="149">
        <f t="shared" si="1545"/>
        <v>1.8064898226952995</v>
      </c>
      <c r="TV153" s="149">
        <f t="shared" si="1546"/>
        <v>1.8168499330037686</v>
      </c>
      <c r="TW153" s="149">
        <f t="shared" si="1547"/>
        <v>1.8265652483816326</v>
      </c>
      <c r="TX153" s="149">
        <f t="shared" si="1548"/>
        <v>1.8356179263640919</v>
      </c>
      <c r="TY153" s="149">
        <f t="shared" si="1549"/>
        <v>1.8439904451167823</v>
      </c>
      <c r="TZ153" s="149">
        <f t="shared" si="1550"/>
        <v>1.8635352814665112</v>
      </c>
      <c r="UA153" s="149">
        <f t="shared" si="1551"/>
        <v>1.8825708111023103</v>
      </c>
      <c r="UB153" s="149">
        <f t="shared" si="1552"/>
        <v>1.9014999571699871</v>
      </c>
      <c r="UC153" s="149">
        <f t="shared" si="1553"/>
        <v>1.9203145836279207</v>
      </c>
      <c r="UD153" s="149">
        <f t="shared" si="1554"/>
        <v>1.9390064768802473</v>
      </c>
      <c r="UE153" s="149">
        <f t="shared" si="1555"/>
        <v>1.9575673493368078</v>
      </c>
      <c r="UF153" s="149">
        <f t="shared" si="1556"/>
        <v>1.9759888430834802</v>
      </c>
      <c r="UG153" s="149">
        <f t="shared" si="1557"/>
        <v>1.9938474099551347</v>
      </c>
      <c r="UH153" s="149">
        <f t="shared" si="1558"/>
        <v>2.0115449559460856</v>
      </c>
      <c r="UI153" s="149">
        <f t="shared" si="1559"/>
        <v>2.0290731123881076</v>
      </c>
      <c r="UJ153" s="149">
        <f t="shared" si="1560"/>
        <v>2.0464234617282977</v>
      </c>
      <c r="UK153" s="149">
        <f t="shared" si="1561"/>
        <v>2.0635875416634013</v>
      </c>
      <c r="UL153" s="149">
        <f t="shared" si="1562"/>
        <v>2.0805568493690219</v>
      </c>
      <c r="UM153" s="149">
        <f t="shared" si="1563"/>
        <v>2.0973228458217061</v>
      </c>
      <c r="UN153" s="149">
        <f t="shared" si="1564"/>
        <v>2.1138769602118068</v>
      </c>
      <c r="UO153" s="149">
        <f t="shared" si="1565"/>
        <v>2.1297999644471441</v>
      </c>
      <c r="UP153" s="173">
        <f t="shared" si="1566"/>
        <v>2.1454905837725113</v>
      </c>
      <c r="UQ153" s="136">
        <f t="shared" si="1567"/>
        <v>0</v>
      </c>
      <c r="UR153" s="174">
        <f t="shared" si="1568"/>
        <v>2.1412140821008765</v>
      </c>
      <c r="US153" s="159">
        <f t="shared" si="1569"/>
        <v>2.1559170615818175</v>
      </c>
      <c r="UT153" s="159">
        <f t="shared" si="1570"/>
        <v>2.1703581453977518</v>
      </c>
      <c r="UU153" s="159">
        <f t="shared" si="1571"/>
        <v>2.184529025673525</v>
      </c>
      <c r="UV153" s="159">
        <f t="shared" si="1572"/>
        <v>2.1984214050279709</v>
      </c>
      <c r="UW153" s="159">
        <f t="shared" si="1573"/>
        <v>2.211633271903449</v>
      </c>
      <c r="UX153" s="159">
        <f t="shared" si="1574"/>
        <v>2.2412742419613738</v>
      </c>
      <c r="UY153" s="159">
        <f t="shared" si="1575"/>
        <v>2.2543623761048157</v>
      </c>
      <c r="UZ153" s="159">
        <f t="shared" si="1576"/>
        <v>2.2671415772951589</v>
      </c>
      <c r="VA153" s="159">
        <f t="shared" si="1577"/>
        <v>2.2796037489433942</v>
      </c>
      <c r="VB153" s="159">
        <f t="shared" si="1578"/>
        <v>2.2917408337451746</v>
      </c>
      <c r="VC153" s="159">
        <f t="shared" si="1579"/>
        <v>2.3035448187610004</v>
      </c>
      <c r="VD153" s="159">
        <f t="shared" si="1516"/>
        <v>2.3146226128718004</v>
      </c>
      <c r="VE153" s="159">
        <f t="shared" si="1580"/>
        <v>2.325350757169812</v>
      </c>
      <c r="VF153" s="159">
        <f t="shared" si="1581"/>
        <v>2.3542590949919009</v>
      </c>
      <c r="VG153" s="159">
        <f t="shared" si="1582"/>
        <v>2.3647588883285846</v>
      </c>
      <c r="VH153" s="159">
        <f t="shared" si="1583"/>
        <v>2.3748893038404542</v>
      </c>
      <c r="VI153" s="159">
        <f t="shared" si="1584"/>
        <v>2.3846427583122991</v>
      </c>
      <c r="VJ153" s="159">
        <f t="shared" si="1585"/>
        <v>2.3940117469793045</v>
      </c>
      <c r="VK153" s="159">
        <f t="shared" si="1586"/>
        <v>2.4223095038087679</v>
      </c>
      <c r="VL153" s="159">
        <f t="shared" si="1587"/>
        <v>2.4310153908205385</v>
      </c>
      <c r="VM153" s="159">
        <f t="shared" si="1588"/>
        <v>2.4393177404910493</v>
      </c>
      <c r="VN153" s="159">
        <f t="shared" si="1589"/>
        <v>2.4472094509635824</v>
      </c>
      <c r="VO153" s="159">
        <f t="shared" si="1590"/>
        <v>2.454683521925336</v>
      </c>
      <c r="VP153" s="159">
        <f t="shared" si="1591"/>
        <v>2.4617330596463143</v>
      </c>
      <c r="VQ153" s="159">
        <f t="shared" si="1592"/>
        <v>2.4683512820045368</v>
      </c>
      <c r="VR153" s="159">
        <f t="shared" si="1593"/>
        <v>2.4955031461065866</v>
      </c>
      <c r="VS153" s="159">
        <f t="shared" si="1594"/>
        <v>2.1921182166175264</v>
      </c>
      <c r="VT153" s="159">
        <f t="shared" si="1595"/>
        <v>2.1968846039276047</v>
      </c>
      <c r="VU153" s="159">
        <f t="shared" si="1596"/>
        <v>1.8901412935030988</v>
      </c>
      <c r="VV153" s="159">
        <f t="shared" si="1597"/>
        <v>1.893545758522976</v>
      </c>
      <c r="VW153" s="159">
        <f t="shared" si="1598"/>
        <v>1.8965992639742819</v>
      </c>
      <c r="VX153" s="159">
        <f t="shared" si="1599"/>
        <v>1.8992974022129114</v>
      </c>
      <c r="VY153" s="159">
        <f t="shared" si="1600"/>
        <v>1.9013807816027264</v>
      </c>
      <c r="VZ153" s="159">
        <f t="shared" si="1601"/>
        <v>1.6036649468393922</v>
      </c>
      <c r="WA153" s="159">
        <f t="shared" si="1602"/>
        <v>1.6051167362248326</v>
      </c>
      <c r="WB153" s="159">
        <f t="shared" si="1603"/>
        <v>1.2881816709865186</v>
      </c>
      <c r="WC153" s="159">
        <f t="shared" si="1604"/>
        <v>1.2888483063119804</v>
      </c>
      <c r="WD153" s="159">
        <f t="shared" si="1605"/>
        <v>1.2892623473412648</v>
      </c>
      <c r="WE153" s="159">
        <f t="shared" si="1606"/>
        <v>1.3017016038353926</v>
      </c>
      <c r="WF153" s="159">
        <f t="shared" si="1607"/>
        <v>1.301862191115982</v>
      </c>
      <c r="WG153" s="159">
        <f t="shared" si="1608"/>
        <v>0.97939712572032023</v>
      </c>
      <c r="WH153" s="159">
        <f t="shared" si="1609"/>
        <v>0.97912536992444743</v>
      </c>
      <c r="WI153" s="159">
        <f t="shared" si="1610"/>
        <v>0.66187440390966013</v>
      </c>
      <c r="WJ153" s="159">
        <f t="shared" si="1611"/>
        <v>0.66147571468451072</v>
      </c>
      <c r="WK153" s="159">
        <f t="shared" si="1612"/>
        <v>0.66748651574403517</v>
      </c>
      <c r="WL153" s="159">
        <f t="shared" si="1613"/>
        <v>0.66694848633172832</v>
      </c>
      <c r="WM153" s="159">
        <f t="shared" si="1614"/>
        <v>0.66627378596888731</v>
      </c>
      <c r="WN153" s="159">
        <f t="shared" si="1615"/>
        <v>0.33904645178173293</v>
      </c>
      <c r="WO153" s="159">
        <f t="shared" si="1616"/>
        <v>0.33863310993356072</v>
      </c>
      <c r="WP153" s="162">
        <f t="shared" si="1617"/>
        <v>-6.845541933200597E-4</v>
      </c>
      <c r="WQ153" s="203"/>
      <c r="WR153" s="203"/>
      <c r="WS153" s="203"/>
      <c r="WT153" s="203"/>
      <c r="WU153" s="203"/>
      <c r="WV153" s="203"/>
      <c r="WW153" s="203"/>
      <c r="WX153" s="203"/>
      <c r="WY153" s="203"/>
      <c r="WZ153" s="203"/>
      <c r="XA153" s="203"/>
      <c r="XB153" s="203"/>
      <c r="XC153" s="203"/>
      <c r="XD153" s="203"/>
      <c r="XE153" s="203"/>
    </row>
    <row r="154" spans="1:696" ht="19.5" thickBot="1" x14ac:dyDescent="0.3">
      <c r="A154" s="298"/>
      <c r="B154" s="25" t="s">
        <v>13</v>
      </c>
      <c r="BY154" s="18"/>
      <c r="BZ154" s="18"/>
      <c r="CA154" s="18"/>
      <c r="CB154" s="18"/>
      <c r="CC154" s="18"/>
      <c r="CD154" s="18"/>
      <c r="CE154" s="18"/>
      <c r="CF154" s="18"/>
      <c r="CG154" s="18"/>
      <c r="CH154" s="18"/>
      <c r="CI154" s="18"/>
      <c r="CJ154" s="18"/>
      <c r="CK154" s="18"/>
      <c r="CL154" s="18"/>
      <c r="CM154" s="18"/>
      <c r="CN154" s="18"/>
      <c r="CO154" s="18"/>
      <c r="CP154" s="18"/>
      <c r="CQ154" s="18"/>
      <c r="CR154" s="18"/>
      <c r="CS154" s="18"/>
      <c r="CT154" s="18"/>
      <c r="CU154" s="18"/>
      <c r="CV154" s="18"/>
      <c r="CW154" s="18"/>
      <c r="CX154" s="18"/>
      <c r="CY154" s="18"/>
      <c r="CZ154" s="18"/>
      <c r="DA154" s="18"/>
      <c r="DB154" s="18"/>
      <c r="DC154" s="18"/>
      <c r="DD154" s="18"/>
      <c r="DE154" s="18"/>
      <c r="DF154" s="18"/>
      <c r="DG154" s="18"/>
      <c r="DH154" s="18"/>
      <c r="DI154" s="18"/>
      <c r="DJ154" s="18"/>
      <c r="DK154" s="18"/>
      <c r="DL154" s="18"/>
      <c r="DM154" s="18"/>
      <c r="DN154" s="18"/>
      <c r="DO154" s="18"/>
      <c r="DP154" s="18"/>
      <c r="DQ154" s="18"/>
      <c r="DR154" s="18"/>
      <c r="DS154" s="18"/>
      <c r="DT154" s="18"/>
      <c r="DU154" s="18"/>
      <c r="DV154" s="18"/>
      <c r="DW154" s="18"/>
      <c r="DX154" s="18"/>
      <c r="DY154" s="18"/>
      <c r="DZ154" s="18"/>
      <c r="EA154" s="18"/>
      <c r="EB154" s="18"/>
      <c r="EC154" s="18"/>
      <c r="ED154" s="18"/>
      <c r="EE154" s="18"/>
      <c r="EF154" s="18"/>
      <c r="EG154" s="18"/>
      <c r="EH154" s="18"/>
      <c r="EI154" s="18"/>
      <c r="EJ154" s="18"/>
      <c r="EK154" s="18"/>
      <c r="EL154" s="18"/>
      <c r="EM154" s="18"/>
      <c r="EN154" s="18"/>
      <c r="EO154" s="18"/>
      <c r="EP154" s="18"/>
      <c r="EQ154" s="18"/>
      <c r="ER154" s="18"/>
      <c r="ES154" s="18"/>
      <c r="ET154" s="18"/>
      <c r="EU154" s="18"/>
      <c r="EV154" s="18"/>
      <c r="EW154" s="18"/>
      <c r="EX154" s="18"/>
      <c r="EY154" s="18"/>
      <c r="EZ154" s="18"/>
      <c r="FA154" s="18"/>
      <c r="FB154" s="18"/>
      <c r="FC154" s="18"/>
      <c r="FD154" s="18"/>
      <c r="FE154" s="18"/>
      <c r="FF154" s="18"/>
      <c r="FG154" s="18"/>
      <c r="FH154" s="18"/>
      <c r="FI154" s="18"/>
      <c r="FJ154" s="18"/>
      <c r="FK154" s="18"/>
      <c r="FL154" s="18"/>
      <c r="FM154" s="18"/>
      <c r="FN154" s="18"/>
      <c r="FO154" s="18"/>
      <c r="FP154" s="18"/>
      <c r="FQ154" s="18"/>
      <c r="FR154" s="18"/>
      <c r="FS154" s="18"/>
      <c r="FT154" s="18"/>
      <c r="FU154" s="18"/>
      <c r="FV154" s="18"/>
      <c r="FW154" s="18"/>
      <c r="FX154" s="18"/>
      <c r="FY154" s="18"/>
      <c r="FZ154" s="18"/>
      <c r="GA154" s="18"/>
      <c r="GB154" s="18"/>
      <c r="GC154" s="18"/>
      <c r="GD154" s="18"/>
      <c r="GE154" s="18"/>
      <c r="GF154" s="18"/>
      <c r="GG154" s="18"/>
      <c r="GH154" s="18"/>
      <c r="GI154" s="18"/>
      <c r="GJ154" s="18"/>
      <c r="GK154" s="18"/>
      <c r="GL154" s="18"/>
      <c r="GM154" s="18"/>
      <c r="GN154" s="18"/>
      <c r="GO154" s="18"/>
      <c r="GP154" s="18"/>
      <c r="GQ154" s="18"/>
      <c r="GR154" s="18"/>
      <c r="GS154" s="18"/>
      <c r="GT154" s="18"/>
      <c r="GU154" s="18"/>
      <c r="GV154" s="18"/>
      <c r="GW154" s="18"/>
      <c r="GX154" s="18"/>
      <c r="GY154" s="18"/>
      <c r="GZ154" s="18"/>
      <c r="HA154" s="18"/>
      <c r="HB154" s="18"/>
      <c r="HC154" s="18"/>
      <c r="HD154" s="18"/>
      <c r="HE154" s="18"/>
      <c r="HF154" s="18"/>
      <c r="HG154" s="18"/>
      <c r="HH154" s="18"/>
      <c r="HI154" s="18"/>
      <c r="HJ154" s="18"/>
      <c r="HK154" s="18"/>
      <c r="HL154" s="18"/>
      <c r="HM154" s="18"/>
      <c r="HN154" s="18"/>
      <c r="HO154" s="18"/>
      <c r="HP154" s="18"/>
      <c r="HQ154" s="18"/>
      <c r="HR154" s="18"/>
      <c r="HS154" s="18"/>
      <c r="HT154" s="18"/>
      <c r="HU154" s="18"/>
      <c r="HV154" s="18"/>
      <c r="HW154" s="18"/>
      <c r="HX154" s="18"/>
      <c r="HY154" s="18"/>
      <c r="HZ154" s="18"/>
      <c r="IA154" s="18"/>
      <c r="IB154" s="18"/>
      <c r="IC154" s="18"/>
      <c r="ID154" s="18"/>
      <c r="IE154" s="18"/>
      <c r="IF154" s="18"/>
      <c r="IG154" s="18"/>
      <c r="IH154" s="18"/>
      <c r="II154" s="18"/>
      <c r="IJ154" s="18"/>
      <c r="IK154" s="18"/>
      <c r="IL154" s="18"/>
      <c r="IM154" s="18"/>
      <c r="IN154" s="18"/>
      <c r="IO154" s="18"/>
      <c r="IP154" s="18"/>
      <c r="IQ154" s="18"/>
      <c r="IR154" s="18"/>
      <c r="IS154" s="18"/>
      <c r="IT154" s="18"/>
      <c r="IU154" s="18"/>
      <c r="IV154" s="18"/>
      <c r="IW154" s="18"/>
      <c r="IX154" s="18"/>
      <c r="IY154" s="18"/>
      <c r="IZ154" s="18"/>
      <c r="JA154" s="18"/>
      <c r="JB154" s="18"/>
      <c r="JC154" s="18"/>
      <c r="JD154" s="18"/>
      <c r="JE154" s="18"/>
      <c r="JF154" s="18"/>
      <c r="JG154" s="18"/>
      <c r="JH154" s="18"/>
      <c r="JI154" s="18"/>
      <c r="JJ154" s="18"/>
      <c r="JK154" s="18"/>
      <c r="JL154" s="18"/>
      <c r="JM154" s="18"/>
      <c r="JN154" s="18"/>
      <c r="JO154" s="18"/>
      <c r="JP154" s="18"/>
      <c r="JQ154" s="18"/>
      <c r="JR154" s="18"/>
      <c r="JS154" s="18"/>
      <c r="JT154" s="18"/>
      <c r="JU154" s="18"/>
      <c r="JV154" s="18"/>
      <c r="JW154" s="18"/>
      <c r="JX154" s="18"/>
      <c r="JY154" s="18"/>
      <c r="JZ154" s="18"/>
      <c r="KA154" s="18"/>
      <c r="KB154" s="18"/>
      <c r="KC154" s="18"/>
      <c r="KD154" s="18"/>
      <c r="KE154" s="18"/>
      <c r="KF154" s="18"/>
      <c r="KG154" s="18"/>
      <c r="KH154" s="18"/>
      <c r="KI154" s="18"/>
      <c r="KJ154" s="18"/>
      <c r="KK154" s="18"/>
      <c r="KL154" s="18"/>
      <c r="KM154" s="18"/>
      <c r="KN154" s="18"/>
      <c r="KO154" s="18"/>
      <c r="KP154" s="18"/>
      <c r="KQ154" s="18"/>
      <c r="KR154" s="18"/>
      <c r="KS154" s="18"/>
      <c r="KT154" s="18"/>
      <c r="KU154" s="18"/>
      <c r="KV154" s="18"/>
      <c r="KW154" s="18"/>
      <c r="KX154" s="18"/>
      <c r="KY154" s="18"/>
      <c r="KZ154" s="18"/>
      <c r="LA154" s="18"/>
      <c r="LB154" s="18"/>
      <c r="LC154" s="18"/>
      <c r="LD154" s="18"/>
      <c r="LE154" s="18"/>
      <c r="LF154" s="18"/>
      <c r="LG154" s="18"/>
      <c r="LH154" s="18"/>
      <c r="LI154" s="18"/>
      <c r="LJ154" s="18"/>
      <c r="LK154" s="18"/>
      <c r="LL154" s="18"/>
      <c r="LM154" s="18"/>
      <c r="LN154" s="18"/>
      <c r="LO154" s="18"/>
      <c r="LP154" s="18"/>
      <c r="LQ154" s="18"/>
      <c r="LR154" s="18"/>
      <c r="LS154" s="18"/>
      <c r="LT154" s="18"/>
      <c r="LU154" s="18"/>
      <c r="LV154" s="18"/>
      <c r="LW154" s="18"/>
      <c r="LX154" s="18"/>
      <c r="LY154" s="18"/>
      <c r="LZ154" s="18"/>
      <c r="MA154" s="18"/>
      <c r="MB154" s="18"/>
      <c r="MC154" s="18"/>
      <c r="MD154" s="18"/>
      <c r="ME154" s="18"/>
      <c r="MF154" s="18"/>
      <c r="MG154" s="18"/>
      <c r="MH154" s="18"/>
      <c r="MI154" s="18"/>
      <c r="MJ154" s="18"/>
      <c r="MK154" s="18"/>
      <c r="ML154" s="18"/>
      <c r="MM154" s="18"/>
      <c r="MN154" s="18"/>
      <c r="MO154" s="18"/>
      <c r="MP154" s="18"/>
      <c r="MQ154" s="18"/>
      <c r="MR154" s="18"/>
      <c r="MS154" s="18"/>
      <c r="MT154" s="18"/>
      <c r="MU154" s="18"/>
      <c r="MV154" s="18"/>
      <c r="MW154" s="18"/>
      <c r="MX154" s="18"/>
      <c r="MY154" s="18"/>
      <c r="MZ154" s="18"/>
      <c r="NA154" s="18"/>
      <c r="NB154" s="18"/>
      <c r="NC154" s="18"/>
      <c r="ND154" s="18"/>
      <c r="NE154" s="18"/>
      <c r="NF154" s="18"/>
      <c r="NG154" s="18"/>
      <c r="NH154" s="18"/>
      <c r="NI154" s="18"/>
      <c r="NJ154" s="18"/>
      <c r="NK154" s="18"/>
      <c r="NL154" s="18"/>
      <c r="NM154" s="18"/>
      <c r="NN154" s="18"/>
      <c r="NO154" s="18"/>
      <c r="NP154" s="18"/>
      <c r="NQ154" s="18"/>
      <c r="NR154" s="18"/>
      <c r="NS154" s="18"/>
      <c r="NT154" s="18"/>
      <c r="NU154" s="18"/>
      <c r="NV154" s="18"/>
      <c r="NW154" s="18"/>
      <c r="NX154" s="18"/>
      <c r="NY154" s="18"/>
      <c r="NZ154" s="18"/>
      <c r="OA154" s="18"/>
      <c r="OB154" s="18"/>
      <c r="OC154" s="18"/>
      <c r="OD154" s="18"/>
      <c r="OE154" s="18"/>
      <c r="OF154" s="18"/>
      <c r="OG154" s="18"/>
      <c r="OH154" s="18"/>
      <c r="OI154" s="18"/>
      <c r="OJ154" s="18"/>
      <c r="OK154" s="18"/>
      <c r="OL154" s="18"/>
      <c r="OM154" s="18"/>
      <c r="ON154" s="18"/>
      <c r="OO154" s="18"/>
      <c r="OP154" s="18"/>
      <c r="OQ154" s="18"/>
      <c r="OR154" s="18"/>
      <c r="OS154" s="18"/>
      <c r="OT154" s="18"/>
      <c r="OU154" s="18"/>
      <c r="OV154" s="18"/>
      <c r="OW154" s="18"/>
      <c r="OX154" s="18"/>
      <c r="OY154" s="18"/>
      <c r="OZ154" s="18"/>
      <c r="PA154" s="18"/>
      <c r="PB154" s="18"/>
      <c r="PC154" s="18"/>
      <c r="PD154" s="18"/>
      <c r="PE154" s="18"/>
      <c r="PF154" s="18"/>
      <c r="PG154" s="18"/>
      <c r="PH154" s="18"/>
      <c r="PI154" s="18"/>
      <c r="PJ154" s="18"/>
      <c r="PK154" s="18"/>
      <c r="PL154" s="18"/>
      <c r="PM154" s="18"/>
      <c r="PN154" s="18"/>
      <c r="PO154" s="18"/>
      <c r="PP154" s="18"/>
      <c r="PQ154" s="18"/>
      <c r="PR154" s="18"/>
      <c r="PS154" s="18"/>
      <c r="PT154" s="18"/>
      <c r="PU154" s="18"/>
      <c r="PV154" s="18"/>
      <c r="PW154" s="18"/>
      <c r="PX154" s="18"/>
      <c r="PY154" s="18"/>
      <c r="PZ154" s="18"/>
      <c r="QA154" s="18"/>
      <c r="QB154" s="18"/>
      <c r="QC154" s="18"/>
      <c r="QD154" s="18"/>
      <c r="QE154" s="18"/>
      <c r="QF154" s="18"/>
      <c r="QG154" s="18"/>
      <c r="QH154" s="18"/>
      <c r="QI154" s="18"/>
      <c r="QJ154" s="18"/>
      <c r="QK154" s="18"/>
      <c r="QL154" s="18"/>
      <c r="QM154" s="18"/>
      <c r="QN154" s="18"/>
      <c r="QO154" s="18"/>
      <c r="QP154" s="18"/>
      <c r="QQ154" s="18"/>
      <c r="QR154" s="18"/>
      <c r="QS154" s="18"/>
      <c r="QT154" s="117">
        <f t="shared" si="1460"/>
        <v>0.56000000000000005</v>
      </c>
      <c r="QU154" s="114">
        <f t="shared" si="1461"/>
        <v>0.56000000000000005</v>
      </c>
      <c r="QV154" s="114">
        <f t="shared" si="1462"/>
        <v>0.56999999999999995</v>
      </c>
      <c r="QW154" s="114">
        <f t="shared" si="1463"/>
        <v>0.56999999999999995</v>
      </c>
      <c r="QX154" s="114">
        <f t="shared" si="1514"/>
        <v>0.56999999999999995</v>
      </c>
      <c r="QY154" s="114">
        <f t="shared" si="1515"/>
        <v>0.57999999999999996</v>
      </c>
      <c r="QZ154" s="114">
        <f t="shared" si="1469"/>
        <v>0.57999999999999996</v>
      </c>
      <c r="RA154" s="114">
        <f t="shared" si="1470"/>
        <v>0.59</v>
      </c>
      <c r="RB154" s="114">
        <f t="shared" si="1471"/>
        <v>0.59</v>
      </c>
      <c r="RC154" s="114">
        <f t="shared" si="1472"/>
        <v>0.59</v>
      </c>
      <c r="RD154" s="114">
        <f t="shared" si="1473"/>
        <v>0.6</v>
      </c>
      <c r="RE154" s="114">
        <f t="shared" si="1474"/>
        <v>0.6</v>
      </c>
      <c r="RF154" s="114">
        <f t="shared" si="1475"/>
        <v>0.61</v>
      </c>
      <c r="RG154" s="114">
        <f t="shared" si="1476"/>
        <v>0.61</v>
      </c>
      <c r="RH154" s="114">
        <f t="shared" si="1477"/>
        <v>0.62</v>
      </c>
      <c r="RI154" s="114">
        <f t="shared" si="1478"/>
        <v>0.62</v>
      </c>
      <c r="RJ154" s="114">
        <f t="shared" si="1479"/>
        <v>0.63</v>
      </c>
      <c r="RK154" s="114">
        <f t="shared" si="1480"/>
        <v>0.63</v>
      </c>
      <c r="RL154" s="114">
        <f t="shared" si="1481"/>
        <v>0.64</v>
      </c>
      <c r="RM154" s="114">
        <f t="shared" si="1482"/>
        <v>0.64</v>
      </c>
      <c r="RN154" s="114">
        <f t="shared" si="1483"/>
        <v>0.65</v>
      </c>
      <c r="RO154" s="114">
        <f t="shared" si="1484"/>
        <v>0.65</v>
      </c>
      <c r="RP154" s="114">
        <f t="shared" si="1485"/>
        <v>0.66</v>
      </c>
      <c r="RQ154" s="114">
        <f t="shared" si="1486"/>
        <v>0.66</v>
      </c>
      <c r="RR154" s="114">
        <f t="shared" si="1487"/>
        <v>0.66</v>
      </c>
      <c r="RS154" s="114">
        <f t="shared" si="1488"/>
        <v>0.67</v>
      </c>
      <c r="RT154" s="114">
        <f t="shared" si="1489"/>
        <v>0.67</v>
      </c>
      <c r="RU154" s="114">
        <f t="shared" si="1490"/>
        <v>0.68</v>
      </c>
      <c r="RV154" s="114">
        <f t="shared" si="1491"/>
        <v>0.68</v>
      </c>
      <c r="RW154" s="114">
        <f t="shared" si="1492"/>
        <v>0.68</v>
      </c>
      <c r="RX154" s="114">
        <f t="shared" si="1493"/>
        <v>0.69</v>
      </c>
      <c r="RY154" s="114">
        <f t="shared" si="1494"/>
        <v>0.69</v>
      </c>
      <c r="RZ154" s="114">
        <f t="shared" si="1495"/>
        <v>0.69</v>
      </c>
      <c r="SA154" s="114">
        <f t="shared" si="1496"/>
        <v>0.7</v>
      </c>
      <c r="SB154" s="114">
        <f t="shared" si="1497"/>
        <v>0.7</v>
      </c>
      <c r="SC154" s="114">
        <f t="shared" si="1498"/>
        <v>0.71</v>
      </c>
      <c r="SD154" s="114">
        <f t="shared" si="1499"/>
        <v>0.71</v>
      </c>
      <c r="SE154" s="114">
        <f t="shared" si="1500"/>
        <v>0.71</v>
      </c>
      <c r="SF154" s="114">
        <f t="shared" si="1501"/>
        <v>0.72</v>
      </c>
      <c r="SG154" s="114">
        <f t="shared" si="1502"/>
        <v>0.72</v>
      </c>
      <c r="SH154" s="114">
        <f t="shared" si="1503"/>
        <v>0.72</v>
      </c>
      <c r="SI154" s="114">
        <f t="shared" si="1504"/>
        <v>0.73</v>
      </c>
      <c r="SJ154" s="114">
        <f t="shared" si="1505"/>
        <v>0.73</v>
      </c>
      <c r="SK154" s="114">
        <f t="shared" si="1506"/>
        <v>0.73</v>
      </c>
      <c r="SL154" s="114">
        <f t="shared" si="1507"/>
        <v>0.74</v>
      </c>
      <c r="SM154" s="114">
        <f t="shared" si="1508"/>
        <v>0.74</v>
      </c>
      <c r="SN154" s="114">
        <f t="shared" si="1509"/>
        <v>0.74</v>
      </c>
      <c r="SO154" s="114">
        <f t="shared" si="1510"/>
        <v>0.75</v>
      </c>
      <c r="SP154" s="114">
        <f t="shared" si="1511"/>
        <v>0.75</v>
      </c>
      <c r="SQ154" s="114">
        <f t="shared" si="1512"/>
        <v>0.76</v>
      </c>
      <c r="SR154" s="172">
        <f t="shared" si="1513"/>
        <v>0.76</v>
      </c>
      <c r="SS154" s="151">
        <f t="shared" si="1517"/>
        <v>0.76</v>
      </c>
      <c r="ST154" s="151">
        <f t="shared" si="1518"/>
        <v>0.77</v>
      </c>
      <c r="SU154" s="151">
        <f t="shared" si="1519"/>
        <v>0.77</v>
      </c>
      <c r="SV154" s="151">
        <f t="shared" si="1520"/>
        <v>0.77</v>
      </c>
      <c r="SW154" s="151">
        <f t="shared" si="1521"/>
        <v>0.78</v>
      </c>
      <c r="SX154" s="151">
        <f t="shared" si="1522"/>
        <v>0.78</v>
      </c>
      <c r="SY154" s="151">
        <f t="shared" si="1523"/>
        <v>0.78</v>
      </c>
      <c r="SZ154" s="151">
        <f t="shared" si="1524"/>
        <v>0.78</v>
      </c>
      <c r="TA154" s="151">
        <f t="shared" si="1525"/>
        <v>0.79</v>
      </c>
      <c r="TB154" s="151">
        <f t="shared" si="1526"/>
        <v>0.79</v>
      </c>
      <c r="TC154" s="151">
        <f t="shared" si="1527"/>
        <v>0.79</v>
      </c>
      <c r="TD154" s="151">
        <f t="shared" si="1528"/>
        <v>0.79</v>
      </c>
      <c r="TE154" s="151">
        <f t="shared" si="1529"/>
        <v>0.8</v>
      </c>
      <c r="TF154" s="151">
        <f t="shared" si="1530"/>
        <v>0.8</v>
      </c>
      <c r="TG154" s="151">
        <f t="shared" si="1531"/>
        <v>0.8</v>
      </c>
      <c r="TH154" s="151">
        <f t="shared" si="1532"/>
        <v>0.8</v>
      </c>
      <c r="TI154" s="151">
        <f t="shared" si="1533"/>
        <v>0.8</v>
      </c>
      <c r="TJ154" s="151">
        <f t="shared" si="1534"/>
        <v>0.81</v>
      </c>
      <c r="TK154" s="151">
        <f t="shared" si="1535"/>
        <v>0.81</v>
      </c>
      <c r="TL154" s="151">
        <f t="shared" si="1536"/>
        <v>0.81</v>
      </c>
      <c r="TM154" s="151">
        <f t="shared" si="1537"/>
        <v>0.81</v>
      </c>
      <c r="TN154" s="151">
        <f t="shared" si="1538"/>
        <v>0.82</v>
      </c>
      <c r="TO154" s="151">
        <f t="shared" si="1539"/>
        <v>0.82</v>
      </c>
      <c r="TP154" s="151">
        <f t="shared" si="1540"/>
        <v>0.82</v>
      </c>
      <c r="TQ154" s="151">
        <f t="shared" si="1541"/>
        <v>0.82</v>
      </c>
      <c r="TR154" s="151">
        <f t="shared" si="1542"/>
        <v>0.82</v>
      </c>
      <c r="TS154" s="151">
        <f t="shared" si="1543"/>
        <v>0.83</v>
      </c>
      <c r="TT154" s="151">
        <f t="shared" si="1544"/>
        <v>0.83</v>
      </c>
      <c r="TU154" s="151">
        <f t="shared" si="1545"/>
        <v>0.83</v>
      </c>
      <c r="TV154" s="151">
        <f t="shared" si="1546"/>
        <v>0.83</v>
      </c>
      <c r="TW154" s="151">
        <f t="shared" si="1547"/>
        <v>0.83</v>
      </c>
      <c r="TX154" s="151">
        <f t="shared" si="1548"/>
        <v>0.83</v>
      </c>
      <c r="TY154" s="151">
        <f t="shared" si="1549"/>
        <v>0.83</v>
      </c>
      <c r="TZ154" s="151">
        <f t="shared" si="1550"/>
        <v>0.84</v>
      </c>
      <c r="UA154" s="151">
        <f t="shared" si="1551"/>
        <v>0.84</v>
      </c>
      <c r="UB154" s="151">
        <f t="shared" si="1552"/>
        <v>0.84</v>
      </c>
      <c r="UC154" s="151">
        <f t="shared" si="1553"/>
        <v>0.84</v>
      </c>
      <c r="UD154" s="151">
        <f t="shared" si="1554"/>
        <v>0.84</v>
      </c>
      <c r="UE154" s="151">
        <f t="shared" si="1555"/>
        <v>0.84</v>
      </c>
      <c r="UF154" s="151">
        <f t="shared" si="1556"/>
        <v>0.85</v>
      </c>
      <c r="UG154" s="151">
        <f t="shared" si="1557"/>
        <v>0.85</v>
      </c>
      <c r="UH154" s="151">
        <f t="shared" si="1558"/>
        <v>0.85</v>
      </c>
      <c r="UI154" s="151">
        <f t="shared" si="1559"/>
        <v>0.85</v>
      </c>
      <c r="UJ154" s="151">
        <f t="shared" si="1560"/>
        <v>0.85</v>
      </c>
      <c r="UK154" s="151">
        <f t="shared" si="1561"/>
        <v>0.85</v>
      </c>
      <c r="UL154" s="151">
        <f t="shared" si="1562"/>
        <v>0.85</v>
      </c>
      <c r="UM154" s="151">
        <f t="shared" si="1563"/>
        <v>0.85</v>
      </c>
      <c r="UN154" s="151">
        <f t="shared" si="1564"/>
        <v>0.86</v>
      </c>
      <c r="UO154" s="151">
        <f t="shared" si="1565"/>
        <v>0.86</v>
      </c>
      <c r="UP154" s="151">
        <f t="shared" si="1566"/>
        <v>0.86</v>
      </c>
      <c r="UQ154" s="176">
        <f t="shared" si="1567"/>
        <v>0.86</v>
      </c>
      <c r="UR154" s="163">
        <f t="shared" si="1568"/>
        <v>0.86</v>
      </c>
      <c r="US154" s="163">
        <f t="shared" si="1569"/>
        <v>0.86</v>
      </c>
      <c r="UT154" s="163">
        <f t="shared" si="1570"/>
        <v>0.86</v>
      </c>
      <c r="UU154" s="163">
        <f t="shared" si="1571"/>
        <v>0.86</v>
      </c>
      <c r="UV154" s="163">
        <f t="shared" si="1572"/>
        <v>0.87</v>
      </c>
      <c r="UW154" s="163">
        <f t="shared" si="1573"/>
        <v>0.87</v>
      </c>
      <c r="UX154" s="163">
        <f t="shared" si="1574"/>
        <v>0.87</v>
      </c>
      <c r="UY154" s="163">
        <f t="shared" si="1575"/>
        <v>0.87</v>
      </c>
      <c r="UZ154" s="163">
        <f t="shared" si="1576"/>
        <v>0.87</v>
      </c>
      <c r="VA154" s="163">
        <f t="shared" si="1577"/>
        <v>0.87</v>
      </c>
      <c r="VB154" s="163">
        <f t="shared" si="1578"/>
        <v>0.87</v>
      </c>
      <c r="VC154" s="163">
        <f t="shared" si="1579"/>
        <v>0.88</v>
      </c>
      <c r="VD154" s="163">
        <f t="shared" si="1516"/>
        <v>0.88</v>
      </c>
      <c r="VE154" s="163">
        <f t="shared" si="1580"/>
        <v>0.88</v>
      </c>
      <c r="VF154" s="163">
        <f t="shared" si="1581"/>
        <v>0.88</v>
      </c>
      <c r="VG154" s="163">
        <f t="shared" si="1582"/>
        <v>0.88</v>
      </c>
      <c r="VH154" s="163">
        <f t="shared" si="1583"/>
        <v>0.88</v>
      </c>
      <c r="VI154" s="163">
        <f t="shared" si="1584"/>
        <v>0.88</v>
      </c>
      <c r="VJ154" s="163">
        <f t="shared" si="1585"/>
        <v>0.89</v>
      </c>
      <c r="VK154" s="163">
        <f t="shared" si="1586"/>
        <v>0.89</v>
      </c>
      <c r="VL154" s="163">
        <f t="shared" si="1587"/>
        <v>0.89</v>
      </c>
      <c r="VM154" s="163">
        <f t="shared" si="1588"/>
        <v>0.89</v>
      </c>
      <c r="VN154" s="163">
        <f t="shared" si="1589"/>
        <v>0.89</v>
      </c>
      <c r="VO154" s="163">
        <f t="shared" si="1590"/>
        <v>0.89</v>
      </c>
      <c r="VP154" s="163">
        <f t="shared" si="1591"/>
        <v>0.89</v>
      </c>
      <c r="VQ154" s="163">
        <f t="shared" si="1592"/>
        <v>0.9</v>
      </c>
      <c r="VR154" s="163">
        <f t="shared" si="1593"/>
        <v>0.9</v>
      </c>
      <c r="VS154" s="163">
        <f t="shared" si="1594"/>
        <v>0.9</v>
      </c>
      <c r="VT154" s="163">
        <f t="shared" si="1595"/>
        <v>0.9</v>
      </c>
      <c r="VU154" s="163">
        <f t="shared" si="1596"/>
        <v>0.9</v>
      </c>
      <c r="VV154" s="163">
        <f t="shared" si="1597"/>
        <v>0.9</v>
      </c>
      <c r="VW154" s="163">
        <f t="shared" si="1598"/>
        <v>0.9</v>
      </c>
      <c r="VX154" s="163">
        <f t="shared" si="1599"/>
        <v>0.91</v>
      </c>
      <c r="VY154" s="163">
        <f t="shared" si="1600"/>
        <v>0.91</v>
      </c>
      <c r="VZ154" s="163">
        <f t="shared" si="1601"/>
        <v>0.91</v>
      </c>
      <c r="WA154" s="163">
        <f t="shared" si="1602"/>
        <v>0.91</v>
      </c>
      <c r="WB154" s="163">
        <f t="shared" si="1603"/>
        <v>0.91</v>
      </c>
      <c r="WC154" s="163">
        <f t="shared" si="1604"/>
        <v>0.91</v>
      </c>
      <c r="WD154" s="163">
        <f t="shared" si="1605"/>
        <v>0.91</v>
      </c>
      <c r="WE154" s="163">
        <f t="shared" si="1606"/>
        <v>0.91</v>
      </c>
      <c r="WF154" s="163">
        <f t="shared" si="1607"/>
        <v>0.91</v>
      </c>
      <c r="WG154" s="163">
        <f t="shared" si="1608"/>
        <v>0.91</v>
      </c>
      <c r="WH154" s="163">
        <f t="shared" si="1609"/>
        <v>0.91</v>
      </c>
      <c r="WI154" s="163">
        <f t="shared" si="1610"/>
        <v>0.92</v>
      </c>
      <c r="WJ154" s="163">
        <f t="shared" si="1611"/>
        <v>0.92</v>
      </c>
      <c r="WK154" s="163">
        <f t="shared" si="1612"/>
        <v>0.92</v>
      </c>
      <c r="WL154" s="163">
        <f t="shared" si="1613"/>
        <v>0.92</v>
      </c>
      <c r="WM154" s="163">
        <f t="shared" si="1614"/>
        <v>0.92</v>
      </c>
      <c r="WN154" s="163">
        <f t="shared" si="1615"/>
        <v>0.92</v>
      </c>
      <c r="WO154" s="163">
        <f t="shared" si="1616"/>
        <v>0.92</v>
      </c>
      <c r="WP154" s="117">
        <f t="shared" si="1617"/>
        <v>0.92</v>
      </c>
      <c r="WQ154" s="203"/>
      <c r="WR154" s="203"/>
      <c r="WS154" s="203"/>
      <c r="WT154" s="203"/>
      <c r="WU154" s="203"/>
      <c r="WV154" s="203"/>
      <c r="WW154" s="203"/>
      <c r="WX154" s="203"/>
      <c r="WY154" s="203"/>
      <c r="WZ154" s="203"/>
      <c r="XA154" s="203"/>
      <c r="XB154" s="203"/>
      <c r="XC154" s="203"/>
      <c r="XD154" s="203"/>
      <c r="XE154" s="203"/>
    </row>
    <row r="155" spans="1:696" ht="18.75" x14ac:dyDescent="0.25">
      <c r="A155" s="298"/>
      <c r="B155" s="25" t="s">
        <v>3</v>
      </c>
      <c r="BY155" s="18"/>
      <c r="BZ155" s="18"/>
      <c r="CA155" s="18"/>
      <c r="CB155" s="18"/>
      <c r="CC155" s="18"/>
      <c r="CD155" s="18"/>
      <c r="CE155" s="18"/>
      <c r="CF155" s="18"/>
      <c r="CG155" s="18"/>
      <c r="CH155" s="18"/>
      <c r="CI155" s="18"/>
      <c r="CJ155" s="18"/>
      <c r="CK155" s="18"/>
      <c r="CL155" s="18"/>
      <c r="CM155" s="18"/>
      <c r="CN155" s="18"/>
      <c r="CO155" s="18"/>
      <c r="CP155" s="18"/>
      <c r="CQ155" s="18"/>
      <c r="CR155" s="18"/>
      <c r="CS155" s="18"/>
      <c r="CT155" s="18"/>
      <c r="CU155" s="18"/>
      <c r="CV155" s="18"/>
      <c r="CW155" s="18"/>
      <c r="CX155" s="18"/>
      <c r="CY155" s="18"/>
      <c r="CZ155" s="18"/>
      <c r="DA155" s="18"/>
      <c r="DB155" s="18"/>
      <c r="DC155" s="18"/>
      <c r="DD155" s="18"/>
      <c r="DE155" s="18"/>
      <c r="DF155" s="18"/>
      <c r="DG155" s="18"/>
      <c r="DH155" s="18"/>
      <c r="DI155" s="18"/>
      <c r="DJ155" s="18"/>
      <c r="DK155" s="18"/>
      <c r="DL155" s="18"/>
      <c r="DM155" s="18"/>
      <c r="DN155" s="18"/>
      <c r="DO155" s="18"/>
      <c r="DP155" s="18"/>
      <c r="DQ155" s="18"/>
      <c r="DR155" s="18"/>
      <c r="DS155" s="18"/>
      <c r="DT155" s="18"/>
      <c r="DU155" s="18"/>
      <c r="DV155" s="18"/>
      <c r="DW155" s="18"/>
      <c r="DX155" s="18"/>
      <c r="DY155" s="18"/>
      <c r="DZ155" s="18"/>
      <c r="EA155" s="18"/>
      <c r="EB155" s="18"/>
      <c r="EC155" s="18"/>
      <c r="ED155" s="18"/>
      <c r="EE155" s="18"/>
      <c r="EF155" s="18"/>
      <c r="EG155" s="18"/>
      <c r="EH155" s="18"/>
      <c r="EI155" s="18"/>
      <c r="EJ155" s="18"/>
      <c r="EK155" s="18"/>
      <c r="EL155" s="18"/>
      <c r="EM155" s="18"/>
      <c r="EN155" s="18"/>
      <c r="EO155" s="18"/>
      <c r="EP155" s="18"/>
      <c r="EQ155" s="18"/>
      <c r="ER155" s="18"/>
      <c r="ES155" s="18"/>
      <c r="ET155" s="18"/>
      <c r="EU155" s="18"/>
      <c r="EV155" s="18"/>
      <c r="EW155" s="18"/>
      <c r="EX155" s="18"/>
      <c r="EY155" s="18"/>
      <c r="EZ155" s="18"/>
      <c r="FA155" s="18"/>
      <c r="FB155" s="18"/>
      <c r="FC155" s="18"/>
      <c r="FD155" s="18"/>
      <c r="FE155" s="18"/>
      <c r="FF155" s="18"/>
      <c r="FG155" s="18"/>
      <c r="FH155" s="18"/>
      <c r="FI155" s="18"/>
      <c r="FJ155" s="18"/>
      <c r="FK155" s="18"/>
      <c r="FL155" s="18"/>
      <c r="FM155" s="18"/>
      <c r="FN155" s="18"/>
      <c r="FO155" s="18"/>
      <c r="FP155" s="18"/>
      <c r="FQ155" s="18"/>
      <c r="FR155" s="18"/>
      <c r="FS155" s="18"/>
      <c r="FT155" s="18"/>
      <c r="FU155" s="18"/>
      <c r="FV155" s="18"/>
      <c r="FW155" s="18"/>
      <c r="FX155" s="18"/>
      <c r="FY155" s="18"/>
      <c r="FZ155" s="18"/>
      <c r="GA155" s="18"/>
      <c r="GB155" s="18"/>
      <c r="GC155" s="18"/>
      <c r="GD155" s="18"/>
      <c r="GE155" s="18"/>
      <c r="GF155" s="18"/>
      <c r="GG155" s="18"/>
      <c r="GH155" s="18"/>
      <c r="GI155" s="18"/>
      <c r="GJ155" s="18"/>
      <c r="GK155" s="18"/>
      <c r="GL155" s="18"/>
      <c r="GM155" s="18"/>
      <c r="GN155" s="18"/>
      <c r="GO155" s="18"/>
      <c r="GP155" s="18"/>
      <c r="GQ155" s="18"/>
      <c r="GR155" s="18"/>
      <c r="GS155" s="18"/>
      <c r="GT155" s="18"/>
      <c r="GU155" s="18"/>
      <c r="GV155" s="18"/>
      <c r="GW155" s="18"/>
      <c r="GX155" s="18"/>
      <c r="GY155" s="18"/>
      <c r="GZ155" s="18"/>
      <c r="HA155" s="18"/>
      <c r="HB155" s="18"/>
      <c r="HC155" s="18"/>
      <c r="HD155" s="18"/>
      <c r="HE155" s="18"/>
      <c r="HF155" s="18"/>
      <c r="HG155" s="18"/>
      <c r="HH155" s="18"/>
      <c r="HI155" s="18"/>
      <c r="HJ155" s="18"/>
      <c r="HK155" s="18"/>
      <c r="HL155" s="18"/>
      <c r="HM155" s="18"/>
      <c r="HN155" s="18"/>
      <c r="HO155" s="18"/>
      <c r="HP155" s="18"/>
      <c r="HQ155" s="18"/>
      <c r="HR155" s="18"/>
      <c r="HS155" s="18"/>
      <c r="HT155" s="18"/>
      <c r="HU155" s="18"/>
      <c r="HV155" s="18"/>
      <c r="HW155" s="18"/>
      <c r="HX155" s="18"/>
      <c r="HY155" s="18"/>
      <c r="HZ155" s="18"/>
      <c r="IA155" s="18"/>
      <c r="IB155" s="18"/>
      <c r="IC155" s="18"/>
      <c r="ID155" s="18"/>
      <c r="IE155" s="18"/>
      <c r="IF155" s="18"/>
      <c r="IG155" s="18"/>
      <c r="IH155" s="18"/>
      <c r="II155" s="18"/>
      <c r="IJ155" s="18"/>
      <c r="IK155" s="18"/>
      <c r="IL155" s="18"/>
      <c r="IM155" s="18"/>
      <c r="IN155" s="18"/>
      <c r="IO155" s="18"/>
      <c r="IP155" s="18"/>
      <c r="IQ155" s="18"/>
      <c r="IR155" s="18"/>
      <c r="IS155" s="18"/>
      <c r="IT155" s="18"/>
      <c r="IU155" s="18"/>
      <c r="IV155" s="18"/>
      <c r="IW155" s="18"/>
      <c r="IX155" s="18"/>
      <c r="IY155" s="18"/>
      <c r="IZ155" s="18"/>
      <c r="JA155" s="18"/>
      <c r="JB155" s="18"/>
      <c r="JC155" s="18"/>
      <c r="JD155" s="18"/>
      <c r="JE155" s="18"/>
      <c r="JF155" s="18"/>
      <c r="JG155" s="18"/>
      <c r="JH155" s="18"/>
      <c r="JI155" s="18"/>
      <c r="JJ155" s="18"/>
      <c r="JK155" s="18"/>
      <c r="JL155" s="18"/>
      <c r="JM155" s="18"/>
      <c r="JN155" s="18"/>
      <c r="JO155" s="18"/>
      <c r="JP155" s="18"/>
      <c r="JQ155" s="18"/>
      <c r="JR155" s="18"/>
      <c r="JS155" s="18"/>
      <c r="JT155" s="18"/>
      <c r="JU155" s="18"/>
      <c r="JV155" s="18"/>
      <c r="JW155" s="18"/>
      <c r="JX155" s="18"/>
      <c r="JY155" s="18"/>
      <c r="JZ155" s="18"/>
      <c r="KA155" s="18"/>
      <c r="KB155" s="18"/>
      <c r="KC155" s="18"/>
      <c r="KD155" s="18"/>
      <c r="KE155" s="18"/>
      <c r="KF155" s="18"/>
      <c r="KG155" s="18"/>
      <c r="KH155" s="18"/>
      <c r="KI155" s="18"/>
      <c r="KJ155" s="18"/>
      <c r="KK155" s="18"/>
      <c r="KL155" s="18"/>
      <c r="KM155" s="18"/>
      <c r="KN155" s="18"/>
      <c r="KO155" s="18"/>
      <c r="KP155" s="18"/>
      <c r="KQ155" s="18"/>
      <c r="KR155" s="18"/>
      <c r="KS155" s="18"/>
      <c r="KT155" s="18"/>
      <c r="KU155" s="18"/>
      <c r="KV155" s="18"/>
      <c r="KW155" s="18"/>
      <c r="KX155" s="18"/>
      <c r="KY155" s="18"/>
      <c r="KZ155" s="18"/>
      <c r="LA155" s="18"/>
      <c r="LB155" s="18"/>
      <c r="LC155" s="18"/>
      <c r="LD155" s="18"/>
      <c r="LE155" s="18"/>
      <c r="LF155" s="18"/>
      <c r="LG155" s="18"/>
      <c r="LH155" s="18"/>
      <c r="LI155" s="18"/>
      <c r="LJ155" s="18"/>
      <c r="LK155" s="18"/>
      <c r="LL155" s="18"/>
      <c r="LM155" s="18"/>
      <c r="LN155" s="18"/>
      <c r="LO155" s="18"/>
      <c r="LP155" s="18"/>
      <c r="LQ155" s="18"/>
      <c r="LR155" s="18"/>
      <c r="LS155" s="18"/>
      <c r="LT155" s="18"/>
      <c r="LU155" s="18"/>
      <c r="LV155" s="18"/>
      <c r="LW155" s="18"/>
      <c r="LX155" s="18"/>
      <c r="LY155" s="18"/>
      <c r="LZ155" s="18"/>
      <c r="MA155" s="18"/>
      <c r="MB155" s="18"/>
      <c r="MC155" s="18"/>
      <c r="MD155" s="18"/>
      <c r="ME155" s="18"/>
      <c r="MF155" s="18"/>
      <c r="MG155" s="18"/>
      <c r="MH155" s="18"/>
      <c r="MI155" s="18"/>
      <c r="MJ155" s="18"/>
      <c r="MK155" s="18"/>
      <c r="ML155" s="18"/>
      <c r="MM155" s="18"/>
      <c r="MN155" s="18"/>
      <c r="MO155" s="18"/>
      <c r="MP155" s="18"/>
      <c r="MQ155" s="18"/>
      <c r="MR155" s="18"/>
      <c r="MS155" s="18"/>
      <c r="MT155" s="18"/>
      <c r="MU155" s="18"/>
      <c r="MV155" s="18"/>
      <c r="MW155" s="18"/>
      <c r="MX155" s="18"/>
      <c r="MY155" s="18"/>
      <c r="MZ155" s="18"/>
      <c r="NA155" s="18"/>
      <c r="NB155" s="18"/>
      <c r="NC155" s="18"/>
      <c r="ND155" s="18"/>
      <c r="NE155" s="18"/>
      <c r="NF155" s="18"/>
      <c r="NG155" s="18"/>
      <c r="NH155" s="18"/>
      <c r="NI155" s="18"/>
      <c r="NJ155" s="18"/>
      <c r="NK155" s="18"/>
      <c r="NL155" s="18"/>
      <c r="NM155" s="18"/>
      <c r="NN155" s="18"/>
      <c r="NO155" s="18"/>
      <c r="NP155" s="18"/>
      <c r="NQ155" s="18"/>
      <c r="NR155" s="18"/>
      <c r="NS155" s="18"/>
      <c r="NT155" s="18"/>
      <c r="NU155" s="18"/>
      <c r="NV155" s="18"/>
      <c r="NW155" s="18"/>
      <c r="NX155" s="18"/>
      <c r="NY155" s="18"/>
      <c r="NZ155" s="18"/>
      <c r="OA155" s="18"/>
      <c r="OB155" s="18"/>
      <c r="OC155" s="18"/>
      <c r="OD155" s="18"/>
      <c r="OE155" s="18"/>
      <c r="OF155" s="18"/>
      <c r="OG155" s="18"/>
      <c r="OH155" s="18"/>
      <c r="OI155" s="18"/>
      <c r="OJ155" s="18"/>
      <c r="OK155" s="18"/>
      <c r="OL155" s="18"/>
      <c r="OM155" s="18"/>
      <c r="ON155" s="18"/>
      <c r="OO155" s="18"/>
      <c r="OP155" s="18"/>
      <c r="OQ155" s="18"/>
      <c r="OR155" s="18"/>
      <c r="OS155" s="18"/>
      <c r="OT155" s="18"/>
      <c r="OU155" s="18"/>
      <c r="OV155" s="18"/>
      <c r="OW155" s="18"/>
      <c r="OX155" s="18"/>
      <c r="OY155" s="18"/>
      <c r="OZ155" s="18"/>
      <c r="PA155" s="18"/>
      <c r="PB155" s="18"/>
      <c r="PC155" s="18"/>
      <c r="PD155" s="18"/>
      <c r="PE155" s="18"/>
      <c r="PF155" s="18"/>
      <c r="PG155" s="18"/>
      <c r="PH155" s="18"/>
      <c r="PI155" s="18"/>
      <c r="PJ155" s="18"/>
      <c r="PK155" s="18"/>
      <c r="PL155" s="18"/>
      <c r="PM155" s="18"/>
      <c r="PN155" s="18"/>
      <c r="PO155" s="18"/>
      <c r="PP155" s="18"/>
      <c r="PQ155" s="18"/>
      <c r="PR155" s="18"/>
      <c r="PS155" s="18"/>
      <c r="PT155" s="18"/>
      <c r="PU155" s="18"/>
      <c r="PV155" s="18"/>
      <c r="PW155" s="18"/>
      <c r="PX155" s="18"/>
      <c r="PY155" s="18"/>
      <c r="PZ155" s="18"/>
      <c r="QA155" s="18"/>
      <c r="QB155" s="18"/>
      <c r="QC155" s="18"/>
      <c r="QD155" s="18"/>
      <c r="QE155" s="18"/>
      <c r="QF155" s="18"/>
      <c r="QG155" s="18"/>
      <c r="QH155" s="18"/>
      <c r="QI155" s="18"/>
      <c r="QJ155" s="18"/>
      <c r="QK155" s="18"/>
      <c r="QL155" s="18"/>
      <c r="QM155" s="18"/>
      <c r="QN155" s="18"/>
      <c r="QO155" s="18"/>
      <c r="QP155" s="18"/>
      <c r="QQ155" s="18"/>
      <c r="QR155" s="18"/>
      <c r="QS155" s="18"/>
      <c r="QT155" s="125" t="str">
        <f t="shared" si="1460"/>
        <v>Tank 1</v>
      </c>
      <c r="QU155" s="111" t="str">
        <f t="shared" si="1461"/>
        <v>Tank 1</v>
      </c>
      <c r="QV155" s="111" t="str">
        <f t="shared" si="1462"/>
        <v>Tank 1</v>
      </c>
      <c r="QW155" s="111" t="str">
        <f t="shared" si="1463"/>
        <v>Tank 1</v>
      </c>
      <c r="QX155" s="111" t="str">
        <f t="shared" si="1514"/>
        <v>Tank 1</v>
      </c>
      <c r="QY155" s="111" t="str">
        <f t="shared" si="1515"/>
        <v>Tank 1</v>
      </c>
      <c r="QZ155" s="111" t="str">
        <f t="shared" si="1469"/>
        <v>Tank 1</v>
      </c>
      <c r="RA155" s="111" t="str">
        <f t="shared" si="1470"/>
        <v>Tank 1</v>
      </c>
      <c r="RB155" s="111" t="str">
        <f t="shared" si="1471"/>
        <v>Tank 1</v>
      </c>
      <c r="RC155" s="111" t="str">
        <f t="shared" si="1472"/>
        <v>Tank 1</v>
      </c>
      <c r="RD155" s="111" t="str">
        <f t="shared" si="1473"/>
        <v>Tank 1</v>
      </c>
      <c r="RE155" s="111" t="str">
        <f t="shared" si="1474"/>
        <v>Tank 1</v>
      </c>
      <c r="RF155" s="111" t="str">
        <f t="shared" si="1475"/>
        <v>Tank 1</v>
      </c>
      <c r="RG155" s="111" t="str">
        <f t="shared" si="1476"/>
        <v>Tank 1</v>
      </c>
      <c r="RH155" s="111" t="str">
        <f t="shared" si="1477"/>
        <v>Tank 1</v>
      </c>
      <c r="RI155" s="111" t="str">
        <f t="shared" si="1478"/>
        <v>Tank 1</v>
      </c>
      <c r="RJ155" s="111" t="str">
        <f t="shared" si="1479"/>
        <v>Tank 1</v>
      </c>
      <c r="RK155" s="111" t="str">
        <f t="shared" si="1480"/>
        <v>Tank 1</v>
      </c>
      <c r="RL155" s="111" t="str">
        <f t="shared" si="1481"/>
        <v>Tank 1</v>
      </c>
      <c r="RM155" s="111" t="str">
        <f t="shared" si="1482"/>
        <v>Tank 1</v>
      </c>
      <c r="RN155" s="111" t="str">
        <f t="shared" si="1483"/>
        <v>Tank 1</v>
      </c>
      <c r="RO155" s="111" t="str">
        <f t="shared" si="1484"/>
        <v>Tank 1</v>
      </c>
      <c r="RP155" s="111" t="str">
        <f t="shared" si="1485"/>
        <v>Tank 1</v>
      </c>
      <c r="RQ155" s="111" t="str">
        <f t="shared" si="1486"/>
        <v>Tank 1</v>
      </c>
      <c r="RR155" s="111" t="str">
        <f t="shared" si="1487"/>
        <v>Tank 1</v>
      </c>
      <c r="RS155" s="111" t="str">
        <f t="shared" si="1488"/>
        <v>Tank 1</v>
      </c>
      <c r="RT155" s="111" t="str">
        <f t="shared" si="1489"/>
        <v>Tank 1</v>
      </c>
      <c r="RU155" s="111" t="str">
        <f t="shared" si="1490"/>
        <v>Tank 1</v>
      </c>
      <c r="RV155" s="111" t="str">
        <f t="shared" si="1491"/>
        <v>Tank 1</v>
      </c>
      <c r="RW155" s="111" t="str">
        <f t="shared" si="1492"/>
        <v>Tank 1</v>
      </c>
      <c r="RX155" s="111" t="str">
        <f t="shared" si="1493"/>
        <v>Tank 1</v>
      </c>
      <c r="RY155" s="111" t="str">
        <f t="shared" si="1494"/>
        <v>Tank 1</v>
      </c>
      <c r="RZ155" s="111" t="str">
        <f t="shared" si="1495"/>
        <v>Tank 1</v>
      </c>
      <c r="SA155" s="111" t="str">
        <f t="shared" si="1496"/>
        <v>Tank 1</v>
      </c>
      <c r="SB155" s="111" t="str">
        <f t="shared" si="1497"/>
        <v>Tank 1</v>
      </c>
      <c r="SC155" s="111" t="str">
        <f t="shared" si="1498"/>
        <v>Tank 1</v>
      </c>
      <c r="SD155" s="111" t="str">
        <f t="shared" si="1499"/>
        <v>Tank 1</v>
      </c>
      <c r="SE155" s="111" t="str">
        <f t="shared" si="1500"/>
        <v>Tank 1</v>
      </c>
      <c r="SF155" s="111" t="str">
        <f t="shared" si="1501"/>
        <v>Tank 1</v>
      </c>
      <c r="SG155" s="111" t="str">
        <f t="shared" si="1502"/>
        <v>Tank 1</v>
      </c>
      <c r="SH155" s="111" t="str">
        <f t="shared" si="1503"/>
        <v>Tank 1</v>
      </c>
      <c r="SI155" s="111" t="str">
        <f t="shared" si="1504"/>
        <v>Tank 1</v>
      </c>
      <c r="SJ155" s="111" t="str">
        <f t="shared" si="1505"/>
        <v>Tank 1</v>
      </c>
      <c r="SK155" s="111" t="str">
        <f t="shared" si="1506"/>
        <v>Tank 1</v>
      </c>
      <c r="SL155" s="111" t="str">
        <f t="shared" si="1507"/>
        <v>Tank 1</v>
      </c>
      <c r="SM155" s="111" t="str">
        <f t="shared" si="1508"/>
        <v>Tank 1</v>
      </c>
      <c r="SN155" s="111" t="str">
        <f t="shared" si="1509"/>
        <v>Tank 1</v>
      </c>
      <c r="SO155" s="111" t="str">
        <f t="shared" si="1510"/>
        <v>Tank 1</v>
      </c>
      <c r="SP155" s="111" t="str">
        <f t="shared" si="1511"/>
        <v>Tank 1</v>
      </c>
      <c r="SQ155" s="111" t="str">
        <f t="shared" si="1512"/>
        <v>Tank 1</v>
      </c>
      <c r="SR155" s="111" t="str">
        <f t="shared" si="1513"/>
        <v>Tank 1</v>
      </c>
      <c r="SS155" s="152" t="str">
        <f t="shared" si="1517"/>
        <v>Tank 2 + 3</v>
      </c>
      <c r="ST155" s="152" t="str">
        <f t="shared" si="1518"/>
        <v>Tank 2 + 3</v>
      </c>
      <c r="SU155" s="152" t="str">
        <f t="shared" si="1519"/>
        <v>Tank 2 + 3</v>
      </c>
      <c r="SV155" s="152" t="str">
        <f t="shared" si="1520"/>
        <v>Tank 2 + 3</v>
      </c>
      <c r="SW155" s="152" t="str">
        <f t="shared" si="1521"/>
        <v>Tank 2 + 3</v>
      </c>
      <c r="SX155" s="152" t="str">
        <f t="shared" si="1522"/>
        <v>Tank 2 + 3</v>
      </c>
      <c r="SY155" s="152" t="str">
        <f t="shared" si="1523"/>
        <v>Tank 2 + 3</v>
      </c>
      <c r="SZ155" s="152" t="str">
        <f t="shared" si="1524"/>
        <v>Tank 2 + 3</v>
      </c>
      <c r="TA155" s="152" t="str">
        <f t="shared" si="1525"/>
        <v>Tank 2 + 3</v>
      </c>
      <c r="TB155" s="152" t="str">
        <f t="shared" si="1526"/>
        <v>Tank 2 + 3</v>
      </c>
      <c r="TC155" s="152" t="str">
        <f t="shared" si="1527"/>
        <v>Tank 2 + 3</v>
      </c>
      <c r="TD155" s="152" t="str">
        <f t="shared" si="1528"/>
        <v>Tank 2 + 3</v>
      </c>
      <c r="TE155" s="152" t="str">
        <f t="shared" si="1529"/>
        <v>Tank 2 + 3</v>
      </c>
      <c r="TF155" s="152" t="str">
        <f t="shared" si="1530"/>
        <v>Tank 2 + 3</v>
      </c>
      <c r="TG155" s="152" t="str">
        <f t="shared" si="1531"/>
        <v>Tank 2 + 3</v>
      </c>
      <c r="TH155" s="152" t="str">
        <f t="shared" si="1532"/>
        <v>Tank 2 + 3</v>
      </c>
      <c r="TI155" s="152" t="str">
        <f t="shared" si="1533"/>
        <v>Tank 2 + 3</v>
      </c>
      <c r="TJ155" s="152" t="str">
        <f t="shared" si="1534"/>
        <v>Tank 2 + 3</v>
      </c>
      <c r="TK155" s="152" t="str">
        <f t="shared" si="1535"/>
        <v>Tank 2 + 3</v>
      </c>
      <c r="TL155" s="152" t="str">
        <f t="shared" si="1536"/>
        <v>Tank 2 + 3</v>
      </c>
      <c r="TM155" s="152" t="str">
        <f t="shared" si="1537"/>
        <v>Tank 2 + 3</v>
      </c>
      <c r="TN155" s="152" t="str">
        <f t="shared" si="1538"/>
        <v>Tank 2 + 3</v>
      </c>
      <c r="TO155" s="152" t="str">
        <f t="shared" si="1539"/>
        <v>Tank 2 + 3</v>
      </c>
      <c r="TP155" s="152" t="str">
        <f t="shared" si="1540"/>
        <v>Tank 2 + 3</v>
      </c>
      <c r="TQ155" s="152" t="str">
        <f t="shared" si="1541"/>
        <v>Tank 2 + 3</v>
      </c>
      <c r="TR155" s="152" t="str">
        <f t="shared" si="1542"/>
        <v>Tank 2 + 3</v>
      </c>
      <c r="TS155" s="152" t="str">
        <f t="shared" si="1543"/>
        <v>Tank 2 + 3</v>
      </c>
      <c r="TT155" s="152" t="str">
        <f t="shared" si="1544"/>
        <v>Tank 2 + 3</v>
      </c>
      <c r="TU155" s="152" t="str">
        <f t="shared" si="1545"/>
        <v>Tank 2 + 3</v>
      </c>
      <c r="TV155" s="152" t="str">
        <f t="shared" si="1546"/>
        <v>Tank 2 + 3</v>
      </c>
      <c r="TW155" s="152" t="str">
        <f t="shared" si="1547"/>
        <v>Tank 2 + 3</v>
      </c>
      <c r="TX155" s="152" t="str">
        <f t="shared" si="1548"/>
        <v>Tank 2 + 3</v>
      </c>
      <c r="TY155" s="152" t="str">
        <f t="shared" si="1549"/>
        <v>Tank 2 + 3</v>
      </c>
      <c r="TZ155" s="152" t="str">
        <f t="shared" si="1550"/>
        <v>Tank 2 + 3</v>
      </c>
      <c r="UA155" s="152" t="str">
        <f t="shared" si="1551"/>
        <v>Tank 2 + 3</v>
      </c>
      <c r="UB155" s="152" t="str">
        <f t="shared" si="1552"/>
        <v>Tank 2 + 3</v>
      </c>
      <c r="UC155" s="152" t="str">
        <f t="shared" si="1553"/>
        <v>Tank 2 + 3</v>
      </c>
      <c r="UD155" s="152" t="str">
        <f t="shared" si="1554"/>
        <v>Tank 2 + 3</v>
      </c>
      <c r="UE155" s="152" t="str">
        <f t="shared" si="1555"/>
        <v>Tank 2 + 3</v>
      </c>
      <c r="UF155" s="152" t="str">
        <f t="shared" si="1556"/>
        <v>Tank 2 + 3</v>
      </c>
      <c r="UG155" s="152" t="str">
        <f t="shared" si="1557"/>
        <v>Tank 2 + 3</v>
      </c>
      <c r="UH155" s="152" t="str">
        <f t="shared" si="1558"/>
        <v>Tank 2 + 3</v>
      </c>
      <c r="UI155" s="152" t="str">
        <f t="shared" si="1559"/>
        <v>Tank 2 + 3</v>
      </c>
      <c r="UJ155" s="152" t="str">
        <f t="shared" si="1560"/>
        <v>Tank 2 + 3</v>
      </c>
      <c r="UK155" s="152" t="str">
        <f t="shared" si="1561"/>
        <v>Tank 2 + 3</v>
      </c>
      <c r="UL155" s="152" t="str">
        <f t="shared" si="1562"/>
        <v>Tank 2 + 3</v>
      </c>
      <c r="UM155" s="152" t="str">
        <f t="shared" si="1563"/>
        <v>Tank 2 + 3</v>
      </c>
      <c r="UN155" s="152" t="str">
        <f t="shared" si="1564"/>
        <v>Tank 2 + 3</v>
      </c>
      <c r="UO155" s="152" t="str">
        <f t="shared" si="1565"/>
        <v>Tank 2 + 3</v>
      </c>
      <c r="UP155" s="152" t="str">
        <f t="shared" si="1566"/>
        <v>Tank 2 + 3</v>
      </c>
      <c r="UQ155" s="152" t="str">
        <f t="shared" si="1567"/>
        <v>Tank 2 + 3</v>
      </c>
      <c r="UR155" s="158" t="str">
        <f t="shared" si="1568"/>
        <v xml:space="preserve">Tank 4 + 5 + 6 </v>
      </c>
      <c r="US155" s="158" t="str">
        <f t="shared" si="1569"/>
        <v xml:space="preserve">Tank 4 + 5 + 6 </v>
      </c>
      <c r="UT155" s="158" t="str">
        <f t="shared" si="1570"/>
        <v xml:space="preserve">Tank 4 + 5 + 6 </v>
      </c>
      <c r="UU155" s="158" t="str">
        <f t="shared" si="1571"/>
        <v xml:space="preserve">Tank 4 + 5 + 6 </v>
      </c>
      <c r="UV155" s="158" t="str">
        <f t="shared" si="1572"/>
        <v xml:space="preserve">Tank 4 + 5 + 6 </v>
      </c>
      <c r="UW155" s="158" t="str">
        <f t="shared" si="1573"/>
        <v xml:space="preserve">Tank 4 + 5 + 6 </v>
      </c>
      <c r="UX155" s="158" t="str">
        <f t="shared" si="1574"/>
        <v xml:space="preserve">Tank 4 + 5 + 6 </v>
      </c>
      <c r="UY155" s="158" t="str">
        <f t="shared" si="1575"/>
        <v xml:space="preserve">Tank 4 + 5 + 6 </v>
      </c>
      <c r="UZ155" s="158" t="str">
        <f t="shared" si="1576"/>
        <v xml:space="preserve">Tank 4 + 5 + 6 </v>
      </c>
      <c r="VA155" s="158" t="str">
        <f t="shared" si="1577"/>
        <v xml:space="preserve">Tank 4 + 5 + 6 </v>
      </c>
      <c r="VB155" s="158" t="str">
        <f t="shared" si="1578"/>
        <v xml:space="preserve">Tank 4 + 5 + 6 </v>
      </c>
      <c r="VC155" s="158" t="str">
        <f t="shared" si="1579"/>
        <v xml:space="preserve">Tank 4 + 5 + 6 </v>
      </c>
      <c r="VD155" s="158" t="str">
        <f t="shared" si="1516"/>
        <v xml:space="preserve">Tank 4 + 5 + 6 </v>
      </c>
      <c r="VE155" s="158" t="str">
        <f t="shared" si="1580"/>
        <v xml:space="preserve">Tank 4 + 5 + 6 </v>
      </c>
      <c r="VF155" s="158" t="str">
        <f t="shared" si="1581"/>
        <v xml:space="preserve">Tank 4 + 5 + 6 </v>
      </c>
      <c r="VG155" s="158" t="str">
        <f t="shared" si="1582"/>
        <v xml:space="preserve">Tank 4 + 5 + 6 </v>
      </c>
      <c r="VH155" s="158" t="str">
        <f t="shared" si="1583"/>
        <v xml:space="preserve">Tank 4 + 5 + 6 </v>
      </c>
      <c r="VI155" s="158" t="str">
        <f t="shared" si="1584"/>
        <v xml:space="preserve">Tank 4 + 5 + 6 </v>
      </c>
      <c r="VJ155" s="158" t="str">
        <f t="shared" si="1585"/>
        <v xml:space="preserve">Tank 4 + 5 + 6 </v>
      </c>
      <c r="VK155" s="158" t="str">
        <f t="shared" si="1586"/>
        <v xml:space="preserve">Tank 4 + 5 + 6 </v>
      </c>
      <c r="VL155" s="158" t="str">
        <f t="shared" si="1587"/>
        <v xml:space="preserve">Tank 4 + 5 + 6 </v>
      </c>
      <c r="VM155" s="158" t="str">
        <f t="shared" si="1588"/>
        <v xml:space="preserve">Tank 4 + 5 + 6 </v>
      </c>
      <c r="VN155" s="158" t="str">
        <f t="shared" si="1589"/>
        <v xml:space="preserve">Tank 4 + 5 + 6 </v>
      </c>
      <c r="VO155" s="158" t="str">
        <f t="shared" si="1590"/>
        <v xml:space="preserve">Tank 4 + 5 + 6 </v>
      </c>
      <c r="VP155" s="158" t="str">
        <f t="shared" si="1591"/>
        <v xml:space="preserve">Tank 4 + 5 + 6 </v>
      </c>
      <c r="VQ155" s="158" t="str">
        <f t="shared" si="1592"/>
        <v xml:space="preserve">Tank 4 + 5 + 6 </v>
      </c>
      <c r="VR155" s="158" t="str">
        <f t="shared" si="1593"/>
        <v xml:space="preserve">Tank 4 + 5 + 6 </v>
      </c>
      <c r="VS155" s="158" t="str">
        <f t="shared" si="1594"/>
        <v xml:space="preserve">Tank 4 + 5 + 6 </v>
      </c>
      <c r="VT155" s="158" t="str">
        <f t="shared" si="1595"/>
        <v xml:space="preserve">Tank 4 + 5 + 6 </v>
      </c>
      <c r="VU155" s="158" t="str">
        <f t="shared" si="1596"/>
        <v xml:space="preserve">Tank 4 + 5 + 6 </v>
      </c>
      <c r="VV155" s="158" t="str">
        <f t="shared" si="1597"/>
        <v xml:space="preserve">Tank 4 + 5 + 6 </v>
      </c>
      <c r="VW155" s="158" t="str">
        <f t="shared" si="1598"/>
        <v xml:space="preserve">Tank 4 + 5 + 6 </v>
      </c>
      <c r="VX155" s="158" t="str">
        <f t="shared" si="1599"/>
        <v xml:space="preserve">Tank 4 + 5 + 6 </v>
      </c>
      <c r="VY155" s="158" t="str">
        <f t="shared" si="1600"/>
        <v xml:space="preserve">Tank 4 + 5 + 6 </v>
      </c>
      <c r="VZ155" s="158" t="str">
        <f t="shared" si="1601"/>
        <v xml:space="preserve">Tank 4 + 5 + 6 </v>
      </c>
      <c r="WA155" s="158" t="str">
        <f t="shared" si="1602"/>
        <v xml:space="preserve">Tank 4 + 5 + 6 </v>
      </c>
      <c r="WB155" s="158" t="str">
        <f t="shared" si="1603"/>
        <v xml:space="preserve">Tank 4 + 5 + 6 </v>
      </c>
      <c r="WC155" s="158" t="str">
        <f t="shared" si="1604"/>
        <v xml:space="preserve">Tank 4 + 5 + 6 </v>
      </c>
      <c r="WD155" s="158" t="str">
        <f t="shared" si="1605"/>
        <v xml:space="preserve">Tank 4 + 5 + 6 </v>
      </c>
      <c r="WE155" s="158" t="str">
        <f t="shared" si="1606"/>
        <v xml:space="preserve">Tank 4 + 5 + 6 </v>
      </c>
      <c r="WF155" s="158" t="str">
        <f t="shared" si="1607"/>
        <v xml:space="preserve">Tank 4 + 5 + 6 </v>
      </c>
      <c r="WG155" s="158" t="str">
        <f t="shared" si="1608"/>
        <v xml:space="preserve">Tank 4 + 5 + 6 </v>
      </c>
      <c r="WH155" s="158" t="str">
        <f t="shared" si="1609"/>
        <v xml:space="preserve">Tank 4 + 5 + 6 </v>
      </c>
      <c r="WI155" s="158" t="str">
        <f t="shared" si="1610"/>
        <v xml:space="preserve">Tank 4 + 5 + 6 </v>
      </c>
      <c r="WJ155" s="158" t="str">
        <f t="shared" si="1611"/>
        <v xml:space="preserve">Tank 4 + 5 + 6 </v>
      </c>
      <c r="WK155" s="158" t="str">
        <f t="shared" si="1612"/>
        <v xml:space="preserve">Tank 4 + 5 + 6 </v>
      </c>
      <c r="WL155" s="158" t="str">
        <f t="shared" si="1613"/>
        <v xml:space="preserve">Tank 4 + 5 + 6 </v>
      </c>
      <c r="WM155" s="158" t="str">
        <f t="shared" si="1614"/>
        <v xml:space="preserve">Tank 4 + 5 + 6 </v>
      </c>
      <c r="WN155" s="158" t="str">
        <f t="shared" si="1615"/>
        <v xml:space="preserve">Tank 4 + 5 + 6 </v>
      </c>
      <c r="WO155" s="158" t="str">
        <f t="shared" si="1616"/>
        <v xml:space="preserve">Tank 4 + 5 + 6 </v>
      </c>
      <c r="WP155" s="158" t="str">
        <f t="shared" si="1617"/>
        <v xml:space="preserve">Tank 4 + 5 + 6 </v>
      </c>
      <c r="WQ155" s="203"/>
      <c r="WR155" s="203"/>
      <c r="WS155" s="203"/>
      <c r="WT155" s="203"/>
      <c r="WU155" s="203"/>
      <c r="WV155" s="203"/>
      <c r="WW155" s="203"/>
      <c r="WX155" s="203"/>
      <c r="WY155" s="203"/>
      <c r="WZ155" s="203"/>
      <c r="XA155" s="203"/>
      <c r="XB155" s="203"/>
      <c r="XC155" s="203"/>
      <c r="XD155" s="203"/>
      <c r="XE155" s="203"/>
    </row>
    <row r="156" spans="1:696" ht="21.75" thickBot="1" x14ac:dyDescent="0.3">
      <c r="A156" s="299"/>
      <c r="B156" s="26" t="s">
        <v>118</v>
      </c>
      <c r="BY156" s="18"/>
      <c r="BZ156" s="18"/>
      <c r="CA156" s="18"/>
      <c r="CB156" s="18"/>
      <c r="CC156" s="18"/>
      <c r="CD156" s="18"/>
      <c r="CE156" s="18"/>
      <c r="CF156" s="18"/>
      <c r="CG156" s="18"/>
      <c r="CH156" s="18"/>
      <c r="CI156" s="18"/>
      <c r="CJ156" s="18"/>
      <c r="CK156" s="18"/>
      <c r="CL156" s="18"/>
      <c r="CM156" s="18"/>
      <c r="CN156" s="18"/>
      <c r="CO156" s="18"/>
      <c r="CP156" s="18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8"/>
      <c r="DH156" s="18"/>
      <c r="DI156" s="18"/>
      <c r="DJ156" s="18"/>
      <c r="DK156" s="18"/>
      <c r="DL156" s="18"/>
      <c r="DM156" s="18"/>
      <c r="DN156" s="18"/>
      <c r="DO156" s="18"/>
      <c r="DP156" s="18"/>
      <c r="DQ156" s="18"/>
      <c r="DR156" s="18"/>
      <c r="DS156" s="18"/>
      <c r="DT156" s="18"/>
      <c r="DU156" s="18"/>
      <c r="DV156" s="18"/>
      <c r="DW156" s="18"/>
      <c r="DX156" s="18"/>
      <c r="DY156" s="18"/>
      <c r="DZ156" s="18"/>
      <c r="EA156" s="18"/>
      <c r="EB156" s="18"/>
      <c r="EC156" s="18"/>
      <c r="ED156" s="18"/>
      <c r="EE156" s="18"/>
      <c r="EF156" s="18"/>
      <c r="EG156" s="18"/>
      <c r="EH156" s="18"/>
      <c r="EI156" s="18"/>
      <c r="EJ156" s="18"/>
      <c r="EK156" s="18"/>
      <c r="EL156" s="18"/>
      <c r="EM156" s="18"/>
      <c r="EN156" s="18"/>
      <c r="EO156" s="18"/>
      <c r="EP156" s="18"/>
      <c r="EQ156" s="18"/>
      <c r="ER156" s="18"/>
      <c r="ES156" s="18"/>
      <c r="ET156" s="18"/>
      <c r="EU156" s="18"/>
      <c r="EV156" s="18"/>
      <c r="EW156" s="18"/>
      <c r="EX156" s="18"/>
      <c r="EY156" s="18"/>
      <c r="EZ156" s="18"/>
      <c r="FA156" s="18"/>
      <c r="FB156" s="18"/>
      <c r="FC156" s="18"/>
      <c r="FD156" s="18"/>
      <c r="FE156" s="18"/>
      <c r="FF156" s="18"/>
      <c r="FG156" s="18"/>
      <c r="FH156" s="18"/>
      <c r="FI156" s="18"/>
      <c r="FJ156" s="18"/>
      <c r="FK156" s="18"/>
      <c r="FL156" s="18"/>
      <c r="FM156" s="18"/>
      <c r="FN156" s="18"/>
      <c r="FO156" s="18"/>
      <c r="FP156" s="18"/>
      <c r="FQ156" s="18"/>
      <c r="FR156" s="18"/>
      <c r="FS156" s="18"/>
      <c r="FT156" s="18"/>
      <c r="FU156" s="18"/>
      <c r="FV156" s="18"/>
      <c r="FW156" s="18"/>
      <c r="FX156" s="18"/>
      <c r="FY156" s="18"/>
      <c r="FZ156" s="18"/>
      <c r="GA156" s="18"/>
      <c r="GB156" s="18"/>
      <c r="GC156" s="18"/>
      <c r="GD156" s="18"/>
      <c r="GE156" s="18"/>
      <c r="GF156" s="18"/>
      <c r="GG156" s="18"/>
      <c r="GH156" s="18"/>
      <c r="GI156" s="18"/>
      <c r="GJ156" s="18"/>
      <c r="GK156" s="18"/>
      <c r="GL156" s="18"/>
      <c r="GM156" s="18"/>
      <c r="GN156" s="18"/>
      <c r="GO156" s="18"/>
      <c r="GP156" s="18"/>
      <c r="GQ156" s="18"/>
      <c r="GR156" s="18"/>
      <c r="GS156" s="18"/>
      <c r="GT156" s="18"/>
      <c r="GU156" s="18"/>
      <c r="GV156" s="18"/>
      <c r="GW156" s="18"/>
      <c r="GX156" s="18"/>
      <c r="GY156" s="18"/>
      <c r="GZ156" s="18"/>
      <c r="HA156" s="18"/>
      <c r="HB156" s="18"/>
      <c r="HC156" s="18"/>
      <c r="HD156" s="18"/>
      <c r="HE156" s="18"/>
      <c r="HF156" s="18"/>
      <c r="HG156" s="18"/>
      <c r="HH156" s="18"/>
      <c r="HI156" s="18"/>
      <c r="HJ156" s="18"/>
      <c r="HK156" s="18"/>
      <c r="HL156" s="18"/>
      <c r="HM156" s="18"/>
      <c r="HN156" s="18"/>
      <c r="HO156" s="18"/>
      <c r="HP156" s="18"/>
      <c r="HQ156" s="18"/>
      <c r="HR156" s="18"/>
      <c r="HS156" s="18"/>
      <c r="HT156" s="18"/>
      <c r="HU156" s="18"/>
      <c r="HV156" s="18"/>
      <c r="HW156" s="18"/>
      <c r="HX156" s="18"/>
      <c r="HY156" s="18"/>
      <c r="HZ156" s="18"/>
      <c r="IA156" s="18"/>
      <c r="IB156" s="18"/>
      <c r="IC156" s="18"/>
      <c r="ID156" s="18"/>
      <c r="IE156" s="18"/>
      <c r="IF156" s="18"/>
      <c r="IG156" s="18"/>
      <c r="IH156" s="18"/>
      <c r="II156" s="18"/>
      <c r="IJ156" s="18"/>
      <c r="IK156" s="18"/>
      <c r="IL156" s="18"/>
      <c r="IM156" s="18"/>
      <c r="IN156" s="18"/>
      <c r="IO156" s="18"/>
      <c r="IP156" s="18"/>
      <c r="IQ156" s="18"/>
      <c r="IR156" s="18"/>
      <c r="IS156" s="18"/>
      <c r="IT156" s="18"/>
      <c r="IU156" s="18"/>
      <c r="IV156" s="18"/>
      <c r="IW156" s="18"/>
      <c r="IX156" s="18"/>
      <c r="IY156" s="18"/>
      <c r="IZ156" s="18"/>
      <c r="JA156" s="18"/>
      <c r="JB156" s="18"/>
      <c r="JC156" s="18"/>
      <c r="JD156" s="18"/>
      <c r="JE156" s="18"/>
      <c r="JF156" s="18"/>
      <c r="JG156" s="18"/>
      <c r="JH156" s="18"/>
      <c r="JI156" s="18"/>
      <c r="JJ156" s="18"/>
      <c r="JK156" s="18"/>
      <c r="JL156" s="18"/>
      <c r="JM156" s="18"/>
      <c r="JN156" s="18"/>
      <c r="JO156" s="18"/>
      <c r="JP156" s="18"/>
      <c r="JQ156" s="18"/>
      <c r="JR156" s="18"/>
      <c r="JS156" s="18"/>
      <c r="JT156" s="18"/>
      <c r="JU156" s="18"/>
      <c r="JV156" s="18"/>
      <c r="JW156" s="18"/>
      <c r="JX156" s="18"/>
      <c r="JY156" s="18"/>
      <c r="JZ156" s="18"/>
      <c r="KA156" s="18"/>
      <c r="KB156" s="18"/>
      <c r="KC156" s="18"/>
      <c r="KD156" s="18"/>
      <c r="KE156" s="18"/>
      <c r="KF156" s="18"/>
      <c r="KG156" s="18"/>
      <c r="KH156" s="18"/>
      <c r="KI156" s="18"/>
      <c r="KJ156" s="18"/>
      <c r="KK156" s="18"/>
      <c r="KL156" s="18"/>
      <c r="KM156" s="18"/>
      <c r="KN156" s="18"/>
      <c r="KO156" s="18"/>
      <c r="KP156" s="18"/>
      <c r="KQ156" s="18"/>
      <c r="KR156" s="18"/>
      <c r="KS156" s="18"/>
      <c r="KT156" s="18"/>
      <c r="KU156" s="18"/>
      <c r="KV156" s="18"/>
      <c r="KW156" s="18"/>
      <c r="KX156" s="18"/>
      <c r="KY156" s="18"/>
      <c r="KZ156" s="18"/>
      <c r="LA156" s="18"/>
      <c r="LB156" s="18"/>
      <c r="LC156" s="18"/>
      <c r="LD156" s="18"/>
      <c r="LE156" s="18"/>
      <c r="LF156" s="18"/>
      <c r="LG156" s="18"/>
      <c r="LH156" s="18"/>
      <c r="LI156" s="18"/>
      <c r="LJ156" s="18"/>
      <c r="LK156" s="18"/>
      <c r="LL156" s="18"/>
      <c r="LM156" s="18"/>
      <c r="LN156" s="18"/>
      <c r="LO156" s="18"/>
      <c r="LP156" s="18"/>
      <c r="LQ156" s="18"/>
      <c r="LR156" s="18"/>
      <c r="LS156" s="18"/>
      <c r="LT156" s="18"/>
      <c r="LU156" s="18"/>
      <c r="LV156" s="18"/>
      <c r="LW156" s="18"/>
      <c r="LX156" s="18"/>
      <c r="LY156" s="18"/>
      <c r="LZ156" s="18"/>
      <c r="MA156" s="18"/>
      <c r="MB156" s="18"/>
      <c r="MC156" s="18"/>
      <c r="MD156" s="18"/>
      <c r="ME156" s="18"/>
      <c r="MF156" s="18"/>
      <c r="MG156" s="18"/>
      <c r="MH156" s="18"/>
      <c r="MI156" s="18"/>
      <c r="MJ156" s="18"/>
      <c r="MK156" s="18"/>
      <c r="ML156" s="18"/>
      <c r="MM156" s="18"/>
      <c r="MN156" s="18"/>
      <c r="MO156" s="18"/>
      <c r="MP156" s="18"/>
      <c r="MQ156" s="18"/>
      <c r="MR156" s="18"/>
      <c r="MS156" s="18"/>
      <c r="MT156" s="18"/>
      <c r="MU156" s="18"/>
      <c r="MV156" s="18"/>
      <c r="MW156" s="18"/>
      <c r="MX156" s="18"/>
      <c r="MY156" s="18"/>
      <c r="MZ156" s="18"/>
      <c r="NA156" s="18"/>
      <c r="NB156" s="18"/>
      <c r="NC156" s="18"/>
      <c r="ND156" s="18"/>
      <c r="NE156" s="18"/>
      <c r="NF156" s="18"/>
      <c r="NG156" s="18"/>
      <c r="NH156" s="18"/>
      <c r="NI156" s="18"/>
      <c r="NJ156" s="18"/>
      <c r="NK156" s="18"/>
      <c r="NL156" s="18"/>
      <c r="NM156" s="18"/>
      <c r="NN156" s="18"/>
      <c r="NO156" s="18"/>
      <c r="NP156" s="18"/>
      <c r="NQ156" s="18"/>
      <c r="NR156" s="18"/>
      <c r="NS156" s="18"/>
      <c r="NT156" s="18"/>
      <c r="NU156" s="18"/>
      <c r="NV156" s="18"/>
      <c r="NW156" s="18"/>
      <c r="NX156" s="18"/>
      <c r="NY156" s="18"/>
      <c r="NZ156" s="18"/>
      <c r="OA156" s="18"/>
      <c r="OB156" s="18"/>
      <c r="OC156" s="18"/>
      <c r="OD156" s="18"/>
      <c r="OE156" s="18"/>
      <c r="OF156" s="18"/>
      <c r="OG156" s="18"/>
      <c r="OH156" s="18"/>
      <c r="OI156" s="18"/>
      <c r="OJ156" s="18"/>
      <c r="OK156" s="18"/>
      <c r="OL156" s="18"/>
      <c r="OM156" s="18"/>
      <c r="ON156" s="18"/>
      <c r="OO156" s="18"/>
      <c r="OP156" s="18"/>
      <c r="OQ156" s="18"/>
      <c r="OR156" s="18"/>
      <c r="OS156" s="18"/>
      <c r="OT156" s="18"/>
      <c r="OU156" s="18"/>
      <c r="OV156" s="18"/>
      <c r="OW156" s="18"/>
      <c r="OX156" s="18"/>
      <c r="OY156" s="18"/>
      <c r="OZ156" s="18"/>
      <c r="PA156" s="18"/>
      <c r="PB156" s="18"/>
      <c r="PC156" s="18"/>
      <c r="PD156" s="18"/>
      <c r="PE156" s="18"/>
      <c r="PF156" s="18"/>
      <c r="PG156" s="18"/>
      <c r="PH156" s="18"/>
      <c r="PI156" s="18"/>
      <c r="PJ156" s="18"/>
      <c r="PK156" s="18"/>
      <c r="PL156" s="18"/>
      <c r="PM156" s="18"/>
      <c r="PN156" s="18"/>
      <c r="PO156" s="18"/>
      <c r="PP156" s="18"/>
      <c r="PQ156" s="18"/>
      <c r="PR156" s="18"/>
      <c r="PS156" s="18"/>
      <c r="PT156" s="18"/>
      <c r="PU156" s="18"/>
      <c r="PV156" s="18"/>
      <c r="PW156" s="18"/>
      <c r="PX156" s="18"/>
      <c r="PY156" s="18"/>
      <c r="PZ156" s="18"/>
      <c r="QA156" s="18"/>
      <c r="QB156" s="18"/>
      <c r="QC156" s="18"/>
      <c r="QD156" s="18"/>
      <c r="QE156" s="18"/>
      <c r="QF156" s="18"/>
      <c r="QG156" s="18"/>
      <c r="QH156" s="18"/>
      <c r="QI156" s="18"/>
      <c r="QJ156" s="18"/>
      <c r="QK156" s="18"/>
      <c r="QL156" s="18"/>
      <c r="QM156" s="18"/>
      <c r="QN156" s="18"/>
      <c r="QO156" s="18"/>
      <c r="QP156" s="18"/>
      <c r="QQ156" s="18"/>
      <c r="QR156" s="18"/>
      <c r="QS156" s="18"/>
      <c r="QT156" s="126">
        <f t="shared" si="1460"/>
        <v>4.166666666666667</v>
      </c>
      <c r="QU156" s="127">
        <f t="shared" si="1461"/>
        <v>4.5764880952380951</v>
      </c>
      <c r="QV156" s="127">
        <f t="shared" si="1462"/>
        <v>5.0241666985544224</v>
      </c>
      <c r="QW156" s="127">
        <f t="shared" si="1463"/>
        <v>5.5050764092090345</v>
      </c>
      <c r="QX156" s="127">
        <f t="shared" si="1514"/>
        <v>6.0300868541293902</v>
      </c>
      <c r="QY156" s="127">
        <f t="shared" si="1515"/>
        <v>6.6009350763203054</v>
      </c>
      <c r="QZ156" s="127">
        <f t="shared" si="1469"/>
        <v>7.210269669399942</v>
      </c>
      <c r="RA156" s="127">
        <f t="shared" si="1470"/>
        <v>7.8721226990531363</v>
      </c>
      <c r="RB156" s="127">
        <f t="shared" si="1471"/>
        <v>8.5768778193310791</v>
      </c>
      <c r="RC156" s="127">
        <f t="shared" si="1472"/>
        <v>9.3389116079570709</v>
      </c>
      <c r="RD156" s="127">
        <f t="shared" si="1473"/>
        <v>10.159152963083063</v>
      </c>
      <c r="RE156" s="127">
        <f t="shared" si="1474"/>
        <v>11.026067349266151</v>
      </c>
      <c r="RF156" s="127">
        <f t="shared" si="1475"/>
        <v>11.955932362387598</v>
      </c>
      <c r="RG156" s="127">
        <f t="shared" si="1476"/>
        <v>12.935534820538635</v>
      </c>
      <c r="RH156" s="127">
        <f t="shared" si="1477"/>
        <v>13.982676967158632</v>
      </c>
      <c r="RI156" s="127">
        <f t="shared" si="1478"/>
        <v>15.080091582032725</v>
      </c>
      <c r="RJ156" s="127">
        <f t="shared" si="1479"/>
        <v>16.246609634088035</v>
      </c>
      <c r="RK156" s="127">
        <f t="shared" si="1480"/>
        <v>17.462268647025983</v>
      </c>
      <c r="RL156" s="127">
        <f t="shared" si="1481"/>
        <v>18.749487307292473</v>
      </c>
      <c r="RM156" s="127">
        <f t="shared" si="1482"/>
        <v>20.088903806807178</v>
      </c>
      <c r="RN156" s="127">
        <f t="shared" si="1483"/>
        <v>21.502032633967268</v>
      </c>
      <c r="RO156" s="127">
        <f t="shared" si="1484"/>
        <v>22.96747885809765</v>
      </c>
      <c r="RP156" s="127">
        <f t="shared" si="1485"/>
        <v>24.50453321244726</v>
      </c>
      <c r="RQ156" s="127">
        <f t="shared" si="1486"/>
        <v>26.092872501581343</v>
      </c>
      <c r="RR156" s="127">
        <f t="shared" si="1487"/>
        <v>27.756490796833685</v>
      </c>
      <c r="RS156" s="127">
        <f t="shared" si="1488"/>
        <v>29.500944188125594</v>
      </c>
      <c r="RT156" s="127">
        <f t="shared" si="1489"/>
        <v>31.300061471001431</v>
      </c>
      <c r="RU156" s="127">
        <f t="shared" si="1490"/>
        <v>33.180868149841011</v>
      </c>
      <c r="RV156" s="127">
        <f t="shared" si="1491"/>
        <v>35.115117581399382</v>
      </c>
      <c r="RW156" s="127">
        <f t="shared" si="1492"/>
        <v>37.131138449602076</v>
      </c>
      <c r="RX156" s="127">
        <f t="shared" si="1493"/>
        <v>39.23013986431193</v>
      </c>
      <c r="RY156" s="127">
        <f t="shared" si="1494"/>
        <v>41.380406371077548</v>
      </c>
      <c r="RZ156" s="127">
        <f t="shared" si="1495"/>
        <v>43.612549450978278</v>
      </c>
      <c r="SA156" s="127">
        <f t="shared" si="1496"/>
        <v>45.927174901550487</v>
      </c>
      <c r="SB156" s="127">
        <f t="shared" si="1497"/>
        <v>48.289143896487367</v>
      </c>
      <c r="SC156" s="127">
        <f t="shared" si="1498"/>
        <v>50.731194887824017</v>
      </c>
      <c r="SD156" s="127">
        <f t="shared" si="1499"/>
        <v>53.209163674739131</v>
      </c>
      <c r="SE156" s="127">
        <f t="shared" si="1500"/>
        <v>55.763203531126614</v>
      </c>
      <c r="SF156" s="127">
        <f t="shared" si="1501"/>
        <v>58.384859494322392</v>
      </c>
      <c r="SG156" s="127">
        <f t="shared" si="1502"/>
        <v>61.04137060131405</v>
      </c>
      <c r="SH156" s="127">
        <f t="shared" si="1503"/>
        <v>63.767885154839412</v>
      </c>
      <c r="SI156" s="127">
        <f t="shared" si="1504"/>
        <v>66.554187470077267</v>
      </c>
      <c r="SJ156" s="127">
        <f t="shared" si="1505"/>
        <v>69.36587396538846</v>
      </c>
      <c r="SK156" s="127">
        <f t="shared" si="1506"/>
        <v>72.229829364452598</v>
      </c>
      <c r="SL156" s="127">
        <f t="shared" si="1507"/>
        <v>75.152663829419623</v>
      </c>
      <c r="SM156" s="127">
        <f t="shared" si="1508"/>
        <v>78.089711177996406</v>
      </c>
      <c r="SN156" s="127">
        <f t="shared" si="1509"/>
        <v>81.078225530105684</v>
      </c>
      <c r="SO156" s="127">
        <f t="shared" si="1510"/>
        <v>84.115372032395584</v>
      </c>
      <c r="SP156" s="127">
        <f t="shared" si="1511"/>
        <v>87.154740808499469</v>
      </c>
      <c r="SQ156" s="127">
        <f t="shared" si="1512"/>
        <v>90.234208317066447</v>
      </c>
      <c r="SR156" s="127">
        <f t="shared" si="1513"/>
        <v>93.306920568705493</v>
      </c>
      <c r="SS156" s="182">
        <f t="shared" si="1517"/>
        <v>46.560153363784046</v>
      </c>
      <c r="ST156" s="182">
        <f t="shared" si="1518"/>
        <v>48.07213308091324</v>
      </c>
      <c r="SU156" s="182">
        <f t="shared" si="1519"/>
        <v>49.574231161337615</v>
      </c>
      <c r="SV156" s="182">
        <f t="shared" si="1520"/>
        <v>51.084635658798625</v>
      </c>
      <c r="SW156" s="182">
        <f t="shared" si="1521"/>
        <v>52.614520981255644</v>
      </c>
      <c r="SX156" s="182">
        <f t="shared" si="1522"/>
        <v>54.141691179993622</v>
      </c>
      <c r="SY156" s="182">
        <f t="shared" si="1523"/>
        <v>55.678482260410362</v>
      </c>
      <c r="SZ156" s="182">
        <f t="shared" si="1524"/>
        <v>57.230341496745396</v>
      </c>
      <c r="TA156" s="182">
        <f t="shared" si="1525"/>
        <v>58.796104942310194</v>
      </c>
      <c r="TB156" s="182">
        <f t="shared" si="1526"/>
        <v>60.353085341542005</v>
      </c>
      <c r="TC156" s="182">
        <f t="shared" si="1527"/>
        <v>61.920737634210916</v>
      </c>
      <c r="TD156" s="182">
        <f t="shared" si="1528"/>
        <v>63.489918858814598</v>
      </c>
      <c r="TE156" s="182">
        <f t="shared" si="1529"/>
        <v>65.066719122118315</v>
      </c>
      <c r="TF156" s="182">
        <f t="shared" si="1530"/>
        <v>66.62832038104915</v>
      </c>
      <c r="TG156" s="182">
        <f t="shared" si="1531"/>
        <v>68.202414450051435</v>
      </c>
      <c r="TH156" s="182">
        <f t="shared" si="1532"/>
        <v>69.788120586015125</v>
      </c>
      <c r="TI156" s="182">
        <f t="shared" si="1533"/>
        <v>71.384523844420229</v>
      </c>
      <c r="TJ156" s="182">
        <f t="shared" si="1534"/>
        <v>72.990675630919668</v>
      </c>
      <c r="TK156" s="182">
        <f t="shared" si="1535"/>
        <v>74.583854822468638</v>
      </c>
      <c r="TL156" s="182">
        <f t="shared" si="1536"/>
        <v>76.184184941992712</v>
      </c>
      <c r="TM156" s="182">
        <f t="shared" si="1537"/>
        <v>77.790636644226339</v>
      </c>
      <c r="TN156" s="182">
        <f t="shared" si="1538"/>
        <v>79.402151314461051</v>
      </c>
      <c r="TO156" s="182">
        <f t="shared" si="1539"/>
        <v>80.996004254261095</v>
      </c>
      <c r="TP156" s="182">
        <f t="shared" si="1540"/>
        <v>82.592218191759684</v>
      </c>
      <c r="TQ156" s="182">
        <f t="shared" si="1541"/>
        <v>84.199744779979795</v>
      </c>
      <c r="TR156" s="182">
        <f t="shared" si="1542"/>
        <v>85.818022801604783</v>
      </c>
      <c r="TS156" s="182">
        <f t="shared" si="1543"/>
        <v>87.446472112327925</v>
      </c>
      <c r="TT156" s="182">
        <f t="shared" si="1544"/>
        <v>89.062651488476234</v>
      </c>
      <c r="TU156" s="182">
        <f t="shared" si="1545"/>
        <v>90.687240095145555</v>
      </c>
      <c r="TV156" s="182">
        <f t="shared" si="1546"/>
        <v>92.319610416858183</v>
      </c>
      <c r="TW156" s="182">
        <f t="shared" si="1547"/>
        <v>93.95911771510454</v>
      </c>
      <c r="TX156" s="182">
        <f t="shared" si="1548"/>
        <v>95.605100331463134</v>
      </c>
      <c r="TY156" s="182">
        <f t="shared" si="1549"/>
        <v>97.256880016707925</v>
      </c>
      <c r="TZ156" s="182">
        <f t="shared" si="1550"/>
        <v>98.91376228590822</v>
      </c>
      <c r="UA156" s="182">
        <f t="shared" si="1551"/>
        <v>100.56468008025162</v>
      </c>
      <c r="UB156" s="182">
        <f t="shared" si="1552"/>
        <v>102.23118049301006</v>
      </c>
      <c r="UC156" s="182">
        <f t="shared" si="1553"/>
        <v>103.91312681969268</v>
      </c>
      <c r="UD156" s="182">
        <f t="shared" si="1554"/>
        <v>105.61037455774766</v>
      </c>
      <c r="UE156" s="182">
        <f t="shared" si="1555"/>
        <v>107.32277134521972</v>
      </c>
      <c r="UF156" s="182">
        <f t="shared" si="1556"/>
        <v>109.05015690306182</v>
      </c>
      <c r="UG156" s="182">
        <f t="shared" si="1557"/>
        <v>110.76930055306305</v>
      </c>
      <c r="UH156" s="182">
        <f t="shared" si="1558"/>
        <v>112.50251431465804</v>
      </c>
      <c r="UI156" s="182">
        <f t="shared" si="1559"/>
        <v>114.24961218401506</v>
      </c>
      <c r="UJ156" s="182">
        <f t="shared" si="1560"/>
        <v>116.01040032473342</v>
      </c>
      <c r="UK156" s="182">
        <f t="shared" si="1561"/>
        <v>117.78467703558228</v>
      </c>
      <c r="UL156" s="182">
        <f t="shared" si="1562"/>
        <v>119.57223272235758</v>
      </c>
      <c r="UM156" s="182">
        <f t="shared" si="1563"/>
        <v>121.37284987394132</v>
      </c>
      <c r="UN156" s="182">
        <f t="shared" si="1564"/>
        <v>123.18630304264609</v>
      </c>
      <c r="UO156" s="182">
        <f t="shared" si="1565"/>
        <v>124.98826082436294</v>
      </c>
      <c r="UP156" s="182">
        <f t="shared" si="1566"/>
        <v>126.80204395818626</v>
      </c>
      <c r="UQ156" s="182">
        <f t="shared" si="1567"/>
        <v>128.62740361423548</v>
      </c>
      <c r="UR156" s="183">
        <f t="shared" si="1568"/>
        <v>85.580099204671342</v>
      </c>
      <c r="US156" s="183">
        <f t="shared" si="1569"/>
        <v>86.792152237593314</v>
      </c>
      <c r="UT156" s="183">
        <f t="shared" si="1570"/>
        <v>88.011279213209733</v>
      </c>
      <c r="UU156" s="183">
        <f t="shared" si="1571"/>
        <v>89.237296800389089</v>
      </c>
      <c r="UV156" s="183">
        <f t="shared" si="1572"/>
        <v>90.470016667817731</v>
      </c>
      <c r="UW156" s="183">
        <f t="shared" si="1573"/>
        <v>91.692921720706849</v>
      </c>
      <c r="UX156" s="183">
        <f t="shared" si="1574"/>
        <v>92.921817660090127</v>
      </c>
      <c r="UY156" s="183">
        <f t="shared" si="1575"/>
        <v>94.16718363010925</v>
      </c>
      <c r="UZ156" s="183">
        <f t="shared" si="1576"/>
        <v>95.418416552826571</v>
      </c>
      <c r="VA156" s="183">
        <f t="shared" si="1577"/>
        <v>96.67530741914311</v>
      </c>
      <c r="VB156" s="183">
        <f t="shared" si="1578"/>
        <v>97.937642467742506</v>
      </c>
      <c r="VC156" s="183">
        <f t="shared" si="1579"/>
        <v>99.205203219681337</v>
      </c>
      <c r="VD156" s="183">
        <f t="shared" si="1516"/>
        <v>100.46105090589411</v>
      </c>
      <c r="VE156" s="183">
        <f t="shared" si="1580"/>
        <v>101.7213804536226</v>
      </c>
      <c r="VF156" s="183">
        <f t="shared" si="1581"/>
        <v>102.98596216062559</v>
      </c>
      <c r="VG156" s="183">
        <f t="shared" si="1582"/>
        <v>104.2662649174861</v>
      </c>
      <c r="VH156" s="183">
        <f t="shared" si="1583"/>
        <v>105.5506357262424</v>
      </c>
      <c r="VI156" s="183">
        <f t="shared" si="1584"/>
        <v>106.8388332577195</v>
      </c>
      <c r="VJ156" s="183">
        <f t="shared" si="1585"/>
        <v>108.13061187801738</v>
      </c>
      <c r="VK156" s="183">
        <f t="shared" si="1586"/>
        <v>109.40874000942945</v>
      </c>
      <c r="VL156" s="183">
        <f t="shared" si="1587"/>
        <v>110.70197590257463</v>
      </c>
      <c r="VM156" s="183">
        <f t="shared" si="1588"/>
        <v>111.99805971033285</v>
      </c>
      <c r="VN156" s="183">
        <f t="shared" si="1589"/>
        <v>113.2967338409066</v>
      </c>
      <c r="VO156" s="183">
        <f t="shared" si="1590"/>
        <v>114.59773678456285</v>
      </c>
      <c r="VP156" s="183">
        <f t="shared" si="1591"/>
        <v>115.90080318485475</v>
      </c>
      <c r="VQ156" s="183">
        <f t="shared" si="1592"/>
        <v>117.20566391284602</v>
      </c>
      <c r="VR156" s="183">
        <f t="shared" si="1593"/>
        <v>118.49492621588733</v>
      </c>
      <c r="VS156" s="183">
        <f t="shared" si="1594"/>
        <v>104.98650462727618</v>
      </c>
      <c r="VT156" s="183">
        <f t="shared" si="1595"/>
        <v>106.12969101099542</v>
      </c>
      <c r="VU156" s="183">
        <f t="shared" si="1596"/>
        <v>92.112148806193915</v>
      </c>
      <c r="VV156" s="183">
        <f t="shared" si="1597"/>
        <v>93.094678393460001</v>
      </c>
      <c r="VW156" s="183">
        <f t="shared" si="1598"/>
        <v>94.077344443168741</v>
      </c>
      <c r="VX156" s="183">
        <f t="shared" si="1599"/>
        <v>95.059930040686254</v>
      </c>
      <c r="VY156" s="183">
        <f t="shared" si="1600"/>
        <v>96.029332404178092</v>
      </c>
      <c r="VZ156" s="183">
        <f t="shared" si="1601"/>
        <v>80.993179133302633</v>
      </c>
      <c r="WA156" s="183">
        <f t="shared" si="1602"/>
        <v>81.810231204119916</v>
      </c>
      <c r="WB156" s="183">
        <f t="shared" si="1603"/>
        <v>66.264489248277698</v>
      </c>
      <c r="WC156" s="183">
        <f t="shared" si="1604"/>
        <v>66.918395966354112</v>
      </c>
      <c r="WD156" s="183">
        <f t="shared" si="1605"/>
        <v>67.571401852267556</v>
      </c>
      <c r="WE156" s="183">
        <f t="shared" si="1606"/>
        <v>68.223354498710307</v>
      </c>
      <c r="WF156" s="183">
        <f t="shared" si="1607"/>
        <v>68.881597413544029</v>
      </c>
      <c r="WG156" s="183">
        <f t="shared" si="1608"/>
        <v>52.318222527794894</v>
      </c>
      <c r="WH156" s="183">
        <f t="shared" si="1609"/>
        <v>52.811508625914108</v>
      </c>
      <c r="WI156" s="183">
        <f t="shared" si="1610"/>
        <v>35.699806036119753</v>
      </c>
      <c r="WJ156" s="183">
        <f t="shared" si="1611"/>
        <v>36.028089035104067</v>
      </c>
      <c r="WK156" s="183">
        <f t="shared" si="1612"/>
        <v>36.355474713727411</v>
      </c>
      <c r="WL156" s="183">
        <f t="shared" si="1613"/>
        <v>36.685835331778243</v>
      </c>
      <c r="WM156" s="183">
        <f t="shared" si="1614"/>
        <v>37.015210331604855</v>
      </c>
      <c r="WN156" s="183">
        <f t="shared" si="1615"/>
        <v>18.835913987874051</v>
      </c>
      <c r="WO156" s="183">
        <f t="shared" si="1616"/>
        <v>19.002980355418675</v>
      </c>
      <c r="WP156" s="183">
        <f t="shared" si="1617"/>
        <v>-3.8414937896748588E-2</v>
      </c>
      <c r="WQ156" s="203"/>
      <c r="WR156" s="203"/>
      <c r="WS156" s="203"/>
      <c r="WT156" s="203"/>
      <c r="WU156" s="203"/>
      <c r="WV156" s="203"/>
      <c r="WW156" s="203"/>
      <c r="WX156" s="203"/>
      <c r="WY156" s="203"/>
      <c r="WZ156" s="203"/>
      <c r="XA156" s="203"/>
      <c r="XB156" s="203"/>
      <c r="XC156" s="203"/>
      <c r="XD156" s="203"/>
      <c r="XE156" s="203"/>
    </row>
    <row r="157" spans="1:696" ht="19.5" thickBot="1" x14ac:dyDescent="0.3">
      <c r="A157" s="297" t="s">
        <v>119</v>
      </c>
      <c r="B157" s="24" t="s">
        <v>14</v>
      </c>
      <c r="BY157" s="18"/>
      <c r="BZ157" s="18"/>
      <c r="CA157" s="18"/>
      <c r="CB157" s="18"/>
      <c r="CC157" s="18"/>
      <c r="CD157" s="18"/>
      <c r="CE157" s="18"/>
      <c r="CF157" s="18"/>
      <c r="CG157" s="18"/>
      <c r="CH157" s="18"/>
      <c r="CI157" s="18"/>
      <c r="CJ157" s="18"/>
      <c r="CK157" s="18"/>
      <c r="CL157" s="18"/>
      <c r="CM157" s="18"/>
      <c r="CN157" s="18"/>
      <c r="CO157" s="18"/>
      <c r="CP157" s="18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8"/>
      <c r="DH157" s="18"/>
      <c r="DI157" s="18"/>
      <c r="DJ157" s="18"/>
      <c r="DK157" s="18"/>
      <c r="DL157" s="18"/>
      <c r="DM157" s="18"/>
      <c r="DN157" s="18"/>
      <c r="DO157" s="18"/>
      <c r="DP157" s="18"/>
      <c r="DQ157" s="18"/>
      <c r="DR157" s="18"/>
      <c r="DS157" s="18"/>
      <c r="DT157" s="18"/>
      <c r="DU157" s="18"/>
      <c r="DV157" s="18"/>
      <c r="DW157" s="18"/>
      <c r="DX157" s="18"/>
      <c r="DY157" s="18"/>
      <c r="DZ157" s="18"/>
      <c r="EA157" s="18"/>
      <c r="EB157" s="18"/>
      <c r="EC157" s="18"/>
      <c r="ED157" s="18"/>
      <c r="EE157" s="18"/>
      <c r="EF157" s="18"/>
      <c r="EG157" s="18"/>
      <c r="EH157" s="18"/>
      <c r="EI157" s="18"/>
      <c r="EJ157" s="18"/>
      <c r="EK157" s="18"/>
      <c r="EL157" s="18"/>
      <c r="EM157" s="18"/>
      <c r="EN157" s="18"/>
      <c r="EO157" s="18"/>
      <c r="EP157" s="18"/>
      <c r="EQ157" s="18"/>
      <c r="ER157" s="18"/>
      <c r="ES157" s="18"/>
      <c r="ET157" s="18"/>
      <c r="EU157" s="18"/>
      <c r="EV157" s="18"/>
      <c r="EW157" s="18"/>
      <c r="EX157" s="18"/>
      <c r="EY157" s="18"/>
      <c r="EZ157" s="18"/>
      <c r="FA157" s="18"/>
      <c r="FB157" s="18"/>
      <c r="FC157" s="18"/>
      <c r="FD157" s="18"/>
      <c r="FE157" s="18"/>
      <c r="FF157" s="18"/>
      <c r="FG157" s="18"/>
      <c r="FH157" s="18"/>
      <c r="FI157" s="18"/>
      <c r="FJ157" s="18"/>
      <c r="FK157" s="18"/>
      <c r="FL157" s="18"/>
      <c r="FM157" s="18"/>
      <c r="FN157" s="18"/>
      <c r="FO157" s="18"/>
      <c r="FP157" s="18"/>
      <c r="FQ157" s="18"/>
      <c r="FR157" s="18"/>
      <c r="FS157" s="18"/>
      <c r="FT157" s="18"/>
      <c r="FU157" s="18"/>
      <c r="FV157" s="18"/>
      <c r="FW157" s="18"/>
      <c r="FX157" s="18"/>
      <c r="FY157" s="18"/>
      <c r="FZ157" s="18"/>
      <c r="GA157" s="18"/>
      <c r="GB157" s="18"/>
      <c r="GC157" s="18"/>
      <c r="GD157" s="18"/>
      <c r="GE157" s="18"/>
      <c r="GF157" s="18"/>
      <c r="GG157" s="18"/>
      <c r="GH157" s="18"/>
      <c r="GI157" s="18"/>
      <c r="GJ157" s="18"/>
      <c r="GK157" s="18"/>
      <c r="GL157" s="18"/>
      <c r="GM157" s="18"/>
      <c r="GN157" s="18"/>
      <c r="GO157" s="18"/>
      <c r="GP157" s="18"/>
      <c r="GQ157" s="18"/>
      <c r="GR157" s="18"/>
      <c r="GS157" s="18"/>
      <c r="GT157" s="18"/>
      <c r="GU157" s="18"/>
      <c r="GV157" s="18"/>
      <c r="GW157" s="18"/>
      <c r="GX157" s="18"/>
      <c r="GY157" s="18"/>
      <c r="GZ157" s="18"/>
      <c r="HA157" s="18"/>
      <c r="HB157" s="18"/>
      <c r="HC157" s="18"/>
      <c r="HD157" s="18"/>
      <c r="HE157" s="18"/>
      <c r="HF157" s="18"/>
      <c r="HG157" s="18"/>
      <c r="HH157" s="18"/>
      <c r="HI157" s="18"/>
      <c r="HJ157" s="18"/>
      <c r="HK157" s="18"/>
      <c r="HL157" s="18"/>
      <c r="HM157" s="18"/>
      <c r="HN157" s="18"/>
      <c r="HO157" s="18"/>
      <c r="HP157" s="18"/>
      <c r="HQ157" s="18"/>
      <c r="HR157" s="18"/>
      <c r="HS157" s="18"/>
      <c r="HT157" s="18"/>
      <c r="HU157" s="18"/>
      <c r="HV157" s="18"/>
      <c r="HW157" s="18"/>
      <c r="HX157" s="18"/>
      <c r="HY157" s="18"/>
      <c r="HZ157" s="18"/>
      <c r="IA157" s="18"/>
      <c r="IB157" s="18"/>
      <c r="IC157" s="18"/>
      <c r="ID157" s="18"/>
      <c r="IE157" s="18"/>
      <c r="IF157" s="18"/>
      <c r="IG157" s="18"/>
      <c r="IH157" s="18"/>
      <c r="II157" s="18"/>
      <c r="IJ157" s="18"/>
      <c r="IK157" s="18"/>
      <c r="IL157" s="18"/>
      <c r="IM157" s="18"/>
      <c r="IN157" s="18"/>
      <c r="IO157" s="18"/>
      <c r="IP157" s="18"/>
      <c r="IQ157" s="18"/>
      <c r="IR157" s="18"/>
      <c r="IS157" s="18"/>
      <c r="IT157" s="18"/>
      <c r="IU157" s="18"/>
      <c r="IV157" s="18"/>
      <c r="IW157" s="18"/>
      <c r="IX157" s="18"/>
      <c r="IY157" s="18"/>
      <c r="IZ157" s="18"/>
      <c r="JA157" s="18"/>
      <c r="JB157" s="18"/>
      <c r="JC157" s="18"/>
      <c r="JD157" s="18"/>
      <c r="JE157" s="18"/>
      <c r="JF157" s="18"/>
      <c r="JG157" s="18"/>
      <c r="JH157" s="18"/>
      <c r="JI157" s="18"/>
      <c r="JJ157" s="18"/>
      <c r="JK157" s="18"/>
      <c r="JL157" s="18"/>
      <c r="JM157" s="18"/>
      <c r="JN157" s="18"/>
      <c r="JO157" s="18"/>
      <c r="JP157" s="18"/>
      <c r="JQ157" s="18"/>
      <c r="JR157" s="18"/>
      <c r="JS157" s="18"/>
      <c r="JT157" s="18"/>
      <c r="JU157" s="18"/>
      <c r="JV157" s="18"/>
      <c r="JW157" s="18"/>
      <c r="JX157" s="18"/>
      <c r="JY157" s="18"/>
      <c r="JZ157" s="18"/>
      <c r="KA157" s="18"/>
      <c r="KB157" s="18"/>
      <c r="KC157" s="18"/>
      <c r="KD157" s="18"/>
      <c r="KE157" s="18"/>
      <c r="KF157" s="18"/>
      <c r="KG157" s="18"/>
      <c r="KH157" s="18"/>
      <c r="KI157" s="18"/>
      <c r="KJ157" s="18"/>
      <c r="KK157" s="18"/>
      <c r="KL157" s="18"/>
      <c r="KM157" s="18"/>
      <c r="KN157" s="18"/>
      <c r="KO157" s="18"/>
      <c r="KP157" s="18"/>
      <c r="KQ157" s="18"/>
      <c r="KR157" s="18"/>
      <c r="KS157" s="18"/>
      <c r="KT157" s="18"/>
      <c r="KU157" s="18"/>
      <c r="KV157" s="18"/>
      <c r="KW157" s="18"/>
      <c r="KX157" s="18"/>
      <c r="KY157" s="18"/>
      <c r="KZ157" s="18"/>
      <c r="LA157" s="18"/>
      <c r="LB157" s="18"/>
      <c r="LC157" s="18"/>
      <c r="LD157" s="18"/>
      <c r="LE157" s="18"/>
      <c r="LF157" s="18"/>
      <c r="LG157" s="18"/>
      <c r="LH157" s="18"/>
      <c r="LI157" s="18"/>
      <c r="LJ157" s="18"/>
      <c r="LK157" s="18"/>
      <c r="LL157" s="18"/>
      <c r="LM157" s="18"/>
      <c r="LN157" s="18"/>
      <c r="LO157" s="18"/>
      <c r="LP157" s="18"/>
      <c r="LQ157" s="18"/>
      <c r="LR157" s="18"/>
      <c r="LS157" s="18"/>
      <c r="LT157" s="18"/>
      <c r="LU157" s="18"/>
      <c r="LV157" s="18"/>
      <c r="LW157" s="18"/>
      <c r="LX157" s="18"/>
      <c r="LY157" s="18"/>
      <c r="LZ157" s="18"/>
      <c r="MA157" s="18"/>
      <c r="MB157" s="18"/>
      <c r="MC157" s="18"/>
      <c r="MD157" s="18"/>
      <c r="ME157" s="18"/>
      <c r="MF157" s="18"/>
      <c r="MG157" s="18"/>
      <c r="MH157" s="18"/>
      <c r="MI157" s="18"/>
      <c r="MJ157" s="18"/>
      <c r="MK157" s="18"/>
      <c r="ML157" s="18"/>
      <c r="MM157" s="18"/>
      <c r="MN157" s="18"/>
      <c r="MO157" s="18"/>
      <c r="MP157" s="18"/>
      <c r="MQ157" s="18"/>
      <c r="MR157" s="18"/>
      <c r="MS157" s="18"/>
      <c r="MT157" s="18"/>
      <c r="MU157" s="18"/>
      <c r="MV157" s="18"/>
      <c r="MW157" s="18"/>
      <c r="MX157" s="18"/>
      <c r="MY157" s="18"/>
      <c r="MZ157" s="18"/>
      <c r="NA157" s="18"/>
      <c r="NB157" s="18"/>
      <c r="NC157" s="18"/>
      <c r="ND157" s="18"/>
      <c r="NE157" s="18"/>
      <c r="NF157" s="18"/>
      <c r="NG157" s="18"/>
      <c r="NH157" s="18"/>
      <c r="NI157" s="18"/>
      <c r="NJ157" s="18"/>
      <c r="NK157" s="18"/>
      <c r="NL157" s="18"/>
      <c r="NM157" s="18"/>
      <c r="NN157" s="18"/>
      <c r="NO157" s="18"/>
      <c r="NP157" s="18"/>
      <c r="NQ157" s="18"/>
      <c r="NR157" s="18"/>
      <c r="NS157" s="18"/>
      <c r="NT157" s="18"/>
      <c r="NU157" s="18"/>
      <c r="NV157" s="18"/>
      <c r="NW157" s="18"/>
      <c r="NX157" s="18"/>
      <c r="NY157" s="18"/>
      <c r="NZ157" s="18"/>
      <c r="OA157" s="18"/>
      <c r="OB157" s="18"/>
      <c r="OC157" s="18"/>
      <c r="OD157" s="18"/>
      <c r="OE157" s="18"/>
      <c r="OF157" s="18"/>
      <c r="OG157" s="18"/>
      <c r="OH157" s="18"/>
      <c r="OI157" s="18"/>
      <c r="OJ157" s="18"/>
      <c r="OK157" s="18"/>
      <c r="OL157" s="18"/>
      <c r="OM157" s="18"/>
      <c r="ON157" s="18"/>
      <c r="OO157" s="18"/>
      <c r="OP157" s="18"/>
      <c r="OQ157" s="18"/>
      <c r="OR157" s="18"/>
      <c r="OS157" s="18"/>
      <c r="OT157" s="18"/>
      <c r="OU157" s="18"/>
      <c r="OV157" s="18"/>
      <c r="OW157" s="18"/>
      <c r="OX157" s="18"/>
      <c r="OY157" s="18"/>
      <c r="OZ157" s="18"/>
      <c r="PA157" s="18"/>
      <c r="PB157" s="18"/>
      <c r="PC157" s="18"/>
      <c r="PD157" s="18"/>
      <c r="PE157" s="18"/>
      <c r="PF157" s="18"/>
      <c r="PG157" s="18"/>
      <c r="PH157" s="18"/>
      <c r="PI157" s="18"/>
      <c r="PJ157" s="18"/>
      <c r="PK157" s="18"/>
      <c r="PL157" s="18"/>
      <c r="PM157" s="18"/>
      <c r="PN157" s="18"/>
      <c r="PO157" s="18"/>
      <c r="PP157" s="18"/>
      <c r="PQ157" s="18"/>
      <c r="PR157" s="18"/>
      <c r="PS157" s="18"/>
      <c r="PT157" s="18"/>
      <c r="PU157" s="18"/>
      <c r="PV157" s="18"/>
      <c r="PW157" s="18"/>
      <c r="PX157" s="18"/>
      <c r="PY157" s="18"/>
      <c r="PZ157" s="18"/>
      <c r="QA157" s="18"/>
      <c r="QB157" s="18"/>
      <c r="QC157" s="18"/>
      <c r="QD157" s="18"/>
      <c r="QE157" s="18"/>
      <c r="QF157" s="18"/>
      <c r="QG157" s="18"/>
      <c r="QH157" s="18"/>
      <c r="QI157" s="18"/>
      <c r="QJ157" s="18"/>
      <c r="QK157" s="18"/>
      <c r="QL157" s="18"/>
      <c r="QM157" s="18"/>
      <c r="QN157" s="18"/>
      <c r="QO157" s="18"/>
      <c r="QP157" s="18"/>
      <c r="QQ157" s="18"/>
      <c r="QR157" s="18"/>
      <c r="QS157" s="18"/>
      <c r="QT157" s="18"/>
      <c r="QU157" s="18"/>
      <c r="QV157" s="18"/>
      <c r="QW157" s="18"/>
      <c r="QX157" s="18"/>
      <c r="QY157" s="18"/>
      <c r="QZ157" s="18"/>
      <c r="RA157" s="18"/>
      <c r="RB157" s="18"/>
      <c r="RC157" s="18"/>
      <c r="RD157" s="18"/>
      <c r="RE157" s="18"/>
      <c r="RF157" s="18"/>
      <c r="RG157" s="18"/>
      <c r="RH157" s="18"/>
      <c r="RI157" s="18"/>
      <c r="RJ157" s="18"/>
      <c r="RK157" s="18"/>
      <c r="RL157" s="18"/>
      <c r="RM157" s="18"/>
      <c r="RN157" s="18"/>
      <c r="RO157" s="18"/>
      <c r="RP157" s="18"/>
      <c r="RQ157" s="18"/>
      <c r="RR157" s="18"/>
      <c r="RS157" s="18"/>
      <c r="RT157" s="18"/>
      <c r="RU157" s="18"/>
      <c r="RV157" s="18"/>
      <c r="RW157" s="18"/>
      <c r="RX157" s="18"/>
      <c r="RY157" s="18"/>
      <c r="RZ157" s="18"/>
      <c r="SA157" s="18"/>
      <c r="SB157" s="18"/>
      <c r="SS157" s="134">
        <f t="shared" ref="SS157:SS169" si="1618">C27</f>
        <v>250</v>
      </c>
      <c r="ST157" s="142">
        <f t="shared" ref="ST157:ST169" si="1619">D27</f>
        <v>249.5</v>
      </c>
      <c r="SU157" s="109">
        <f t="shared" ref="SU157:SU169" si="1620">E27</f>
        <v>249.001</v>
      </c>
      <c r="SV157" s="109">
        <f t="shared" ref="SV157:SV169" si="1621">F27</f>
        <v>248.50299799999999</v>
      </c>
      <c r="SW157" s="109">
        <f t="shared" ref="SW157:VE160" si="1622">G27</f>
        <v>248.00599200399998</v>
      </c>
      <c r="SX157" s="109">
        <f t="shared" si="1622"/>
        <v>247.50998001999199</v>
      </c>
      <c r="SY157" s="109">
        <f t="shared" si="1622"/>
        <v>247.01496005995199</v>
      </c>
      <c r="SZ157" s="109">
        <f t="shared" si="1622"/>
        <v>246.52093013983207</v>
      </c>
      <c r="TA157" s="109">
        <f t="shared" si="1622"/>
        <v>246.0278882795524</v>
      </c>
      <c r="TB157" s="109">
        <f t="shared" si="1622"/>
        <v>245.53583250299329</v>
      </c>
      <c r="TC157" s="109">
        <f t="shared" si="1622"/>
        <v>245.0447608379873</v>
      </c>
      <c r="TD157" s="109">
        <f t="shared" si="1622"/>
        <v>244.55467131631133</v>
      </c>
      <c r="TE157" s="109">
        <f t="shared" si="1622"/>
        <v>244.06556197367871</v>
      </c>
      <c r="TF157" s="109">
        <f t="shared" si="1622"/>
        <v>243.57743084973134</v>
      </c>
      <c r="TG157" s="109">
        <f t="shared" si="1622"/>
        <v>243.09027598803189</v>
      </c>
      <c r="TH157" s="109">
        <f t="shared" si="1622"/>
        <v>242.60409543605581</v>
      </c>
      <c r="TI157" s="109">
        <f t="shared" si="1622"/>
        <v>242.11888724518371</v>
      </c>
      <c r="TJ157" s="109">
        <f t="shared" si="1622"/>
        <v>241.63464947069335</v>
      </c>
      <c r="TK157" s="109">
        <f t="shared" si="1622"/>
        <v>241.15138017175195</v>
      </c>
      <c r="TL157" s="109">
        <f t="shared" si="1622"/>
        <v>240.66907741140844</v>
      </c>
      <c r="TM157" s="109">
        <f t="shared" si="1622"/>
        <v>240.18773925658562</v>
      </c>
      <c r="TN157" s="109">
        <f t="shared" si="1622"/>
        <v>239.70736377807245</v>
      </c>
      <c r="TO157" s="109">
        <f t="shared" si="1622"/>
        <v>239.22794905051632</v>
      </c>
      <c r="TP157" s="109">
        <f t="shared" si="1622"/>
        <v>238.74949315241528</v>
      </c>
      <c r="TQ157" s="109">
        <f t="shared" si="1622"/>
        <v>238.27199416611046</v>
      </c>
      <c r="TR157" s="109">
        <f t="shared" si="1622"/>
        <v>237.79545017777824</v>
      </c>
      <c r="TS157" s="109">
        <f t="shared" si="1622"/>
        <v>237.31985927742267</v>
      </c>
      <c r="TT157" s="109">
        <f t="shared" si="1622"/>
        <v>236.84521955886783</v>
      </c>
      <c r="TU157" s="109">
        <f t="shared" si="1622"/>
        <v>236.37152911975008</v>
      </c>
      <c r="TV157" s="109">
        <f t="shared" si="1622"/>
        <v>235.89878606151058</v>
      </c>
      <c r="TW157" s="109">
        <f t="shared" si="1622"/>
        <v>235.42698848938755</v>
      </c>
      <c r="TX157" s="109">
        <f t="shared" si="1622"/>
        <v>234.95613451240877</v>
      </c>
      <c r="TY157" s="109">
        <f t="shared" si="1622"/>
        <v>234.48622224338393</v>
      </c>
      <c r="TZ157" s="109">
        <f t="shared" si="1622"/>
        <v>234.01724979889715</v>
      </c>
      <c r="UA157" s="109">
        <f t="shared" si="1622"/>
        <v>233.54921529929936</v>
      </c>
      <c r="UB157" s="109">
        <f t="shared" si="1622"/>
        <v>233.08211686870075</v>
      </c>
      <c r="UC157" s="109">
        <f t="shared" si="1622"/>
        <v>232.61595263496335</v>
      </c>
      <c r="UD157" s="109">
        <f t="shared" si="1622"/>
        <v>232.15072072969343</v>
      </c>
      <c r="UE157" s="109">
        <f t="shared" si="1622"/>
        <v>231.68641928823405</v>
      </c>
      <c r="UF157" s="109">
        <f t="shared" si="1622"/>
        <v>231.22304644965757</v>
      </c>
      <c r="UG157" s="109">
        <f t="shared" si="1622"/>
        <v>230.76060035675826</v>
      </c>
      <c r="UH157" s="109">
        <f t="shared" si="1622"/>
        <v>230.29907915604474</v>
      </c>
      <c r="UI157" s="109">
        <f t="shared" si="1622"/>
        <v>229.83848099773266</v>
      </c>
      <c r="UJ157" s="109">
        <f t="shared" si="1622"/>
        <v>229.3788040357372</v>
      </c>
      <c r="UK157" s="109">
        <f t="shared" si="1622"/>
        <v>228.92004642766574</v>
      </c>
      <c r="UL157" s="109">
        <f t="shared" si="1622"/>
        <v>228.46220633481042</v>
      </c>
      <c r="UM157" s="109">
        <f t="shared" si="1622"/>
        <v>228.0052819221408</v>
      </c>
      <c r="UN157" s="109">
        <f t="shared" si="1622"/>
        <v>227.54927135829652</v>
      </c>
      <c r="UO157" s="109">
        <f t="shared" si="1622"/>
        <v>227.09417281557992</v>
      </c>
      <c r="UP157" s="109">
        <f t="shared" si="1622"/>
        <v>226.63998446994876</v>
      </c>
      <c r="UQ157" s="109">
        <f t="shared" si="1622"/>
        <v>226.18670450100885</v>
      </c>
      <c r="UR157" s="144">
        <f t="shared" si="1622"/>
        <v>225.73433109200684</v>
      </c>
      <c r="US157" s="144">
        <f t="shared" si="1622"/>
        <v>225.28286242982281</v>
      </c>
      <c r="UT157" s="144">
        <f t="shared" si="1622"/>
        <v>224.83229670496317</v>
      </c>
      <c r="UU157" s="144">
        <f t="shared" si="1622"/>
        <v>224.38263211155325</v>
      </c>
      <c r="UV157" s="144">
        <f t="shared" si="1622"/>
        <v>223.93386684733014</v>
      </c>
      <c r="UW157" s="144">
        <f t="shared" si="1622"/>
        <v>223.48599911363547</v>
      </c>
      <c r="UX157" s="144">
        <f t="shared" si="1622"/>
        <v>223.0390271154082</v>
      </c>
      <c r="UY157" s="144">
        <f t="shared" si="1622"/>
        <v>222.59294906117739</v>
      </c>
      <c r="UZ157" s="144">
        <f t="shared" si="1622"/>
        <v>222.14776316305503</v>
      </c>
      <c r="VA157" s="144">
        <f t="shared" si="1622"/>
        <v>221.70346763672893</v>
      </c>
      <c r="VB157" s="144">
        <f t="shared" si="1622"/>
        <v>221.26006070145547</v>
      </c>
      <c r="VC157" s="144">
        <f t="shared" si="1622"/>
        <v>220.81754058005257</v>
      </c>
      <c r="VD157" s="144">
        <f t="shared" si="1622"/>
        <v>220.37590549889245</v>
      </c>
      <c r="VE157" s="144">
        <f t="shared" si="1622"/>
        <v>219.93515368789465</v>
      </c>
      <c r="VF157" s="144">
        <f t="shared" ref="VF157:XQ160" si="1623">BP27</f>
        <v>219.49528338051886</v>
      </c>
      <c r="VG157" s="144">
        <f t="shared" si="1623"/>
        <v>219.05629281375781</v>
      </c>
      <c r="VH157" s="144">
        <f t="shared" si="1623"/>
        <v>218.61818022813029</v>
      </c>
      <c r="VI157" s="144">
        <f t="shared" si="1623"/>
        <v>218.18094386767402</v>
      </c>
      <c r="VJ157" s="144">
        <f t="shared" si="1623"/>
        <v>217.74458197993866</v>
      </c>
      <c r="VK157" s="144">
        <f t="shared" si="1623"/>
        <v>217.30909281597877</v>
      </c>
      <c r="VL157" s="144">
        <f t="shared" si="1623"/>
        <v>216.87447463034681</v>
      </c>
      <c r="VM157" s="144">
        <f t="shared" si="1623"/>
        <v>216.44072568108612</v>
      </c>
      <c r="VN157" s="144">
        <f t="shared" si="1623"/>
        <v>216.00784422972396</v>
      </c>
      <c r="VO157" s="144">
        <f t="shared" si="1623"/>
        <v>215.57582854126451</v>
      </c>
      <c r="VP157" s="144">
        <f t="shared" si="1623"/>
        <v>215.14467688418199</v>
      </c>
      <c r="VQ157" s="144">
        <f t="shared" si="1623"/>
        <v>214.71438753041363</v>
      </c>
      <c r="VR157" s="144">
        <f t="shared" si="1623"/>
        <v>214.28495875535282</v>
      </c>
      <c r="VS157" s="144">
        <f t="shared" si="1623"/>
        <v>213.8563888378421</v>
      </c>
      <c r="VT157" s="144">
        <f t="shared" si="1623"/>
        <v>213.42867606016642</v>
      </c>
      <c r="VU157" s="144">
        <f t="shared" si="1623"/>
        <v>213.0018187080461</v>
      </c>
      <c r="VV157" s="144">
        <f t="shared" si="1623"/>
        <v>212.57581507063</v>
      </c>
      <c r="VW157" s="144">
        <f t="shared" si="1623"/>
        <v>212.15066344048873</v>
      </c>
      <c r="VX157" s="144">
        <f t="shared" si="1623"/>
        <v>211.72636211360776</v>
      </c>
      <c r="VY157" s="144">
        <f t="shared" si="1623"/>
        <v>211.30290938938055</v>
      </c>
      <c r="VZ157" s="144">
        <f t="shared" si="1623"/>
        <v>210.8803035706018</v>
      </c>
      <c r="WA157" s="144">
        <f t="shared" si="1623"/>
        <v>210.45854296346059</v>
      </c>
      <c r="WB157" s="144">
        <f t="shared" si="1623"/>
        <v>210.03762587753366</v>
      </c>
      <c r="WC157" s="144">
        <f t="shared" si="1623"/>
        <v>209.61755062577859</v>
      </c>
      <c r="WD157" s="144">
        <f t="shared" si="1623"/>
        <v>209.19831552452703</v>
      </c>
      <c r="WE157" s="144">
        <f t="shared" si="1623"/>
        <v>208.77991889347797</v>
      </c>
      <c r="WF157" s="144">
        <f t="shared" si="1623"/>
        <v>208.362359055691</v>
      </c>
      <c r="WG157" s="144">
        <f t="shared" si="1623"/>
        <v>207.94563433757963</v>
      </c>
      <c r="WH157" s="144">
        <f t="shared" si="1623"/>
        <v>207.52974306890448</v>
      </c>
      <c r="WI157" s="144">
        <f t="shared" si="1623"/>
        <v>207.11468358276667</v>
      </c>
      <c r="WJ157" s="144">
        <f t="shared" si="1623"/>
        <v>206.70045421560113</v>
      </c>
      <c r="WK157" s="144">
        <f t="shared" si="1623"/>
        <v>206.28705330716991</v>
      </c>
      <c r="WL157" s="144">
        <f t="shared" si="1623"/>
        <v>205.87447920055558</v>
      </c>
      <c r="WM157" s="144">
        <f t="shared" si="1623"/>
        <v>205.46273024215446</v>
      </c>
      <c r="WN157" s="144">
        <f t="shared" si="1623"/>
        <v>205.05180478167014</v>
      </c>
      <c r="WO157" s="144">
        <f t="shared" si="1623"/>
        <v>204.64170117210679</v>
      </c>
      <c r="WP157" s="144">
        <f t="shared" si="1623"/>
        <v>204.23241776976258</v>
      </c>
      <c r="WQ157" s="154">
        <f t="shared" si="1623"/>
        <v>203.82395293422306</v>
      </c>
      <c r="WR157" s="154">
        <f t="shared" si="1623"/>
        <v>203.4163050283546</v>
      </c>
      <c r="WS157" s="154">
        <f t="shared" si="1623"/>
        <v>203.00947241829789</v>
      </c>
      <c r="WT157" s="154">
        <f t="shared" si="1623"/>
        <v>202.60345347346129</v>
      </c>
      <c r="WU157" s="154">
        <f t="shared" si="1623"/>
        <v>202.19824656651437</v>
      </c>
      <c r="WV157" s="154">
        <f t="shared" si="1623"/>
        <v>201.79385007338135</v>
      </c>
      <c r="WW157" s="154">
        <f t="shared" si="1623"/>
        <v>201.39026237323458</v>
      </c>
      <c r="WX157" s="154">
        <f t="shared" si="1623"/>
        <v>200.9874818484881</v>
      </c>
      <c r="WY157" s="154">
        <f t="shared" si="1623"/>
        <v>200.58550688479113</v>
      </c>
      <c r="WZ157" s="154">
        <f t="shared" si="1623"/>
        <v>200.18433587102155</v>
      </c>
      <c r="XA157" s="154">
        <f t="shared" si="1623"/>
        <v>199.78396719927952</v>
      </c>
      <c r="XB157" s="154">
        <f t="shared" si="1623"/>
        <v>199.38439926488095</v>
      </c>
      <c r="XC157" s="154">
        <f t="shared" si="1623"/>
        <v>198.98563046635118</v>
      </c>
      <c r="XD157" s="154">
        <f t="shared" si="1623"/>
        <v>198.58765920541848</v>
      </c>
      <c r="XE157" s="154">
        <f t="shared" si="1623"/>
        <v>198.19048388700764</v>
      </c>
      <c r="XF157" s="154">
        <f t="shared" si="1623"/>
        <v>197.79410291923364</v>
      </c>
      <c r="XG157" s="154">
        <f t="shared" si="1623"/>
        <v>197.39851471339517</v>
      </c>
      <c r="XH157" s="154">
        <f t="shared" si="1623"/>
        <v>197.00371768396838</v>
      </c>
      <c r="XI157" s="154">
        <f t="shared" si="1623"/>
        <v>196.60971024860044</v>
      </c>
      <c r="XJ157" s="154">
        <f t="shared" si="1623"/>
        <v>196.21649082810325</v>
      </c>
      <c r="XK157" s="154">
        <f t="shared" si="1623"/>
        <v>195.82405784644703</v>
      </c>
      <c r="XL157" s="154">
        <f t="shared" si="1623"/>
        <v>195.43240973075413</v>
      </c>
      <c r="XM157" s="154">
        <f t="shared" si="1623"/>
        <v>195.04154491129262</v>
      </c>
      <c r="XN157" s="154">
        <f t="shared" si="1623"/>
        <v>194.65146182147004</v>
      </c>
      <c r="XO157" s="154">
        <f t="shared" si="1623"/>
        <v>194.26215889782711</v>
      </c>
      <c r="XP157" s="154">
        <f t="shared" si="1623"/>
        <v>193.87363458003145</v>
      </c>
      <c r="XQ157" s="154">
        <f t="shared" si="1623"/>
        <v>193.48588731087139</v>
      </c>
      <c r="XR157" s="179">
        <f t="shared" ref="XR157:XY169" si="1624">EB27</f>
        <v>168.91317962239071</v>
      </c>
      <c r="XS157" s="154">
        <f t="shared" si="1624"/>
        <v>168.57535326314593</v>
      </c>
      <c r="XT157" s="179">
        <f t="shared" si="1624"/>
        <v>144.15600923331306</v>
      </c>
      <c r="XU157" s="154">
        <f t="shared" si="1624"/>
        <v>143.86769721484643</v>
      </c>
      <c r="XV157" s="154">
        <f t="shared" si="1624"/>
        <v>143.57996182041674</v>
      </c>
      <c r="XW157" s="154">
        <f t="shared" si="1624"/>
        <v>143.2928018967759</v>
      </c>
      <c r="XX157" s="154">
        <f t="shared" si="1624"/>
        <v>143.00621629298234</v>
      </c>
      <c r="XY157" s="179">
        <f t="shared" si="1624"/>
        <v>118.88583447823264</v>
      </c>
      <c r="XZ157" s="154">
        <f>EJ27</f>
        <v>118.64806280927617</v>
      </c>
      <c r="YA157" s="179">
        <f t="shared" ref="YA157:YL169" si="1625">EK27</f>
        <v>94.681154121802379</v>
      </c>
      <c r="YB157" s="154">
        <f t="shared" si="1625"/>
        <v>94.491791813558777</v>
      </c>
      <c r="YC157" s="154">
        <f t="shared" si="1625"/>
        <v>94.302808229931657</v>
      </c>
      <c r="YD157" s="154">
        <f t="shared" si="1625"/>
        <v>94.11420261347179</v>
      </c>
      <c r="YE157" s="154">
        <f t="shared" si="1625"/>
        <v>93.925974208244853</v>
      </c>
      <c r="YF157" s="179">
        <f t="shared" si="1625"/>
        <v>70.256628707767149</v>
      </c>
      <c r="YG157" s="154">
        <f t="shared" si="1625"/>
        <v>70.116115450351614</v>
      </c>
      <c r="YH157" s="179">
        <f t="shared" si="1625"/>
        <v>46.603844736000369</v>
      </c>
      <c r="YI157" s="154">
        <f t="shared" si="1625"/>
        <v>46.510637046528366</v>
      </c>
      <c r="YJ157" s="154">
        <f t="shared" si="1625"/>
        <v>46.417615772435312</v>
      </c>
      <c r="YK157" s="154">
        <f t="shared" si="1625"/>
        <v>46.324780540890444</v>
      </c>
      <c r="YL157" s="154">
        <f t="shared" si="1625"/>
        <v>46.232130979808666</v>
      </c>
      <c r="YM157" s="179">
        <f>EW27</f>
        <v>23.023601227944713</v>
      </c>
      <c r="YN157" s="154">
        <f t="shared" ref="YN157:YO164" si="1626">EX27</f>
        <v>22.977554025488825</v>
      </c>
      <c r="YO157" s="179">
        <f t="shared" si="1626"/>
        <v>-4.5955108050979021E-2</v>
      </c>
      <c r="YP157" s="119"/>
      <c r="YQ157" s="119"/>
      <c r="YR157" s="119"/>
      <c r="YS157" s="119"/>
      <c r="YT157" s="119"/>
      <c r="YU157" s="119"/>
      <c r="YV157" s="119"/>
      <c r="YW157" s="119"/>
      <c r="YX157" s="119"/>
      <c r="YY157" s="119"/>
      <c r="YZ157" s="119"/>
      <c r="ZA157" s="119"/>
      <c r="ZB157" s="119"/>
      <c r="ZC157" s="119"/>
      <c r="ZD157" s="119"/>
      <c r="ZE157" s="119"/>
      <c r="ZF157" s="119"/>
      <c r="ZG157" s="119"/>
      <c r="ZH157" s="119"/>
      <c r="ZI157" s="119"/>
      <c r="ZJ157" s="119"/>
      <c r="ZK157" s="119"/>
      <c r="ZL157" s="119"/>
      <c r="ZM157" s="119"/>
      <c r="ZN157" s="119"/>
      <c r="ZO157" s="119"/>
      <c r="ZP157" s="119"/>
      <c r="ZQ157" s="119"/>
      <c r="ZR157" s="119"/>
      <c r="ZS157" s="119"/>
      <c r="ZT157" s="119"/>
    </row>
    <row r="158" spans="1:696" ht="19.5" thickBot="1" x14ac:dyDescent="0.3">
      <c r="A158" s="298"/>
      <c r="B158" s="25" t="s">
        <v>1</v>
      </c>
      <c r="BY158" s="18"/>
      <c r="BZ158" s="18"/>
      <c r="CA158" s="18"/>
      <c r="CB158" s="18"/>
      <c r="CC158" s="18"/>
      <c r="CD158" s="18"/>
      <c r="CE158" s="18"/>
      <c r="CF158" s="18"/>
      <c r="CG158" s="18"/>
      <c r="CH158" s="18"/>
      <c r="CI158" s="18"/>
      <c r="CJ158" s="18"/>
      <c r="CK158" s="18"/>
      <c r="CL158" s="18"/>
      <c r="CM158" s="18"/>
      <c r="CN158" s="18"/>
      <c r="CO158" s="18"/>
      <c r="CP158" s="18"/>
      <c r="CQ158" s="18"/>
      <c r="CR158" s="18"/>
      <c r="CS158" s="18"/>
      <c r="CT158" s="18"/>
      <c r="CU158" s="18"/>
      <c r="CV158" s="18"/>
      <c r="CW158" s="18"/>
      <c r="CX158" s="18"/>
      <c r="CY158" s="18"/>
      <c r="CZ158" s="18"/>
      <c r="DA158" s="18"/>
      <c r="DB158" s="18"/>
      <c r="DC158" s="18"/>
      <c r="DD158" s="18"/>
      <c r="DE158" s="18"/>
      <c r="DF158" s="18"/>
      <c r="DG158" s="18"/>
      <c r="DH158" s="18"/>
      <c r="DI158" s="18"/>
      <c r="DJ158" s="18"/>
      <c r="DK158" s="18"/>
      <c r="DL158" s="18"/>
      <c r="DM158" s="18"/>
      <c r="DN158" s="18"/>
      <c r="DO158" s="18"/>
      <c r="DP158" s="18"/>
      <c r="DQ158" s="18"/>
      <c r="DR158" s="18"/>
      <c r="DS158" s="18"/>
      <c r="DT158" s="18"/>
      <c r="DU158" s="18"/>
      <c r="DV158" s="18"/>
      <c r="DW158" s="18"/>
      <c r="DX158" s="18"/>
      <c r="DY158" s="18"/>
      <c r="DZ158" s="18"/>
      <c r="EA158" s="18"/>
      <c r="EB158" s="18"/>
      <c r="EC158" s="18"/>
      <c r="ED158" s="18"/>
      <c r="EE158" s="18"/>
      <c r="EF158" s="18"/>
      <c r="EG158" s="18"/>
      <c r="EH158" s="18"/>
      <c r="EI158" s="18"/>
      <c r="EJ158" s="18"/>
      <c r="EK158" s="18"/>
      <c r="EL158" s="18"/>
      <c r="EM158" s="18"/>
      <c r="EN158" s="18"/>
      <c r="EO158" s="18"/>
      <c r="EP158" s="18"/>
      <c r="EQ158" s="18"/>
      <c r="ER158" s="18"/>
      <c r="ES158" s="18"/>
      <c r="ET158" s="18"/>
      <c r="EU158" s="18"/>
      <c r="EV158" s="18"/>
      <c r="EW158" s="18"/>
      <c r="EX158" s="18"/>
      <c r="EY158" s="18"/>
      <c r="EZ158" s="18"/>
      <c r="FA158" s="18"/>
      <c r="FB158" s="18"/>
      <c r="FC158" s="18"/>
      <c r="FD158" s="18"/>
      <c r="FE158" s="18"/>
      <c r="FF158" s="18"/>
      <c r="FG158" s="18"/>
      <c r="FH158" s="18"/>
      <c r="FI158" s="18"/>
      <c r="FJ158" s="18"/>
      <c r="FK158" s="18"/>
      <c r="FL158" s="18"/>
      <c r="FM158" s="18"/>
      <c r="FN158" s="18"/>
      <c r="FO158" s="18"/>
      <c r="FP158" s="18"/>
      <c r="FQ158" s="18"/>
      <c r="FR158" s="18"/>
      <c r="FS158" s="18"/>
      <c r="FT158" s="18"/>
      <c r="FU158" s="18"/>
      <c r="FV158" s="18"/>
      <c r="FW158" s="18"/>
      <c r="FX158" s="18"/>
      <c r="FY158" s="18"/>
      <c r="FZ158" s="18"/>
      <c r="GA158" s="18"/>
      <c r="GB158" s="18"/>
      <c r="GC158" s="18"/>
      <c r="GD158" s="18"/>
      <c r="GE158" s="18"/>
      <c r="GF158" s="18"/>
      <c r="GG158" s="18"/>
      <c r="GH158" s="18"/>
      <c r="GI158" s="18"/>
      <c r="GJ158" s="18"/>
      <c r="GK158" s="18"/>
      <c r="GL158" s="18"/>
      <c r="GM158" s="18"/>
      <c r="GN158" s="18"/>
      <c r="GO158" s="18"/>
      <c r="GP158" s="18"/>
      <c r="GQ158" s="18"/>
      <c r="GR158" s="18"/>
      <c r="GS158" s="18"/>
      <c r="GT158" s="18"/>
      <c r="GU158" s="18"/>
      <c r="GV158" s="18"/>
      <c r="GW158" s="18"/>
      <c r="GX158" s="18"/>
      <c r="GY158" s="18"/>
      <c r="GZ158" s="18"/>
      <c r="HA158" s="18"/>
      <c r="HB158" s="18"/>
      <c r="HC158" s="18"/>
      <c r="HD158" s="18"/>
      <c r="HE158" s="18"/>
      <c r="HF158" s="18"/>
      <c r="HG158" s="18"/>
      <c r="HH158" s="18"/>
      <c r="HI158" s="18"/>
      <c r="HJ158" s="18"/>
      <c r="HK158" s="18"/>
      <c r="HL158" s="18"/>
      <c r="HM158" s="18"/>
      <c r="HN158" s="18"/>
      <c r="HO158" s="18"/>
      <c r="HP158" s="18"/>
      <c r="HQ158" s="18"/>
      <c r="HR158" s="18"/>
      <c r="HS158" s="18"/>
      <c r="HT158" s="18"/>
      <c r="HU158" s="18"/>
      <c r="HV158" s="18"/>
      <c r="HW158" s="18"/>
      <c r="HX158" s="18"/>
      <c r="HY158" s="18"/>
      <c r="HZ158" s="18"/>
      <c r="IA158" s="18"/>
      <c r="IB158" s="18"/>
      <c r="IC158" s="18"/>
      <c r="ID158" s="18"/>
      <c r="IE158" s="18"/>
      <c r="IF158" s="18"/>
      <c r="IG158" s="18"/>
      <c r="IH158" s="18"/>
      <c r="II158" s="18"/>
      <c r="IJ158" s="18"/>
      <c r="IK158" s="18"/>
      <c r="IL158" s="18"/>
      <c r="IM158" s="18"/>
      <c r="IN158" s="18"/>
      <c r="IO158" s="18"/>
      <c r="IP158" s="18"/>
      <c r="IQ158" s="18"/>
      <c r="IR158" s="18"/>
      <c r="IS158" s="18"/>
      <c r="IT158" s="18"/>
      <c r="IU158" s="18"/>
      <c r="IV158" s="18"/>
      <c r="IW158" s="18"/>
      <c r="IX158" s="18"/>
      <c r="IY158" s="18"/>
      <c r="IZ158" s="18"/>
      <c r="JA158" s="18"/>
      <c r="JB158" s="18"/>
      <c r="JC158" s="18"/>
      <c r="JD158" s="18"/>
      <c r="JE158" s="18"/>
      <c r="JF158" s="18"/>
      <c r="JG158" s="18"/>
      <c r="JH158" s="18"/>
      <c r="JI158" s="18"/>
      <c r="JJ158" s="18"/>
      <c r="JK158" s="18"/>
      <c r="JL158" s="18"/>
      <c r="JM158" s="18"/>
      <c r="JN158" s="18"/>
      <c r="JO158" s="18"/>
      <c r="JP158" s="18"/>
      <c r="JQ158" s="18"/>
      <c r="JR158" s="18"/>
      <c r="JS158" s="18"/>
      <c r="JT158" s="18"/>
      <c r="JU158" s="18"/>
      <c r="JV158" s="18"/>
      <c r="JW158" s="18"/>
      <c r="JX158" s="18"/>
      <c r="JY158" s="18"/>
      <c r="JZ158" s="18"/>
      <c r="KA158" s="18"/>
      <c r="KB158" s="18"/>
      <c r="KC158" s="18"/>
      <c r="KD158" s="18"/>
      <c r="KE158" s="18"/>
      <c r="KF158" s="18"/>
      <c r="KG158" s="18"/>
      <c r="KH158" s="18"/>
      <c r="KI158" s="18"/>
      <c r="KJ158" s="18"/>
      <c r="KK158" s="18"/>
      <c r="KL158" s="18"/>
      <c r="KM158" s="18"/>
      <c r="KN158" s="18"/>
      <c r="KO158" s="18"/>
      <c r="KP158" s="18"/>
      <c r="KQ158" s="18"/>
      <c r="KR158" s="18"/>
      <c r="KS158" s="18"/>
      <c r="KT158" s="18"/>
      <c r="KU158" s="18"/>
      <c r="KV158" s="18"/>
      <c r="KW158" s="18"/>
      <c r="KX158" s="18"/>
      <c r="KY158" s="18"/>
      <c r="KZ158" s="18"/>
      <c r="LA158" s="18"/>
      <c r="LB158" s="18"/>
      <c r="LC158" s="18"/>
      <c r="LD158" s="18"/>
      <c r="LE158" s="18"/>
      <c r="LF158" s="18"/>
      <c r="LG158" s="18"/>
      <c r="LH158" s="18"/>
      <c r="LI158" s="18"/>
      <c r="LJ158" s="18"/>
      <c r="LK158" s="18"/>
      <c r="LL158" s="18"/>
      <c r="LM158" s="18"/>
      <c r="LN158" s="18"/>
      <c r="LO158" s="18"/>
      <c r="LP158" s="18"/>
      <c r="LQ158" s="18"/>
      <c r="LR158" s="18"/>
      <c r="LS158" s="18"/>
      <c r="LT158" s="18"/>
      <c r="LU158" s="18"/>
      <c r="LV158" s="18"/>
      <c r="LW158" s="18"/>
      <c r="LX158" s="18"/>
      <c r="LY158" s="18"/>
      <c r="LZ158" s="18"/>
      <c r="MA158" s="18"/>
      <c r="MB158" s="18"/>
      <c r="MC158" s="18"/>
      <c r="MD158" s="18"/>
      <c r="ME158" s="18"/>
      <c r="MF158" s="18"/>
      <c r="MG158" s="18"/>
      <c r="MH158" s="18"/>
      <c r="MI158" s="18"/>
      <c r="MJ158" s="18"/>
      <c r="MK158" s="18"/>
      <c r="ML158" s="18"/>
      <c r="MM158" s="18"/>
      <c r="MN158" s="18"/>
      <c r="MO158" s="18"/>
      <c r="MP158" s="18"/>
      <c r="MQ158" s="18"/>
      <c r="MR158" s="18"/>
      <c r="MS158" s="18"/>
      <c r="MT158" s="18"/>
      <c r="MU158" s="18"/>
      <c r="MV158" s="18"/>
      <c r="MW158" s="18"/>
      <c r="MX158" s="18"/>
      <c r="MY158" s="18"/>
      <c r="MZ158" s="18"/>
      <c r="NA158" s="18"/>
      <c r="NB158" s="18"/>
      <c r="NC158" s="18"/>
      <c r="ND158" s="18"/>
      <c r="NE158" s="18"/>
      <c r="NF158" s="18"/>
      <c r="NG158" s="18"/>
      <c r="NH158" s="18"/>
      <c r="NI158" s="18"/>
      <c r="NJ158" s="18"/>
      <c r="NK158" s="18"/>
      <c r="NL158" s="18"/>
      <c r="NM158" s="18"/>
      <c r="NN158" s="18"/>
      <c r="NO158" s="18"/>
      <c r="NP158" s="18"/>
      <c r="NQ158" s="18"/>
      <c r="NR158" s="18"/>
      <c r="NS158" s="18"/>
      <c r="NT158" s="18"/>
      <c r="NU158" s="18"/>
      <c r="NV158" s="18"/>
      <c r="NW158" s="18"/>
      <c r="NX158" s="18"/>
      <c r="NY158" s="18"/>
      <c r="NZ158" s="18"/>
      <c r="OA158" s="18"/>
      <c r="OB158" s="18"/>
      <c r="OC158" s="18"/>
      <c r="OD158" s="18"/>
      <c r="OE158" s="18"/>
      <c r="OF158" s="18"/>
      <c r="OG158" s="18"/>
      <c r="OH158" s="18"/>
      <c r="OI158" s="18"/>
      <c r="OJ158" s="18"/>
      <c r="OK158" s="18"/>
      <c r="OL158" s="18"/>
      <c r="OM158" s="18"/>
      <c r="ON158" s="18"/>
      <c r="OO158" s="18"/>
      <c r="OP158" s="18"/>
      <c r="OQ158" s="18"/>
      <c r="OR158" s="18"/>
      <c r="OS158" s="18"/>
      <c r="OT158" s="18"/>
      <c r="OU158" s="18"/>
      <c r="OV158" s="18"/>
      <c r="OW158" s="18"/>
      <c r="OX158" s="18"/>
      <c r="OY158" s="18"/>
      <c r="OZ158" s="18"/>
      <c r="PA158" s="18"/>
      <c r="PB158" s="18"/>
      <c r="PC158" s="18"/>
      <c r="PD158" s="18"/>
      <c r="PE158" s="18"/>
      <c r="PF158" s="18"/>
      <c r="PG158" s="18"/>
      <c r="PH158" s="18"/>
      <c r="PI158" s="18"/>
      <c r="PJ158" s="18"/>
      <c r="PK158" s="18"/>
      <c r="PL158" s="18"/>
      <c r="PM158" s="18"/>
      <c r="PN158" s="18"/>
      <c r="PO158" s="18"/>
      <c r="PP158" s="18"/>
      <c r="PQ158" s="18"/>
      <c r="PR158" s="18"/>
      <c r="PS158" s="18"/>
      <c r="PT158" s="18"/>
      <c r="PU158" s="18"/>
      <c r="PV158" s="18"/>
      <c r="PW158" s="18"/>
      <c r="PX158" s="18"/>
      <c r="PY158" s="18"/>
      <c r="PZ158" s="18"/>
      <c r="QA158" s="18"/>
      <c r="QB158" s="18"/>
      <c r="QC158" s="18"/>
      <c r="QD158" s="18"/>
      <c r="QE158" s="18"/>
      <c r="QF158" s="18"/>
      <c r="QG158" s="18"/>
      <c r="QH158" s="18"/>
      <c r="QI158" s="18"/>
      <c r="QJ158" s="18"/>
      <c r="QK158" s="18"/>
      <c r="QL158" s="18"/>
      <c r="QM158" s="18"/>
      <c r="QN158" s="18"/>
      <c r="QO158" s="18"/>
      <c r="QP158" s="18"/>
      <c r="QQ158" s="18"/>
      <c r="QR158" s="18"/>
      <c r="QS158" s="18"/>
      <c r="QT158" s="18"/>
      <c r="QU158" s="18"/>
      <c r="QV158" s="18"/>
      <c r="QW158" s="18"/>
      <c r="QX158" s="18"/>
      <c r="QY158" s="18"/>
      <c r="QZ158" s="18"/>
      <c r="RA158" s="18"/>
      <c r="RB158" s="18"/>
      <c r="RC158" s="18"/>
      <c r="RD158" s="18"/>
      <c r="RE158" s="18"/>
      <c r="RF158" s="18"/>
      <c r="RG158" s="18"/>
      <c r="RH158" s="18"/>
      <c r="RI158" s="18"/>
      <c r="RJ158" s="18"/>
      <c r="RK158" s="18"/>
      <c r="RL158" s="18"/>
      <c r="RM158" s="18"/>
      <c r="RN158" s="18"/>
      <c r="RO158" s="18"/>
      <c r="RP158" s="18"/>
      <c r="RQ158" s="18"/>
      <c r="RR158" s="18"/>
      <c r="RS158" s="18"/>
      <c r="RT158" s="18"/>
      <c r="RU158" s="18"/>
      <c r="RV158" s="18"/>
      <c r="RW158" s="18"/>
      <c r="RX158" s="18"/>
      <c r="RY158" s="18"/>
      <c r="RZ158" s="18"/>
      <c r="SA158" s="18"/>
      <c r="SB158" s="18"/>
      <c r="SS158" s="128" t="str">
        <f t="shared" si="1618"/>
        <v>-</v>
      </c>
      <c r="ST158" s="108" t="str">
        <f t="shared" si="1619"/>
        <v>-</v>
      </c>
      <c r="SU158" s="108" t="str">
        <f t="shared" si="1620"/>
        <v>-</v>
      </c>
      <c r="SV158" s="108" t="str">
        <f t="shared" si="1621"/>
        <v>-</v>
      </c>
      <c r="SW158" s="108" t="str">
        <f t="shared" si="1622"/>
        <v>-</v>
      </c>
      <c r="SX158" s="108" t="str">
        <f t="shared" si="1622"/>
        <v>-</v>
      </c>
      <c r="SY158" s="108" t="str">
        <f t="shared" si="1622"/>
        <v>-</v>
      </c>
      <c r="SZ158" s="108" t="str">
        <f t="shared" si="1622"/>
        <v>-</v>
      </c>
      <c r="TA158" s="108" t="str">
        <f t="shared" si="1622"/>
        <v>-</v>
      </c>
      <c r="TB158" s="108" t="str">
        <f t="shared" si="1622"/>
        <v>-</v>
      </c>
      <c r="TC158" s="108" t="str">
        <f t="shared" si="1622"/>
        <v>-</v>
      </c>
      <c r="TD158" s="108" t="str">
        <f t="shared" si="1622"/>
        <v>-</v>
      </c>
      <c r="TE158" s="108" t="str">
        <f t="shared" si="1622"/>
        <v>-</v>
      </c>
      <c r="TF158" s="108" t="str">
        <f t="shared" si="1622"/>
        <v>-</v>
      </c>
      <c r="TG158" s="108" t="str">
        <f t="shared" si="1622"/>
        <v>-</v>
      </c>
      <c r="TH158" s="108" t="str">
        <f t="shared" si="1622"/>
        <v>-</v>
      </c>
      <c r="TI158" s="108" t="str">
        <f t="shared" si="1622"/>
        <v>-</v>
      </c>
      <c r="TJ158" s="108" t="str">
        <f t="shared" si="1622"/>
        <v>-</v>
      </c>
      <c r="TK158" s="108" t="str">
        <f t="shared" si="1622"/>
        <v>-</v>
      </c>
      <c r="TL158" s="108" t="str">
        <f t="shared" si="1622"/>
        <v>-</v>
      </c>
      <c r="TM158" s="108" t="str">
        <f t="shared" si="1622"/>
        <v>-</v>
      </c>
      <c r="TN158" s="108" t="str">
        <f t="shared" si="1622"/>
        <v>-</v>
      </c>
      <c r="TO158" s="108" t="str">
        <f t="shared" si="1622"/>
        <v>-</v>
      </c>
      <c r="TP158" s="108" t="str">
        <f t="shared" si="1622"/>
        <v>-</v>
      </c>
      <c r="TQ158" s="108" t="str">
        <f t="shared" si="1622"/>
        <v>-</v>
      </c>
      <c r="TR158" s="108" t="str">
        <f t="shared" si="1622"/>
        <v>-</v>
      </c>
      <c r="TS158" s="108" t="str">
        <f t="shared" si="1622"/>
        <v>-</v>
      </c>
      <c r="TT158" s="108" t="str">
        <f t="shared" si="1622"/>
        <v>-</v>
      </c>
      <c r="TU158" s="108" t="str">
        <f t="shared" si="1622"/>
        <v>-</v>
      </c>
      <c r="TV158" s="108" t="str">
        <f t="shared" si="1622"/>
        <v>-</v>
      </c>
      <c r="TW158" s="108" t="str">
        <f t="shared" si="1622"/>
        <v>-</v>
      </c>
      <c r="TX158" s="108" t="str">
        <f t="shared" si="1622"/>
        <v>-</v>
      </c>
      <c r="TY158" s="108" t="str">
        <f t="shared" si="1622"/>
        <v>-</v>
      </c>
      <c r="TZ158" s="108" t="str">
        <f t="shared" si="1622"/>
        <v>-</v>
      </c>
      <c r="UA158" s="108" t="str">
        <f t="shared" si="1622"/>
        <v>-</v>
      </c>
      <c r="UB158" s="108" t="str">
        <f t="shared" si="1622"/>
        <v>-</v>
      </c>
      <c r="UC158" s="108" t="str">
        <f t="shared" si="1622"/>
        <v>-</v>
      </c>
      <c r="UD158" s="108" t="str">
        <f t="shared" si="1622"/>
        <v>-</v>
      </c>
      <c r="UE158" s="108" t="str">
        <f t="shared" si="1622"/>
        <v>-</v>
      </c>
      <c r="UF158" s="108" t="str">
        <f t="shared" si="1622"/>
        <v>-</v>
      </c>
      <c r="UG158" s="108" t="str">
        <f t="shared" si="1622"/>
        <v>-</v>
      </c>
      <c r="UH158" s="108" t="str">
        <f t="shared" si="1622"/>
        <v>-</v>
      </c>
      <c r="UI158" s="108" t="str">
        <f t="shared" si="1622"/>
        <v>-</v>
      </c>
      <c r="UJ158" s="108" t="str">
        <f t="shared" si="1622"/>
        <v>-</v>
      </c>
      <c r="UK158" s="108" t="str">
        <f t="shared" si="1622"/>
        <v>-</v>
      </c>
      <c r="UL158" s="108" t="str">
        <f t="shared" si="1622"/>
        <v>-</v>
      </c>
      <c r="UM158" s="108" t="str">
        <f t="shared" si="1622"/>
        <v>-</v>
      </c>
      <c r="UN158" s="108" t="str">
        <f t="shared" si="1622"/>
        <v>-</v>
      </c>
      <c r="UO158" s="108" t="str">
        <f t="shared" si="1622"/>
        <v>-</v>
      </c>
      <c r="UP158" s="108" t="str">
        <f t="shared" si="1622"/>
        <v>-</v>
      </c>
      <c r="UQ158" s="108" t="str">
        <f t="shared" si="1622"/>
        <v>-</v>
      </c>
      <c r="UR158" s="145" t="str">
        <f t="shared" si="1622"/>
        <v>-</v>
      </c>
      <c r="US158" s="145" t="str">
        <f t="shared" si="1622"/>
        <v>-</v>
      </c>
      <c r="UT158" s="145" t="str">
        <f t="shared" si="1622"/>
        <v>-</v>
      </c>
      <c r="UU158" s="145" t="str">
        <f t="shared" si="1622"/>
        <v>-</v>
      </c>
      <c r="UV158" s="145" t="str">
        <f t="shared" si="1622"/>
        <v>-</v>
      </c>
      <c r="UW158" s="145" t="str">
        <f t="shared" si="1622"/>
        <v>-</v>
      </c>
      <c r="UX158" s="145" t="str">
        <f t="shared" si="1622"/>
        <v>-</v>
      </c>
      <c r="UY158" s="145" t="str">
        <f t="shared" si="1622"/>
        <v>-</v>
      </c>
      <c r="UZ158" s="145" t="str">
        <f t="shared" si="1622"/>
        <v>-</v>
      </c>
      <c r="VA158" s="145" t="str">
        <f t="shared" si="1622"/>
        <v>-</v>
      </c>
      <c r="VB158" s="145" t="str">
        <f t="shared" si="1622"/>
        <v>-</v>
      </c>
      <c r="VC158" s="145" t="str">
        <f t="shared" si="1622"/>
        <v>-</v>
      </c>
      <c r="VD158" s="145" t="str">
        <f t="shared" si="1622"/>
        <v>-</v>
      </c>
      <c r="VE158" s="145" t="str">
        <f t="shared" si="1622"/>
        <v>-</v>
      </c>
      <c r="VF158" s="145" t="str">
        <f t="shared" si="1623"/>
        <v>-</v>
      </c>
      <c r="VG158" s="145" t="str">
        <f t="shared" si="1623"/>
        <v>-</v>
      </c>
      <c r="VH158" s="145" t="str">
        <f t="shared" si="1623"/>
        <v>-</v>
      </c>
      <c r="VI158" s="145" t="str">
        <f t="shared" si="1623"/>
        <v>-</v>
      </c>
      <c r="VJ158" s="145" t="str">
        <f t="shared" si="1623"/>
        <v>-</v>
      </c>
      <c r="VK158" s="145" t="str">
        <f t="shared" si="1623"/>
        <v>-</v>
      </c>
      <c r="VL158" s="145" t="str">
        <f t="shared" si="1623"/>
        <v>-</v>
      </c>
      <c r="VM158" s="145" t="str">
        <f t="shared" si="1623"/>
        <v>-</v>
      </c>
      <c r="VN158" s="145" t="str">
        <f t="shared" si="1623"/>
        <v>-</v>
      </c>
      <c r="VO158" s="145" t="str">
        <f t="shared" si="1623"/>
        <v>-</v>
      </c>
      <c r="VP158" s="145" t="str">
        <f t="shared" si="1623"/>
        <v>-</v>
      </c>
      <c r="VQ158" s="145" t="str">
        <f t="shared" si="1623"/>
        <v>-</v>
      </c>
      <c r="VR158" s="145" t="str">
        <f t="shared" si="1623"/>
        <v>-</v>
      </c>
      <c r="VS158" s="145" t="str">
        <f t="shared" si="1623"/>
        <v>-</v>
      </c>
      <c r="VT158" s="145" t="str">
        <f t="shared" si="1623"/>
        <v>-</v>
      </c>
      <c r="VU158" s="145" t="str">
        <f t="shared" si="1623"/>
        <v>-</v>
      </c>
      <c r="VV158" s="145" t="str">
        <f t="shared" si="1623"/>
        <v>-</v>
      </c>
      <c r="VW158" s="145" t="str">
        <f t="shared" si="1623"/>
        <v>-</v>
      </c>
      <c r="VX158" s="145" t="str">
        <f t="shared" si="1623"/>
        <v>-</v>
      </c>
      <c r="VY158" s="145" t="str">
        <f t="shared" si="1623"/>
        <v>-</v>
      </c>
      <c r="VZ158" s="145" t="str">
        <f t="shared" si="1623"/>
        <v>-</v>
      </c>
      <c r="WA158" s="145" t="str">
        <f t="shared" si="1623"/>
        <v>-</v>
      </c>
      <c r="WB158" s="145" t="str">
        <f t="shared" si="1623"/>
        <v>-</v>
      </c>
      <c r="WC158" s="145" t="str">
        <f t="shared" si="1623"/>
        <v>-</v>
      </c>
      <c r="WD158" s="145" t="str">
        <f t="shared" si="1623"/>
        <v>-</v>
      </c>
      <c r="WE158" s="145" t="str">
        <f t="shared" si="1623"/>
        <v>-</v>
      </c>
      <c r="WF158" s="145" t="str">
        <f t="shared" si="1623"/>
        <v>-</v>
      </c>
      <c r="WG158" s="145" t="str">
        <f t="shared" si="1623"/>
        <v>-</v>
      </c>
      <c r="WH158" s="145" t="str">
        <f t="shared" si="1623"/>
        <v>-</v>
      </c>
      <c r="WI158" s="145" t="str">
        <f t="shared" si="1623"/>
        <v>-</v>
      </c>
      <c r="WJ158" s="145" t="str">
        <f t="shared" si="1623"/>
        <v>-</v>
      </c>
      <c r="WK158" s="145" t="str">
        <f t="shared" si="1623"/>
        <v>-</v>
      </c>
      <c r="WL158" s="145" t="str">
        <f t="shared" si="1623"/>
        <v>-</v>
      </c>
      <c r="WM158" s="145" t="str">
        <f t="shared" si="1623"/>
        <v>-</v>
      </c>
      <c r="WN158" s="145" t="str">
        <f t="shared" si="1623"/>
        <v>-</v>
      </c>
      <c r="WO158" s="145" t="str">
        <f t="shared" si="1623"/>
        <v>-</v>
      </c>
      <c r="WP158" s="145" t="str">
        <f t="shared" si="1623"/>
        <v>-</v>
      </c>
      <c r="WQ158" s="155" t="str">
        <f t="shared" si="1623"/>
        <v>-</v>
      </c>
      <c r="WR158" s="155" t="str">
        <f t="shared" si="1623"/>
        <v>-</v>
      </c>
      <c r="WS158" s="155" t="str">
        <f t="shared" si="1623"/>
        <v>-</v>
      </c>
      <c r="WT158" s="155" t="str">
        <f t="shared" si="1623"/>
        <v>-</v>
      </c>
      <c r="WU158" s="155" t="str">
        <f t="shared" si="1623"/>
        <v>-</v>
      </c>
      <c r="WV158" s="155" t="str">
        <f t="shared" si="1623"/>
        <v>-</v>
      </c>
      <c r="WW158" s="155" t="str">
        <f t="shared" si="1623"/>
        <v>-</v>
      </c>
      <c r="WX158" s="155" t="str">
        <f t="shared" si="1623"/>
        <v>-</v>
      </c>
      <c r="WY158" s="155" t="str">
        <f t="shared" si="1623"/>
        <v>-</v>
      </c>
      <c r="WZ158" s="155" t="str">
        <f t="shared" si="1623"/>
        <v>-</v>
      </c>
      <c r="XA158" s="155" t="str">
        <f t="shared" si="1623"/>
        <v>-</v>
      </c>
      <c r="XB158" s="155" t="str">
        <f t="shared" si="1623"/>
        <v>-</v>
      </c>
      <c r="XC158" s="155" t="str">
        <f t="shared" si="1623"/>
        <v>-</v>
      </c>
      <c r="XD158" s="155" t="str">
        <f t="shared" si="1623"/>
        <v>-</v>
      </c>
      <c r="XE158" s="155" t="str">
        <f t="shared" si="1623"/>
        <v>-</v>
      </c>
      <c r="XF158" s="155" t="str">
        <f t="shared" si="1623"/>
        <v>-</v>
      </c>
      <c r="XG158" s="155" t="str">
        <f t="shared" si="1623"/>
        <v>-</v>
      </c>
      <c r="XH158" s="155" t="str">
        <f t="shared" si="1623"/>
        <v>-</v>
      </c>
      <c r="XI158" s="155" t="str">
        <f t="shared" si="1623"/>
        <v>-</v>
      </c>
      <c r="XJ158" s="155" t="str">
        <f t="shared" si="1623"/>
        <v>-</v>
      </c>
      <c r="XK158" s="155" t="str">
        <f t="shared" si="1623"/>
        <v>-</v>
      </c>
      <c r="XL158" s="155" t="str">
        <f t="shared" si="1623"/>
        <v>-</v>
      </c>
      <c r="XM158" s="155" t="str">
        <f t="shared" si="1623"/>
        <v>-</v>
      </c>
      <c r="XN158" s="155" t="str">
        <f t="shared" si="1623"/>
        <v>-</v>
      </c>
      <c r="XO158" s="155" t="str">
        <f t="shared" si="1623"/>
        <v>-</v>
      </c>
      <c r="XP158" s="155" t="str">
        <f t="shared" si="1623"/>
        <v>-</v>
      </c>
      <c r="XQ158" s="177" t="str">
        <f t="shared" si="1623"/>
        <v>-</v>
      </c>
      <c r="XR158" s="181" t="str">
        <f t="shared" si="1624"/>
        <v>Harvest</v>
      </c>
      <c r="XS158" s="177" t="str">
        <f t="shared" si="1624"/>
        <v>-</v>
      </c>
      <c r="XT158" s="181" t="str">
        <f t="shared" si="1624"/>
        <v>Harvest</v>
      </c>
      <c r="XU158" s="155" t="str">
        <f t="shared" si="1624"/>
        <v>-</v>
      </c>
      <c r="XV158" s="155" t="str">
        <f t="shared" si="1624"/>
        <v>-</v>
      </c>
      <c r="XW158" s="155" t="str">
        <f t="shared" si="1624"/>
        <v>-</v>
      </c>
      <c r="XX158" s="177" t="str">
        <f t="shared" si="1624"/>
        <v>-</v>
      </c>
      <c r="XY158" s="181" t="str">
        <f t="shared" si="1624"/>
        <v>Harvest</v>
      </c>
      <c r="XZ158" s="177" t="str">
        <f t="shared" ref="XZ158:XZ169" si="1627">EJ28</f>
        <v>-</v>
      </c>
      <c r="YA158" s="181" t="str">
        <f t="shared" si="1625"/>
        <v>Harvest</v>
      </c>
      <c r="YB158" s="155" t="str">
        <f t="shared" si="1625"/>
        <v>-</v>
      </c>
      <c r="YC158" s="155" t="str">
        <f t="shared" si="1625"/>
        <v>-</v>
      </c>
      <c r="YD158" s="155" t="str">
        <f t="shared" si="1625"/>
        <v>-</v>
      </c>
      <c r="YE158" s="177" t="str">
        <f t="shared" si="1625"/>
        <v>-</v>
      </c>
      <c r="YF158" s="181" t="str">
        <f t="shared" si="1625"/>
        <v>Harvest</v>
      </c>
      <c r="YG158" s="177" t="str">
        <f t="shared" si="1625"/>
        <v>-</v>
      </c>
      <c r="YH158" s="181" t="str">
        <f t="shared" si="1625"/>
        <v>Harvest</v>
      </c>
      <c r="YI158" s="155" t="str">
        <f t="shared" si="1625"/>
        <v>-</v>
      </c>
      <c r="YJ158" s="155" t="str">
        <f t="shared" si="1625"/>
        <v>-</v>
      </c>
      <c r="YK158" s="155" t="str">
        <f t="shared" si="1625"/>
        <v>-</v>
      </c>
      <c r="YL158" s="177" t="str">
        <f t="shared" si="1625"/>
        <v>-</v>
      </c>
      <c r="YM158" s="181" t="str">
        <f t="shared" ref="YM158:YM169" si="1628">EW28</f>
        <v>Harvest</v>
      </c>
      <c r="YN158" s="177" t="str">
        <f t="shared" si="1626"/>
        <v>-</v>
      </c>
      <c r="YO158" s="181" t="str">
        <f t="shared" si="1626"/>
        <v>Harvest</v>
      </c>
      <c r="YP158" s="119"/>
      <c r="YQ158" s="119"/>
      <c r="YR158" s="119"/>
      <c r="YS158" s="119"/>
      <c r="YT158" s="119"/>
      <c r="YU158" s="119"/>
      <c r="YV158" s="119"/>
      <c r="YW158" s="119"/>
      <c r="YX158" s="119"/>
      <c r="YY158" s="119"/>
      <c r="YZ158" s="119"/>
      <c r="ZA158" s="119"/>
      <c r="ZB158" s="119"/>
      <c r="ZC158" s="119"/>
      <c r="ZD158" s="119"/>
      <c r="ZE158" s="119"/>
      <c r="ZF158" s="119"/>
      <c r="ZG158" s="119"/>
      <c r="ZH158" s="119"/>
      <c r="ZI158" s="119"/>
      <c r="ZJ158" s="119"/>
      <c r="ZK158" s="119"/>
      <c r="ZL158" s="119"/>
      <c r="ZM158" s="119"/>
      <c r="ZN158" s="119"/>
      <c r="ZO158" s="119"/>
      <c r="ZP158" s="119"/>
      <c r="ZQ158" s="119"/>
      <c r="ZR158" s="119"/>
      <c r="ZS158" s="119"/>
      <c r="ZT158" s="119"/>
    </row>
    <row r="159" spans="1:696" ht="19.5" thickBot="1" x14ac:dyDescent="0.3">
      <c r="A159" s="298"/>
      <c r="B159" s="25" t="s">
        <v>27</v>
      </c>
      <c r="BY159" s="18"/>
      <c r="BZ159" s="18"/>
      <c r="CA159" s="18"/>
      <c r="CB159" s="18"/>
      <c r="CC159" s="18"/>
      <c r="CD159" s="18"/>
      <c r="CE159" s="18"/>
      <c r="CF159" s="18"/>
      <c r="CG159" s="18"/>
      <c r="CH159" s="18"/>
      <c r="CI159" s="18"/>
      <c r="CJ159" s="18"/>
      <c r="CK159" s="18"/>
      <c r="CL159" s="18"/>
      <c r="CM159" s="18"/>
      <c r="CN159" s="18"/>
      <c r="CO159" s="18"/>
      <c r="CP159" s="18"/>
      <c r="CQ159" s="18"/>
      <c r="CR159" s="18"/>
      <c r="CS159" s="18"/>
      <c r="CT159" s="18"/>
      <c r="CU159" s="18"/>
      <c r="CV159" s="18"/>
      <c r="CW159" s="18"/>
      <c r="CX159" s="18"/>
      <c r="CY159" s="18"/>
      <c r="CZ159" s="18"/>
      <c r="DA159" s="18"/>
      <c r="DB159" s="18"/>
      <c r="DC159" s="18"/>
      <c r="DD159" s="18"/>
      <c r="DE159" s="18"/>
      <c r="DF159" s="18"/>
      <c r="DG159" s="18"/>
      <c r="DH159" s="18"/>
      <c r="DI159" s="18"/>
      <c r="DJ159" s="18"/>
      <c r="DK159" s="18"/>
      <c r="DL159" s="18"/>
      <c r="DM159" s="18"/>
      <c r="DN159" s="18"/>
      <c r="DO159" s="18"/>
      <c r="DP159" s="18"/>
      <c r="DQ159" s="18"/>
      <c r="DR159" s="18"/>
      <c r="DS159" s="18"/>
      <c r="DT159" s="18"/>
      <c r="DU159" s="18"/>
      <c r="DV159" s="18"/>
      <c r="DW159" s="18"/>
      <c r="DX159" s="18"/>
      <c r="DY159" s="18"/>
      <c r="DZ159" s="18"/>
      <c r="EA159" s="18"/>
      <c r="EB159" s="18"/>
      <c r="EC159" s="18"/>
      <c r="ED159" s="18"/>
      <c r="EE159" s="18"/>
      <c r="EF159" s="18"/>
      <c r="EG159" s="18"/>
      <c r="EH159" s="18"/>
      <c r="EI159" s="18"/>
      <c r="EJ159" s="18"/>
      <c r="EK159" s="18"/>
      <c r="EL159" s="18"/>
      <c r="EM159" s="18"/>
      <c r="EN159" s="18"/>
      <c r="EO159" s="18"/>
      <c r="EP159" s="18"/>
      <c r="EQ159" s="18"/>
      <c r="ER159" s="18"/>
      <c r="ES159" s="18"/>
      <c r="ET159" s="18"/>
      <c r="EU159" s="18"/>
      <c r="EV159" s="18"/>
      <c r="EW159" s="18"/>
      <c r="EX159" s="18"/>
      <c r="EY159" s="18"/>
      <c r="EZ159" s="18"/>
      <c r="FA159" s="18"/>
      <c r="FB159" s="18"/>
      <c r="FC159" s="18"/>
      <c r="FD159" s="18"/>
      <c r="FE159" s="18"/>
      <c r="FF159" s="18"/>
      <c r="FG159" s="18"/>
      <c r="FH159" s="18"/>
      <c r="FI159" s="18"/>
      <c r="FJ159" s="18"/>
      <c r="FK159" s="18"/>
      <c r="FL159" s="18"/>
      <c r="FM159" s="18"/>
      <c r="FN159" s="18"/>
      <c r="FO159" s="18"/>
      <c r="FP159" s="18"/>
      <c r="FQ159" s="18"/>
      <c r="FR159" s="18"/>
      <c r="FS159" s="18"/>
      <c r="FT159" s="18"/>
      <c r="FU159" s="18"/>
      <c r="FV159" s="18"/>
      <c r="FW159" s="18"/>
      <c r="FX159" s="18"/>
      <c r="FY159" s="18"/>
      <c r="FZ159" s="18"/>
      <c r="GA159" s="18"/>
      <c r="GB159" s="18"/>
      <c r="GC159" s="18"/>
      <c r="GD159" s="18"/>
      <c r="GE159" s="18"/>
      <c r="GF159" s="18"/>
      <c r="GG159" s="18"/>
      <c r="GH159" s="18"/>
      <c r="GI159" s="18"/>
      <c r="GJ159" s="18"/>
      <c r="GK159" s="18"/>
      <c r="GL159" s="18"/>
      <c r="GM159" s="18"/>
      <c r="GN159" s="18"/>
      <c r="GO159" s="18"/>
      <c r="GP159" s="18"/>
      <c r="GQ159" s="18"/>
      <c r="GR159" s="18"/>
      <c r="GS159" s="18"/>
      <c r="GT159" s="18"/>
      <c r="GU159" s="18"/>
      <c r="GV159" s="18"/>
      <c r="GW159" s="18"/>
      <c r="GX159" s="18"/>
      <c r="GY159" s="18"/>
      <c r="GZ159" s="18"/>
      <c r="HA159" s="18"/>
      <c r="HB159" s="18"/>
      <c r="HC159" s="18"/>
      <c r="HD159" s="18"/>
      <c r="HE159" s="18"/>
      <c r="HF159" s="18"/>
      <c r="HG159" s="18"/>
      <c r="HH159" s="18"/>
      <c r="HI159" s="18"/>
      <c r="HJ159" s="18"/>
      <c r="HK159" s="18"/>
      <c r="HL159" s="18"/>
      <c r="HM159" s="18"/>
      <c r="HN159" s="18"/>
      <c r="HO159" s="18"/>
      <c r="HP159" s="18"/>
      <c r="HQ159" s="18"/>
      <c r="HR159" s="18"/>
      <c r="HS159" s="18"/>
      <c r="HT159" s="18"/>
      <c r="HU159" s="18"/>
      <c r="HV159" s="18"/>
      <c r="HW159" s="18"/>
      <c r="HX159" s="18"/>
      <c r="HY159" s="18"/>
      <c r="HZ159" s="18"/>
      <c r="IA159" s="18"/>
      <c r="IB159" s="18"/>
      <c r="IC159" s="18"/>
      <c r="ID159" s="18"/>
      <c r="IE159" s="18"/>
      <c r="IF159" s="18"/>
      <c r="IG159" s="18"/>
      <c r="IH159" s="18"/>
      <c r="II159" s="18"/>
      <c r="IJ159" s="18"/>
      <c r="IK159" s="18"/>
      <c r="IL159" s="18"/>
      <c r="IM159" s="18"/>
      <c r="IN159" s="18"/>
      <c r="IO159" s="18"/>
      <c r="IP159" s="18"/>
      <c r="IQ159" s="18"/>
      <c r="IR159" s="18"/>
      <c r="IS159" s="18"/>
      <c r="IT159" s="18"/>
      <c r="IU159" s="18"/>
      <c r="IV159" s="18"/>
      <c r="IW159" s="18"/>
      <c r="IX159" s="18"/>
      <c r="IY159" s="18"/>
      <c r="IZ159" s="18"/>
      <c r="JA159" s="18"/>
      <c r="JB159" s="18"/>
      <c r="JC159" s="18"/>
      <c r="JD159" s="18"/>
      <c r="JE159" s="18"/>
      <c r="JF159" s="18"/>
      <c r="JG159" s="18"/>
      <c r="JH159" s="18"/>
      <c r="JI159" s="18"/>
      <c r="JJ159" s="18"/>
      <c r="JK159" s="18"/>
      <c r="JL159" s="18"/>
      <c r="JM159" s="18"/>
      <c r="JN159" s="18"/>
      <c r="JO159" s="18"/>
      <c r="JP159" s="18"/>
      <c r="JQ159" s="18"/>
      <c r="JR159" s="18"/>
      <c r="JS159" s="18"/>
      <c r="JT159" s="18"/>
      <c r="JU159" s="18"/>
      <c r="JV159" s="18"/>
      <c r="JW159" s="18"/>
      <c r="JX159" s="18"/>
      <c r="JY159" s="18"/>
      <c r="JZ159" s="18"/>
      <c r="KA159" s="18"/>
      <c r="KB159" s="18"/>
      <c r="KC159" s="18"/>
      <c r="KD159" s="18"/>
      <c r="KE159" s="18"/>
      <c r="KF159" s="18"/>
      <c r="KG159" s="18"/>
      <c r="KH159" s="18"/>
      <c r="KI159" s="18"/>
      <c r="KJ159" s="18"/>
      <c r="KK159" s="18"/>
      <c r="KL159" s="18"/>
      <c r="KM159" s="18"/>
      <c r="KN159" s="18"/>
      <c r="KO159" s="18"/>
      <c r="KP159" s="18"/>
      <c r="KQ159" s="18"/>
      <c r="KR159" s="18"/>
      <c r="KS159" s="18"/>
      <c r="KT159" s="18"/>
      <c r="KU159" s="18"/>
      <c r="KV159" s="18"/>
      <c r="KW159" s="18"/>
      <c r="KX159" s="18"/>
      <c r="KY159" s="18"/>
      <c r="KZ159" s="18"/>
      <c r="LA159" s="18"/>
      <c r="LB159" s="18"/>
      <c r="LC159" s="18"/>
      <c r="LD159" s="18"/>
      <c r="LE159" s="18"/>
      <c r="LF159" s="18"/>
      <c r="LG159" s="18"/>
      <c r="LH159" s="18"/>
      <c r="LI159" s="18"/>
      <c r="LJ159" s="18"/>
      <c r="LK159" s="18"/>
      <c r="LL159" s="18"/>
      <c r="LM159" s="18"/>
      <c r="LN159" s="18"/>
      <c r="LO159" s="18"/>
      <c r="LP159" s="18"/>
      <c r="LQ159" s="18"/>
      <c r="LR159" s="18"/>
      <c r="LS159" s="18"/>
      <c r="LT159" s="18"/>
      <c r="LU159" s="18"/>
      <c r="LV159" s="18"/>
      <c r="LW159" s="18"/>
      <c r="LX159" s="18"/>
      <c r="LY159" s="18"/>
      <c r="LZ159" s="18"/>
      <c r="MA159" s="18"/>
      <c r="MB159" s="18"/>
      <c r="MC159" s="18"/>
      <c r="MD159" s="18"/>
      <c r="ME159" s="18"/>
      <c r="MF159" s="18"/>
      <c r="MG159" s="18"/>
      <c r="MH159" s="18"/>
      <c r="MI159" s="18"/>
      <c r="MJ159" s="18"/>
      <c r="MK159" s="18"/>
      <c r="ML159" s="18"/>
      <c r="MM159" s="18"/>
      <c r="MN159" s="18"/>
      <c r="MO159" s="18"/>
      <c r="MP159" s="18"/>
      <c r="MQ159" s="18"/>
      <c r="MR159" s="18"/>
      <c r="MS159" s="18"/>
      <c r="MT159" s="18"/>
      <c r="MU159" s="18"/>
      <c r="MV159" s="18"/>
      <c r="MW159" s="18"/>
      <c r="MX159" s="18"/>
      <c r="MY159" s="18"/>
      <c r="MZ159" s="18"/>
      <c r="NA159" s="18"/>
      <c r="NB159" s="18"/>
      <c r="NC159" s="18"/>
      <c r="ND159" s="18"/>
      <c r="NE159" s="18"/>
      <c r="NF159" s="18"/>
      <c r="NG159" s="18"/>
      <c r="NH159" s="18"/>
      <c r="NI159" s="18"/>
      <c r="NJ159" s="18"/>
      <c r="NK159" s="18"/>
      <c r="NL159" s="18"/>
      <c r="NM159" s="18"/>
      <c r="NN159" s="18"/>
      <c r="NO159" s="18"/>
      <c r="NP159" s="18"/>
      <c r="NQ159" s="18"/>
      <c r="NR159" s="18"/>
      <c r="NS159" s="18"/>
      <c r="NT159" s="18"/>
      <c r="NU159" s="18"/>
      <c r="NV159" s="18"/>
      <c r="NW159" s="18"/>
      <c r="NX159" s="18"/>
      <c r="NY159" s="18"/>
      <c r="NZ159" s="18"/>
      <c r="OA159" s="18"/>
      <c r="OB159" s="18"/>
      <c r="OC159" s="18"/>
      <c r="OD159" s="18"/>
      <c r="OE159" s="18"/>
      <c r="OF159" s="18"/>
      <c r="OG159" s="18"/>
      <c r="OH159" s="18"/>
      <c r="OI159" s="18"/>
      <c r="OJ159" s="18"/>
      <c r="OK159" s="18"/>
      <c r="OL159" s="18"/>
      <c r="OM159" s="18"/>
      <c r="ON159" s="18"/>
      <c r="OO159" s="18"/>
      <c r="OP159" s="18"/>
      <c r="OQ159" s="18"/>
      <c r="OR159" s="18"/>
      <c r="OS159" s="18"/>
      <c r="OT159" s="18"/>
      <c r="OU159" s="18"/>
      <c r="OV159" s="18"/>
      <c r="OW159" s="18"/>
      <c r="OX159" s="18"/>
      <c r="OY159" s="18"/>
      <c r="OZ159" s="18"/>
      <c r="PA159" s="18"/>
      <c r="PB159" s="18"/>
      <c r="PC159" s="18"/>
      <c r="PD159" s="18"/>
      <c r="PE159" s="18"/>
      <c r="PF159" s="18"/>
      <c r="PG159" s="18"/>
      <c r="PH159" s="18"/>
      <c r="PI159" s="18"/>
      <c r="PJ159" s="18"/>
      <c r="PK159" s="18"/>
      <c r="PL159" s="18"/>
      <c r="PM159" s="18"/>
      <c r="PN159" s="18"/>
      <c r="PO159" s="18"/>
      <c r="PP159" s="18"/>
      <c r="PQ159" s="18"/>
      <c r="PR159" s="18"/>
      <c r="PS159" s="18"/>
      <c r="PT159" s="18"/>
      <c r="PU159" s="18"/>
      <c r="PV159" s="18"/>
      <c r="PW159" s="18"/>
      <c r="PX159" s="18"/>
      <c r="PY159" s="18"/>
      <c r="PZ159" s="18"/>
      <c r="QA159" s="18"/>
      <c r="QB159" s="18"/>
      <c r="QC159" s="18"/>
      <c r="QD159" s="18"/>
      <c r="QE159" s="18"/>
      <c r="QF159" s="18"/>
      <c r="QG159" s="18"/>
      <c r="QH159" s="18"/>
      <c r="QI159" s="18"/>
      <c r="QJ159" s="18"/>
      <c r="QK159" s="18"/>
      <c r="QL159" s="18"/>
      <c r="QM159" s="18"/>
      <c r="QN159" s="18"/>
      <c r="QO159" s="18"/>
      <c r="QP159" s="18"/>
      <c r="QQ159" s="18"/>
      <c r="QR159" s="18"/>
      <c r="QS159" s="18"/>
      <c r="QT159" s="18"/>
      <c r="QU159" s="18"/>
      <c r="QV159" s="18"/>
      <c r="QW159" s="18"/>
      <c r="QX159" s="18"/>
      <c r="QY159" s="18"/>
      <c r="QZ159" s="18"/>
      <c r="RA159" s="18"/>
      <c r="RB159" s="18"/>
      <c r="RC159" s="18"/>
      <c r="RD159" s="18"/>
      <c r="RE159" s="18"/>
      <c r="RF159" s="18"/>
      <c r="RG159" s="18"/>
      <c r="RH159" s="18"/>
      <c r="RI159" s="18"/>
      <c r="RJ159" s="18"/>
      <c r="RK159" s="18"/>
      <c r="RL159" s="18"/>
      <c r="RM159" s="18"/>
      <c r="RN159" s="18"/>
      <c r="RO159" s="18"/>
      <c r="RP159" s="18"/>
      <c r="RQ159" s="18"/>
      <c r="RR159" s="18"/>
      <c r="RS159" s="18"/>
      <c r="RT159" s="18"/>
      <c r="RU159" s="18"/>
      <c r="RV159" s="18"/>
      <c r="RW159" s="18"/>
      <c r="RX159" s="18"/>
      <c r="RY159" s="18"/>
      <c r="RZ159" s="18"/>
      <c r="SA159" s="18"/>
      <c r="SB159" s="18"/>
      <c r="SS159" s="121">
        <f t="shared" si="1618"/>
        <v>0</v>
      </c>
      <c r="ST159" s="108">
        <f t="shared" si="1619"/>
        <v>0</v>
      </c>
      <c r="SU159" s="108">
        <f t="shared" si="1620"/>
        <v>0</v>
      </c>
      <c r="SV159" s="108">
        <f t="shared" si="1621"/>
        <v>0</v>
      </c>
      <c r="SW159" s="108">
        <f t="shared" si="1622"/>
        <v>0</v>
      </c>
      <c r="SX159" s="108">
        <f t="shared" si="1622"/>
        <v>0</v>
      </c>
      <c r="SY159" s="108">
        <f t="shared" si="1622"/>
        <v>0</v>
      </c>
      <c r="SZ159" s="108">
        <f t="shared" si="1622"/>
        <v>0</v>
      </c>
      <c r="TA159" s="108">
        <f t="shared" si="1622"/>
        <v>0</v>
      </c>
      <c r="TB159" s="108">
        <f t="shared" si="1622"/>
        <v>0</v>
      </c>
      <c r="TC159" s="108">
        <f t="shared" si="1622"/>
        <v>0</v>
      </c>
      <c r="TD159" s="108">
        <f t="shared" si="1622"/>
        <v>0</v>
      </c>
      <c r="TE159" s="108">
        <f t="shared" si="1622"/>
        <v>0</v>
      </c>
      <c r="TF159" s="108">
        <f t="shared" si="1622"/>
        <v>0</v>
      </c>
      <c r="TG159" s="108">
        <f t="shared" si="1622"/>
        <v>0</v>
      </c>
      <c r="TH159" s="108">
        <f t="shared" si="1622"/>
        <v>0</v>
      </c>
      <c r="TI159" s="108">
        <f t="shared" si="1622"/>
        <v>0</v>
      </c>
      <c r="TJ159" s="108">
        <f t="shared" si="1622"/>
        <v>0</v>
      </c>
      <c r="TK159" s="108">
        <f t="shared" si="1622"/>
        <v>0</v>
      </c>
      <c r="TL159" s="108">
        <f t="shared" si="1622"/>
        <v>0</v>
      </c>
      <c r="TM159" s="108">
        <f t="shared" si="1622"/>
        <v>0</v>
      </c>
      <c r="TN159" s="108">
        <f t="shared" si="1622"/>
        <v>0</v>
      </c>
      <c r="TO159" s="108">
        <f t="shared" si="1622"/>
        <v>0</v>
      </c>
      <c r="TP159" s="108">
        <f t="shared" si="1622"/>
        <v>0</v>
      </c>
      <c r="TQ159" s="108">
        <f t="shared" si="1622"/>
        <v>0</v>
      </c>
      <c r="TR159" s="108">
        <f t="shared" si="1622"/>
        <v>0</v>
      </c>
      <c r="TS159" s="108">
        <f t="shared" si="1622"/>
        <v>0</v>
      </c>
      <c r="TT159" s="108">
        <f t="shared" si="1622"/>
        <v>0</v>
      </c>
      <c r="TU159" s="108">
        <f t="shared" si="1622"/>
        <v>0</v>
      </c>
      <c r="TV159" s="108">
        <f t="shared" si="1622"/>
        <v>0</v>
      </c>
      <c r="TW159" s="108">
        <f t="shared" si="1622"/>
        <v>0</v>
      </c>
      <c r="TX159" s="108">
        <f t="shared" si="1622"/>
        <v>0</v>
      </c>
      <c r="TY159" s="108">
        <f t="shared" si="1622"/>
        <v>0</v>
      </c>
      <c r="TZ159" s="108">
        <f t="shared" si="1622"/>
        <v>0</v>
      </c>
      <c r="UA159" s="108">
        <f t="shared" si="1622"/>
        <v>0</v>
      </c>
      <c r="UB159" s="108">
        <f t="shared" si="1622"/>
        <v>0</v>
      </c>
      <c r="UC159" s="108">
        <f t="shared" si="1622"/>
        <v>0</v>
      </c>
      <c r="UD159" s="108">
        <f t="shared" si="1622"/>
        <v>0</v>
      </c>
      <c r="UE159" s="108">
        <f t="shared" si="1622"/>
        <v>0</v>
      </c>
      <c r="UF159" s="108">
        <f t="shared" si="1622"/>
        <v>0</v>
      </c>
      <c r="UG159" s="108">
        <f t="shared" si="1622"/>
        <v>0</v>
      </c>
      <c r="UH159" s="108">
        <f t="shared" si="1622"/>
        <v>0</v>
      </c>
      <c r="UI159" s="108">
        <f t="shared" si="1622"/>
        <v>0</v>
      </c>
      <c r="UJ159" s="108">
        <f t="shared" si="1622"/>
        <v>0</v>
      </c>
      <c r="UK159" s="108">
        <f t="shared" si="1622"/>
        <v>0</v>
      </c>
      <c r="UL159" s="108">
        <f t="shared" si="1622"/>
        <v>0</v>
      </c>
      <c r="UM159" s="108">
        <f t="shared" si="1622"/>
        <v>0</v>
      </c>
      <c r="UN159" s="108">
        <f t="shared" si="1622"/>
        <v>0</v>
      </c>
      <c r="UO159" s="108">
        <f t="shared" si="1622"/>
        <v>0</v>
      </c>
      <c r="UP159" s="108">
        <f t="shared" si="1622"/>
        <v>0</v>
      </c>
      <c r="UQ159" s="108">
        <f t="shared" si="1622"/>
        <v>0</v>
      </c>
      <c r="UR159" s="145">
        <f t="shared" si="1622"/>
        <v>0</v>
      </c>
      <c r="US159" s="145">
        <f t="shared" si="1622"/>
        <v>0</v>
      </c>
      <c r="UT159" s="145">
        <f t="shared" si="1622"/>
        <v>0</v>
      </c>
      <c r="UU159" s="145">
        <f t="shared" si="1622"/>
        <v>0</v>
      </c>
      <c r="UV159" s="145">
        <f t="shared" si="1622"/>
        <v>0</v>
      </c>
      <c r="UW159" s="145">
        <f t="shared" si="1622"/>
        <v>0</v>
      </c>
      <c r="UX159" s="145">
        <f t="shared" si="1622"/>
        <v>0</v>
      </c>
      <c r="UY159" s="145">
        <f t="shared" si="1622"/>
        <v>0</v>
      </c>
      <c r="UZ159" s="145">
        <f t="shared" si="1622"/>
        <v>0</v>
      </c>
      <c r="VA159" s="145">
        <f t="shared" si="1622"/>
        <v>0</v>
      </c>
      <c r="VB159" s="145">
        <f t="shared" si="1622"/>
        <v>0</v>
      </c>
      <c r="VC159" s="145">
        <f t="shared" si="1622"/>
        <v>0</v>
      </c>
      <c r="VD159" s="145">
        <f t="shared" si="1622"/>
        <v>0</v>
      </c>
      <c r="VE159" s="145">
        <f t="shared" si="1622"/>
        <v>0</v>
      </c>
      <c r="VF159" s="145">
        <f t="shared" si="1623"/>
        <v>0</v>
      </c>
      <c r="VG159" s="145">
        <f t="shared" si="1623"/>
        <v>0</v>
      </c>
      <c r="VH159" s="145">
        <f t="shared" si="1623"/>
        <v>0</v>
      </c>
      <c r="VI159" s="145">
        <f t="shared" si="1623"/>
        <v>0</v>
      </c>
      <c r="VJ159" s="145">
        <f t="shared" si="1623"/>
        <v>0</v>
      </c>
      <c r="VK159" s="145">
        <f t="shared" si="1623"/>
        <v>0</v>
      </c>
      <c r="VL159" s="145">
        <f t="shared" si="1623"/>
        <v>0</v>
      </c>
      <c r="VM159" s="145">
        <f t="shared" si="1623"/>
        <v>0</v>
      </c>
      <c r="VN159" s="145">
        <f t="shared" si="1623"/>
        <v>0</v>
      </c>
      <c r="VO159" s="146">
        <f t="shared" si="1623"/>
        <v>0</v>
      </c>
      <c r="VP159" s="146">
        <f t="shared" si="1623"/>
        <v>0</v>
      </c>
      <c r="VQ159" s="146">
        <f t="shared" si="1623"/>
        <v>0</v>
      </c>
      <c r="VR159" s="146">
        <f t="shared" si="1623"/>
        <v>0</v>
      </c>
      <c r="VS159" s="146">
        <f t="shared" si="1623"/>
        <v>0</v>
      </c>
      <c r="VT159" s="146">
        <f t="shared" si="1623"/>
        <v>0</v>
      </c>
      <c r="VU159" s="146">
        <f t="shared" si="1623"/>
        <v>0</v>
      </c>
      <c r="VV159" s="146">
        <f t="shared" si="1623"/>
        <v>0</v>
      </c>
      <c r="VW159" s="146">
        <f t="shared" si="1623"/>
        <v>0</v>
      </c>
      <c r="VX159" s="146">
        <f t="shared" si="1623"/>
        <v>0</v>
      </c>
      <c r="VY159" s="146">
        <f t="shared" si="1623"/>
        <v>0</v>
      </c>
      <c r="VZ159" s="146">
        <f t="shared" si="1623"/>
        <v>0</v>
      </c>
      <c r="WA159" s="146">
        <f t="shared" si="1623"/>
        <v>0</v>
      </c>
      <c r="WB159" s="146">
        <f t="shared" si="1623"/>
        <v>0</v>
      </c>
      <c r="WC159" s="146">
        <f t="shared" si="1623"/>
        <v>0</v>
      </c>
      <c r="WD159" s="146">
        <f t="shared" si="1623"/>
        <v>0</v>
      </c>
      <c r="WE159" s="146">
        <f t="shared" si="1623"/>
        <v>0</v>
      </c>
      <c r="WF159" s="146">
        <f t="shared" si="1623"/>
        <v>0</v>
      </c>
      <c r="WG159" s="146">
        <f t="shared" si="1623"/>
        <v>0</v>
      </c>
      <c r="WH159" s="146">
        <f t="shared" si="1623"/>
        <v>0</v>
      </c>
      <c r="WI159" s="146">
        <f t="shared" si="1623"/>
        <v>0</v>
      </c>
      <c r="WJ159" s="146">
        <f t="shared" si="1623"/>
        <v>0</v>
      </c>
      <c r="WK159" s="146">
        <f t="shared" si="1623"/>
        <v>0</v>
      </c>
      <c r="WL159" s="146">
        <f t="shared" si="1623"/>
        <v>0</v>
      </c>
      <c r="WM159" s="146">
        <f t="shared" si="1623"/>
        <v>0</v>
      </c>
      <c r="WN159" s="146">
        <f t="shared" si="1623"/>
        <v>0</v>
      </c>
      <c r="WO159" s="146">
        <f t="shared" si="1623"/>
        <v>0</v>
      </c>
      <c r="WP159" s="146">
        <f t="shared" si="1623"/>
        <v>0</v>
      </c>
      <c r="WQ159" s="156">
        <f t="shared" si="1623"/>
        <v>0</v>
      </c>
      <c r="WR159" s="156">
        <f t="shared" si="1623"/>
        <v>0</v>
      </c>
      <c r="WS159" s="156">
        <f t="shared" si="1623"/>
        <v>0</v>
      </c>
      <c r="WT159" s="156">
        <f t="shared" si="1623"/>
        <v>0</v>
      </c>
      <c r="WU159" s="156">
        <f t="shared" si="1623"/>
        <v>0</v>
      </c>
      <c r="WV159" s="156">
        <f t="shared" si="1623"/>
        <v>0</v>
      </c>
      <c r="WW159" s="156">
        <f t="shared" si="1623"/>
        <v>0</v>
      </c>
      <c r="WX159" s="156">
        <f t="shared" si="1623"/>
        <v>0</v>
      </c>
      <c r="WY159" s="156">
        <f t="shared" si="1623"/>
        <v>0</v>
      </c>
      <c r="WZ159" s="156">
        <f t="shared" si="1623"/>
        <v>0</v>
      </c>
      <c r="XA159" s="156">
        <f t="shared" si="1623"/>
        <v>0</v>
      </c>
      <c r="XB159" s="156">
        <f t="shared" si="1623"/>
        <v>0</v>
      </c>
      <c r="XC159" s="156">
        <f t="shared" si="1623"/>
        <v>0</v>
      </c>
      <c r="XD159" s="156">
        <f t="shared" si="1623"/>
        <v>0</v>
      </c>
      <c r="XE159" s="156">
        <f t="shared" si="1623"/>
        <v>0</v>
      </c>
      <c r="XF159" s="156">
        <f t="shared" si="1623"/>
        <v>0</v>
      </c>
      <c r="XG159" s="156">
        <f t="shared" si="1623"/>
        <v>0</v>
      </c>
      <c r="XH159" s="156">
        <f t="shared" si="1623"/>
        <v>0</v>
      </c>
      <c r="XI159" s="156">
        <f t="shared" si="1623"/>
        <v>0</v>
      </c>
      <c r="XJ159" s="156">
        <f t="shared" si="1623"/>
        <v>0</v>
      </c>
      <c r="XK159" s="156">
        <f t="shared" si="1623"/>
        <v>0</v>
      </c>
      <c r="XL159" s="156">
        <f t="shared" si="1623"/>
        <v>0</v>
      </c>
      <c r="XM159" s="156">
        <f t="shared" si="1623"/>
        <v>0</v>
      </c>
      <c r="XN159" s="156">
        <f t="shared" si="1623"/>
        <v>0</v>
      </c>
      <c r="XO159" s="156">
        <f t="shared" si="1623"/>
        <v>0</v>
      </c>
      <c r="XP159" s="156">
        <f t="shared" si="1623"/>
        <v>0</v>
      </c>
      <c r="XQ159" s="156">
        <f t="shared" si="1623"/>
        <v>0</v>
      </c>
      <c r="XR159" s="179">
        <f t="shared" si="1624"/>
        <v>0</v>
      </c>
      <c r="XS159" s="156">
        <f t="shared" si="1624"/>
        <v>0</v>
      </c>
      <c r="XT159" s="179">
        <f t="shared" si="1624"/>
        <v>0</v>
      </c>
      <c r="XU159" s="156">
        <f t="shared" si="1624"/>
        <v>0</v>
      </c>
      <c r="XV159" s="156">
        <f t="shared" si="1624"/>
        <v>0</v>
      </c>
      <c r="XW159" s="156">
        <f t="shared" si="1624"/>
        <v>0</v>
      </c>
      <c r="XX159" s="156">
        <f t="shared" si="1624"/>
        <v>0</v>
      </c>
      <c r="XY159" s="179">
        <f t="shared" si="1624"/>
        <v>0</v>
      </c>
      <c r="XZ159" s="156">
        <f t="shared" si="1627"/>
        <v>0</v>
      </c>
      <c r="YA159" s="179">
        <f t="shared" si="1625"/>
        <v>0</v>
      </c>
      <c r="YB159" s="156">
        <f t="shared" si="1625"/>
        <v>0</v>
      </c>
      <c r="YC159" s="156">
        <f t="shared" si="1625"/>
        <v>0</v>
      </c>
      <c r="YD159" s="156">
        <f t="shared" si="1625"/>
        <v>0</v>
      </c>
      <c r="YE159" s="156">
        <f t="shared" si="1625"/>
        <v>0</v>
      </c>
      <c r="YF159" s="179">
        <f t="shared" si="1625"/>
        <v>0</v>
      </c>
      <c r="YG159" s="156">
        <f t="shared" si="1625"/>
        <v>0</v>
      </c>
      <c r="YH159" s="179">
        <f t="shared" si="1625"/>
        <v>0</v>
      </c>
      <c r="YI159" s="156">
        <f t="shared" si="1625"/>
        <v>0</v>
      </c>
      <c r="YJ159" s="156">
        <f t="shared" si="1625"/>
        <v>0</v>
      </c>
      <c r="YK159" s="156">
        <f t="shared" si="1625"/>
        <v>0</v>
      </c>
      <c r="YL159" s="156">
        <f t="shared" si="1625"/>
        <v>0</v>
      </c>
      <c r="YM159" s="179">
        <f t="shared" si="1628"/>
        <v>0</v>
      </c>
      <c r="YN159" s="156">
        <f t="shared" si="1626"/>
        <v>0</v>
      </c>
      <c r="YO159" s="179">
        <f t="shared" si="1626"/>
        <v>0</v>
      </c>
      <c r="YP159" s="119"/>
      <c r="YQ159" s="119"/>
      <c r="YR159" s="119"/>
      <c r="YS159" s="119"/>
      <c r="YT159" s="119"/>
      <c r="YU159" s="119"/>
      <c r="YV159" s="119"/>
      <c r="YW159" s="119"/>
      <c r="YX159" s="119"/>
      <c r="YY159" s="119"/>
      <c r="YZ159" s="119"/>
      <c r="ZA159" s="119"/>
      <c r="ZB159" s="119"/>
      <c r="ZC159" s="119"/>
      <c r="ZD159" s="119"/>
      <c r="ZE159" s="119"/>
      <c r="ZF159" s="119"/>
      <c r="ZG159" s="119"/>
      <c r="ZH159" s="119"/>
      <c r="ZI159" s="119"/>
      <c r="ZJ159" s="119"/>
      <c r="ZK159" s="119"/>
      <c r="ZL159" s="119"/>
      <c r="ZM159" s="119"/>
      <c r="ZN159" s="119"/>
      <c r="ZO159" s="119"/>
      <c r="ZP159" s="119"/>
      <c r="ZQ159" s="119"/>
      <c r="ZR159" s="119"/>
      <c r="ZS159" s="119"/>
      <c r="ZT159" s="119"/>
    </row>
    <row r="160" spans="1:696" ht="19.5" thickBot="1" x14ac:dyDescent="0.3">
      <c r="A160" s="298"/>
      <c r="B160" s="25" t="s">
        <v>25</v>
      </c>
      <c r="BY160" s="18"/>
      <c r="BZ160" s="18"/>
      <c r="CA160" s="18"/>
      <c r="CB160" s="18"/>
      <c r="CC160" s="18"/>
      <c r="CD160" s="18"/>
      <c r="CE160" s="18"/>
      <c r="CF160" s="18"/>
      <c r="CG160" s="18"/>
      <c r="CH160" s="18"/>
      <c r="CI160" s="18"/>
      <c r="CJ160" s="18"/>
      <c r="CK160" s="18"/>
      <c r="CL160" s="18"/>
      <c r="CM160" s="18"/>
      <c r="CN160" s="18"/>
      <c r="CO160" s="18"/>
      <c r="CP160" s="18"/>
      <c r="CQ160" s="18"/>
      <c r="CR160" s="18"/>
      <c r="CS160" s="18"/>
      <c r="CT160" s="18"/>
      <c r="CU160" s="18"/>
      <c r="CV160" s="18"/>
      <c r="CW160" s="18"/>
      <c r="CX160" s="18"/>
      <c r="CY160" s="18"/>
      <c r="CZ160" s="18"/>
      <c r="DA160" s="18"/>
      <c r="DB160" s="18"/>
      <c r="DC160" s="18"/>
      <c r="DD160" s="18"/>
      <c r="DE160" s="18"/>
      <c r="DF160" s="18"/>
      <c r="DG160" s="18"/>
      <c r="DH160" s="18"/>
      <c r="DI160" s="18"/>
      <c r="DJ160" s="18"/>
      <c r="DK160" s="18"/>
      <c r="DL160" s="18"/>
      <c r="DM160" s="18"/>
      <c r="DN160" s="18"/>
      <c r="DO160" s="18"/>
      <c r="DP160" s="18"/>
      <c r="DQ160" s="18"/>
      <c r="DR160" s="18"/>
      <c r="DS160" s="18"/>
      <c r="DT160" s="18"/>
      <c r="DU160" s="18"/>
      <c r="DV160" s="18"/>
      <c r="DW160" s="18"/>
      <c r="DX160" s="18"/>
      <c r="DY160" s="18"/>
      <c r="DZ160" s="18"/>
      <c r="EA160" s="18"/>
      <c r="EB160" s="18"/>
      <c r="EC160" s="18"/>
      <c r="ED160" s="18"/>
      <c r="EE160" s="18"/>
      <c r="EF160" s="18"/>
      <c r="EG160" s="18"/>
      <c r="EH160" s="18"/>
      <c r="EI160" s="18"/>
      <c r="EJ160" s="18"/>
      <c r="EK160" s="18"/>
      <c r="EL160" s="18"/>
      <c r="EM160" s="18"/>
      <c r="EN160" s="18"/>
      <c r="EO160" s="18"/>
      <c r="EP160" s="18"/>
      <c r="EQ160" s="18"/>
      <c r="ER160" s="18"/>
      <c r="ES160" s="18"/>
      <c r="ET160" s="18"/>
      <c r="EU160" s="18"/>
      <c r="EV160" s="18"/>
      <c r="EW160" s="18"/>
      <c r="EX160" s="18"/>
      <c r="EY160" s="18"/>
      <c r="EZ160" s="18"/>
      <c r="FA160" s="18"/>
      <c r="FB160" s="18"/>
      <c r="FC160" s="18"/>
      <c r="FD160" s="18"/>
      <c r="FE160" s="18"/>
      <c r="FF160" s="18"/>
      <c r="FG160" s="18"/>
      <c r="FH160" s="18"/>
      <c r="FI160" s="18"/>
      <c r="FJ160" s="18"/>
      <c r="FK160" s="18"/>
      <c r="FL160" s="18"/>
      <c r="FM160" s="18"/>
      <c r="FN160" s="18"/>
      <c r="FO160" s="18"/>
      <c r="FP160" s="18"/>
      <c r="FQ160" s="18"/>
      <c r="FR160" s="18"/>
      <c r="FS160" s="18"/>
      <c r="FT160" s="18"/>
      <c r="FU160" s="18"/>
      <c r="FV160" s="18"/>
      <c r="FW160" s="18"/>
      <c r="FX160" s="18"/>
      <c r="FY160" s="18"/>
      <c r="FZ160" s="18"/>
      <c r="GA160" s="18"/>
      <c r="GB160" s="18"/>
      <c r="GC160" s="18"/>
      <c r="GD160" s="18"/>
      <c r="GE160" s="18"/>
      <c r="GF160" s="18"/>
      <c r="GG160" s="18"/>
      <c r="GH160" s="18"/>
      <c r="GI160" s="18"/>
      <c r="GJ160" s="18"/>
      <c r="GK160" s="18"/>
      <c r="GL160" s="18"/>
      <c r="GM160" s="18"/>
      <c r="GN160" s="18"/>
      <c r="GO160" s="18"/>
      <c r="GP160" s="18"/>
      <c r="GQ160" s="18"/>
      <c r="GR160" s="18"/>
      <c r="GS160" s="18"/>
      <c r="GT160" s="18"/>
      <c r="GU160" s="18"/>
      <c r="GV160" s="18"/>
      <c r="GW160" s="18"/>
      <c r="GX160" s="18"/>
      <c r="GY160" s="18"/>
      <c r="GZ160" s="18"/>
      <c r="HA160" s="18"/>
      <c r="HB160" s="18"/>
      <c r="HC160" s="18"/>
      <c r="HD160" s="18"/>
      <c r="HE160" s="18"/>
      <c r="HF160" s="18"/>
      <c r="HG160" s="18"/>
      <c r="HH160" s="18"/>
      <c r="HI160" s="18"/>
      <c r="HJ160" s="18"/>
      <c r="HK160" s="18"/>
      <c r="HL160" s="18"/>
      <c r="HM160" s="18"/>
      <c r="HN160" s="18"/>
      <c r="HO160" s="18"/>
      <c r="HP160" s="18"/>
      <c r="HQ160" s="18"/>
      <c r="HR160" s="18"/>
      <c r="HS160" s="18"/>
      <c r="HT160" s="18"/>
      <c r="HU160" s="18"/>
      <c r="HV160" s="18"/>
      <c r="HW160" s="18"/>
      <c r="HX160" s="18"/>
      <c r="HY160" s="18"/>
      <c r="HZ160" s="18"/>
      <c r="IA160" s="18"/>
      <c r="IB160" s="18"/>
      <c r="IC160" s="18"/>
      <c r="ID160" s="18"/>
      <c r="IE160" s="18"/>
      <c r="IF160" s="18"/>
      <c r="IG160" s="18"/>
      <c r="IH160" s="18"/>
      <c r="II160" s="18"/>
      <c r="IJ160" s="18"/>
      <c r="IK160" s="18"/>
      <c r="IL160" s="18"/>
      <c r="IM160" s="18"/>
      <c r="IN160" s="18"/>
      <c r="IO160" s="18"/>
      <c r="IP160" s="18"/>
      <c r="IQ160" s="18"/>
      <c r="IR160" s="18"/>
      <c r="IS160" s="18"/>
      <c r="IT160" s="18"/>
      <c r="IU160" s="18"/>
      <c r="IV160" s="18"/>
      <c r="IW160" s="18"/>
      <c r="IX160" s="18"/>
      <c r="IY160" s="18"/>
      <c r="IZ160" s="18"/>
      <c r="JA160" s="18"/>
      <c r="JB160" s="18"/>
      <c r="JC160" s="18"/>
      <c r="JD160" s="18"/>
      <c r="JE160" s="18"/>
      <c r="JF160" s="18"/>
      <c r="JG160" s="18"/>
      <c r="JH160" s="18"/>
      <c r="JI160" s="18"/>
      <c r="JJ160" s="18"/>
      <c r="JK160" s="18"/>
      <c r="JL160" s="18"/>
      <c r="JM160" s="18"/>
      <c r="JN160" s="18"/>
      <c r="JO160" s="18"/>
      <c r="JP160" s="18"/>
      <c r="JQ160" s="18"/>
      <c r="JR160" s="18"/>
      <c r="JS160" s="18"/>
      <c r="JT160" s="18"/>
      <c r="JU160" s="18"/>
      <c r="JV160" s="18"/>
      <c r="JW160" s="18"/>
      <c r="JX160" s="18"/>
      <c r="JY160" s="18"/>
      <c r="JZ160" s="18"/>
      <c r="KA160" s="18"/>
      <c r="KB160" s="18"/>
      <c r="KC160" s="18"/>
      <c r="KD160" s="18"/>
      <c r="KE160" s="18"/>
      <c r="KF160" s="18"/>
      <c r="KG160" s="18"/>
      <c r="KH160" s="18"/>
      <c r="KI160" s="18"/>
      <c r="KJ160" s="18"/>
      <c r="KK160" s="18"/>
      <c r="KL160" s="18"/>
      <c r="KM160" s="18"/>
      <c r="KN160" s="18"/>
      <c r="KO160" s="18"/>
      <c r="KP160" s="18"/>
      <c r="KQ160" s="18"/>
      <c r="KR160" s="18"/>
      <c r="KS160" s="18"/>
      <c r="KT160" s="18"/>
      <c r="KU160" s="18"/>
      <c r="KV160" s="18"/>
      <c r="KW160" s="18"/>
      <c r="KX160" s="18"/>
      <c r="KY160" s="18"/>
      <c r="KZ160" s="18"/>
      <c r="LA160" s="18"/>
      <c r="LB160" s="18"/>
      <c r="LC160" s="18"/>
      <c r="LD160" s="18"/>
      <c r="LE160" s="18"/>
      <c r="LF160" s="18"/>
      <c r="LG160" s="18"/>
      <c r="LH160" s="18"/>
      <c r="LI160" s="18"/>
      <c r="LJ160" s="18"/>
      <c r="LK160" s="18"/>
      <c r="LL160" s="18"/>
      <c r="LM160" s="18"/>
      <c r="LN160" s="18"/>
      <c r="LO160" s="18"/>
      <c r="LP160" s="18"/>
      <c r="LQ160" s="18"/>
      <c r="LR160" s="18"/>
      <c r="LS160" s="18"/>
      <c r="LT160" s="18"/>
      <c r="LU160" s="18"/>
      <c r="LV160" s="18"/>
      <c r="LW160" s="18"/>
      <c r="LX160" s="18"/>
      <c r="LY160" s="18"/>
      <c r="LZ160" s="18"/>
      <c r="MA160" s="18"/>
      <c r="MB160" s="18"/>
      <c r="MC160" s="18"/>
      <c r="MD160" s="18"/>
      <c r="ME160" s="18"/>
      <c r="MF160" s="18"/>
      <c r="MG160" s="18"/>
      <c r="MH160" s="18"/>
      <c r="MI160" s="18"/>
      <c r="MJ160" s="18"/>
      <c r="MK160" s="18"/>
      <c r="ML160" s="18"/>
      <c r="MM160" s="18"/>
      <c r="MN160" s="18"/>
      <c r="MO160" s="18"/>
      <c r="MP160" s="18"/>
      <c r="MQ160" s="18"/>
      <c r="MR160" s="18"/>
      <c r="MS160" s="18"/>
      <c r="MT160" s="18"/>
      <c r="MU160" s="18"/>
      <c r="MV160" s="18"/>
      <c r="MW160" s="18"/>
      <c r="MX160" s="18"/>
      <c r="MY160" s="18"/>
      <c r="MZ160" s="18"/>
      <c r="NA160" s="18"/>
      <c r="NB160" s="18"/>
      <c r="NC160" s="18"/>
      <c r="ND160" s="18"/>
      <c r="NE160" s="18"/>
      <c r="NF160" s="18"/>
      <c r="NG160" s="18"/>
      <c r="NH160" s="18"/>
      <c r="NI160" s="18"/>
      <c r="NJ160" s="18"/>
      <c r="NK160" s="18"/>
      <c r="NL160" s="18"/>
      <c r="NM160" s="18"/>
      <c r="NN160" s="18"/>
      <c r="NO160" s="18"/>
      <c r="NP160" s="18"/>
      <c r="NQ160" s="18"/>
      <c r="NR160" s="18"/>
      <c r="NS160" s="18"/>
      <c r="NT160" s="18"/>
      <c r="NU160" s="18"/>
      <c r="NV160" s="18"/>
      <c r="NW160" s="18"/>
      <c r="NX160" s="18"/>
      <c r="NY160" s="18"/>
      <c r="NZ160" s="18"/>
      <c r="OA160" s="18"/>
      <c r="OB160" s="18"/>
      <c r="OC160" s="18"/>
      <c r="OD160" s="18"/>
      <c r="OE160" s="18"/>
      <c r="OF160" s="18"/>
      <c r="OG160" s="18"/>
      <c r="OH160" s="18"/>
      <c r="OI160" s="18"/>
      <c r="OJ160" s="18"/>
      <c r="OK160" s="18"/>
      <c r="OL160" s="18"/>
      <c r="OM160" s="18"/>
      <c r="ON160" s="18"/>
      <c r="OO160" s="18"/>
      <c r="OP160" s="18"/>
      <c r="OQ160" s="18"/>
      <c r="OR160" s="18"/>
      <c r="OS160" s="18"/>
      <c r="OT160" s="18"/>
      <c r="OU160" s="18"/>
      <c r="OV160" s="18"/>
      <c r="OW160" s="18"/>
      <c r="OX160" s="18"/>
      <c r="OY160" s="18"/>
      <c r="OZ160" s="18"/>
      <c r="PA160" s="18"/>
      <c r="PB160" s="18"/>
      <c r="PC160" s="18"/>
      <c r="PD160" s="18"/>
      <c r="PE160" s="18"/>
      <c r="PF160" s="18"/>
      <c r="PG160" s="18"/>
      <c r="PH160" s="18"/>
      <c r="PI160" s="18"/>
      <c r="PJ160" s="18"/>
      <c r="PK160" s="18"/>
      <c r="PL160" s="18"/>
      <c r="PM160" s="18"/>
      <c r="PN160" s="18"/>
      <c r="PO160" s="18"/>
      <c r="PP160" s="18"/>
      <c r="PQ160" s="18"/>
      <c r="PR160" s="18"/>
      <c r="PS160" s="18"/>
      <c r="PT160" s="18"/>
      <c r="PU160" s="18"/>
      <c r="PV160" s="18"/>
      <c r="PW160" s="18"/>
      <c r="PX160" s="18"/>
      <c r="PY160" s="18"/>
      <c r="PZ160" s="18"/>
      <c r="QA160" s="18"/>
      <c r="QB160" s="18"/>
      <c r="QC160" s="18"/>
      <c r="QD160" s="18"/>
      <c r="QE160" s="18"/>
      <c r="QF160" s="18"/>
      <c r="QG160" s="18"/>
      <c r="QH160" s="18"/>
      <c r="QI160" s="18"/>
      <c r="QJ160" s="18"/>
      <c r="QK160" s="18"/>
      <c r="QL160" s="18"/>
      <c r="QM160" s="18"/>
      <c r="QN160" s="18"/>
      <c r="QO160" s="18"/>
      <c r="QP160" s="18"/>
      <c r="QQ160" s="18"/>
      <c r="QR160" s="18"/>
      <c r="QS160" s="18"/>
      <c r="QT160" s="18"/>
      <c r="QU160" s="18"/>
      <c r="QV160" s="18"/>
      <c r="QW160" s="18"/>
      <c r="QX160" s="18"/>
      <c r="QY160" s="18"/>
      <c r="QZ160" s="18"/>
      <c r="RA160" s="18"/>
      <c r="RB160" s="18"/>
      <c r="RC160" s="18"/>
      <c r="RD160" s="18"/>
      <c r="RE160" s="18"/>
      <c r="RF160" s="18"/>
      <c r="RG160" s="18"/>
      <c r="RH160" s="18"/>
      <c r="RI160" s="18"/>
      <c r="RJ160" s="18"/>
      <c r="RK160" s="18"/>
      <c r="RL160" s="18"/>
      <c r="RM160" s="18"/>
      <c r="RN160" s="18"/>
      <c r="RO160" s="18"/>
      <c r="RP160" s="18"/>
      <c r="RQ160" s="18"/>
      <c r="RR160" s="18"/>
      <c r="RS160" s="18"/>
      <c r="RT160" s="18"/>
      <c r="RU160" s="18"/>
      <c r="RV160" s="18"/>
      <c r="RW160" s="18"/>
      <c r="RX160" s="18"/>
      <c r="RY160" s="18"/>
      <c r="RZ160" s="18"/>
      <c r="SA160" s="18"/>
      <c r="SB160" s="18"/>
      <c r="SS160" s="138">
        <f t="shared" si="1618"/>
        <v>0</v>
      </c>
      <c r="ST160" s="108">
        <f t="shared" si="1619"/>
        <v>0</v>
      </c>
      <c r="SU160" s="108">
        <f t="shared" si="1620"/>
        <v>0</v>
      </c>
      <c r="SV160" s="108">
        <f t="shared" si="1621"/>
        <v>0</v>
      </c>
      <c r="SW160" s="108">
        <f t="shared" si="1622"/>
        <v>0</v>
      </c>
      <c r="SX160" s="108">
        <f t="shared" si="1622"/>
        <v>0</v>
      </c>
      <c r="SY160" s="108">
        <f t="shared" si="1622"/>
        <v>0</v>
      </c>
      <c r="SZ160" s="108">
        <f t="shared" si="1622"/>
        <v>0</v>
      </c>
      <c r="TA160" s="108">
        <f t="shared" si="1622"/>
        <v>0</v>
      </c>
      <c r="TB160" s="108">
        <f t="shared" si="1622"/>
        <v>0</v>
      </c>
      <c r="TC160" s="108">
        <f t="shared" si="1622"/>
        <v>0</v>
      </c>
      <c r="TD160" s="108">
        <f t="shared" si="1622"/>
        <v>0</v>
      </c>
      <c r="TE160" s="108">
        <f t="shared" si="1622"/>
        <v>0</v>
      </c>
      <c r="TF160" s="108">
        <f t="shared" si="1622"/>
        <v>0</v>
      </c>
      <c r="TG160" s="108">
        <f t="shared" si="1622"/>
        <v>0</v>
      </c>
      <c r="TH160" s="108">
        <f t="shared" si="1622"/>
        <v>0</v>
      </c>
      <c r="TI160" s="108">
        <f t="shared" si="1622"/>
        <v>0</v>
      </c>
      <c r="TJ160" s="108">
        <f t="shared" si="1622"/>
        <v>0</v>
      </c>
      <c r="TK160" s="108">
        <f t="shared" si="1622"/>
        <v>0</v>
      </c>
      <c r="TL160" s="108">
        <f t="shared" si="1622"/>
        <v>0</v>
      </c>
      <c r="TM160" s="108">
        <f t="shared" si="1622"/>
        <v>0</v>
      </c>
      <c r="TN160" s="108">
        <f t="shared" si="1622"/>
        <v>0</v>
      </c>
      <c r="TO160" s="108">
        <f t="shared" si="1622"/>
        <v>0</v>
      </c>
      <c r="TP160" s="108">
        <f t="shared" si="1622"/>
        <v>0</v>
      </c>
      <c r="TQ160" s="108">
        <f t="shared" si="1622"/>
        <v>0</v>
      </c>
      <c r="TR160" s="108">
        <f t="shared" si="1622"/>
        <v>0</v>
      </c>
      <c r="TS160" s="108">
        <f t="shared" si="1622"/>
        <v>0</v>
      </c>
      <c r="TT160" s="108">
        <f t="shared" si="1622"/>
        <v>0</v>
      </c>
      <c r="TU160" s="108">
        <f t="shared" si="1622"/>
        <v>0</v>
      </c>
      <c r="TV160" s="108">
        <f t="shared" si="1622"/>
        <v>0</v>
      </c>
      <c r="TW160" s="108">
        <f t="shared" si="1622"/>
        <v>0</v>
      </c>
      <c r="TX160" s="108">
        <f t="shared" si="1622"/>
        <v>0</v>
      </c>
      <c r="TY160" s="108">
        <f t="shared" si="1622"/>
        <v>0</v>
      </c>
      <c r="TZ160" s="108">
        <f t="shared" si="1622"/>
        <v>0</v>
      </c>
      <c r="UA160" s="108">
        <f t="shared" si="1622"/>
        <v>0</v>
      </c>
      <c r="UB160" s="108">
        <f t="shared" si="1622"/>
        <v>0</v>
      </c>
      <c r="UC160" s="108">
        <f t="shared" si="1622"/>
        <v>0</v>
      </c>
      <c r="UD160" s="108">
        <f t="shared" si="1622"/>
        <v>0</v>
      </c>
      <c r="UE160" s="108">
        <f t="shared" si="1622"/>
        <v>0</v>
      </c>
      <c r="UF160" s="108">
        <f t="shared" si="1622"/>
        <v>0</v>
      </c>
      <c r="UG160" s="108">
        <f t="shared" si="1622"/>
        <v>0</v>
      </c>
      <c r="UH160" s="108">
        <f t="shared" si="1622"/>
        <v>0</v>
      </c>
      <c r="UI160" s="108">
        <f t="shared" si="1622"/>
        <v>0</v>
      </c>
      <c r="UJ160" s="108">
        <f t="shared" si="1622"/>
        <v>0</v>
      </c>
      <c r="UK160" s="108">
        <f t="shared" si="1622"/>
        <v>0</v>
      </c>
      <c r="UL160" s="108">
        <f t="shared" si="1622"/>
        <v>0</v>
      </c>
      <c r="UM160" s="108">
        <f t="shared" si="1622"/>
        <v>0</v>
      </c>
      <c r="UN160" s="108">
        <f t="shared" si="1622"/>
        <v>0</v>
      </c>
      <c r="UO160" s="108">
        <f t="shared" si="1622"/>
        <v>0</v>
      </c>
      <c r="UP160" s="108">
        <f t="shared" si="1622"/>
        <v>0</v>
      </c>
      <c r="UQ160" s="108">
        <f t="shared" si="1622"/>
        <v>0</v>
      </c>
      <c r="UR160" s="145">
        <f t="shared" si="1622"/>
        <v>0</v>
      </c>
      <c r="US160" s="145">
        <f t="shared" si="1622"/>
        <v>0</v>
      </c>
      <c r="UT160" s="145">
        <f t="shared" si="1622"/>
        <v>0</v>
      </c>
      <c r="UU160" s="145">
        <f t="shared" si="1622"/>
        <v>0</v>
      </c>
      <c r="UV160" s="145">
        <f t="shared" si="1622"/>
        <v>0</v>
      </c>
      <c r="UW160" s="145">
        <f t="shared" si="1622"/>
        <v>0</v>
      </c>
      <c r="UX160" s="145">
        <f t="shared" si="1622"/>
        <v>0</v>
      </c>
      <c r="UY160" s="145">
        <f t="shared" si="1622"/>
        <v>0</v>
      </c>
      <c r="UZ160" s="145">
        <f t="shared" si="1622"/>
        <v>0</v>
      </c>
      <c r="VA160" s="145">
        <f t="shared" si="1622"/>
        <v>0</v>
      </c>
      <c r="VB160" s="145">
        <f t="shared" si="1622"/>
        <v>0</v>
      </c>
      <c r="VC160" s="145">
        <f t="shared" si="1622"/>
        <v>0</v>
      </c>
      <c r="VD160" s="145">
        <f t="shared" si="1622"/>
        <v>0</v>
      </c>
      <c r="VE160" s="145">
        <f t="shared" ref="VE160:VE169" si="1629">BO30</f>
        <v>0</v>
      </c>
      <c r="VF160" s="145">
        <f t="shared" si="1623"/>
        <v>0</v>
      </c>
      <c r="VG160" s="145">
        <f t="shared" si="1623"/>
        <v>0</v>
      </c>
      <c r="VH160" s="145">
        <f t="shared" si="1623"/>
        <v>0</v>
      </c>
      <c r="VI160" s="145">
        <f t="shared" si="1623"/>
        <v>0</v>
      </c>
      <c r="VJ160" s="145">
        <f t="shared" si="1623"/>
        <v>0</v>
      </c>
      <c r="VK160" s="145">
        <f t="shared" si="1623"/>
        <v>0</v>
      </c>
      <c r="VL160" s="145">
        <f t="shared" si="1623"/>
        <v>0</v>
      </c>
      <c r="VM160" s="145">
        <f t="shared" si="1623"/>
        <v>0</v>
      </c>
      <c r="VN160" s="145">
        <f t="shared" si="1623"/>
        <v>0</v>
      </c>
      <c r="VO160" s="146">
        <f t="shared" si="1623"/>
        <v>0</v>
      </c>
      <c r="VP160" s="146">
        <f t="shared" si="1623"/>
        <v>0</v>
      </c>
      <c r="VQ160" s="146">
        <f t="shared" si="1623"/>
        <v>0</v>
      </c>
      <c r="VR160" s="146">
        <f t="shared" si="1623"/>
        <v>0</v>
      </c>
      <c r="VS160" s="146">
        <f t="shared" si="1623"/>
        <v>0</v>
      </c>
      <c r="VT160" s="146">
        <f t="shared" si="1623"/>
        <v>0</v>
      </c>
      <c r="VU160" s="146">
        <f t="shared" si="1623"/>
        <v>0</v>
      </c>
      <c r="VV160" s="146">
        <f t="shared" si="1623"/>
        <v>0</v>
      </c>
      <c r="VW160" s="146">
        <f t="shared" si="1623"/>
        <v>0</v>
      </c>
      <c r="VX160" s="146">
        <f t="shared" si="1623"/>
        <v>0</v>
      </c>
      <c r="VY160" s="146">
        <f t="shared" si="1623"/>
        <v>0</v>
      </c>
      <c r="VZ160" s="146">
        <f t="shared" si="1623"/>
        <v>0</v>
      </c>
      <c r="WA160" s="146">
        <f t="shared" si="1623"/>
        <v>0</v>
      </c>
      <c r="WB160" s="146">
        <f t="shared" si="1623"/>
        <v>0</v>
      </c>
      <c r="WC160" s="146">
        <f t="shared" si="1623"/>
        <v>0</v>
      </c>
      <c r="WD160" s="146">
        <f t="shared" si="1623"/>
        <v>0</v>
      </c>
      <c r="WE160" s="146">
        <f t="shared" si="1623"/>
        <v>0</v>
      </c>
      <c r="WF160" s="146">
        <f t="shared" si="1623"/>
        <v>0</v>
      </c>
      <c r="WG160" s="146">
        <f t="shared" si="1623"/>
        <v>0</v>
      </c>
      <c r="WH160" s="146">
        <f t="shared" si="1623"/>
        <v>0</v>
      </c>
      <c r="WI160" s="146">
        <f t="shared" si="1623"/>
        <v>0</v>
      </c>
      <c r="WJ160" s="146">
        <f t="shared" si="1623"/>
        <v>0</v>
      </c>
      <c r="WK160" s="146">
        <f t="shared" si="1623"/>
        <v>0</v>
      </c>
      <c r="WL160" s="146">
        <f t="shared" si="1623"/>
        <v>0</v>
      </c>
      <c r="WM160" s="146">
        <f t="shared" si="1623"/>
        <v>0</v>
      </c>
      <c r="WN160" s="146">
        <f t="shared" si="1623"/>
        <v>0</v>
      </c>
      <c r="WO160" s="146">
        <f t="shared" si="1623"/>
        <v>0</v>
      </c>
      <c r="WP160" s="146">
        <f t="shared" si="1623"/>
        <v>0</v>
      </c>
      <c r="WQ160" s="156">
        <f t="shared" si="1623"/>
        <v>0</v>
      </c>
      <c r="WR160" s="156">
        <f t="shared" si="1623"/>
        <v>0</v>
      </c>
      <c r="WS160" s="156">
        <f t="shared" si="1623"/>
        <v>0</v>
      </c>
      <c r="WT160" s="156">
        <f t="shared" si="1623"/>
        <v>0</v>
      </c>
      <c r="WU160" s="156">
        <f t="shared" si="1623"/>
        <v>0</v>
      </c>
      <c r="WV160" s="156">
        <f t="shared" si="1623"/>
        <v>0</v>
      </c>
      <c r="WW160" s="156">
        <f t="shared" si="1623"/>
        <v>0</v>
      </c>
      <c r="WX160" s="156">
        <f t="shared" si="1623"/>
        <v>0</v>
      </c>
      <c r="WY160" s="156">
        <f t="shared" si="1623"/>
        <v>0</v>
      </c>
      <c r="WZ160" s="156">
        <f t="shared" si="1623"/>
        <v>0</v>
      </c>
      <c r="XA160" s="156">
        <f t="shared" si="1623"/>
        <v>0</v>
      </c>
      <c r="XB160" s="156">
        <f t="shared" si="1623"/>
        <v>0</v>
      </c>
      <c r="XC160" s="156">
        <f t="shared" si="1623"/>
        <v>0</v>
      </c>
      <c r="XD160" s="156">
        <f t="shared" si="1623"/>
        <v>0</v>
      </c>
      <c r="XE160" s="156">
        <f t="shared" si="1623"/>
        <v>0</v>
      </c>
      <c r="XF160" s="156">
        <f t="shared" si="1623"/>
        <v>0</v>
      </c>
      <c r="XG160" s="156">
        <f t="shared" si="1623"/>
        <v>0</v>
      </c>
      <c r="XH160" s="156">
        <f t="shared" si="1623"/>
        <v>0</v>
      </c>
      <c r="XI160" s="156">
        <f t="shared" si="1623"/>
        <v>0</v>
      </c>
      <c r="XJ160" s="156">
        <f t="shared" si="1623"/>
        <v>0</v>
      </c>
      <c r="XK160" s="156">
        <f t="shared" si="1623"/>
        <v>0</v>
      </c>
      <c r="XL160" s="156">
        <f t="shared" si="1623"/>
        <v>0</v>
      </c>
      <c r="XM160" s="156">
        <f t="shared" si="1623"/>
        <v>0</v>
      </c>
      <c r="XN160" s="156">
        <f t="shared" si="1623"/>
        <v>0</v>
      </c>
      <c r="XO160" s="156">
        <f t="shared" si="1623"/>
        <v>0</v>
      </c>
      <c r="XP160" s="156">
        <f t="shared" si="1623"/>
        <v>0</v>
      </c>
      <c r="XQ160" s="178">
        <f t="shared" ref="XQ160:XQ169" si="1630">EA30</f>
        <v>0</v>
      </c>
      <c r="XR160" s="181">
        <f t="shared" si="1624"/>
        <v>24.185735913858924</v>
      </c>
      <c r="XS160" s="177">
        <f t="shared" si="1624"/>
        <v>0</v>
      </c>
      <c r="XT160" s="181">
        <f t="shared" si="1624"/>
        <v>24.082193323306559</v>
      </c>
      <c r="XU160" s="155">
        <f t="shared" si="1624"/>
        <v>0</v>
      </c>
      <c r="XV160" s="156">
        <f t="shared" si="1624"/>
        <v>0</v>
      </c>
      <c r="XW160" s="156">
        <f t="shared" si="1624"/>
        <v>0</v>
      </c>
      <c r="XX160" s="178">
        <f t="shared" si="1624"/>
        <v>0</v>
      </c>
      <c r="XY160" s="181">
        <f t="shared" si="1624"/>
        <v>23.834369382163725</v>
      </c>
      <c r="XZ160" s="177">
        <f t="shared" si="1627"/>
        <v>0</v>
      </c>
      <c r="YA160" s="181">
        <f t="shared" si="1625"/>
        <v>23.729612561855234</v>
      </c>
      <c r="YB160" s="155">
        <f t="shared" si="1625"/>
        <v>0</v>
      </c>
      <c r="YC160" s="156">
        <f t="shared" si="1625"/>
        <v>0</v>
      </c>
      <c r="YD160" s="156">
        <f t="shared" si="1625"/>
        <v>0</v>
      </c>
      <c r="YE160" s="178">
        <f t="shared" si="1625"/>
        <v>0</v>
      </c>
      <c r="YF160" s="181">
        <f t="shared" si="1625"/>
        <v>23.481493552061213</v>
      </c>
      <c r="YG160" s="177">
        <f t="shared" si="1625"/>
        <v>0</v>
      </c>
      <c r="YH160" s="181">
        <f t="shared" si="1625"/>
        <v>23.372038483450538</v>
      </c>
      <c r="YI160" s="155">
        <f t="shared" si="1625"/>
        <v>0</v>
      </c>
      <c r="YJ160" s="156">
        <f t="shared" si="1625"/>
        <v>0</v>
      </c>
      <c r="YK160" s="156">
        <f t="shared" si="1625"/>
        <v>0</v>
      </c>
      <c r="YL160" s="178">
        <f t="shared" si="1625"/>
        <v>0</v>
      </c>
      <c r="YM160" s="181">
        <f t="shared" si="1628"/>
        <v>23.116065489904333</v>
      </c>
      <c r="YN160" s="177">
        <f t="shared" si="1626"/>
        <v>0</v>
      </c>
      <c r="YO160" s="181">
        <f t="shared" si="1626"/>
        <v>22.977554025488825</v>
      </c>
      <c r="YP160" s="119"/>
      <c r="YQ160" s="119"/>
      <c r="YR160" s="119"/>
      <c r="YS160" s="119"/>
      <c r="YT160" s="119"/>
      <c r="YU160" s="119"/>
      <c r="YV160" s="119"/>
      <c r="YW160" s="119"/>
      <c r="YX160" s="119"/>
      <c r="YY160" s="119"/>
      <c r="YZ160" s="119"/>
      <c r="ZA160" s="119"/>
      <c r="ZB160" s="119"/>
      <c r="ZC160" s="119"/>
      <c r="ZD160" s="119"/>
      <c r="ZE160" s="119"/>
      <c r="ZF160" s="119"/>
      <c r="ZG160" s="119"/>
      <c r="ZH160" s="119"/>
      <c r="ZI160" s="119"/>
      <c r="ZJ160" s="119"/>
      <c r="ZK160" s="119"/>
      <c r="ZL160" s="119"/>
      <c r="ZM160" s="119"/>
      <c r="ZN160" s="119"/>
      <c r="ZO160" s="119"/>
      <c r="ZP160" s="119"/>
      <c r="ZQ160" s="119"/>
      <c r="ZR160" s="119"/>
      <c r="ZS160" s="119"/>
      <c r="ZT160" s="119"/>
    </row>
    <row r="161" spans="1:738" ht="19.5" thickBot="1" x14ac:dyDescent="0.3">
      <c r="A161" s="298"/>
      <c r="B161" s="25" t="s">
        <v>2</v>
      </c>
      <c r="BY161" s="18"/>
      <c r="BZ161" s="18"/>
      <c r="CA161" s="18"/>
      <c r="CB161" s="18"/>
      <c r="CC161" s="18"/>
      <c r="CD161" s="18"/>
      <c r="CE161" s="18"/>
      <c r="CF161" s="18"/>
      <c r="CG161" s="18"/>
      <c r="CH161" s="18"/>
      <c r="CI161" s="18"/>
      <c r="CJ161" s="18"/>
      <c r="CK161" s="18"/>
      <c r="CL161" s="18"/>
      <c r="CM161" s="18"/>
      <c r="CN161" s="18"/>
      <c r="CO161" s="18"/>
      <c r="CP161" s="18"/>
      <c r="CQ161" s="18"/>
      <c r="CR161" s="18"/>
      <c r="CS161" s="18"/>
      <c r="CT161" s="18"/>
      <c r="CU161" s="18"/>
      <c r="CV161" s="18"/>
      <c r="CW161" s="18"/>
      <c r="CX161" s="18"/>
      <c r="CY161" s="18"/>
      <c r="CZ161" s="18"/>
      <c r="DA161" s="18"/>
      <c r="DB161" s="18"/>
      <c r="DC161" s="18"/>
      <c r="DD161" s="18"/>
      <c r="DE161" s="18"/>
      <c r="DF161" s="18"/>
      <c r="DG161" s="18"/>
      <c r="DH161" s="18"/>
      <c r="DI161" s="18"/>
      <c r="DJ161" s="18"/>
      <c r="DK161" s="18"/>
      <c r="DL161" s="18"/>
      <c r="DM161" s="18"/>
      <c r="DN161" s="18"/>
      <c r="DO161" s="18"/>
      <c r="DP161" s="18"/>
      <c r="DQ161" s="18"/>
      <c r="DR161" s="18"/>
      <c r="DS161" s="18"/>
      <c r="DT161" s="18"/>
      <c r="DU161" s="18"/>
      <c r="DV161" s="18"/>
      <c r="DW161" s="18"/>
      <c r="DX161" s="18"/>
      <c r="DY161" s="18"/>
      <c r="DZ161" s="18"/>
      <c r="EA161" s="18"/>
      <c r="EB161" s="18"/>
      <c r="EC161" s="18"/>
      <c r="ED161" s="18"/>
      <c r="EE161" s="18"/>
      <c r="EF161" s="18"/>
      <c r="EG161" s="18"/>
      <c r="EH161" s="18"/>
      <c r="EI161" s="18"/>
      <c r="EJ161" s="18"/>
      <c r="EK161" s="18"/>
      <c r="EL161" s="18"/>
      <c r="EM161" s="18"/>
      <c r="EN161" s="18"/>
      <c r="EO161" s="18"/>
      <c r="EP161" s="18"/>
      <c r="EQ161" s="18"/>
      <c r="ER161" s="18"/>
      <c r="ES161" s="18"/>
      <c r="ET161" s="18"/>
      <c r="EU161" s="18"/>
      <c r="EV161" s="18"/>
      <c r="EW161" s="18"/>
      <c r="EX161" s="18"/>
      <c r="EY161" s="18"/>
      <c r="EZ161" s="18"/>
      <c r="FA161" s="18"/>
      <c r="FB161" s="18"/>
      <c r="FC161" s="18"/>
      <c r="FD161" s="18"/>
      <c r="FE161" s="18"/>
      <c r="FF161" s="18"/>
      <c r="FG161" s="18"/>
      <c r="FH161" s="18"/>
      <c r="FI161" s="18"/>
      <c r="FJ161" s="18"/>
      <c r="FK161" s="18"/>
      <c r="FL161" s="18"/>
      <c r="FM161" s="18"/>
      <c r="FN161" s="18"/>
      <c r="FO161" s="18"/>
      <c r="FP161" s="18"/>
      <c r="FQ161" s="18"/>
      <c r="FR161" s="18"/>
      <c r="FS161" s="18"/>
      <c r="FT161" s="18"/>
      <c r="FU161" s="18"/>
      <c r="FV161" s="18"/>
      <c r="FW161" s="18"/>
      <c r="FX161" s="18"/>
      <c r="FY161" s="18"/>
      <c r="FZ161" s="18"/>
      <c r="GA161" s="18"/>
      <c r="GB161" s="18"/>
      <c r="GC161" s="18"/>
      <c r="GD161" s="18"/>
      <c r="GE161" s="18"/>
      <c r="GF161" s="18"/>
      <c r="GG161" s="18"/>
      <c r="GH161" s="18"/>
      <c r="GI161" s="18"/>
      <c r="GJ161" s="18"/>
      <c r="GK161" s="18"/>
      <c r="GL161" s="18"/>
      <c r="GM161" s="18"/>
      <c r="GN161" s="18"/>
      <c r="GO161" s="18"/>
      <c r="GP161" s="18"/>
      <c r="GQ161" s="18"/>
      <c r="GR161" s="18"/>
      <c r="GS161" s="18"/>
      <c r="GT161" s="18"/>
      <c r="GU161" s="18"/>
      <c r="GV161" s="18"/>
      <c r="GW161" s="18"/>
      <c r="GX161" s="18"/>
      <c r="GY161" s="18"/>
      <c r="GZ161" s="18"/>
      <c r="HA161" s="18"/>
      <c r="HB161" s="18"/>
      <c r="HC161" s="18"/>
      <c r="HD161" s="18"/>
      <c r="HE161" s="18"/>
      <c r="HF161" s="18"/>
      <c r="HG161" s="18"/>
      <c r="HH161" s="18"/>
      <c r="HI161" s="18"/>
      <c r="HJ161" s="18"/>
      <c r="HK161" s="18"/>
      <c r="HL161" s="18"/>
      <c r="HM161" s="18"/>
      <c r="HN161" s="18"/>
      <c r="HO161" s="18"/>
      <c r="HP161" s="18"/>
      <c r="HQ161" s="18"/>
      <c r="HR161" s="18"/>
      <c r="HS161" s="18"/>
      <c r="HT161" s="18"/>
      <c r="HU161" s="18"/>
      <c r="HV161" s="18"/>
      <c r="HW161" s="18"/>
      <c r="HX161" s="18"/>
      <c r="HY161" s="18"/>
      <c r="HZ161" s="18"/>
      <c r="IA161" s="18"/>
      <c r="IB161" s="18"/>
      <c r="IC161" s="18"/>
      <c r="ID161" s="18"/>
      <c r="IE161" s="18"/>
      <c r="IF161" s="18"/>
      <c r="IG161" s="18"/>
      <c r="IH161" s="18"/>
      <c r="II161" s="18"/>
      <c r="IJ161" s="18"/>
      <c r="IK161" s="18"/>
      <c r="IL161" s="18"/>
      <c r="IM161" s="18"/>
      <c r="IN161" s="18"/>
      <c r="IO161" s="18"/>
      <c r="IP161" s="18"/>
      <c r="IQ161" s="18"/>
      <c r="IR161" s="18"/>
      <c r="IS161" s="18"/>
      <c r="IT161" s="18"/>
      <c r="IU161" s="18"/>
      <c r="IV161" s="18"/>
      <c r="IW161" s="18"/>
      <c r="IX161" s="18"/>
      <c r="IY161" s="18"/>
      <c r="IZ161" s="18"/>
      <c r="JA161" s="18"/>
      <c r="JB161" s="18"/>
      <c r="JC161" s="18"/>
      <c r="JD161" s="18"/>
      <c r="JE161" s="18"/>
      <c r="JF161" s="18"/>
      <c r="JG161" s="18"/>
      <c r="JH161" s="18"/>
      <c r="JI161" s="18"/>
      <c r="JJ161" s="18"/>
      <c r="JK161" s="18"/>
      <c r="JL161" s="18"/>
      <c r="JM161" s="18"/>
      <c r="JN161" s="18"/>
      <c r="JO161" s="18"/>
      <c r="JP161" s="18"/>
      <c r="JQ161" s="18"/>
      <c r="JR161" s="18"/>
      <c r="JS161" s="18"/>
      <c r="JT161" s="18"/>
      <c r="JU161" s="18"/>
      <c r="JV161" s="18"/>
      <c r="JW161" s="18"/>
      <c r="JX161" s="18"/>
      <c r="JY161" s="18"/>
      <c r="JZ161" s="18"/>
      <c r="KA161" s="18"/>
      <c r="KB161" s="18"/>
      <c r="KC161" s="18"/>
      <c r="KD161" s="18"/>
      <c r="KE161" s="18"/>
      <c r="KF161" s="18"/>
      <c r="KG161" s="18"/>
      <c r="KH161" s="18"/>
      <c r="KI161" s="18"/>
      <c r="KJ161" s="18"/>
      <c r="KK161" s="18"/>
      <c r="KL161" s="18"/>
      <c r="KM161" s="18"/>
      <c r="KN161" s="18"/>
      <c r="KO161" s="18"/>
      <c r="KP161" s="18"/>
      <c r="KQ161" s="18"/>
      <c r="KR161" s="18"/>
      <c r="KS161" s="18"/>
      <c r="KT161" s="18"/>
      <c r="KU161" s="18"/>
      <c r="KV161" s="18"/>
      <c r="KW161" s="18"/>
      <c r="KX161" s="18"/>
      <c r="KY161" s="18"/>
      <c r="KZ161" s="18"/>
      <c r="LA161" s="18"/>
      <c r="LB161" s="18"/>
      <c r="LC161" s="18"/>
      <c r="LD161" s="18"/>
      <c r="LE161" s="18"/>
      <c r="LF161" s="18"/>
      <c r="LG161" s="18"/>
      <c r="LH161" s="18"/>
      <c r="LI161" s="18"/>
      <c r="LJ161" s="18"/>
      <c r="LK161" s="18"/>
      <c r="LL161" s="18"/>
      <c r="LM161" s="18"/>
      <c r="LN161" s="18"/>
      <c r="LO161" s="18"/>
      <c r="LP161" s="18"/>
      <c r="LQ161" s="18"/>
      <c r="LR161" s="18"/>
      <c r="LS161" s="18"/>
      <c r="LT161" s="18"/>
      <c r="LU161" s="18"/>
      <c r="LV161" s="18"/>
      <c r="LW161" s="18"/>
      <c r="LX161" s="18"/>
      <c r="LY161" s="18"/>
      <c r="LZ161" s="18"/>
      <c r="MA161" s="18"/>
      <c r="MB161" s="18"/>
      <c r="MC161" s="18"/>
      <c r="MD161" s="18"/>
      <c r="ME161" s="18"/>
      <c r="MF161" s="18"/>
      <c r="MG161" s="18"/>
      <c r="MH161" s="18"/>
      <c r="MI161" s="18"/>
      <c r="MJ161" s="18"/>
      <c r="MK161" s="18"/>
      <c r="ML161" s="18"/>
      <c r="MM161" s="18"/>
      <c r="MN161" s="18"/>
      <c r="MO161" s="18"/>
      <c r="MP161" s="18"/>
      <c r="MQ161" s="18"/>
      <c r="MR161" s="18"/>
      <c r="MS161" s="18"/>
      <c r="MT161" s="18"/>
      <c r="MU161" s="18"/>
      <c r="MV161" s="18"/>
      <c r="MW161" s="18"/>
      <c r="MX161" s="18"/>
      <c r="MY161" s="18"/>
      <c r="MZ161" s="18"/>
      <c r="NA161" s="18"/>
      <c r="NB161" s="18"/>
      <c r="NC161" s="18"/>
      <c r="ND161" s="18"/>
      <c r="NE161" s="18"/>
      <c r="NF161" s="18"/>
      <c r="NG161" s="18"/>
      <c r="NH161" s="18"/>
      <c r="NI161" s="18"/>
      <c r="NJ161" s="18"/>
      <c r="NK161" s="18"/>
      <c r="NL161" s="18"/>
      <c r="NM161" s="18"/>
      <c r="NN161" s="18"/>
      <c r="NO161" s="18"/>
      <c r="NP161" s="18"/>
      <c r="NQ161" s="18"/>
      <c r="NR161" s="18"/>
      <c r="NS161" s="18"/>
      <c r="NT161" s="18"/>
      <c r="NU161" s="18"/>
      <c r="NV161" s="18"/>
      <c r="NW161" s="18"/>
      <c r="NX161" s="18"/>
      <c r="NY161" s="18"/>
      <c r="NZ161" s="18"/>
      <c r="OA161" s="18"/>
      <c r="OB161" s="18"/>
      <c r="OC161" s="18"/>
      <c r="OD161" s="18"/>
      <c r="OE161" s="18"/>
      <c r="OF161" s="18"/>
      <c r="OG161" s="18"/>
      <c r="OH161" s="18"/>
      <c r="OI161" s="18"/>
      <c r="OJ161" s="18"/>
      <c r="OK161" s="18"/>
      <c r="OL161" s="18"/>
      <c r="OM161" s="18"/>
      <c r="ON161" s="18"/>
      <c r="OO161" s="18"/>
      <c r="OP161" s="18"/>
      <c r="OQ161" s="18"/>
      <c r="OR161" s="18"/>
      <c r="OS161" s="18"/>
      <c r="OT161" s="18"/>
      <c r="OU161" s="18"/>
      <c r="OV161" s="18"/>
      <c r="OW161" s="18"/>
      <c r="OX161" s="18"/>
      <c r="OY161" s="18"/>
      <c r="OZ161" s="18"/>
      <c r="PA161" s="18"/>
      <c r="PB161" s="18"/>
      <c r="PC161" s="18"/>
      <c r="PD161" s="18"/>
      <c r="PE161" s="18"/>
      <c r="PF161" s="18"/>
      <c r="PG161" s="18"/>
      <c r="PH161" s="18"/>
      <c r="PI161" s="18"/>
      <c r="PJ161" s="18"/>
      <c r="PK161" s="18"/>
      <c r="PL161" s="18"/>
      <c r="PM161" s="18"/>
      <c r="PN161" s="18"/>
      <c r="PO161" s="18"/>
      <c r="PP161" s="18"/>
      <c r="PQ161" s="18"/>
      <c r="PR161" s="18"/>
      <c r="PS161" s="18"/>
      <c r="PT161" s="18"/>
      <c r="PU161" s="18"/>
      <c r="PV161" s="18"/>
      <c r="PW161" s="18"/>
      <c r="PX161" s="18"/>
      <c r="PY161" s="18"/>
      <c r="PZ161" s="18"/>
      <c r="QA161" s="18"/>
      <c r="QB161" s="18"/>
      <c r="QC161" s="18"/>
      <c r="QD161" s="18"/>
      <c r="QE161" s="18"/>
      <c r="QF161" s="18"/>
      <c r="QG161" s="18"/>
      <c r="QH161" s="18"/>
      <c r="QI161" s="18"/>
      <c r="QJ161" s="18"/>
      <c r="QK161" s="18"/>
      <c r="QL161" s="18"/>
      <c r="QM161" s="18"/>
      <c r="QN161" s="18"/>
      <c r="QO161" s="18"/>
      <c r="QP161" s="18"/>
      <c r="QQ161" s="18"/>
      <c r="QR161" s="18"/>
      <c r="QS161" s="18"/>
      <c r="QT161" s="18"/>
      <c r="QU161" s="18"/>
      <c r="QV161" s="18"/>
      <c r="QW161" s="18"/>
      <c r="QX161" s="18"/>
      <c r="QY161" s="18"/>
      <c r="QZ161" s="18"/>
      <c r="RA161" s="18"/>
      <c r="RB161" s="18"/>
      <c r="RC161" s="18"/>
      <c r="RD161" s="18"/>
      <c r="RE161" s="18"/>
      <c r="RF161" s="18"/>
      <c r="RG161" s="18"/>
      <c r="RH161" s="18"/>
      <c r="RI161" s="18"/>
      <c r="RJ161" s="18"/>
      <c r="RK161" s="18"/>
      <c r="RL161" s="18"/>
      <c r="RM161" s="18"/>
      <c r="RN161" s="18"/>
      <c r="RO161" s="18"/>
      <c r="RP161" s="18"/>
      <c r="RQ161" s="18"/>
      <c r="RR161" s="18"/>
      <c r="RS161" s="18"/>
      <c r="RT161" s="18"/>
      <c r="RU161" s="18"/>
      <c r="RV161" s="18"/>
      <c r="RW161" s="18"/>
      <c r="RX161" s="18"/>
      <c r="RY161" s="18"/>
      <c r="RZ161" s="18"/>
      <c r="SA161" s="18"/>
      <c r="SB161" s="18"/>
      <c r="SS161" s="135">
        <f t="shared" si="1618"/>
        <v>2E-3</v>
      </c>
      <c r="ST161" s="112">
        <f t="shared" si="1619"/>
        <v>2E-3</v>
      </c>
      <c r="SU161" s="113">
        <f t="shared" si="1620"/>
        <v>2E-3</v>
      </c>
      <c r="SV161" s="113">
        <f t="shared" si="1621"/>
        <v>2E-3</v>
      </c>
      <c r="SW161" s="113">
        <f t="shared" ref="SW161:SW169" si="1631">G31</f>
        <v>2E-3</v>
      </c>
      <c r="SX161" s="113">
        <f t="shared" ref="SX161:SX169" si="1632">H31</f>
        <v>2E-3</v>
      </c>
      <c r="SY161" s="113">
        <f t="shared" ref="SY161:SY169" si="1633">I31</f>
        <v>2E-3</v>
      </c>
      <c r="SZ161" s="113">
        <f t="shared" ref="SZ161:SZ169" si="1634">J31</f>
        <v>2E-3</v>
      </c>
      <c r="TA161" s="113">
        <f t="shared" ref="TA161:TA169" si="1635">K31</f>
        <v>2E-3</v>
      </c>
      <c r="TB161" s="113">
        <f t="shared" ref="TB161:TB169" si="1636">L31</f>
        <v>2E-3</v>
      </c>
      <c r="TC161" s="113">
        <f t="shared" ref="TC161:TC169" si="1637">M31</f>
        <v>2E-3</v>
      </c>
      <c r="TD161" s="113">
        <f t="shared" ref="TD161:TD169" si="1638">N31</f>
        <v>2E-3</v>
      </c>
      <c r="TE161" s="113">
        <f t="shared" ref="TE161:TE169" si="1639">O31</f>
        <v>2E-3</v>
      </c>
      <c r="TF161" s="113">
        <f t="shared" ref="TF161:TF169" si="1640">P31</f>
        <v>2E-3</v>
      </c>
      <c r="TG161" s="113">
        <f t="shared" ref="TG161:TG169" si="1641">Q31</f>
        <v>2E-3</v>
      </c>
      <c r="TH161" s="113">
        <f t="shared" ref="TH161:TH169" si="1642">R31</f>
        <v>2E-3</v>
      </c>
      <c r="TI161" s="113">
        <f t="shared" ref="TI161:TI169" si="1643">S31</f>
        <v>2E-3</v>
      </c>
      <c r="TJ161" s="113">
        <f t="shared" ref="TJ161:TJ169" si="1644">T31</f>
        <v>2E-3</v>
      </c>
      <c r="TK161" s="113">
        <f t="shared" ref="TK161:TK169" si="1645">U31</f>
        <v>2E-3</v>
      </c>
      <c r="TL161" s="113">
        <f t="shared" ref="TL161:TL169" si="1646">V31</f>
        <v>2E-3</v>
      </c>
      <c r="TM161" s="113">
        <f t="shared" ref="TM161:TM169" si="1647">W31</f>
        <v>2E-3</v>
      </c>
      <c r="TN161" s="113">
        <f t="shared" ref="TN161:TN169" si="1648">X31</f>
        <v>2E-3</v>
      </c>
      <c r="TO161" s="113">
        <f t="shared" ref="TO161:TO169" si="1649">Y31</f>
        <v>2E-3</v>
      </c>
      <c r="TP161" s="113">
        <f t="shared" ref="TP161:TP169" si="1650">Z31</f>
        <v>2E-3</v>
      </c>
      <c r="TQ161" s="113">
        <f t="shared" ref="TQ161:TQ169" si="1651">AA31</f>
        <v>2E-3</v>
      </c>
      <c r="TR161" s="113">
        <f t="shared" ref="TR161:TR169" si="1652">AB31</f>
        <v>2E-3</v>
      </c>
      <c r="TS161" s="113">
        <f t="shared" ref="TS161:TS169" si="1653">AC31</f>
        <v>2E-3</v>
      </c>
      <c r="TT161" s="113">
        <f t="shared" ref="TT161:TT169" si="1654">AD31</f>
        <v>2E-3</v>
      </c>
      <c r="TU161" s="113">
        <f t="shared" ref="TU161:TU169" si="1655">AE31</f>
        <v>2E-3</v>
      </c>
      <c r="TV161" s="113">
        <f t="shared" ref="TV161:TV169" si="1656">AF31</f>
        <v>2E-3</v>
      </c>
      <c r="TW161" s="113">
        <f t="shared" ref="TW161:TW169" si="1657">AG31</f>
        <v>2E-3</v>
      </c>
      <c r="TX161" s="113">
        <f t="shared" ref="TX161:TX169" si="1658">AH31</f>
        <v>2E-3</v>
      </c>
      <c r="TY161" s="113">
        <f t="shared" ref="TY161:TY169" si="1659">AI31</f>
        <v>2E-3</v>
      </c>
      <c r="TZ161" s="113">
        <f t="shared" ref="TZ161:TZ169" si="1660">AJ31</f>
        <v>2E-3</v>
      </c>
      <c r="UA161" s="113">
        <f t="shared" ref="UA161:UA169" si="1661">AK31</f>
        <v>2E-3</v>
      </c>
      <c r="UB161" s="113">
        <f t="shared" ref="UB161:UB169" si="1662">AL31</f>
        <v>2E-3</v>
      </c>
      <c r="UC161" s="113">
        <f t="shared" ref="UC161:UC169" si="1663">AM31</f>
        <v>2E-3</v>
      </c>
      <c r="UD161" s="113">
        <f t="shared" ref="UD161:UD169" si="1664">AN31</f>
        <v>2E-3</v>
      </c>
      <c r="UE161" s="113">
        <f t="shared" ref="UE161:UE169" si="1665">AO31</f>
        <v>2E-3</v>
      </c>
      <c r="UF161" s="113">
        <f t="shared" ref="UF161:UF169" si="1666">AP31</f>
        <v>2E-3</v>
      </c>
      <c r="UG161" s="113">
        <f t="shared" ref="UG161:UG169" si="1667">AQ31</f>
        <v>2E-3</v>
      </c>
      <c r="UH161" s="113">
        <f t="shared" ref="UH161:UH169" si="1668">AR31</f>
        <v>2E-3</v>
      </c>
      <c r="UI161" s="113">
        <f t="shared" ref="UI161:UI169" si="1669">AS31</f>
        <v>2E-3</v>
      </c>
      <c r="UJ161" s="113">
        <f t="shared" ref="UJ161:UJ169" si="1670">AT31</f>
        <v>2E-3</v>
      </c>
      <c r="UK161" s="113">
        <f t="shared" ref="UK161:UK169" si="1671">AU31</f>
        <v>2E-3</v>
      </c>
      <c r="UL161" s="113">
        <f t="shared" ref="UL161:UL169" si="1672">AV31</f>
        <v>2E-3</v>
      </c>
      <c r="UM161" s="113">
        <f t="shared" ref="UM161:UM169" si="1673">AW31</f>
        <v>2E-3</v>
      </c>
      <c r="UN161" s="113">
        <f t="shared" ref="UN161:UN169" si="1674">AX31</f>
        <v>2E-3</v>
      </c>
      <c r="UO161" s="113">
        <f t="shared" ref="UO161:UO169" si="1675">AY31</f>
        <v>2E-3</v>
      </c>
      <c r="UP161" s="113">
        <f t="shared" ref="UP161:UP169" si="1676">AZ31</f>
        <v>2E-3</v>
      </c>
      <c r="UQ161" s="113">
        <f t="shared" ref="UQ161:UQ169" si="1677">BA31</f>
        <v>2E-3</v>
      </c>
      <c r="UR161" s="147">
        <f t="shared" ref="UR161:UR169" si="1678">BB31</f>
        <v>2E-3</v>
      </c>
      <c r="US161" s="147">
        <f t="shared" ref="US161:US169" si="1679">BC31</f>
        <v>2E-3</v>
      </c>
      <c r="UT161" s="147">
        <f t="shared" ref="UT161:UT169" si="1680">BD31</f>
        <v>2E-3</v>
      </c>
      <c r="UU161" s="147">
        <f t="shared" ref="UU161:UU169" si="1681">BE31</f>
        <v>2E-3</v>
      </c>
      <c r="UV161" s="147">
        <f t="shared" ref="UV161:UV169" si="1682">BF31</f>
        <v>2E-3</v>
      </c>
      <c r="UW161" s="147">
        <f t="shared" ref="UW161:UW169" si="1683">BG31</f>
        <v>2E-3</v>
      </c>
      <c r="UX161" s="147">
        <f t="shared" ref="UX161:UX169" si="1684">BH31</f>
        <v>2E-3</v>
      </c>
      <c r="UY161" s="147">
        <f t="shared" ref="UY161:UY169" si="1685">BI31</f>
        <v>2E-3</v>
      </c>
      <c r="UZ161" s="147">
        <f t="shared" ref="UZ161:UZ169" si="1686">BJ31</f>
        <v>2E-3</v>
      </c>
      <c r="VA161" s="147">
        <f t="shared" ref="VA161:VA169" si="1687">BK31</f>
        <v>2E-3</v>
      </c>
      <c r="VB161" s="147">
        <f t="shared" ref="VB161:VB169" si="1688">BL31</f>
        <v>2E-3</v>
      </c>
      <c r="VC161" s="147">
        <f t="shared" ref="VC161:VC169" si="1689">BM31</f>
        <v>2E-3</v>
      </c>
      <c r="VD161" s="147">
        <f t="shared" ref="VD161:VD169" si="1690">BN31</f>
        <v>2E-3</v>
      </c>
      <c r="VE161" s="147">
        <f t="shared" si="1629"/>
        <v>2E-3</v>
      </c>
      <c r="VF161" s="147">
        <f t="shared" ref="VF161:VF169" si="1691">BP31</f>
        <v>2E-3</v>
      </c>
      <c r="VG161" s="147">
        <f t="shared" ref="VG161:VG169" si="1692">BQ31</f>
        <v>2E-3</v>
      </c>
      <c r="VH161" s="147">
        <f t="shared" ref="VH161:VH169" si="1693">BR31</f>
        <v>2E-3</v>
      </c>
      <c r="VI161" s="147">
        <f t="shared" ref="VI161:VI169" si="1694">BS31</f>
        <v>2E-3</v>
      </c>
      <c r="VJ161" s="147">
        <f t="shared" ref="VJ161:VJ169" si="1695">BT31</f>
        <v>2E-3</v>
      </c>
      <c r="VK161" s="147">
        <f t="shared" ref="VK161:VK169" si="1696">BU31</f>
        <v>2E-3</v>
      </c>
      <c r="VL161" s="147">
        <f t="shared" ref="VL161:VL169" si="1697">BV31</f>
        <v>2E-3</v>
      </c>
      <c r="VM161" s="147">
        <f t="shared" ref="VM161:VM169" si="1698">BW31</f>
        <v>2E-3</v>
      </c>
      <c r="VN161" s="147">
        <f t="shared" ref="VN161:VN169" si="1699">BX31</f>
        <v>2E-3</v>
      </c>
      <c r="VO161" s="147">
        <f t="shared" ref="VO161:VO169" si="1700">BY31</f>
        <v>2E-3</v>
      </c>
      <c r="VP161" s="147">
        <f t="shared" ref="VP161:VP169" si="1701">BZ31</f>
        <v>2E-3</v>
      </c>
      <c r="VQ161" s="147">
        <f t="shared" ref="VQ161:VQ169" si="1702">CA31</f>
        <v>2E-3</v>
      </c>
      <c r="VR161" s="147">
        <f t="shared" ref="VR161:VR169" si="1703">CB31</f>
        <v>2E-3</v>
      </c>
      <c r="VS161" s="147">
        <f t="shared" ref="VS161:VS169" si="1704">CC31</f>
        <v>2E-3</v>
      </c>
      <c r="VT161" s="147">
        <f t="shared" ref="VT161:VT169" si="1705">CD31</f>
        <v>2E-3</v>
      </c>
      <c r="VU161" s="147">
        <f t="shared" ref="VU161:VU169" si="1706">CE31</f>
        <v>2E-3</v>
      </c>
      <c r="VV161" s="147">
        <f t="shared" ref="VV161:VV169" si="1707">CF31</f>
        <v>2E-3</v>
      </c>
      <c r="VW161" s="147">
        <f t="shared" ref="VW161:VW169" si="1708">CG31</f>
        <v>2E-3</v>
      </c>
      <c r="VX161" s="147">
        <f t="shared" ref="VX161:VX169" si="1709">CH31</f>
        <v>2E-3</v>
      </c>
      <c r="VY161" s="147">
        <f t="shared" ref="VY161:VY169" si="1710">CI31</f>
        <v>2E-3</v>
      </c>
      <c r="VZ161" s="147">
        <f t="shared" ref="VZ161:VZ169" si="1711">CJ31</f>
        <v>2E-3</v>
      </c>
      <c r="WA161" s="147">
        <f t="shared" ref="WA161:WA169" si="1712">CK31</f>
        <v>2E-3</v>
      </c>
      <c r="WB161" s="147">
        <f t="shared" ref="WB161:WB169" si="1713">CL31</f>
        <v>2E-3</v>
      </c>
      <c r="WC161" s="147">
        <f t="shared" ref="WC161:WC169" si="1714">CM31</f>
        <v>2E-3</v>
      </c>
      <c r="WD161" s="147">
        <f t="shared" ref="WD161:WD169" si="1715">CN31</f>
        <v>2E-3</v>
      </c>
      <c r="WE161" s="147">
        <f t="shared" ref="WE161:WE169" si="1716">CO31</f>
        <v>2E-3</v>
      </c>
      <c r="WF161" s="147">
        <f t="shared" ref="WF161:WF169" si="1717">CP31</f>
        <v>2E-3</v>
      </c>
      <c r="WG161" s="147">
        <f t="shared" ref="WG161:WG169" si="1718">CQ31</f>
        <v>2E-3</v>
      </c>
      <c r="WH161" s="147">
        <f t="shared" ref="WH161:WH169" si="1719">CR31</f>
        <v>2E-3</v>
      </c>
      <c r="WI161" s="147">
        <f t="shared" ref="WI161:WI169" si="1720">CS31</f>
        <v>2E-3</v>
      </c>
      <c r="WJ161" s="147">
        <f t="shared" ref="WJ161:WJ169" si="1721">CT31</f>
        <v>2E-3</v>
      </c>
      <c r="WK161" s="147">
        <f t="shared" ref="WK161:WK169" si="1722">CU31</f>
        <v>2E-3</v>
      </c>
      <c r="WL161" s="147">
        <f t="shared" ref="WL161:WL169" si="1723">CV31</f>
        <v>2E-3</v>
      </c>
      <c r="WM161" s="147">
        <f t="shared" ref="WM161:WM169" si="1724">CW31</f>
        <v>2E-3</v>
      </c>
      <c r="WN161" s="147">
        <f t="shared" ref="WN161:WN169" si="1725">CX31</f>
        <v>2E-3</v>
      </c>
      <c r="WO161" s="147">
        <f t="shared" ref="WO161:WO169" si="1726">CY31</f>
        <v>2E-3</v>
      </c>
      <c r="WP161" s="147">
        <f t="shared" ref="WP161:WP169" si="1727">CZ31</f>
        <v>2E-3</v>
      </c>
      <c r="WQ161" s="157">
        <f t="shared" ref="WQ161:WQ169" si="1728">DA31</f>
        <v>2E-3</v>
      </c>
      <c r="WR161" s="157">
        <f t="shared" ref="WR161:WR169" si="1729">DB31</f>
        <v>2E-3</v>
      </c>
      <c r="WS161" s="157">
        <f t="shared" ref="WS161:WS169" si="1730">DC31</f>
        <v>2E-3</v>
      </c>
      <c r="WT161" s="157">
        <f t="shared" ref="WT161:WT169" si="1731">DD31</f>
        <v>2E-3</v>
      </c>
      <c r="WU161" s="157">
        <f t="shared" ref="WU161:WU169" si="1732">DE31</f>
        <v>2E-3</v>
      </c>
      <c r="WV161" s="157">
        <f t="shared" ref="WV161:WV169" si="1733">DF31</f>
        <v>2E-3</v>
      </c>
      <c r="WW161" s="157">
        <f t="shared" ref="WW161:WW169" si="1734">DG31</f>
        <v>2E-3</v>
      </c>
      <c r="WX161" s="157">
        <f t="shared" ref="WX161:WX169" si="1735">DH31</f>
        <v>2E-3</v>
      </c>
      <c r="WY161" s="157">
        <f t="shared" ref="WY161:WY169" si="1736">DI31</f>
        <v>2E-3</v>
      </c>
      <c r="WZ161" s="157">
        <f t="shared" ref="WZ161:WZ169" si="1737">DJ31</f>
        <v>2E-3</v>
      </c>
      <c r="XA161" s="157">
        <f t="shared" ref="XA161:XA169" si="1738">DK31</f>
        <v>2E-3</v>
      </c>
      <c r="XB161" s="157">
        <f t="shared" ref="XB161:XB169" si="1739">DL31</f>
        <v>2E-3</v>
      </c>
      <c r="XC161" s="157">
        <f t="shared" ref="XC161:XC169" si="1740">DM31</f>
        <v>2E-3</v>
      </c>
      <c r="XD161" s="157">
        <f t="shared" ref="XD161:XD169" si="1741">DN31</f>
        <v>2E-3</v>
      </c>
      <c r="XE161" s="157">
        <f t="shared" ref="XE161:XE169" si="1742">DO31</f>
        <v>2E-3</v>
      </c>
      <c r="XF161" s="157">
        <f t="shared" ref="XF161:XF169" si="1743">DP31</f>
        <v>2E-3</v>
      </c>
      <c r="XG161" s="157">
        <f t="shared" ref="XG161:XG169" si="1744">DQ31</f>
        <v>2E-3</v>
      </c>
      <c r="XH161" s="157">
        <f t="shared" ref="XH161:XH169" si="1745">DR31</f>
        <v>2E-3</v>
      </c>
      <c r="XI161" s="157">
        <f t="shared" ref="XI161:XI169" si="1746">DS31</f>
        <v>2E-3</v>
      </c>
      <c r="XJ161" s="157">
        <f t="shared" ref="XJ161:XJ169" si="1747">DT31</f>
        <v>2E-3</v>
      </c>
      <c r="XK161" s="157">
        <f t="shared" ref="XK161:XK169" si="1748">DU31</f>
        <v>2E-3</v>
      </c>
      <c r="XL161" s="157">
        <f t="shared" ref="XL161:XL169" si="1749">DV31</f>
        <v>2E-3</v>
      </c>
      <c r="XM161" s="157">
        <f t="shared" ref="XM161:XM169" si="1750">DW31</f>
        <v>2E-3</v>
      </c>
      <c r="XN161" s="157">
        <f t="shared" ref="XN161:XN169" si="1751">DX31</f>
        <v>2E-3</v>
      </c>
      <c r="XO161" s="157">
        <f t="shared" ref="XO161:XO169" si="1752">DY31</f>
        <v>2E-3</v>
      </c>
      <c r="XP161" s="157">
        <f t="shared" ref="XP161:XP169" si="1753">DZ31</f>
        <v>2E-3</v>
      </c>
      <c r="XQ161" s="157">
        <f t="shared" si="1630"/>
        <v>2E-3</v>
      </c>
      <c r="XR161" s="180">
        <f t="shared" si="1624"/>
        <v>2E-3</v>
      </c>
      <c r="XS161" s="157">
        <f t="shared" si="1624"/>
        <v>2E-3</v>
      </c>
      <c r="XT161" s="180">
        <f t="shared" si="1624"/>
        <v>2E-3</v>
      </c>
      <c r="XU161" s="157">
        <f t="shared" si="1624"/>
        <v>2E-3</v>
      </c>
      <c r="XV161" s="157">
        <f t="shared" si="1624"/>
        <v>2E-3</v>
      </c>
      <c r="XW161" s="157">
        <f t="shared" si="1624"/>
        <v>2E-3</v>
      </c>
      <c r="XX161" s="157">
        <f t="shared" si="1624"/>
        <v>2E-3</v>
      </c>
      <c r="XY161" s="180">
        <f t="shared" si="1624"/>
        <v>2E-3</v>
      </c>
      <c r="XZ161" s="157">
        <f t="shared" si="1627"/>
        <v>2E-3</v>
      </c>
      <c r="YA161" s="180">
        <f t="shared" si="1625"/>
        <v>2E-3</v>
      </c>
      <c r="YB161" s="157">
        <f t="shared" si="1625"/>
        <v>2E-3</v>
      </c>
      <c r="YC161" s="157">
        <f t="shared" si="1625"/>
        <v>2E-3</v>
      </c>
      <c r="YD161" s="157">
        <f t="shared" si="1625"/>
        <v>2E-3</v>
      </c>
      <c r="YE161" s="157">
        <f t="shared" si="1625"/>
        <v>2E-3</v>
      </c>
      <c r="YF161" s="180">
        <f t="shared" si="1625"/>
        <v>2E-3</v>
      </c>
      <c r="YG161" s="157">
        <f t="shared" si="1625"/>
        <v>2E-3</v>
      </c>
      <c r="YH161" s="180">
        <f t="shared" si="1625"/>
        <v>2E-3</v>
      </c>
      <c r="YI161" s="157">
        <f t="shared" si="1625"/>
        <v>2E-3</v>
      </c>
      <c r="YJ161" s="157">
        <f t="shared" si="1625"/>
        <v>2E-3</v>
      </c>
      <c r="YK161" s="157">
        <f t="shared" si="1625"/>
        <v>2E-3</v>
      </c>
      <c r="YL161" s="157">
        <f t="shared" si="1625"/>
        <v>2E-3</v>
      </c>
      <c r="YM161" s="180">
        <f t="shared" si="1628"/>
        <v>2E-3</v>
      </c>
      <c r="YN161" s="157">
        <f t="shared" si="1626"/>
        <v>2E-3</v>
      </c>
      <c r="YO161" s="180">
        <f t="shared" si="1626"/>
        <v>2E-3</v>
      </c>
      <c r="YP161" s="119"/>
      <c r="YQ161" s="119"/>
      <c r="YR161" s="119"/>
      <c r="YS161" s="119"/>
      <c r="YT161" s="119"/>
      <c r="YU161" s="119"/>
      <c r="YV161" s="119"/>
      <c r="YW161" s="119"/>
      <c r="YX161" s="119"/>
      <c r="YY161" s="119"/>
      <c r="YZ161" s="119"/>
      <c r="ZA161" s="119"/>
      <c r="ZB161" s="119"/>
      <c r="ZC161" s="119"/>
      <c r="ZD161" s="119"/>
      <c r="ZE161" s="119"/>
      <c r="ZF161" s="119"/>
      <c r="ZG161" s="119"/>
      <c r="ZH161" s="119"/>
      <c r="ZI161" s="119"/>
      <c r="ZJ161" s="119"/>
      <c r="ZK161" s="119"/>
      <c r="ZL161" s="119"/>
      <c r="ZM161" s="119"/>
      <c r="ZN161" s="119"/>
      <c r="ZO161" s="119"/>
      <c r="ZP161" s="119"/>
      <c r="ZQ161" s="119"/>
      <c r="ZR161" s="119"/>
      <c r="ZS161" s="119"/>
      <c r="ZT161" s="119"/>
    </row>
    <row r="162" spans="1:738" ht="18.75" x14ac:dyDescent="0.25">
      <c r="A162" s="298"/>
      <c r="B162" s="25" t="s">
        <v>15</v>
      </c>
      <c r="BY162" s="18"/>
      <c r="BZ162" s="18"/>
      <c r="CA162" s="18"/>
      <c r="CB162" s="18"/>
      <c r="CC162" s="18"/>
      <c r="CD162" s="18"/>
      <c r="CE162" s="18"/>
      <c r="CF162" s="18"/>
      <c r="CG162" s="18"/>
      <c r="CH162" s="18"/>
      <c r="CI162" s="18"/>
      <c r="CJ162" s="18"/>
      <c r="CK162" s="18"/>
      <c r="CL162" s="18"/>
      <c r="CM162" s="18"/>
      <c r="CN162" s="18"/>
      <c r="CO162" s="18"/>
      <c r="CP162" s="18"/>
      <c r="CQ162" s="18"/>
      <c r="CR162" s="18"/>
      <c r="CS162" s="18"/>
      <c r="CT162" s="18"/>
      <c r="CU162" s="18"/>
      <c r="CV162" s="18"/>
      <c r="CW162" s="18"/>
      <c r="CX162" s="18"/>
      <c r="CY162" s="18"/>
      <c r="CZ162" s="18"/>
      <c r="DA162" s="18"/>
      <c r="DB162" s="18"/>
      <c r="DC162" s="18"/>
      <c r="DD162" s="18"/>
      <c r="DE162" s="18"/>
      <c r="DF162" s="18"/>
      <c r="DG162" s="18"/>
      <c r="DH162" s="18"/>
      <c r="DI162" s="18"/>
      <c r="DJ162" s="18"/>
      <c r="DK162" s="18"/>
      <c r="DL162" s="18"/>
      <c r="DM162" s="18"/>
      <c r="DN162" s="18"/>
      <c r="DO162" s="18"/>
      <c r="DP162" s="18"/>
      <c r="DQ162" s="18"/>
      <c r="DR162" s="18"/>
      <c r="DS162" s="18"/>
      <c r="DT162" s="18"/>
      <c r="DU162" s="18"/>
      <c r="DV162" s="18"/>
      <c r="DW162" s="18"/>
      <c r="DX162" s="18"/>
      <c r="DY162" s="18"/>
      <c r="DZ162" s="18"/>
      <c r="EA162" s="18"/>
      <c r="EB162" s="18"/>
      <c r="EC162" s="18"/>
      <c r="ED162" s="18"/>
      <c r="EE162" s="18"/>
      <c r="EF162" s="18"/>
      <c r="EG162" s="18"/>
      <c r="EH162" s="18"/>
      <c r="EI162" s="18"/>
      <c r="EJ162" s="18"/>
      <c r="EK162" s="18"/>
      <c r="EL162" s="18"/>
      <c r="EM162" s="18"/>
      <c r="EN162" s="18"/>
      <c r="EO162" s="18"/>
      <c r="EP162" s="18"/>
      <c r="EQ162" s="18"/>
      <c r="ER162" s="18"/>
      <c r="ES162" s="18"/>
      <c r="ET162" s="18"/>
      <c r="EU162" s="18"/>
      <c r="EV162" s="18"/>
      <c r="EW162" s="18"/>
      <c r="EX162" s="18"/>
      <c r="EY162" s="18"/>
      <c r="EZ162" s="18"/>
      <c r="FA162" s="18"/>
      <c r="FB162" s="18"/>
      <c r="FC162" s="18"/>
      <c r="FD162" s="18"/>
      <c r="FE162" s="18"/>
      <c r="FF162" s="18"/>
      <c r="FG162" s="18"/>
      <c r="FH162" s="18"/>
      <c r="FI162" s="18"/>
      <c r="FJ162" s="18"/>
      <c r="FK162" s="18"/>
      <c r="FL162" s="18"/>
      <c r="FM162" s="18"/>
      <c r="FN162" s="18"/>
      <c r="FO162" s="18"/>
      <c r="FP162" s="18"/>
      <c r="FQ162" s="18"/>
      <c r="FR162" s="18"/>
      <c r="FS162" s="18"/>
      <c r="FT162" s="18"/>
      <c r="FU162" s="18"/>
      <c r="FV162" s="18"/>
      <c r="FW162" s="18"/>
      <c r="FX162" s="18"/>
      <c r="FY162" s="18"/>
      <c r="FZ162" s="18"/>
      <c r="GA162" s="18"/>
      <c r="GB162" s="18"/>
      <c r="GC162" s="18"/>
      <c r="GD162" s="18"/>
      <c r="GE162" s="18"/>
      <c r="GF162" s="18"/>
      <c r="GG162" s="18"/>
      <c r="GH162" s="18"/>
      <c r="GI162" s="18"/>
      <c r="GJ162" s="18"/>
      <c r="GK162" s="18"/>
      <c r="GL162" s="18"/>
      <c r="GM162" s="18"/>
      <c r="GN162" s="18"/>
      <c r="GO162" s="18"/>
      <c r="GP162" s="18"/>
      <c r="GQ162" s="18"/>
      <c r="GR162" s="18"/>
      <c r="GS162" s="18"/>
      <c r="GT162" s="18"/>
      <c r="GU162" s="18"/>
      <c r="GV162" s="18"/>
      <c r="GW162" s="18"/>
      <c r="GX162" s="18"/>
      <c r="GY162" s="18"/>
      <c r="GZ162" s="18"/>
      <c r="HA162" s="18"/>
      <c r="HB162" s="18"/>
      <c r="HC162" s="18"/>
      <c r="HD162" s="18"/>
      <c r="HE162" s="18"/>
      <c r="HF162" s="18"/>
      <c r="HG162" s="18"/>
      <c r="HH162" s="18"/>
      <c r="HI162" s="18"/>
      <c r="HJ162" s="18"/>
      <c r="HK162" s="18"/>
      <c r="HL162" s="18"/>
      <c r="HM162" s="18"/>
      <c r="HN162" s="18"/>
      <c r="HO162" s="18"/>
      <c r="HP162" s="18"/>
      <c r="HQ162" s="18"/>
      <c r="HR162" s="18"/>
      <c r="HS162" s="18"/>
      <c r="HT162" s="18"/>
      <c r="HU162" s="18"/>
      <c r="HV162" s="18"/>
      <c r="HW162" s="18"/>
      <c r="HX162" s="18"/>
      <c r="HY162" s="18"/>
      <c r="HZ162" s="18"/>
      <c r="IA162" s="18"/>
      <c r="IB162" s="18"/>
      <c r="IC162" s="18"/>
      <c r="ID162" s="18"/>
      <c r="IE162" s="18"/>
      <c r="IF162" s="18"/>
      <c r="IG162" s="18"/>
      <c r="IH162" s="18"/>
      <c r="II162" s="18"/>
      <c r="IJ162" s="18"/>
      <c r="IK162" s="18"/>
      <c r="IL162" s="18"/>
      <c r="IM162" s="18"/>
      <c r="IN162" s="18"/>
      <c r="IO162" s="18"/>
      <c r="IP162" s="18"/>
      <c r="IQ162" s="18"/>
      <c r="IR162" s="18"/>
      <c r="IS162" s="18"/>
      <c r="IT162" s="18"/>
      <c r="IU162" s="18"/>
      <c r="IV162" s="18"/>
      <c r="IW162" s="18"/>
      <c r="IX162" s="18"/>
      <c r="IY162" s="18"/>
      <c r="IZ162" s="18"/>
      <c r="JA162" s="18"/>
      <c r="JB162" s="18"/>
      <c r="JC162" s="18"/>
      <c r="JD162" s="18"/>
      <c r="JE162" s="18"/>
      <c r="JF162" s="18"/>
      <c r="JG162" s="18"/>
      <c r="JH162" s="18"/>
      <c r="JI162" s="18"/>
      <c r="JJ162" s="18"/>
      <c r="JK162" s="18"/>
      <c r="JL162" s="18"/>
      <c r="JM162" s="18"/>
      <c r="JN162" s="18"/>
      <c r="JO162" s="18"/>
      <c r="JP162" s="18"/>
      <c r="JQ162" s="18"/>
      <c r="JR162" s="18"/>
      <c r="JS162" s="18"/>
      <c r="JT162" s="18"/>
      <c r="JU162" s="18"/>
      <c r="JV162" s="18"/>
      <c r="JW162" s="18"/>
      <c r="JX162" s="18"/>
      <c r="JY162" s="18"/>
      <c r="JZ162" s="18"/>
      <c r="KA162" s="18"/>
      <c r="KB162" s="18"/>
      <c r="KC162" s="18"/>
      <c r="KD162" s="18"/>
      <c r="KE162" s="18"/>
      <c r="KF162" s="18"/>
      <c r="KG162" s="18"/>
      <c r="KH162" s="18"/>
      <c r="KI162" s="18"/>
      <c r="KJ162" s="18"/>
      <c r="KK162" s="18"/>
      <c r="KL162" s="18"/>
      <c r="KM162" s="18"/>
      <c r="KN162" s="18"/>
      <c r="KO162" s="18"/>
      <c r="KP162" s="18"/>
      <c r="KQ162" s="18"/>
      <c r="KR162" s="18"/>
      <c r="KS162" s="18"/>
      <c r="KT162" s="18"/>
      <c r="KU162" s="18"/>
      <c r="KV162" s="18"/>
      <c r="KW162" s="18"/>
      <c r="KX162" s="18"/>
      <c r="KY162" s="18"/>
      <c r="KZ162" s="18"/>
      <c r="LA162" s="18"/>
      <c r="LB162" s="18"/>
      <c r="LC162" s="18"/>
      <c r="LD162" s="18"/>
      <c r="LE162" s="18"/>
      <c r="LF162" s="18"/>
      <c r="LG162" s="18"/>
      <c r="LH162" s="18"/>
      <c r="LI162" s="18"/>
      <c r="LJ162" s="18"/>
      <c r="LK162" s="18"/>
      <c r="LL162" s="18"/>
      <c r="LM162" s="18"/>
      <c r="LN162" s="18"/>
      <c r="LO162" s="18"/>
      <c r="LP162" s="18"/>
      <c r="LQ162" s="18"/>
      <c r="LR162" s="18"/>
      <c r="LS162" s="18"/>
      <c r="LT162" s="18"/>
      <c r="LU162" s="18"/>
      <c r="LV162" s="18"/>
      <c r="LW162" s="18"/>
      <c r="LX162" s="18"/>
      <c r="LY162" s="18"/>
      <c r="LZ162" s="18"/>
      <c r="MA162" s="18"/>
      <c r="MB162" s="18"/>
      <c r="MC162" s="18"/>
      <c r="MD162" s="18"/>
      <c r="ME162" s="18"/>
      <c r="MF162" s="18"/>
      <c r="MG162" s="18"/>
      <c r="MH162" s="18"/>
      <c r="MI162" s="18"/>
      <c r="MJ162" s="18"/>
      <c r="MK162" s="18"/>
      <c r="ML162" s="18"/>
      <c r="MM162" s="18"/>
      <c r="MN162" s="18"/>
      <c r="MO162" s="18"/>
      <c r="MP162" s="18"/>
      <c r="MQ162" s="18"/>
      <c r="MR162" s="18"/>
      <c r="MS162" s="18"/>
      <c r="MT162" s="18"/>
      <c r="MU162" s="18"/>
      <c r="MV162" s="18"/>
      <c r="MW162" s="18"/>
      <c r="MX162" s="18"/>
      <c r="MY162" s="18"/>
      <c r="MZ162" s="18"/>
      <c r="NA162" s="18"/>
      <c r="NB162" s="18"/>
      <c r="NC162" s="18"/>
      <c r="ND162" s="18"/>
      <c r="NE162" s="18"/>
      <c r="NF162" s="18"/>
      <c r="NG162" s="18"/>
      <c r="NH162" s="18"/>
      <c r="NI162" s="18"/>
      <c r="NJ162" s="18"/>
      <c r="NK162" s="18"/>
      <c r="NL162" s="18"/>
      <c r="NM162" s="18"/>
      <c r="NN162" s="18"/>
      <c r="NO162" s="18"/>
      <c r="NP162" s="18"/>
      <c r="NQ162" s="18"/>
      <c r="NR162" s="18"/>
      <c r="NS162" s="18"/>
      <c r="NT162" s="18"/>
      <c r="NU162" s="18"/>
      <c r="NV162" s="18"/>
      <c r="NW162" s="18"/>
      <c r="NX162" s="18"/>
      <c r="NY162" s="18"/>
      <c r="NZ162" s="18"/>
      <c r="OA162" s="18"/>
      <c r="OB162" s="18"/>
      <c r="OC162" s="18"/>
      <c r="OD162" s="18"/>
      <c r="OE162" s="18"/>
      <c r="OF162" s="18"/>
      <c r="OG162" s="18"/>
      <c r="OH162" s="18"/>
      <c r="OI162" s="18"/>
      <c r="OJ162" s="18"/>
      <c r="OK162" s="18"/>
      <c r="OL162" s="18"/>
      <c r="OM162" s="18"/>
      <c r="ON162" s="18"/>
      <c r="OO162" s="18"/>
      <c r="OP162" s="18"/>
      <c r="OQ162" s="18"/>
      <c r="OR162" s="18"/>
      <c r="OS162" s="18"/>
      <c r="OT162" s="18"/>
      <c r="OU162" s="18"/>
      <c r="OV162" s="18"/>
      <c r="OW162" s="18"/>
      <c r="OX162" s="18"/>
      <c r="OY162" s="18"/>
      <c r="OZ162" s="18"/>
      <c r="PA162" s="18"/>
      <c r="PB162" s="18"/>
      <c r="PC162" s="18"/>
      <c r="PD162" s="18"/>
      <c r="PE162" s="18"/>
      <c r="PF162" s="18"/>
      <c r="PG162" s="18"/>
      <c r="PH162" s="18"/>
      <c r="PI162" s="18"/>
      <c r="PJ162" s="18"/>
      <c r="PK162" s="18"/>
      <c r="PL162" s="18"/>
      <c r="PM162" s="18"/>
      <c r="PN162" s="18"/>
      <c r="PO162" s="18"/>
      <c r="PP162" s="18"/>
      <c r="PQ162" s="18"/>
      <c r="PR162" s="18"/>
      <c r="PS162" s="18"/>
      <c r="PT162" s="18"/>
      <c r="PU162" s="18"/>
      <c r="PV162" s="18"/>
      <c r="PW162" s="18"/>
      <c r="PX162" s="18"/>
      <c r="PY162" s="18"/>
      <c r="PZ162" s="18"/>
      <c r="QA162" s="18"/>
      <c r="QB162" s="18"/>
      <c r="QC162" s="18"/>
      <c r="QD162" s="18"/>
      <c r="QE162" s="18"/>
      <c r="QF162" s="18"/>
      <c r="QG162" s="18"/>
      <c r="QH162" s="18"/>
      <c r="QI162" s="18"/>
      <c r="QJ162" s="18"/>
      <c r="QK162" s="18"/>
      <c r="QL162" s="18"/>
      <c r="QM162" s="18"/>
      <c r="QN162" s="18"/>
      <c r="QO162" s="18"/>
      <c r="QP162" s="18"/>
      <c r="QQ162" s="18"/>
      <c r="QR162" s="18"/>
      <c r="QS162" s="18"/>
      <c r="QT162" s="18"/>
      <c r="QU162" s="18"/>
      <c r="QV162" s="18"/>
      <c r="QW162" s="18"/>
      <c r="QX162" s="18"/>
      <c r="QY162" s="18"/>
      <c r="QZ162" s="18"/>
      <c r="RA162" s="18"/>
      <c r="RB162" s="18"/>
      <c r="RC162" s="18"/>
      <c r="RD162" s="18"/>
      <c r="RE162" s="18"/>
      <c r="RF162" s="18"/>
      <c r="RG162" s="18"/>
      <c r="RH162" s="18"/>
      <c r="RI162" s="18"/>
      <c r="RJ162" s="18"/>
      <c r="RK162" s="18"/>
      <c r="RL162" s="18"/>
      <c r="RM162" s="18"/>
      <c r="RN162" s="18"/>
      <c r="RO162" s="18"/>
      <c r="RP162" s="18"/>
      <c r="RQ162" s="18"/>
      <c r="RR162" s="18"/>
      <c r="RS162" s="18"/>
      <c r="RT162" s="18"/>
      <c r="RU162" s="18"/>
      <c r="RV162" s="18"/>
      <c r="RW162" s="18"/>
      <c r="RX162" s="18"/>
      <c r="RY162" s="18"/>
      <c r="RZ162" s="18"/>
      <c r="SA162" s="18"/>
      <c r="SB162" s="18"/>
      <c r="SS162" s="139">
        <f t="shared" si="1618"/>
        <v>0.5</v>
      </c>
      <c r="ST162" s="110">
        <f t="shared" si="1619"/>
        <v>0.499</v>
      </c>
      <c r="SU162" s="110">
        <f t="shared" si="1620"/>
        <v>0.498002</v>
      </c>
      <c r="SV162" s="110">
        <f t="shared" si="1621"/>
        <v>0.49700599600000001</v>
      </c>
      <c r="SW162" s="110">
        <f t="shared" si="1631"/>
        <v>0.49601198400799995</v>
      </c>
      <c r="SX162" s="110">
        <f t="shared" si="1632"/>
        <v>0.495019960039984</v>
      </c>
      <c r="SY162" s="110">
        <f t="shared" si="1633"/>
        <v>0.49402992011990399</v>
      </c>
      <c r="SZ162" s="110">
        <f t="shared" si="1634"/>
        <v>0.49304186027966418</v>
      </c>
      <c r="TA162" s="110">
        <f t="shared" si="1635"/>
        <v>0.49205577655910482</v>
      </c>
      <c r="TB162" s="110">
        <f t="shared" si="1636"/>
        <v>0.49107166500598659</v>
      </c>
      <c r="TC162" s="110">
        <f t="shared" si="1637"/>
        <v>0.49008952167597458</v>
      </c>
      <c r="TD162" s="110">
        <f t="shared" si="1638"/>
        <v>0.48910934263262268</v>
      </c>
      <c r="TE162" s="110">
        <f t="shared" si="1639"/>
        <v>0.48813112394735741</v>
      </c>
      <c r="TF162" s="110">
        <f t="shared" si="1640"/>
        <v>0.4871548616994627</v>
      </c>
      <c r="TG162" s="110">
        <f t="shared" si="1641"/>
        <v>0.4861805519760638</v>
      </c>
      <c r="TH162" s="110">
        <f t="shared" si="1642"/>
        <v>0.48520819087211164</v>
      </c>
      <c r="TI162" s="110">
        <f t="shared" si="1643"/>
        <v>0.48423777449036742</v>
      </c>
      <c r="TJ162" s="110">
        <f t="shared" si="1644"/>
        <v>0.4832692989413867</v>
      </c>
      <c r="TK162" s="110">
        <f t="shared" si="1645"/>
        <v>0.48230276034350389</v>
      </c>
      <c r="TL162" s="110">
        <f t="shared" si="1646"/>
        <v>0.48133815482281689</v>
      </c>
      <c r="TM162" s="110">
        <f t="shared" si="1647"/>
        <v>0.48037547851317125</v>
      </c>
      <c r="TN162" s="110">
        <f t="shared" si="1648"/>
        <v>0.47941472755614489</v>
      </c>
      <c r="TO162" s="110">
        <f t="shared" si="1649"/>
        <v>0.47845589810103262</v>
      </c>
      <c r="TP162" s="110">
        <f t="shared" si="1650"/>
        <v>0.47749898630483056</v>
      </c>
      <c r="TQ162" s="110">
        <f t="shared" si="1651"/>
        <v>0.47654398833222095</v>
      </c>
      <c r="TR162" s="110">
        <f t="shared" si="1652"/>
        <v>0.47559090035555646</v>
      </c>
      <c r="TS162" s="110">
        <f t="shared" si="1653"/>
        <v>0.47463971855484532</v>
      </c>
      <c r="TT162" s="110">
        <f t="shared" si="1654"/>
        <v>0.47369043911773567</v>
      </c>
      <c r="TU162" s="110">
        <f t="shared" si="1655"/>
        <v>0.47274305823950019</v>
      </c>
      <c r="TV162" s="110">
        <f t="shared" si="1656"/>
        <v>0.47179757212302115</v>
      </c>
      <c r="TW162" s="110">
        <f t="shared" si="1657"/>
        <v>0.47085397697877512</v>
      </c>
      <c r="TX162" s="110">
        <f t="shared" si="1658"/>
        <v>0.46991226902481753</v>
      </c>
      <c r="TY162" s="110">
        <f t="shared" si="1659"/>
        <v>0.46897244448676789</v>
      </c>
      <c r="TZ162" s="110">
        <f t="shared" si="1660"/>
        <v>0.46803449959779431</v>
      </c>
      <c r="UA162" s="110">
        <f t="shared" si="1661"/>
        <v>0.46709843059859874</v>
      </c>
      <c r="UB162" s="110">
        <f t="shared" si="1662"/>
        <v>0.46616423373740151</v>
      </c>
      <c r="UC162" s="110">
        <f t="shared" si="1663"/>
        <v>0.46523190526992669</v>
      </c>
      <c r="UD162" s="110">
        <f t="shared" si="1664"/>
        <v>0.4643014414593869</v>
      </c>
      <c r="UE162" s="110">
        <f t="shared" si="1665"/>
        <v>0.4633728385764681</v>
      </c>
      <c r="UF162" s="110">
        <f t="shared" si="1666"/>
        <v>0.46244609289931515</v>
      </c>
      <c r="UG162" s="110">
        <f t="shared" si="1667"/>
        <v>0.46152120071351654</v>
      </c>
      <c r="UH162" s="110">
        <f t="shared" si="1668"/>
        <v>0.4605981583120895</v>
      </c>
      <c r="UI162" s="110">
        <f t="shared" si="1669"/>
        <v>0.45967696199546532</v>
      </c>
      <c r="UJ162" s="110">
        <f t="shared" si="1670"/>
        <v>0.45875760807147442</v>
      </c>
      <c r="UK162" s="110">
        <f t="shared" si="1671"/>
        <v>0.4578400928553315</v>
      </c>
      <c r="UL162" s="110">
        <f t="shared" si="1672"/>
        <v>0.45692441266962086</v>
      </c>
      <c r="UM162" s="110">
        <f t="shared" si="1673"/>
        <v>0.45601056384428162</v>
      </c>
      <c r="UN162" s="110">
        <f t="shared" si="1674"/>
        <v>0.45509854271659306</v>
      </c>
      <c r="UO162" s="110">
        <f t="shared" si="1675"/>
        <v>0.45418834563115984</v>
      </c>
      <c r="UP162" s="110">
        <f t="shared" si="1676"/>
        <v>0.45327996893989753</v>
      </c>
      <c r="UQ162" s="110">
        <f t="shared" si="1677"/>
        <v>0.45237340900201772</v>
      </c>
      <c r="UR162" s="148">
        <f t="shared" si="1678"/>
        <v>0.45146866218401371</v>
      </c>
      <c r="US162" s="148">
        <f t="shared" si="1679"/>
        <v>0.45056572485964563</v>
      </c>
      <c r="UT162" s="148">
        <f t="shared" si="1680"/>
        <v>0.44966459340992637</v>
      </c>
      <c r="UU162" s="148">
        <f t="shared" si="1681"/>
        <v>0.44876526422310653</v>
      </c>
      <c r="UV162" s="148">
        <f t="shared" si="1682"/>
        <v>0.44786773369466026</v>
      </c>
      <c r="UW162" s="148">
        <f t="shared" si="1683"/>
        <v>0.44697199822727096</v>
      </c>
      <c r="UX162" s="148">
        <f t="shared" si="1684"/>
        <v>0.44607805423081642</v>
      </c>
      <c r="UY162" s="148">
        <f t="shared" si="1685"/>
        <v>0.44518589812235482</v>
      </c>
      <c r="UZ162" s="148">
        <f t="shared" si="1686"/>
        <v>0.44429552632611008</v>
      </c>
      <c r="VA162" s="148">
        <f t="shared" si="1687"/>
        <v>0.44340693527345787</v>
      </c>
      <c r="VB162" s="148">
        <f t="shared" si="1688"/>
        <v>0.44252012140291097</v>
      </c>
      <c r="VC162" s="148">
        <f t="shared" si="1689"/>
        <v>0.44163508116010514</v>
      </c>
      <c r="VD162" s="148">
        <f t="shared" si="1690"/>
        <v>0.44075181099778493</v>
      </c>
      <c r="VE162" s="148">
        <f t="shared" si="1629"/>
        <v>0.4398703073757893</v>
      </c>
      <c r="VF162" s="148">
        <f t="shared" si="1691"/>
        <v>0.4389905667610377</v>
      </c>
      <c r="VG162" s="148">
        <f t="shared" si="1692"/>
        <v>0.43811258562751565</v>
      </c>
      <c r="VH162" s="148">
        <f t="shared" si="1693"/>
        <v>0.43723636045626058</v>
      </c>
      <c r="VI162" s="148">
        <f t="shared" si="1694"/>
        <v>0.43636188773534806</v>
      </c>
      <c r="VJ162" s="148">
        <f t="shared" si="1695"/>
        <v>0.4354891639598773</v>
      </c>
      <c r="VK162" s="148">
        <f t="shared" si="1696"/>
        <v>0.43461818563195753</v>
      </c>
      <c r="VL162" s="148">
        <f t="shared" si="1697"/>
        <v>0.43374894926069363</v>
      </c>
      <c r="VM162" s="148">
        <f t="shared" si="1698"/>
        <v>0.43288145136217226</v>
      </c>
      <c r="VN162" s="148">
        <f t="shared" si="1699"/>
        <v>0.43201568845944793</v>
      </c>
      <c r="VO162" s="148">
        <f t="shared" si="1700"/>
        <v>0.43115165708252906</v>
      </c>
      <c r="VP162" s="148">
        <f t="shared" si="1701"/>
        <v>0.43028935376836397</v>
      </c>
      <c r="VQ162" s="148">
        <f t="shared" si="1702"/>
        <v>0.42942877506082727</v>
      </c>
      <c r="VR162" s="148">
        <f t="shared" si="1703"/>
        <v>0.42856991751070567</v>
      </c>
      <c r="VS162" s="148">
        <f t="shared" si="1704"/>
        <v>0.42771277767568422</v>
      </c>
      <c r="VT162" s="148">
        <f t="shared" si="1705"/>
        <v>0.42685735212033288</v>
      </c>
      <c r="VU162" s="148">
        <f t="shared" si="1706"/>
        <v>0.42600363741609221</v>
      </c>
      <c r="VV162" s="148">
        <f t="shared" si="1707"/>
        <v>0.42515163014126001</v>
      </c>
      <c r="VW162" s="148">
        <f t="shared" si="1708"/>
        <v>0.42430132688097749</v>
      </c>
      <c r="VX162" s="148">
        <f t="shared" si="1709"/>
        <v>0.42345272422721553</v>
      </c>
      <c r="VY162" s="148">
        <f t="shared" si="1710"/>
        <v>0.42260581877876108</v>
      </c>
      <c r="VZ162" s="148">
        <f t="shared" si="1711"/>
        <v>0.42176060714120361</v>
      </c>
      <c r="WA162" s="148">
        <f t="shared" si="1712"/>
        <v>0.42091708592692118</v>
      </c>
      <c r="WB162" s="148">
        <f t="shared" si="1713"/>
        <v>0.42007525175506732</v>
      </c>
      <c r="WC162" s="148">
        <f t="shared" si="1714"/>
        <v>0.41923510125155722</v>
      </c>
      <c r="WD162" s="148">
        <f t="shared" si="1715"/>
        <v>0.41839663104905406</v>
      </c>
      <c r="WE162" s="148">
        <f t="shared" si="1716"/>
        <v>0.41755983778695593</v>
      </c>
      <c r="WF162" s="148">
        <f t="shared" si="1717"/>
        <v>0.41672471811138201</v>
      </c>
      <c r="WG162" s="148">
        <f t="shared" si="1718"/>
        <v>0.4158912686751593</v>
      </c>
      <c r="WH162" s="148">
        <f t="shared" si="1719"/>
        <v>0.41505948613780896</v>
      </c>
      <c r="WI162" s="148">
        <f t="shared" si="1720"/>
        <v>0.41422936716553338</v>
      </c>
      <c r="WJ162" s="148">
        <f t="shared" si="1721"/>
        <v>0.41340090843120225</v>
      </c>
      <c r="WK162" s="148">
        <f t="shared" si="1722"/>
        <v>0.41257410661433985</v>
      </c>
      <c r="WL162" s="148">
        <f t="shared" si="1723"/>
        <v>0.4117489584011112</v>
      </c>
      <c r="WM162" s="148">
        <f t="shared" si="1724"/>
        <v>0.41092546048430895</v>
      </c>
      <c r="WN162" s="148">
        <f t="shared" si="1725"/>
        <v>0.4101036095633403</v>
      </c>
      <c r="WO162" s="148">
        <f t="shared" si="1726"/>
        <v>0.40928340234421362</v>
      </c>
      <c r="WP162" s="148">
        <f t="shared" si="1727"/>
        <v>0.40846483553952517</v>
      </c>
      <c r="WQ162" s="158">
        <f t="shared" si="1728"/>
        <v>0.40764790586844613</v>
      </c>
      <c r="WR162" s="158">
        <f t="shared" si="1729"/>
        <v>0.40683261005670923</v>
      </c>
      <c r="WS162" s="158">
        <f t="shared" si="1730"/>
        <v>0.40601894483659579</v>
      </c>
      <c r="WT162" s="158">
        <f t="shared" si="1731"/>
        <v>0.40520690694692257</v>
      </c>
      <c r="WU162" s="158">
        <f t="shared" si="1732"/>
        <v>0.40439649313302872</v>
      </c>
      <c r="WV162" s="158">
        <f t="shared" si="1733"/>
        <v>0.40358770014676271</v>
      </c>
      <c r="WW162" s="158">
        <f t="shared" si="1734"/>
        <v>0.40278052474646914</v>
      </c>
      <c r="WX162" s="158">
        <f t="shared" si="1735"/>
        <v>0.40197496369697622</v>
      </c>
      <c r="WY162" s="158">
        <f t="shared" si="1736"/>
        <v>0.40117101376958225</v>
      </c>
      <c r="WZ162" s="158">
        <f t="shared" si="1737"/>
        <v>0.4003686717420431</v>
      </c>
      <c r="XA162" s="158">
        <f t="shared" si="1738"/>
        <v>0.39956793439855903</v>
      </c>
      <c r="XB162" s="158">
        <f t="shared" si="1739"/>
        <v>0.39876879852976194</v>
      </c>
      <c r="XC162" s="158">
        <f t="shared" si="1740"/>
        <v>0.39797126093270235</v>
      </c>
      <c r="XD162" s="158">
        <f t="shared" si="1741"/>
        <v>0.39717531841083697</v>
      </c>
      <c r="XE162" s="158">
        <f t="shared" si="1742"/>
        <v>0.39638096777401532</v>
      </c>
      <c r="XF162" s="158">
        <f t="shared" si="1743"/>
        <v>0.39558820583846727</v>
      </c>
      <c r="XG162" s="158">
        <f t="shared" si="1744"/>
        <v>0.39479702942679035</v>
      </c>
      <c r="XH162" s="158">
        <f t="shared" si="1745"/>
        <v>0.39400743536793675</v>
      </c>
      <c r="XI162" s="158">
        <f t="shared" si="1746"/>
        <v>0.39321942049720088</v>
      </c>
      <c r="XJ162" s="158">
        <f t="shared" si="1747"/>
        <v>0.39243298165620649</v>
      </c>
      <c r="XK162" s="158">
        <f t="shared" si="1748"/>
        <v>0.39164811569289409</v>
      </c>
      <c r="XL162" s="158">
        <f t="shared" si="1749"/>
        <v>0.39086481946150825</v>
      </c>
      <c r="XM162" s="158">
        <f t="shared" si="1750"/>
        <v>0.39008308982258527</v>
      </c>
      <c r="XN162" s="158">
        <f t="shared" si="1751"/>
        <v>0.38930292364294006</v>
      </c>
      <c r="XO162" s="158">
        <f t="shared" si="1752"/>
        <v>0.38852431779565422</v>
      </c>
      <c r="XP162" s="158">
        <f t="shared" si="1753"/>
        <v>0.38774726916006291</v>
      </c>
      <c r="XQ162" s="158">
        <f t="shared" si="1630"/>
        <v>0.38697177462174281</v>
      </c>
      <c r="XR162" s="158">
        <f t="shared" si="1624"/>
        <v>0.33782635924478144</v>
      </c>
      <c r="XS162" s="158">
        <f t="shared" si="1624"/>
        <v>0.33715070652629187</v>
      </c>
      <c r="XT162" s="158">
        <f t="shared" si="1624"/>
        <v>0.28831201846662613</v>
      </c>
      <c r="XU162" s="158">
        <f t="shared" si="1624"/>
        <v>0.28773539442969287</v>
      </c>
      <c r="XV162" s="158">
        <f t="shared" si="1624"/>
        <v>0.28715992364083348</v>
      </c>
      <c r="XW162" s="158">
        <f t="shared" si="1624"/>
        <v>0.2865856037935518</v>
      </c>
      <c r="XX162" s="158">
        <f t="shared" si="1624"/>
        <v>0.2860124325859647</v>
      </c>
      <c r="XY162" s="158">
        <f t="shared" si="1624"/>
        <v>0.23777166895646529</v>
      </c>
      <c r="XZ162" s="158">
        <f t="shared" si="1627"/>
        <v>0.23729612561855234</v>
      </c>
      <c r="YA162" s="158">
        <f t="shared" si="1625"/>
        <v>0.18936230824360475</v>
      </c>
      <c r="YB162" s="158">
        <f t="shared" si="1625"/>
        <v>0.18898358362711756</v>
      </c>
      <c r="YC162" s="158">
        <f t="shared" si="1625"/>
        <v>0.18860561645986332</v>
      </c>
      <c r="YD162" s="158">
        <f t="shared" si="1625"/>
        <v>0.18822840522694359</v>
      </c>
      <c r="YE162" s="158">
        <f t="shared" si="1625"/>
        <v>0.18785194841648972</v>
      </c>
      <c r="YF162" s="158">
        <f t="shared" si="1625"/>
        <v>0.1405132574155343</v>
      </c>
      <c r="YG162" s="158">
        <f t="shared" si="1625"/>
        <v>0.14023223090070322</v>
      </c>
      <c r="YH162" s="158">
        <f t="shared" si="1625"/>
        <v>9.320768947200074E-2</v>
      </c>
      <c r="YI162" s="158">
        <f t="shared" si="1625"/>
        <v>9.302127409305673E-2</v>
      </c>
      <c r="YJ162" s="158">
        <f t="shared" si="1625"/>
        <v>9.2835231544870625E-2</v>
      </c>
      <c r="YK162" s="158">
        <f t="shared" si="1625"/>
        <v>9.2649561081780893E-2</v>
      </c>
      <c r="YL162" s="158">
        <f t="shared" si="1625"/>
        <v>9.2464261959617336E-2</v>
      </c>
      <c r="YM162" s="158">
        <f t="shared" si="1628"/>
        <v>4.6047202455889426E-2</v>
      </c>
      <c r="YN162" s="158">
        <f t="shared" si="1626"/>
        <v>4.5955108050977654E-2</v>
      </c>
      <c r="YO162" s="158">
        <f t="shared" si="1626"/>
        <v>-9.1910216101958044E-5</v>
      </c>
      <c r="YP162" s="119"/>
      <c r="YQ162" s="119"/>
      <c r="YR162" s="119"/>
      <c r="YS162" s="119"/>
      <c r="YT162" s="119"/>
      <c r="YU162" s="119"/>
      <c r="YV162" s="119"/>
      <c r="YW162" s="119"/>
      <c r="YX162" s="119"/>
      <c r="YY162" s="119"/>
      <c r="YZ162" s="119"/>
      <c r="ZA162" s="119"/>
      <c r="ZB162" s="119"/>
      <c r="ZC162" s="119"/>
      <c r="ZD162" s="119"/>
      <c r="ZE162" s="119"/>
      <c r="ZF162" s="119"/>
      <c r="ZG162" s="119"/>
      <c r="ZH162" s="119"/>
      <c r="ZI162" s="119"/>
      <c r="ZJ162" s="119"/>
      <c r="ZK162" s="119"/>
      <c r="ZL162" s="119"/>
      <c r="ZM162" s="119"/>
      <c r="ZN162" s="119"/>
      <c r="ZO162" s="119"/>
      <c r="ZP162" s="119"/>
      <c r="ZQ162" s="119"/>
      <c r="ZR162" s="119"/>
      <c r="ZS162" s="119"/>
      <c r="ZT162" s="119"/>
    </row>
    <row r="163" spans="1:738" ht="18.75" x14ac:dyDescent="0.25">
      <c r="A163" s="298"/>
      <c r="B163" s="25" t="s">
        <v>10</v>
      </c>
      <c r="BY163" s="18"/>
      <c r="BZ163" s="18"/>
      <c r="CA163" s="18"/>
      <c r="CB163" s="18"/>
      <c r="CC163" s="18"/>
      <c r="CD163" s="18"/>
      <c r="CE163" s="18"/>
      <c r="CF163" s="18"/>
      <c r="CG163" s="18"/>
      <c r="CH163" s="18"/>
      <c r="CI163" s="18"/>
      <c r="CJ163" s="18"/>
      <c r="CK163" s="18"/>
      <c r="CL163" s="18"/>
      <c r="CM163" s="18"/>
      <c r="CN163" s="18"/>
      <c r="CO163" s="18"/>
      <c r="CP163" s="18"/>
      <c r="CQ163" s="18"/>
      <c r="CR163" s="18"/>
      <c r="CS163" s="18"/>
      <c r="CT163" s="18"/>
      <c r="CU163" s="18"/>
      <c r="CV163" s="18"/>
      <c r="CW163" s="18"/>
      <c r="CX163" s="18"/>
      <c r="CY163" s="18"/>
      <c r="CZ163" s="18"/>
      <c r="DA163" s="18"/>
      <c r="DB163" s="18"/>
      <c r="DC163" s="18"/>
      <c r="DD163" s="18"/>
      <c r="DE163" s="18"/>
      <c r="DF163" s="18"/>
      <c r="DG163" s="18"/>
      <c r="DH163" s="18"/>
      <c r="DI163" s="18"/>
      <c r="DJ163" s="18"/>
      <c r="DK163" s="18"/>
      <c r="DL163" s="18"/>
      <c r="DM163" s="18"/>
      <c r="DN163" s="18"/>
      <c r="DO163" s="18"/>
      <c r="DP163" s="18"/>
      <c r="DQ163" s="18"/>
      <c r="DR163" s="18"/>
      <c r="DS163" s="18"/>
      <c r="DT163" s="18"/>
      <c r="DU163" s="18"/>
      <c r="DV163" s="18"/>
      <c r="DW163" s="18"/>
      <c r="DX163" s="18"/>
      <c r="DY163" s="18"/>
      <c r="DZ163" s="18"/>
      <c r="EA163" s="18"/>
      <c r="EB163" s="18"/>
      <c r="EC163" s="18"/>
      <c r="ED163" s="18"/>
      <c r="EE163" s="18"/>
      <c r="EF163" s="18"/>
      <c r="EG163" s="18"/>
      <c r="EH163" s="18"/>
      <c r="EI163" s="18"/>
      <c r="EJ163" s="18"/>
      <c r="EK163" s="18"/>
      <c r="EL163" s="18"/>
      <c r="EM163" s="18"/>
      <c r="EN163" s="18"/>
      <c r="EO163" s="18"/>
      <c r="EP163" s="18"/>
      <c r="EQ163" s="18"/>
      <c r="ER163" s="18"/>
      <c r="ES163" s="18"/>
      <c r="ET163" s="18"/>
      <c r="EU163" s="18"/>
      <c r="EV163" s="18"/>
      <c r="EW163" s="18"/>
      <c r="EX163" s="18"/>
      <c r="EY163" s="18"/>
      <c r="EZ163" s="18"/>
      <c r="FA163" s="18"/>
      <c r="FB163" s="18"/>
      <c r="FC163" s="18"/>
      <c r="FD163" s="18"/>
      <c r="FE163" s="18"/>
      <c r="FF163" s="18"/>
      <c r="FG163" s="18"/>
      <c r="FH163" s="18"/>
      <c r="FI163" s="18"/>
      <c r="FJ163" s="18"/>
      <c r="FK163" s="18"/>
      <c r="FL163" s="18"/>
      <c r="FM163" s="18"/>
      <c r="FN163" s="18"/>
      <c r="FO163" s="18"/>
      <c r="FP163" s="18"/>
      <c r="FQ163" s="18"/>
      <c r="FR163" s="18"/>
      <c r="FS163" s="18"/>
      <c r="FT163" s="18"/>
      <c r="FU163" s="18"/>
      <c r="FV163" s="18"/>
      <c r="FW163" s="18"/>
      <c r="FX163" s="18"/>
      <c r="FY163" s="18"/>
      <c r="FZ163" s="18"/>
      <c r="GA163" s="18"/>
      <c r="GB163" s="18"/>
      <c r="GC163" s="18"/>
      <c r="GD163" s="18"/>
      <c r="GE163" s="18"/>
      <c r="GF163" s="18"/>
      <c r="GG163" s="18"/>
      <c r="GH163" s="18"/>
      <c r="GI163" s="18"/>
      <c r="GJ163" s="18"/>
      <c r="GK163" s="18"/>
      <c r="GL163" s="18"/>
      <c r="GM163" s="18"/>
      <c r="GN163" s="18"/>
      <c r="GO163" s="18"/>
      <c r="GP163" s="18"/>
      <c r="GQ163" s="18"/>
      <c r="GR163" s="18"/>
      <c r="GS163" s="18"/>
      <c r="GT163" s="18"/>
      <c r="GU163" s="18"/>
      <c r="GV163" s="18"/>
      <c r="GW163" s="18"/>
      <c r="GX163" s="18"/>
      <c r="GY163" s="18"/>
      <c r="GZ163" s="18"/>
      <c r="HA163" s="18"/>
      <c r="HB163" s="18"/>
      <c r="HC163" s="18"/>
      <c r="HD163" s="18"/>
      <c r="HE163" s="18"/>
      <c r="HF163" s="18"/>
      <c r="HG163" s="18"/>
      <c r="HH163" s="18"/>
      <c r="HI163" s="18"/>
      <c r="HJ163" s="18"/>
      <c r="HK163" s="18"/>
      <c r="HL163" s="18"/>
      <c r="HM163" s="18"/>
      <c r="HN163" s="18"/>
      <c r="HO163" s="18"/>
      <c r="HP163" s="18"/>
      <c r="HQ163" s="18"/>
      <c r="HR163" s="18"/>
      <c r="HS163" s="18"/>
      <c r="HT163" s="18"/>
      <c r="HU163" s="18"/>
      <c r="HV163" s="18"/>
      <c r="HW163" s="18"/>
      <c r="HX163" s="18"/>
      <c r="HY163" s="18"/>
      <c r="HZ163" s="18"/>
      <c r="IA163" s="18"/>
      <c r="IB163" s="18"/>
      <c r="IC163" s="18"/>
      <c r="ID163" s="18"/>
      <c r="IE163" s="18"/>
      <c r="IF163" s="18"/>
      <c r="IG163" s="18"/>
      <c r="IH163" s="18"/>
      <c r="II163" s="18"/>
      <c r="IJ163" s="18"/>
      <c r="IK163" s="18"/>
      <c r="IL163" s="18"/>
      <c r="IM163" s="18"/>
      <c r="IN163" s="18"/>
      <c r="IO163" s="18"/>
      <c r="IP163" s="18"/>
      <c r="IQ163" s="18"/>
      <c r="IR163" s="18"/>
      <c r="IS163" s="18"/>
      <c r="IT163" s="18"/>
      <c r="IU163" s="18"/>
      <c r="IV163" s="18"/>
      <c r="IW163" s="18"/>
      <c r="IX163" s="18"/>
      <c r="IY163" s="18"/>
      <c r="IZ163" s="18"/>
      <c r="JA163" s="18"/>
      <c r="JB163" s="18"/>
      <c r="JC163" s="18"/>
      <c r="JD163" s="18"/>
      <c r="JE163" s="18"/>
      <c r="JF163" s="18"/>
      <c r="JG163" s="18"/>
      <c r="JH163" s="18"/>
      <c r="JI163" s="18"/>
      <c r="JJ163" s="18"/>
      <c r="JK163" s="18"/>
      <c r="JL163" s="18"/>
      <c r="JM163" s="18"/>
      <c r="JN163" s="18"/>
      <c r="JO163" s="18"/>
      <c r="JP163" s="18"/>
      <c r="JQ163" s="18"/>
      <c r="JR163" s="18"/>
      <c r="JS163" s="18"/>
      <c r="JT163" s="18"/>
      <c r="JU163" s="18"/>
      <c r="JV163" s="18"/>
      <c r="JW163" s="18"/>
      <c r="JX163" s="18"/>
      <c r="JY163" s="18"/>
      <c r="JZ163" s="18"/>
      <c r="KA163" s="18"/>
      <c r="KB163" s="18"/>
      <c r="KC163" s="18"/>
      <c r="KD163" s="18"/>
      <c r="KE163" s="18"/>
      <c r="KF163" s="18"/>
      <c r="KG163" s="18"/>
      <c r="KH163" s="18"/>
      <c r="KI163" s="18"/>
      <c r="KJ163" s="18"/>
      <c r="KK163" s="18"/>
      <c r="KL163" s="18"/>
      <c r="KM163" s="18"/>
      <c r="KN163" s="18"/>
      <c r="KO163" s="18"/>
      <c r="KP163" s="18"/>
      <c r="KQ163" s="18"/>
      <c r="KR163" s="18"/>
      <c r="KS163" s="18"/>
      <c r="KT163" s="18"/>
      <c r="KU163" s="18"/>
      <c r="KV163" s="18"/>
      <c r="KW163" s="18"/>
      <c r="KX163" s="18"/>
      <c r="KY163" s="18"/>
      <c r="KZ163" s="18"/>
      <c r="LA163" s="18"/>
      <c r="LB163" s="18"/>
      <c r="LC163" s="18"/>
      <c r="LD163" s="18"/>
      <c r="LE163" s="18"/>
      <c r="LF163" s="18"/>
      <c r="LG163" s="18"/>
      <c r="LH163" s="18"/>
      <c r="LI163" s="18"/>
      <c r="LJ163" s="18"/>
      <c r="LK163" s="18"/>
      <c r="LL163" s="18"/>
      <c r="LM163" s="18"/>
      <c r="LN163" s="18"/>
      <c r="LO163" s="18"/>
      <c r="LP163" s="18"/>
      <c r="LQ163" s="18"/>
      <c r="LR163" s="18"/>
      <c r="LS163" s="18"/>
      <c r="LT163" s="18"/>
      <c r="LU163" s="18"/>
      <c r="LV163" s="18"/>
      <c r="LW163" s="18"/>
      <c r="LX163" s="18"/>
      <c r="LY163" s="18"/>
      <c r="LZ163" s="18"/>
      <c r="MA163" s="18"/>
      <c r="MB163" s="18"/>
      <c r="MC163" s="18"/>
      <c r="MD163" s="18"/>
      <c r="ME163" s="18"/>
      <c r="MF163" s="18"/>
      <c r="MG163" s="18"/>
      <c r="MH163" s="18"/>
      <c r="MI163" s="18"/>
      <c r="MJ163" s="18"/>
      <c r="MK163" s="18"/>
      <c r="ML163" s="18"/>
      <c r="MM163" s="18"/>
      <c r="MN163" s="18"/>
      <c r="MO163" s="18"/>
      <c r="MP163" s="18"/>
      <c r="MQ163" s="18"/>
      <c r="MR163" s="18"/>
      <c r="MS163" s="18"/>
      <c r="MT163" s="18"/>
      <c r="MU163" s="18"/>
      <c r="MV163" s="18"/>
      <c r="MW163" s="18"/>
      <c r="MX163" s="18"/>
      <c r="MY163" s="18"/>
      <c r="MZ163" s="18"/>
      <c r="NA163" s="18"/>
      <c r="NB163" s="18"/>
      <c r="NC163" s="18"/>
      <c r="ND163" s="18"/>
      <c r="NE163" s="18"/>
      <c r="NF163" s="18"/>
      <c r="NG163" s="18"/>
      <c r="NH163" s="18"/>
      <c r="NI163" s="18"/>
      <c r="NJ163" s="18"/>
      <c r="NK163" s="18"/>
      <c r="NL163" s="18"/>
      <c r="NM163" s="18"/>
      <c r="NN163" s="18"/>
      <c r="NO163" s="18"/>
      <c r="NP163" s="18"/>
      <c r="NQ163" s="18"/>
      <c r="NR163" s="18"/>
      <c r="NS163" s="18"/>
      <c r="NT163" s="18"/>
      <c r="NU163" s="18"/>
      <c r="NV163" s="18"/>
      <c r="NW163" s="18"/>
      <c r="NX163" s="18"/>
      <c r="NY163" s="18"/>
      <c r="NZ163" s="18"/>
      <c r="OA163" s="18"/>
      <c r="OB163" s="18"/>
      <c r="OC163" s="18"/>
      <c r="OD163" s="18"/>
      <c r="OE163" s="18"/>
      <c r="OF163" s="18"/>
      <c r="OG163" s="18"/>
      <c r="OH163" s="18"/>
      <c r="OI163" s="18"/>
      <c r="OJ163" s="18"/>
      <c r="OK163" s="18"/>
      <c r="OL163" s="18"/>
      <c r="OM163" s="18"/>
      <c r="ON163" s="18"/>
      <c r="OO163" s="18"/>
      <c r="OP163" s="18"/>
      <c r="OQ163" s="18"/>
      <c r="OR163" s="18"/>
      <c r="OS163" s="18"/>
      <c r="OT163" s="18"/>
      <c r="OU163" s="18"/>
      <c r="OV163" s="18"/>
      <c r="OW163" s="18"/>
      <c r="OX163" s="18"/>
      <c r="OY163" s="18"/>
      <c r="OZ163" s="18"/>
      <c r="PA163" s="18"/>
      <c r="PB163" s="18"/>
      <c r="PC163" s="18"/>
      <c r="PD163" s="18"/>
      <c r="PE163" s="18"/>
      <c r="PF163" s="18"/>
      <c r="PG163" s="18"/>
      <c r="PH163" s="18"/>
      <c r="PI163" s="18"/>
      <c r="PJ163" s="18"/>
      <c r="PK163" s="18"/>
      <c r="PL163" s="18"/>
      <c r="PM163" s="18"/>
      <c r="PN163" s="18"/>
      <c r="PO163" s="18"/>
      <c r="PP163" s="18"/>
      <c r="PQ163" s="18"/>
      <c r="PR163" s="18"/>
      <c r="PS163" s="18"/>
      <c r="PT163" s="18"/>
      <c r="PU163" s="18"/>
      <c r="PV163" s="18"/>
      <c r="PW163" s="18"/>
      <c r="PX163" s="18"/>
      <c r="PY163" s="18"/>
      <c r="PZ163" s="18"/>
      <c r="QA163" s="18"/>
      <c r="QB163" s="18"/>
      <c r="QC163" s="18"/>
      <c r="QD163" s="18"/>
      <c r="QE163" s="18"/>
      <c r="QF163" s="18"/>
      <c r="QG163" s="18"/>
      <c r="QH163" s="18"/>
      <c r="QI163" s="18"/>
      <c r="QJ163" s="18"/>
      <c r="QK163" s="18"/>
      <c r="QL163" s="18"/>
      <c r="QM163" s="18"/>
      <c r="QN163" s="18"/>
      <c r="QO163" s="18"/>
      <c r="QP163" s="18"/>
      <c r="QQ163" s="18"/>
      <c r="QR163" s="18"/>
      <c r="QS163" s="18"/>
      <c r="QT163" s="18"/>
      <c r="QU163" s="18"/>
      <c r="QV163" s="18"/>
      <c r="QW163" s="18"/>
      <c r="QX163" s="18"/>
      <c r="QY163" s="18"/>
      <c r="QZ163" s="18"/>
      <c r="RA163" s="18"/>
      <c r="RB163" s="18"/>
      <c r="RC163" s="18"/>
      <c r="RD163" s="18"/>
      <c r="RE163" s="18"/>
      <c r="RF163" s="18"/>
      <c r="RG163" s="18"/>
      <c r="RH163" s="18"/>
      <c r="RI163" s="18"/>
      <c r="RJ163" s="18"/>
      <c r="RK163" s="18"/>
      <c r="RL163" s="18"/>
      <c r="RM163" s="18"/>
      <c r="RN163" s="18"/>
      <c r="RO163" s="18"/>
      <c r="RP163" s="18"/>
      <c r="RQ163" s="18"/>
      <c r="RR163" s="18"/>
      <c r="RS163" s="18"/>
      <c r="RT163" s="18"/>
      <c r="RU163" s="18"/>
      <c r="RV163" s="18"/>
      <c r="RW163" s="18"/>
      <c r="RX163" s="18"/>
      <c r="RY163" s="18"/>
      <c r="RZ163" s="18"/>
      <c r="SA163" s="18"/>
      <c r="SB163" s="18"/>
      <c r="SS163" s="122">
        <f t="shared" si="1618"/>
        <v>0.01</v>
      </c>
      <c r="ST163" s="115">
        <f t="shared" si="1619"/>
        <v>1.1005582593758946E-2</v>
      </c>
      <c r="SU163" s="115">
        <f t="shared" si="1620"/>
        <v>1.2106377159660616E-2</v>
      </c>
      <c r="SV163" s="115">
        <f t="shared" si="1621"/>
        <v>1.329177463494996E-2</v>
      </c>
      <c r="SW163" s="115">
        <f t="shared" si="1631"/>
        <v>1.4588567329531619E-2</v>
      </c>
      <c r="SX163" s="115">
        <f t="shared" si="1632"/>
        <v>1.6001621613287186E-2</v>
      </c>
      <c r="SY163" s="115">
        <f t="shared" si="1633"/>
        <v>1.7513764350912106E-2</v>
      </c>
      <c r="SZ163" s="115">
        <f t="shared" si="1634"/>
        <v>1.9159726586917943E-2</v>
      </c>
      <c r="TA163" s="115">
        <f t="shared" si="1635"/>
        <v>2.0916842913967924E-2</v>
      </c>
      <c r="TB163" s="115">
        <f t="shared" si="1636"/>
        <v>2.2820893014488763E-2</v>
      </c>
      <c r="TC163" s="115">
        <f t="shared" si="1637"/>
        <v>2.4875013679153523E-2</v>
      </c>
      <c r="TD163" s="115">
        <f t="shared" si="1638"/>
        <v>2.7051785083274507E-2</v>
      </c>
      <c r="TE163" s="115">
        <f t="shared" si="1639"/>
        <v>2.9391936164292577E-2</v>
      </c>
      <c r="TF163" s="115">
        <f t="shared" si="1640"/>
        <v>3.1863875340368962E-2</v>
      </c>
      <c r="TG163" s="115">
        <f t="shared" si="1641"/>
        <v>3.4512306780663762E-2</v>
      </c>
      <c r="TH163" s="115">
        <f t="shared" si="1642"/>
        <v>3.7295557327491485E-2</v>
      </c>
      <c r="TI163" s="115">
        <f t="shared" si="1643"/>
        <v>4.026107129173058E-2</v>
      </c>
      <c r="TJ163" s="115">
        <f t="shared" si="1644"/>
        <v>4.3360342612975861E-2</v>
      </c>
      <c r="TK163" s="115">
        <f t="shared" si="1645"/>
        <v>4.664991913528866E-2</v>
      </c>
      <c r="TL163" s="115">
        <f t="shared" si="1646"/>
        <v>5.0082638009534913E-2</v>
      </c>
      <c r="TM163" s="115">
        <f t="shared" si="1647"/>
        <v>5.3713064706430995E-2</v>
      </c>
      <c r="TN163" s="115">
        <f t="shared" si="1648"/>
        <v>5.7488794243371416E-2</v>
      </c>
      <c r="TO163" s="115">
        <f t="shared" si="1649"/>
        <v>6.1459039321378257E-2</v>
      </c>
      <c r="TP163" s="115">
        <f t="shared" si="1650"/>
        <v>6.5573850206895934E-2</v>
      </c>
      <c r="TQ163" s="115">
        <f t="shared" si="1651"/>
        <v>6.9894468866911849E-2</v>
      </c>
      <c r="TR163" s="115">
        <f t="shared" si="1652"/>
        <v>7.4436102539565979E-2</v>
      </c>
      <c r="TS163" s="115">
        <f t="shared" si="1653"/>
        <v>7.9133861530936309E-2</v>
      </c>
      <c r="TT163" s="115">
        <f t="shared" si="1654"/>
        <v>8.405709402530856E-2</v>
      </c>
      <c r="TU163" s="115">
        <f t="shared" si="1655"/>
        <v>8.9135398951392567E-2</v>
      </c>
      <c r="TV163" s="115">
        <f t="shared" si="1656"/>
        <v>9.4441702908772407E-2</v>
      </c>
      <c r="TW163" s="115">
        <f t="shared" si="1657"/>
        <v>9.9980397615493405E-2</v>
      </c>
      <c r="TX163" s="115">
        <f t="shared" si="1658"/>
        <v>0.10567182625033895</v>
      </c>
      <c r="TY163" s="115">
        <f t="shared" si="1659"/>
        <v>0.11159516930349321</v>
      </c>
      <c r="TZ163" s="115">
        <f t="shared" si="1660"/>
        <v>0.11775330649604171</v>
      </c>
      <c r="UA163" s="115">
        <f t="shared" si="1661"/>
        <v>0.12405730544100586</v>
      </c>
      <c r="UB163" s="115">
        <f t="shared" si="1662"/>
        <v>0.13059224509206371</v>
      </c>
      <c r="UC163" s="115">
        <f t="shared" si="1663"/>
        <v>0.13724552354731717</v>
      </c>
      <c r="UD163" s="115">
        <f t="shared" si="1664"/>
        <v>0.14412155178115069</v>
      </c>
      <c r="UE163" s="115">
        <f t="shared" si="1665"/>
        <v>0.15119969398384345</v>
      </c>
      <c r="UF163" s="115">
        <f t="shared" si="1666"/>
        <v>0.15839607220451735</v>
      </c>
      <c r="UG163" s="115">
        <f t="shared" si="1667"/>
        <v>0.16580270216732043</v>
      </c>
      <c r="UH163" s="115">
        <f t="shared" si="1668"/>
        <v>0.17339414742075068</v>
      </c>
      <c r="UI163" s="115">
        <f t="shared" si="1669"/>
        <v>0.18108161957284974</v>
      </c>
      <c r="UJ163" s="115">
        <f t="shared" si="1670"/>
        <v>0.18893592980770582</v>
      </c>
      <c r="UK163" s="115">
        <f t="shared" si="1671"/>
        <v>0.19697531518673633</v>
      </c>
      <c r="UL163" s="115">
        <f t="shared" si="1672"/>
        <v>0.20508349043138344</v>
      </c>
      <c r="UM163" s="115">
        <f t="shared" si="1673"/>
        <v>0.21335880865547383</v>
      </c>
      <c r="UN163" s="115">
        <f t="shared" si="1674"/>
        <v>0.22179470370603419</v>
      </c>
      <c r="UO163" s="115">
        <f t="shared" si="1675"/>
        <v>0.2302694245156435</v>
      </c>
      <c r="UP163" s="115">
        <f t="shared" si="1676"/>
        <v>0.23888337760373704</v>
      </c>
      <c r="UQ163" s="115">
        <f t="shared" si="1677"/>
        <v>0.24751301127415998</v>
      </c>
      <c r="UR163" s="149">
        <f t="shared" si="1678"/>
        <v>0.24751301127415998</v>
      </c>
      <c r="US163" s="149">
        <f t="shared" si="1679"/>
        <v>0.25606279623273898</v>
      </c>
      <c r="UT163" s="149">
        <f t="shared" si="1680"/>
        <v>0.26459311346923547</v>
      </c>
      <c r="UU163" s="149">
        <f t="shared" si="1681"/>
        <v>0.27320101477409309</v>
      </c>
      <c r="UV163" s="149">
        <f t="shared" si="1682"/>
        <v>0.28194674644970757</v>
      </c>
      <c r="UW163" s="149">
        <f t="shared" si="1683"/>
        <v>0.29071185521092607</v>
      </c>
      <c r="UX163" s="149">
        <f t="shared" si="1684"/>
        <v>0.29956272485855329</v>
      </c>
      <c r="UY163" s="149">
        <f t="shared" si="1685"/>
        <v>0.3085291339449367</v>
      </c>
      <c r="UZ163" s="149">
        <f t="shared" si="1686"/>
        <v>0.31760538538029337</v>
      </c>
      <c r="VA163" s="149">
        <f t="shared" si="1687"/>
        <v>0.32666923608303633</v>
      </c>
      <c r="VB163" s="149">
        <f t="shared" si="1688"/>
        <v>0.33582601815025315</v>
      </c>
      <c r="VC163" s="149">
        <f t="shared" si="1689"/>
        <v>0.34502649758005638</v>
      </c>
      <c r="VD163" s="149">
        <f t="shared" si="1690"/>
        <v>0.35430399149027836</v>
      </c>
      <c r="VE163" s="149">
        <f t="shared" si="1629"/>
        <v>0.36353435599804113</v>
      </c>
      <c r="VF163" s="149">
        <f t="shared" si="1691"/>
        <v>0.3728685923431812</v>
      </c>
      <c r="VG163" s="149">
        <f t="shared" si="1692"/>
        <v>0.38230239189895809</v>
      </c>
      <c r="VH163" s="149">
        <f t="shared" si="1693"/>
        <v>0.39183122155676026</v>
      </c>
      <c r="VI163" s="149">
        <f t="shared" si="1694"/>
        <v>0.4014503246911697</v>
      </c>
      <c r="VJ163" s="149">
        <f t="shared" si="1695"/>
        <v>0.41103491518888063</v>
      </c>
      <c r="VK163" s="149">
        <f t="shared" si="1696"/>
        <v>0.42069579669088308</v>
      </c>
      <c r="VL163" s="149">
        <f t="shared" si="1697"/>
        <v>0.43042762008844304</v>
      </c>
      <c r="VM163" s="149">
        <f t="shared" si="1698"/>
        <v>0.44022482958104225</v>
      </c>
      <c r="VN163" s="149">
        <f t="shared" si="1699"/>
        <v>0.44996146066689308</v>
      </c>
      <c r="VO163" s="149">
        <f t="shared" si="1700"/>
        <v>0.45974849082461178</v>
      </c>
      <c r="VP163" s="149">
        <f t="shared" si="1701"/>
        <v>0.46963603840576573</v>
      </c>
      <c r="VQ163" s="149">
        <f t="shared" si="1702"/>
        <v>0.47962145688694802</v>
      </c>
      <c r="VR163" s="149">
        <f t="shared" si="1703"/>
        <v>0.48970197042433439</v>
      </c>
      <c r="VS163" s="149">
        <f t="shared" si="1704"/>
        <v>0.49975211106370188</v>
      </c>
      <c r="VT163" s="149">
        <f t="shared" si="1705"/>
        <v>0.50988784695218992</v>
      </c>
      <c r="VU163" s="149">
        <f t="shared" si="1706"/>
        <v>0.5201060402778851</v>
      </c>
      <c r="VV163" s="149">
        <f t="shared" si="1707"/>
        <v>0.53040342910440241</v>
      </c>
      <c r="VW163" s="149">
        <f t="shared" si="1708"/>
        <v>0.54077662797381754</v>
      </c>
      <c r="VX163" s="149">
        <f t="shared" si="1709"/>
        <v>0.55122212867109288</v>
      </c>
      <c r="VY163" s="149">
        <f t="shared" si="1710"/>
        <v>0.56173630115220363</v>
      </c>
      <c r="VZ163" s="149">
        <f t="shared" si="1711"/>
        <v>0.57225646043277623</v>
      </c>
      <c r="WA163" s="149">
        <f t="shared" si="1712"/>
        <v>0.58290537824787225</v>
      </c>
      <c r="WB163" s="149">
        <f t="shared" si="1713"/>
        <v>0.59368292544087975</v>
      </c>
      <c r="WC163" s="149">
        <f t="shared" si="1714"/>
        <v>0.6045889244052246</v>
      </c>
      <c r="WD163" s="149">
        <f t="shared" si="1715"/>
        <v>0.61562314826174713</v>
      </c>
      <c r="WE163" s="149">
        <f t="shared" si="1716"/>
        <v>0.62678532005006016</v>
      </c>
      <c r="WF163" s="149">
        <f t="shared" si="1717"/>
        <v>0.63794229085373333</v>
      </c>
      <c r="WG163" s="149">
        <f t="shared" si="1718"/>
        <v>0.64922265671817514</v>
      </c>
      <c r="WH163" s="149">
        <f t="shared" si="1719"/>
        <v>0.66062595459050899</v>
      </c>
      <c r="WI163" s="149">
        <f t="shared" si="1720"/>
        <v>0.67215166970065821</v>
      </c>
      <c r="WJ163" s="149">
        <f t="shared" si="1721"/>
        <v>0.68379923488349403</v>
      </c>
      <c r="WK163" s="149">
        <f t="shared" si="1722"/>
        <v>0.69556802991980082</v>
      </c>
      <c r="WL163" s="149">
        <f t="shared" si="1723"/>
        <v>0.70745738089685739</v>
      </c>
      <c r="WM163" s="149">
        <f t="shared" si="1724"/>
        <v>0.71946655958943639</v>
      </c>
      <c r="WN163" s="149">
        <f t="shared" si="1725"/>
        <v>0.73145375701000881</v>
      </c>
      <c r="WO163" s="149">
        <f t="shared" si="1726"/>
        <v>0.74355545266823475</v>
      </c>
      <c r="WP163" s="149">
        <f t="shared" si="1727"/>
        <v>0.75577073425771846</v>
      </c>
      <c r="WQ163" s="159">
        <f t="shared" si="1728"/>
        <v>0.75577073425771846</v>
      </c>
      <c r="WR163" s="159">
        <f t="shared" si="1729"/>
        <v>0.76801057813871565</v>
      </c>
      <c r="WS163" s="159">
        <f t="shared" si="1730"/>
        <v>0.78035916598687038</v>
      </c>
      <c r="WT163" s="159">
        <f t="shared" si="1731"/>
        <v>0.7928153814107648</v>
      </c>
      <c r="WU163" s="159">
        <f t="shared" si="1732"/>
        <v>0.80537805231907722</v>
      </c>
      <c r="WV163" s="159">
        <f t="shared" si="1733"/>
        <v>0.81790034253895094</v>
      </c>
      <c r="WW163" s="159">
        <f t="shared" si="1734"/>
        <v>0.83052313362689922</v>
      </c>
      <c r="WX163" s="159">
        <f t="shared" si="1735"/>
        <v>0.84334073433475221</v>
      </c>
      <c r="WY163" s="159">
        <f t="shared" si="1736"/>
        <v>0.85625902121500952</v>
      </c>
      <c r="WZ163" s="159">
        <f t="shared" si="1737"/>
        <v>0.86927657250153445</v>
      </c>
      <c r="XA163" s="159">
        <f t="shared" si="1738"/>
        <v>0.88239191018813767</v>
      </c>
      <c r="XB163" s="159">
        <f t="shared" si="1739"/>
        <v>0.8956034998415201</v>
      </c>
      <c r="XC163" s="159">
        <f t="shared" si="1740"/>
        <v>0.9087585430506151</v>
      </c>
      <c r="XD163" s="159">
        <f t="shared" si="1741"/>
        <v>0.92200333872269546</v>
      </c>
      <c r="XE163" s="159">
        <f t="shared" si="1742"/>
        <v>0.93533618897066662</v>
      </c>
      <c r="XF163" s="159">
        <f t="shared" si="1743"/>
        <v>0.94886184209501467</v>
      </c>
      <c r="XG163" s="159">
        <f t="shared" si="1744"/>
        <v>0.96247504487602809</v>
      </c>
      <c r="XH163" s="159">
        <f t="shared" si="1745"/>
        <v>0.97617396323655636</v>
      </c>
      <c r="XI163" s="159">
        <f t="shared" si="1746"/>
        <v>0.98995670729755714</v>
      </c>
      <c r="XJ163" s="159">
        <f t="shared" si="1747"/>
        <v>1.0036655491382722</v>
      </c>
      <c r="XK163" s="159">
        <f t="shared" si="1748"/>
        <v>1.0175642299317702</v>
      </c>
      <c r="XL163" s="159">
        <f t="shared" si="1749"/>
        <v>1.0315408163688777</v>
      </c>
      <c r="XM163" s="159">
        <f t="shared" si="1750"/>
        <v>1.0455932401806174</v>
      </c>
      <c r="XN163" s="159">
        <f t="shared" si="1751"/>
        <v>1.0597193788423986</v>
      </c>
      <c r="XO163" s="159">
        <f t="shared" si="1752"/>
        <v>1.0739170557785458</v>
      </c>
      <c r="XP163" s="159">
        <f t="shared" si="1753"/>
        <v>1.0881840406000842</v>
      </c>
      <c r="XQ163" s="159">
        <f t="shared" si="1630"/>
        <v>1.102358782611909</v>
      </c>
      <c r="XR163" s="159">
        <f t="shared" si="1624"/>
        <v>1.1187742054915824</v>
      </c>
      <c r="XS163" s="159">
        <f t="shared" si="1624"/>
        <v>1.1332228592253859</v>
      </c>
      <c r="XT163" s="159">
        <f t="shared" si="1624"/>
        <v>1.1501557842295889</v>
      </c>
      <c r="XU163" s="159">
        <f t="shared" si="1624"/>
        <v>1.1647536198343733</v>
      </c>
      <c r="XV163" s="159">
        <f t="shared" si="1624"/>
        <v>1.1794070554880456</v>
      </c>
      <c r="XW163" s="159">
        <f t="shared" si="1624"/>
        <v>1.1941135340245252</v>
      </c>
      <c r="XX163" s="159">
        <f t="shared" si="1624"/>
        <v>1.2087082842146553</v>
      </c>
      <c r="XY163" s="159">
        <f t="shared" si="1624"/>
        <v>1.2262833758099052</v>
      </c>
      <c r="XZ163" s="159">
        <f t="shared" si="1627"/>
        <v>1.2411362872744927</v>
      </c>
      <c r="YA163" s="159">
        <f t="shared" si="1625"/>
        <v>1.2597658082352627</v>
      </c>
      <c r="YB163" s="159">
        <f t="shared" si="1625"/>
        <v>1.274746837027948</v>
      </c>
      <c r="YC163" s="159">
        <f t="shared" si="1625"/>
        <v>1.2897656561565338</v>
      </c>
      <c r="YD163" s="159">
        <f t="shared" si="1625"/>
        <v>1.3048194075662316</v>
      </c>
      <c r="YE163" s="159">
        <f t="shared" si="1625"/>
        <v>1.3200488617715675</v>
      </c>
      <c r="YF163" s="159">
        <f t="shared" si="1625"/>
        <v>1.3404116064513016</v>
      </c>
      <c r="YG163" s="159">
        <f t="shared" si="1625"/>
        <v>1.3557612956176492</v>
      </c>
      <c r="YH163" s="159">
        <f t="shared" si="1625"/>
        <v>1.3788487029134848</v>
      </c>
      <c r="YI163" s="159">
        <f t="shared" si="1625"/>
        <v>1.3943167494848983</v>
      </c>
      <c r="YJ163" s="159">
        <f t="shared" si="1625"/>
        <v>1.4098064580811625</v>
      </c>
      <c r="YK163" s="159">
        <f t="shared" si="1625"/>
        <v>1.4254682445589308</v>
      </c>
      <c r="YL163" s="159">
        <f t="shared" si="1625"/>
        <v>1.4411487678555732</v>
      </c>
      <c r="YM163" s="159">
        <f t="shared" si="1628"/>
        <v>1.4726039094623389</v>
      </c>
      <c r="YN163" s="159">
        <f t="shared" si="1626"/>
        <v>1.4886425509786578</v>
      </c>
      <c r="YO163" s="159">
        <f t="shared" si="1626"/>
        <v>1.5046616392989716</v>
      </c>
      <c r="YP163" s="119"/>
      <c r="YQ163" s="119"/>
      <c r="YR163" s="119"/>
      <c r="YS163" s="119"/>
      <c r="YT163" s="119"/>
      <c r="YU163" s="119"/>
      <c r="YV163" s="119"/>
      <c r="YW163" s="119"/>
      <c r="YX163" s="119"/>
      <c r="YY163" s="119"/>
      <c r="YZ163" s="119"/>
      <c r="ZA163" s="119"/>
      <c r="ZB163" s="119"/>
      <c r="ZC163" s="119"/>
      <c r="ZD163" s="119"/>
      <c r="ZE163" s="119"/>
      <c r="ZF163" s="119"/>
      <c r="ZG163" s="119"/>
      <c r="ZH163" s="119"/>
      <c r="ZI163" s="119"/>
      <c r="ZJ163" s="119"/>
      <c r="ZK163" s="119"/>
      <c r="ZL163" s="119"/>
      <c r="ZM163" s="119"/>
      <c r="ZN163" s="119"/>
      <c r="ZO163" s="119"/>
      <c r="ZP163" s="119"/>
      <c r="ZQ163" s="119"/>
      <c r="ZR163" s="119"/>
      <c r="ZS163" s="119"/>
      <c r="ZT163" s="119"/>
    </row>
    <row r="164" spans="1:738" ht="19.5" thickBot="1" x14ac:dyDescent="0.3">
      <c r="A164" s="298"/>
      <c r="B164" s="25" t="s">
        <v>11</v>
      </c>
      <c r="BY164" s="18"/>
      <c r="BZ164" s="18"/>
      <c r="CA164" s="18"/>
      <c r="CB164" s="18"/>
      <c r="CC164" s="18"/>
      <c r="CD164" s="18"/>
      <c r="CE164" s="18"/>
      <c r="CF164" s="18"/>
      <c r="CG164" s="18"/>
      <c r="CH164" s="18"/>
      <c r="CI164" s="18"/>
      <c r="CJ164" s="18"/>
      <c r="CK164" s="18"/>
      <c r="CL164" s="18"/>
      <c r="CM164" s="18"/>
      <c r="CN164" s="18"/>
      <c r="CO164" s="18"/>
      <c r="CP164" s="18"/>
      <c r="CQ164" s="18"/>
      <c r="CR164" s="18"/>
      <c r="CS164" s="18"/>
      <c r="CT164" s="18"/>
      <c r="CU164" s="18"/>
      <c r="CV164" s="18"/>
      <c r="CW164" s="18"/>
      <c r="CX164" s="18"/>
      <c r="CY164" s="18"/>
      <c r="CZ164" s="18"/>
      <c r="DA164" s="18"/>
      <c r="DB164" s="18"/>
      <c r="DC164" s="18"/>
      <c r="DD164" s="18"/>
      <c r="DE164" s="18"/>
      <c r="DF164" s="18"/>
      <c r="DG164" s="18"/>
      <c r="DH164" s="18"/>
      <c r="DI164" s="18"/>
      <c r="DJ164" s="18"/>
      <c r="DK164" s="18"/>
      <c r="DL164" s="18"/>
      <c r="DM164" s="18"/>
      <c r="DN164" s="18"/>
      <c r="DO164" s="18"/>
      <c r="DP164" s="18"/>
      <c r="DQ164" s="18"/>
      <c r="DR164" s="18"/>
      <c r="DS164" s="18"/>
      <c r="DT164" s="18"/>
      <c r="DU164" s="18"/>
      <c r="DV164" s="18"/>
      <c r="DW164" s="18"/>
      <c r="DX164" s="18"/>
      <c r="DY164" s="18"/>
      <c r="DZ164" s="18"/>
      <c r="EA164" s="18"/>
      <c r="EB164" s="18"/>
      <c r="EC164" s="18"/>
      <c r="ED164" s="18"/>
      <c r="EE164" s="18"/>
      <c r="EF164" s="18"/>
      <c r="EG164" s="18"/>
      <c r="EH164" s="18"/>
      <c r="EI164" s="18"/>
      <c r="EJ164" s="18"/>
      <c r="EK164" s="18"/>
      <c r="EL164" s="18"/>
      <c r="EM164" s="18"/>
      <c r="EN164" s="18"/>
      <c r="EO164" s="18"/>
      <c r="EP164" s="18"/>
      <c r="EQ164" s="18"/>
      <c r="ER164" s="18"/>
      <c r="ES164" s="18"/>
      <c r="ET164" s="18"/>
      <c r="EU164" s="18"/>
      <c r="EV164" s="18"/>
      <c r="EW164" s="18"/>
      <c r="EX164" s="18"/>
      <c r="EY164" s="18"/>
      <c r="EZ164" s="18"/>
      <c r="FA164" s="18"/>
      <c r="FB164" s="18"/>
      <c r="FC164" s="18"/>
      <c r="FD164" s="18"/>
      <c r="FE164" s="18"/>
      <c r="FF164" s="18"/>
      <c r="FG164" s="18"/>
      <c r="FH164" s="18"/>
      <c r="FI164" s="18"/>
      <c r="FJ164" s="18"/>
      <c r="FK164" s="18"/>
      <c r="FL164" s="18"/>
      <c r="FM164" s="18"/>
      <c r="FN164" s="18"/>
      <c r="FO164" s="18"/>
      <c r="FP164" s="18"/>
      <c r="FQ164" s="18"/>
      <c r="FR164" s="18"/>
      <c r="FS164" s="18"/>
      <c r="FT164" s="18"/>
      <c r="FU164" s="18"/>
      <c r="FV164" s="18"/>
      <c r="FW164" s="18"/>
      <c r="FX164" s="18"/>
      <c r="FY164" s="18"/>
      <c r="FZ164" s="18"/>
      <c r="GA164" s="18"/>
      <c r="GB164" s="18"/>
      <c r="GC164" s="18"/>
      <c r="GD164" s="18"/>
      <c r="GE164" s="18"/>
      <c r="GF164" s="18"/>
      <c r="GG164" s="18"/>
      <c r="GH164" s="18"/>
      <c r="GI164" s="18"/>
      <c r="GJ164" s="18"/>
      <c r="GK164" s="18"/>
      <c r="GL164" s="18"/>
      <c r="GM164" s="18"/>
      <c r="GN164" s="18"/>
      <c r="GO164" s="18"/>
      <c r="GP164" s="18"/>
      <c r="GQ164" s="18"/>
      <c r="GR164" s="18"/>
      <c r="GS164" s="18"/>
      <c r="GT164" s="18"/>
      <c r="GU164" s="18"/>
      <c r="GV164" s="18"/>
      <c r="GW164" s="18"/>
      <c r="GX164" s="18"/>
      <c r="GY164" s="18"/>
      <c r="GZ164" s="18"/>
      <c r="HA164" s="18"/>
      <c r="HB164" s="18"/>
      <c r="HC164" s="18"/>
      <c r="HD164" s="18"/>
      <c r="HE164" s="18"/>
      <c r="HF164" s="18"/>
      <c r="HG164" s="18"/>
      <c r="HH164" s="18"/>
      <c r="HI164" s="18"/>
      <c r="HJ164" s="18"/>
      <c r="HK164" s="18"/>
      <c r="HL164" s="18"/>
      <c r="HM164" s="18"/>
      <c r="HN164" s="18"/>
      <c r="HO164" s="18"/>
      <c r="HP164" s="18"/>
      <c r="HQ164" s="18"/>
      <c r="HR164" s="18"/>
      <c r="HS164" s="18"/>
      <c r="HT164" s="18"/>
      <c r="HU164" s="18"/>
      <c r="HV164" s="18"/>
      <c r="HW164" s="18"/>
      <c r="HX164" s="18"/>
      <c r="HY164" s="18"/>
      <c r="HZ164" s="18"/>
      <c r="IA164" s="18"/>
      <c r="IB164" s="18"/>
      <c r="IC164" s="18"/>
      <c r="ID164" s="18"/>
      <c r="IE164" s="18"/>
      <c r="IF164" s="18"/>
      <c r="IG164" s="18"/>
      <c r="IH164" s="18"/>
      <c r="II164" s="18"/>
      <c r="IJ164" s="18"/>
      <c r="IK164" s="18"/>
      <c r="IL164" s="18"/>
      <c r="IM164" s="18"/>
      <c r="IN164" s="18"/>
      <c r="IO164" s="18"/>
      <c r="IP164" s="18"/>
      <c r="IQ164" s="18"/>
      <c r="IR164" s="18"/>
      <c r="IS164" s="18"/>
      <c r="IT164" s="18"/>
      <c r="IU164" s="18"/>
      <c r="IV164" s="18"/>
      <c r="IW164" s="18"/>
      <c r="IX164" s="18"/>
      <c r="IY164" s="18"/>
      <c r="IZ164" s="18"/>
      <c r="JA164" s="18"/>
      <c r="JB164" s="18"/>
      <c r="JC164" s="18"/>
      <c r="JD164" s="18"/>
      <c r="JE164" s="18"/>
      <c r="JF164" s="18"/>
      <c r="JG164" s="18"/>
      <c r="JH164" s="18"/>
      <c r="JI164" s="18"/>
      <c r="JJ164" s="18"/>
      <c r="JK164" s="18"/>
      <c r="JL164" s="18"/>
      <c r="JM164" s="18"/>
      <c r="JN164" s="18"/>
      <c r="JO164" s="18"/>
      <c r="JP164" s="18"/>
      <c r="JQ164" s="18"/>
      <c r="JR164" s="18"/>
      <c r="JS164" s="18"/>
      <c r="JT164" s="18"/>
      <c r="JU164" s="18"/>
      <c r="JV164" s="18"/>
      <c r="JW164" s="18"/>
      <c r="JX164" s="18"/>
      <c r="JY164" s="18"/>
      <c r="JZ164" s="18"/>
      <c r="KA164" s="18"/>
      <c r="KB164" s="18"/>
      <c r="KC164" s="18"/>
      <c r="KD164" s="18"/>
      <c r="KE164" s="18"/>
      <c r="KF164" s="18"/>
      <c r="KG164" s="18"/>
      <c r="KH164" s="18"/>
      <c r="KI164" s="18"/>
      <c r="KJ164" s="18"/>
      <c r="KK164" s="18"/>
      <c r="KL164" s="18"/>
      <c r="KM164" s="18"/>
      <c r="KN164" s="18"/>
      <c r="KO164" s="18"/>
      <c r="KP164" s="18"/>
      <c r="KQ164" s="18"/>
      <c r="KR164" s="18"/>
      <c r="KS164" s="18"/>
      <c r="KT164" s="18"/>
      <c r="KU164" s="18"/>
      <c r="KV164" s="18"/>
      <c r="KW164" s="18"/>
      <c r="KX164" s="18"/>
      <c r="KY164" s="18"/>
      <c r="KZ164" s="18"/>
      <c r="LA164" s="18"/>
      <c r="LB164" s="18"/>
      <c r="LC164" s="18"/>
      <c r="LD164" s="18"/>
      <c r="LE164" s="18"/>
      <c r="LF164" s="18"/>
      <c r="LG164" s="18"/>
      <c r="LH164" s="18"/>
      <c r="LI164" s="18"/>
      <c r="LJ164" s="18"/>
      <c r="LK164" s="18"/>
      <c r="LL164" s="18"/>
      <c r="LM164" s="18"/>
      <c r="LN164" s="18"/>
      <c r="LO164" s="18"/>
      <c r="LP164" s="18"/>
      <c r="LQ164" s="18"/>
      <c r="LR164" s="18"/>
      <c r="LS164" s="18"/>
      <c r="LT164" s="18"/>
      <c r="LU164" s="18"/>
      <c r="LV164" s="18"/>
      <c r="LW164" s="18"/>
      <c r="LX164" s="18"/>
      <c r="LY164" s="18"/>
      <c r="LZ164" s="18"/>
      <c r="MA164" s="18"/>
      <c r="MB164" s="18"/>
      <c r="MC164" s="18"/>
      <c r="MD164" s="18"/>
      <c r="ME164" s="18"/>
      <c r="MF164" s="18"/>
      <c r="MG164" s="18"/>
      <c r="MH164" s="18"/>
      <c r="MI164" s="18"/>
      <c r="MJ164" s="18"/>
      <c r="MK164" s="18"/>
      <c r="ML164" s="18"/>
      <c r="MM164" s="18"/>
      <c r="MN164" s="18"/>
      <c r="MO164" s="18"/>
      <c r="MP164" s="18"/>
      <c r="MQ164" s="18"/>
      <c r="MR164" s="18"/>
      <c r="MS164" s="18"/>
      <c r="MT164" s="18"/>
      <c r="MU164" s="18"/>
      <c r="MV164" s="18"/>
      <c r="MW164" s="18"/>
      <c r="MX164" s="18"/>
      <c r="MY164" s="18"/>
      <c r="MZ164" s="18"/>
      <c r="NA164" s="18"/>
      <c r="NB164" s="18"/>
      <c r="NC164" s="18"/>
      <c r="ND164" s="18"/>
      <c r="NE164" s="18"/>
      <c r="NF164" s="18"/>
      <c r="NG164" s="18"/>
      <c r="NH164" s="18"/>
      <c r="NI164" s="18"/>
      <c r="NJ164" s="18"/>
      <c r="NK164" s="18"/>
      <c r="NL164" s="18"/>
      <c r="NM164" s="18"/>
      <c r="NN164" s="18"/>
      <c r="NO164" s="18"/>
      <c r="NP164" s="18"/>
      <c r="NQ164" s="18"/>
      <c r="NR164" s="18"/>
      <c r="NS164" s="18"/>
      <c r="NT164" s="18"/>
      <c r="NU164" s="18"/>
      <c r="NV164" s="18"/>
      <c r="NW164" s="18"/>
      <c r="NX164" s="18"/>
      <c r="NY164" s="18"/>
      <c r="NZ164" s="18"/>
      <c r="OA164" s="18"/>
      <c r="OB164" s="18"/>
      <c r="OC164" s="18"/>
      <c r="OD164" s="18"/>
      <c r="OE164" s="18"/>
      <c r="OF164" s="18"/>
      <c r="OG164" s="18"/>
      <c r="OH164" s="18"/>
      <c r="OI164" s="18"/>
      <c r="OJ164" s="18"/>
      <c r="OK164" s="18"/>
      <c r="OL164" s="18"/>
      <c r="OM164" s="18"/>
      <c r="ON164" s="18"/>
      <c r="OO164" s="18"/>
      <c r="OP164" s="18"/>
      <c r="OQ164" s="18"/>
      <c r="OR164" s="18"/>
      <c r="OS164" s="18"/>
      <c r="OT164" s="18"/>
      <c r="OU164" s="18"/>
      <c r="OV164" s="18"/>
      <c r="OW164" s="18"/>
      <c r="OX164" s="18"/>
      <c r="OY164" s="18"/>
      <c r="OZ164" s="18"/>
      <c r="PA164" s="18"/>
      <c r="PB164" s="18"/>
      <c r="PC164" s="18"/>
      <c r="PD164" s="18"/>
      <c r="PE164" s="18"/>
      <c r="PF164" s="18"/>
      <c r="PG164" s="18"/>
      <c r="PH164" s="18"/>
      <c r="PI164" s="18"/>
      <c r="PJ164" s="18"/>
      <c r="PK164" s="18"/>
      <c r="PL164" s="18"/>
      <c r="PM164" s="18"/>
      <c r="PN164" s="18"/>
      <c r="PO164" s="18"/>
      <c r="PP164" s="18"/>
      <c r="PQ164" s="18"/>
      <c r="PR164" s="18"/>
      <c r="PS164" s="18"/>
      <c r="PT164" s="18"/>
      <c r="PU164" s="18"/>
      <c r="PV164" s="18"/>
      <c r="PW164" s="18"/>
      <c r="PX164" s="18"/>
      <c r="PY164" s="18"/>
      <c r="PZ164" s="18"/>
      <c r="QA164" s="18"/>
      <c r="QB164" s="18"/>
      <c r="QC164" s="18"/>
      <c r="QD164" s="18"/>
      <c r="QE164" s="18"/>
      <c r="QF164" s="18"/>
      <c r="QG164" s="18"/>
      <c r="QH164" s="18"/>
      <c r="QI164" s="18"/>
      <c r="QJ164" s="18"/>
      <c r="QK164" s="18"/>
      <c r="QL164" s="18"/>
      <c r="QM164" s="18"/>
      <c r="QN164" s="18"/>
      <c r="QO164" s="18"/>
      <c r="QP164" s="18"/>
      <c r="QQ164" s="18"/>
      <c r="QR164" s="18"/>
      <c r="QS164" s="18"/>
      <c r="QT164" s="18"/>
      <c r="QU164" s="18"/>
      <c r="QV164" s="18"/>
      <c r="QW164" s="18"/>
      <c r="QX164" s="18"/>
      <c r="QY164" s="18"/>
      <c r="QZ164" s="18"/>
      <c r="RA164" s="18"/>
      <c r="RB164" s="18"/>
      <c r="RC164" s="18"/>
      <c r="RD164" s="18"/>
      <c r="RE164" s="18"/>
      <c r="RF164" s="18"/>
      <c r="RG164" s="18"/>
      <c r="RH164" s="18"/>
      <c r="RI164" s="18"/>
      <c r="RJ164" s="18"/>
      <c r="RK164" s="18"/>
      <c r="RL164" s="18"/>
      <c r="RM164" s="18"/>
      <c r="RN164" s="18"/>
      <c r="RO164" s="18"/>
      <c r="RP164" s="18"/>
      <c r="RQ164" s="18"/>
      <c r="RR164" s="18"/>
      <c r="RS164" s="18"/>
      <c r="RT164" s="18"/>
      <c r="RU164" s="18"/>
      <c r="RV164" s="18"/>
      <c r="RW164" s="18"/>
      <c r="RX164" s="18"/>
      <c r="RY164" s="18"/>
      <c r="RZ164" s="18"/>
      <c r="SA164" s="18"/>
      <c r="SB164" s="18"/>
      <c r="SS164" s="123">
        <f t="shared" si="1618"/>
        <v>2.5</v>
      </c>
      <c r="ST164" s="110">
        <f t="shared" si="1619"/>
        <v>2.7458928571428571</v>
      </c>
      <c r="SU164" s="110">
        <f t="shared" si="1620"/>
        <v>3.0145000191326532</v>
      </c>
      <c r="SV164" s="110">
        <f t="shared" si="1621"/>
        <v>3.3030458455254204</v>
      </c>
      <c r="SW164" s="110">
        <f t="shared" si="1631"/>
        <v>3.6180521124776339</v>
      </c>
      <c r="SX164" s="110">
        <f t="shared" si="1632"/>
        <v>3.9605610457921832</v>
      </c>
      <c r="SY164" s="110">
        <f t="shared" si="1633"/>
        <v>4.326161801639965</v>
      </c>
      <c r="SZ164" s="110">
        <f t="shared" si="1634"/>
        <v>4.7232736194318816</v>
      </c>
      <c r="TA164" s="110">
        <f t="shared" si="1635"/>
        <v>5.1461266915986474</v>
      </c>
      <c r="TB164" s="110">
        <f t="shared" si="1636"/>
        <v>5.603346964774242</v>
      </c>
      <c r="TC164" s="110">
        <f t="shared" si="1637"/>
        <v>6.0954917778498379</v>
      </c>
      <c r="TD164" s="110">
        <f t="shared" si="1638"/>
        <v>6.615640409559691</v>
      </c>
      <c r="TE164" s="110">
        <f t="shared" si="1639"/>
        <v>7.1735594174325588</v>
      </c>
      <c r="TF164" s="110">
        <f t="shared" si="1640"/>
        <v>7.7613208923231802</v>
      </c>
      <c r="TG164" s="110">
        <f t="shared" si="1641"/>
        <v>8.3896061802951785</v>
      </c>
      <c r="TH164" s="110">
        <f t="shared" si="1642"/>
        <v>9.0480549492196349</v>
      </c>
      <c r="TI164" s="110">
        <f t="shared" si="1643"/>
        <v>9.7479657804528195</v>
      </c>
      <c r="TJ164" s="110">
        <f t="shared" si="1644"/>
        <v>10.477361188215589</v>
      </c>
      <c r="TK164" s="110">
        <f t="shared" si="1645"/>
        <v>11.249692384375482</v>
      </c>
      <c r="TL164" s="110">
        <f t="shared" si="1646"/>
        <v>12.053342284084305</v>
      </c>
      <c r="TM164" s="110">
        <f t="shared" si="1647"/>
        <v>12.90121958038036</v>
      </c>
      <c r="TN164" s="110">
        <f t="shared" si="1648"/>
        <v>13.78048731485859</v>
      </c>
      <c r="TO164" s="110">
        <f t="shared" si="1649"/>
        <v>14.702719927468356</v>
      </c>
      <c r="TP164" s="110">
        <f t="shared" si="1650"/>
        <v>15.655723500948806</v>
      </c>
      <c r="TQ164" s="110">
        <f t="shared" si="1651"/>
        <v>16.653894478100209</v>
      </c>
      <c r="TR164" s="110">
        <f t="shared" si="1652"/>
        <v>17.700566512875355</v>
      </c>
      <c r="TS164" s="110">
        <f t="shared" si="1653"/>
        <v>18.780036882600857</v>
      </c>
      <c r="TT164" s="110">
        <f t="shared" si="1654"/>
        <v>19.908520889904604</v>
      </c>
      <c r="TU164" s="110">
        <f t="shared" si="1655"/>
        <v>21.06907054883963</v>
      </c>
      <c r="TV164" s="110">
        <f t="shared" si="1656"/>
        <v>22.278683069761243</v>
      </c>
      <c r="TW164" s="110">
        <f t="shared" si="1657"/>
        <v>23.538083918587155</v>
      </c>
      <c r="TX164" s="110">
        <f t="shared" si="1658"/>
        <v>24.828243822646527</v>
      </c>
      <c r="TY164" s="110">
        <f t="shared" si="1659"/>
        <v>26.167529670586966</v>
      </c>
      <c r="TZ164" s="110">
        <f t="shared" si="1660"/>
        <v>27.556304940930293</v>
      </c>
      <c r="UA164" s="110">
        <f t="shared" si="1661"/>
        <v>28.973486337892421</v>
      </c>
      <c r="UB164" s="110">
        <f t="shared" si="1662"/>
        <v>30.438716932694408</v>
      </c>
      <c r="UC164" s="110">
        <f t="shared" si="1663"/>
        <v>31.925498204843478</v>
      </c>
      <c r="UD164" s="110">
        <f t="shared" si="1664"/>
        <v>33.457922118675967</v>
      </c>
      <c r="UE164" s="110">
        <f t="shared" si="1665"/>
        <v>35.030915696593432</v>
      </c>
      <c r="UF164" s="110">
        <f t="shared" si="1666"/>
        <v>36.624822360788428</v>
      </c>
      <c r="UG164" s="110">
        <f t="shared" si="1667"/>
        <v>38.260731092903647</v>
      </c>
      <c r="UH164" s="110">
        <f t="shared" si="1668"/>
        <v>39.932512482046356</v>
      </c>
      <c r="UI164" s="110">
        <f t="shared" si="1669"/>
        <v>41.619524379233077</v>
      </c>
      <c r="UJ164" s="110">
        <f t="shared" si="1670"/>
        <v>43.337897618671555</v>
      </c>
      <c r="UK164" s="110">
        <f t="shared" si="1671"/>
        <v>45.091598297651771</v>
      </c>
      <c r="UL164" s="110">
        <f t="shared" si="1672"/>
        <v>46.85382670679784</v>
      </c>
      <c r="UM164" s="110">
        <f t="shared" si="1673"/>
        <v>48.646935318063406</v>
      </c>
      <c r="UN164" s="110">
        <f t="shared" si="1674"/>
        <v>50.469223219437346</v>
      </c>
      <c r="UO164" s="110">
        <f t="shared" si="1675"/>
        <v>52.292844485099678</v>
      </c>
      <c r="UP164" s="110">
        <f t="shared" si="1676"/>
        <v>54.140524990239868</v>
      </c>
      <c r="UQ164" s="110">
        <f t="shared" si="1677"/>
        <v>55.984152341223293</v>
      </c>
      <c r="UR164" s="148">
        <f t="shared" si="1678"/>
        <v>55.872184036540851</v>
      </c>
      <c r="US164" s="148">
        <f t="shared" si="1679"/>
        <v>57.686559697095888</v>
      </c>
      <c r="UT164" s="148">
        <f t="shared" si="1680"/>
        <v>59.489077393605136</v>
      </c>
      <c r="UU164" s="148">
        <f t="shared" si="1681"/>
        <v>61.30156279055835</v>
      </c>
      <c r="UV164" s="148">
        <f t="shared" si="1682"/>
        <v>63.137425177506771</v>
      </c>
      <c r="UW164" s="148">
        <f t="shared" si="1683"/>
        <v>64.970029415992343</v>
      </c>
      <c r="UX164" s="148">
        <f t="shared" si="1684"/>
        <v>66.814178712492435</v>
      </c>
      <c r="UY164" s="148">
        <f t="shared" si="1685"/>
        <v>68.676409796094475</v>
      </c>
      <c r="UZ164" s="148">
        <f t="shared" si="1686"/>
        <v>70.555325930772227</v>
      </c>
      <c r="VA164" s="148">
        <f t="shared" si="1687"/>
        <v>72.423702409850407</v>
      </c>
      <c r="VB164" s="148">
        <f t="shared" si="1688"/>
        <v>74.304885161053093</v>
      </c>
      <c r="VC164" s="148">
        <f t="shared" si="1689"/>
        <v>76.187902630577511</v>
      </c>
      <c r="VD164" s="148">
        <f t="shared" si="1690"/>
        <v>78.080062946541972</v>
      </c>
      <c r="VE164" s="148">
        <f t="shared" si="1629"/>
        <v>79.953984457258983</v>
      </c>
      <c r="VF164" s="148">
        <f t="shared" si="1691"/>
        <v>81.842897340061725</v>
      </c>
      <c r="VG164" s="148">
        <f t="shared" si="1692"/>
        <v>83.745744703218151</v>
      </c>
      <c r="VH164" s="148">
        <f t="shared" si="1693"/>
        <v>85.661428613304267</v>
      </c>
      <c r="VI164" s="148">
        <f t="shared" si="1694"/>
        <v>87.588810757103602</v>
      </c>
      <c r="VJ164" s="148">
        <f t="shared" si="1695"/>
        <v>89.50062578696236</v>
      </c>
      <c r="VK164" s="148">
        <f t="shared" si="1696"/>
        <v>91.421021930391248</v>
      </c>
      <c r="VL164" s="148">
        <f t="shared" si="1697"/>
        <v>93.348763973071598</v>
      </c>
      <c r="VM164" s="148">
        <f t="shared" si="1698"/>
        <v>95.282581577353255</v>
      </c>
      <c r="VN164" s="148">
        <f t="shared" si="1699"/>
        <v>97.195205105113303</v>
      </c>
      <c r="VO164" s="148">
        <f t="shared" si="1700"/>
        <v>99.110661830111624</v>
      </c>
      <c r="VP164" s="148">
        <f t="shared" si="1701"/>
        <v>101.03969373597575</v>
      </c>
      <c r="VQ164" s="148">
        <f t="shared" si="1702"/>
        <v>102.98162736192573</v>
      </c>
      <c r="VR164" s="148">
        <f t="shared" si="1703"/>
        <v>104.9357665347935</v>
      </c>
      <c r="VS164" s="148">
        <f t="shared" si="1704"/>
        <v>106.87518178617148</v>
      </c>
      <c r="VT164" s="148">
        <f t="shared" si="1705"/>
        <v>108.82468811417466</v>
      </c>
      <c r="VU164" s="148">
        <f t="shared" si="1706"/>
        <v>110.78353250022981</v>
      </c>
      <c r="VV164" s="148">
        <f t="shared" si="1707"/>
        <v>112.75094125812545</v>
      </c>
      <c r="VW164" s="148">
        <f t="shared" si="1708"/>
        <v>114.72612039775575</v>
      </c>
      <c r="VX164" s="148">
        <f t="shared" si="1709"/>
        <v>116.7082560200495</v>
      </c>
      <c r="VY164" s="148">
        <f t="shared" si="1710"/>
        <v>118.69651474308986</v>
      </c>
      <c r="VZ164" s="148">
        <f t="shared" si="1711"/>
        <v>120.67761609630193</v>
      </c>
      <c r="WA164" s="148">
        <f t="shared" si="1712"/>
        <v>122.67741659161207</v>
      </c>
      <c r="WB164" s="148">
        <f t="shared" si="1713"/>
        <v>124.69575218363121</v>
      </c>
      <c r="WC164" s="148">
        <f t="shared" si="1714"/>
        <v>126.73244946929719</v>
      </c>
      <c r="WD164" s="148">
        <f t="shared" si="1715"/>
        <v>128.78732561426366</v>
      </c>
      <c r="WE164" s="148">
        <f t="shared" si="1716"/>
        <v>130.86018828367418</v>
      </c>
      <c r="WF164" s="148">
        <f t="shared" si="1717"/>
        <v>132.92316066367565</v>
      </c>
      <c r="WG164" s="148">
        <f t="shared" si="1718"/>
        <v>135.00301717758964</v>
      </c>
      <c r="WH164" s="148">
        <f t="shared" si="1719"/>
        <v>137.09953462081808</v>
      </c>
      <c r="WI164" s="148">
        <f t="shared" si="1720"/>
        <v>139.21248038968011</v>
      </c>
      <c r="WJ164" s="148">
        <f t="shared" si="1721"/>
        <v>141.34161244269873</v>
      </c>
      <c r="WK164" s="148">
        <f t="shared" si="1722"/>
        <v>143.4866792668291</v>
      </c>
      <c r="WL164" s="148">
        <f t="shared" si="1723"/>
        <v>145.64741984872958</v>
      </c>
      <c r="WM164" s="148">
        <f t="shared" si="1724"/>
        <v>147.82356365117531</v>
      </c>
      <c r="WN164" s="148">
        <f t="shared" si="1725"/>
        <v>149.98591298923552</v>
      </c>
      <c r="WO164" s="148">
        <f t="shared" si="1726"/>
        <v>152.1624527498235</v>
      </c>
      <c r="WP164" s="148">
        <f t="shared" si="1727"/>
        <v>154.35288433708257</v>
      </c>
      <c r="WQ164" s="158">
        <f t="shared" si="1728"/>
        <v>154.0441785684084</v>
      </c>
      <c r="WR164" s="158">
        <f t="shared" si="1729"/>
        <v>156.22587402766794</v>
      </c>
      <c r="WS164" s="158">
        <f t="shared" si="1730"/>
        <v>158.4203025837775</v>
      </c>
      <c r="WT164" s="158">
        <f t="shared" si="1731"/>
        <v>160.62713424070034</v>
      </c>
      <c r="WU164" s="158">
        <f t="shared" si="1732"/>
        <v>162.8460300020719</v>
      </c>
      <c r="WV164" s="158">
        <f t="shared" si="1733"/>
        <v>165.0472590972723</v>
      </c>
      <c r="WW164" s="158">
        <f t="shared" si="1734"/>
        <v>167.25927178816221</v>
      </c>
      <c r="WX164" s="158">
        <f t="shared" si="1735"/>
        <v>169.50093053419664</v>
      </c>
      <c r="WY164" s="158">
        <f t="shared" si="1736"/>
        <v>171.75314979508781</v>
      </c>
      <c r="WZ164" s="158">
        <f t="shared" si="1737"/>
        <v>174.01555335445758</v>
      </c>
      <c r="XA164" s="158">
        <f t="shared" si="1738"/>
        <v>176.28775644193649</v>
      </c>
      <c r="XB164" s="158">
        <f t="shared" si="1739"/>
        <v>178.56936579542639</v>
      </c>
      <c r="XC164" s="158">
        <f t="shared" si="1740"/>
        <v>180.82989163060938</v>
      </c>
      <c r="XD164" s="158">
        <f t="shared" si="1741"/>
        <v>183.09848481652065</v>
      </c>
      <c r="XE164" s="158">
        <f t="shared" si="1742"/>
        <v>185.37473188912605</v>
      </c>
      <c r="XF164" s="158">
        <f t="shared" si="1743"/>
        <v>187.67927685147495</v>
      </c>
      <c r="XG164" s="158">
        <f t="shared" si="1744"/>
        <v>189.99114430723631</v>
      </c>
      <c r="XH164" s="158">
        <f t="shared" si="1745"/>
        <v>192.30989986389508</v>
      </c>
      <c r="XI164" s="158">
        <f t="shared" si="1746"/>
        <v>194.63510138043125</v>
      </c>
      <c r="XJ164" s="158">
        <f t="shared" si="1747"/>
        <v>196.93573201697299</v>
      </c>
      <c r="XK164" s="158">
        <f t="shared" si="1748"/>
        <v>199.2635566246343</v>
      </c>
      <c r="XL164" s="158">
        <f t="shared" si="1749"/>
        <v>201.59650747859911</v>
      </c>
      <c r="XM164" s="158">
        <f t="shared" si="1750"/>
        <v>203.93412091363186</v>
      </c>
      <c r="XN164" s="158">
        <f t="shared" si="1751"/>
        <v>206.27592621221311</v>
      </c>
      <c r="XO164" s="158">
        <f t="shared" si="1752"/>
        <v>208.62144573273852</v>
      </c>
      <c r="XP164" s="158">
        <f t="shared" si="1753"/>
        <v>210.97019504312283</v>
      </c>
      <c r="XQ164" s="158">
        <f t="shared" si="1630"/>
        <v>213.29086718859719</v>
      </c>
      <c r="XR164" s="158">
        <f t="shared" si="1624"/>
        <v>188.9757083290971</v>
      </c>
      <c r="XS164" s="158">
        <f t="shared" si="1624"/>
        <v>191.03344381979173</v>
      </c>
      <c r="XT164" s="158">
        <f t="shared" si="1624"/>
        <v>165.80186785114904</v>
      </c>
      <c r="XU164" s="158">
        <f t="shared" si="1624"/>
        <v>167.57042110822798</v>
      </c>
      <c r="XV164" s="158">
        <f t="shared" si="1624"/>
        <v>169.33921999770371</v>
      </c>
      <c r="XW164" s="158">
        <f t="shared" si="1624"/>
        <v>171.10787407323525</v>
      </c>
      <c r="XX164" s="158">
        <f t="shared" si="1624"/>
        <v>172.85279832752056</v>
      </c>
      <c r="XY164" s="158">
        <f t="shared" si="1624"/>
        <v>145.78772243994473</v>
      </c>
      <c r="XZ164" s="158">
        <f t="shared" si="1627"/>
        <v>147.25841616741585</v>
      </c>
      <c r="YA164" s="158">
        <f t="shared" si="1625"/>
        <v>119.27608064689986</v>
      </c>
      <c r="YB164" s="158">
        <f t="shared" si="1625"/>
        <v>120.4531127394374</v>
      </c>
      <c r="YC164" s="158">
        <f t="shared" si="1625"/>
        <v>121.62852333408158</v>
      </c>
      <c r="YD164" s="158">
        <f t="shared" si="1625"/>
        <v>122.80203809767855</v>
      </c>
      <c r="YE164" s="158">
        <f t="shared" si="1625"/>
        <v>123.98687534437923</v>
      </c>
      <c r="YF164" s="158">
        <f t="shared" si="1625"/>
        <v>94.1728005500308</v>
      </c>
      <c r="YG164" s="158">
        <f t="shared" si="1625"/>
        <v>95.060715526645382</v>
      </c>
      <c r="YH164" s="158">
        <f t="shared" si="1625"/>
        <v>64.259650865015544</v>
      </c>
      <c r="YI164" s="158">
        <f t="shared" si="1625"/>
        <v>64.850560263187319</v>
      </c>
      <c r="YJ164" s="158">
        <f t="shared" si="1625"/>
        <v>65.439854484709329</v>
      </c>
      <c r="YK164" s="158">
        <f t="shared" si="1625"/>
        <v>66.034503597200825</v>
      </c>
      <c r="YL164" s="158">
        <f t="shared" si="1625"/>
        <v>66.627378596888732</v>
      </c>
      <c r="YM164" s="158">
        <f t="shared" si="1628"/>
        <v>33.90464517817329</v>
      </c>
      <c r="YN164" s="158">
        <f t="shared" si="1626"/>
        <v>34.205364639753611</v>
      </c>
      <c r="YO164" s="160">
        <f t="shared" si="1626"/>
        <v>-6.9146888214147453E-2</v>
      </c>
      <c r="YP164" s="119"/>
      <c r="YQ164" s="119"/>
      <c r="YR164" s="119"/>
      <c r="YS164" s="119"/>
      <c r="YT164" s="119"/>
      <c r="YU164" s="119"/>
      <c r="YV164" s="119"/>
      <c r="YW164" s="119"/>
      <c r="YX164" s="119"/>
      <c r="YY164" s="119"/>
      <c r="YZ164" s="119"/>
      <c r="ZA164" s="119"/>
      <c r="ZB164" s="119"/>
      <c r="ZC164" s="119"/>
      <c r="ZD164" s="119"/>
      <c r="ZE164" s="119"/>
      <c r="ZF164" s="119"/>
      <c r="ZG164" s="119"/>
      <c r="ZH164" s="119"/>
      <c r="ZI164" s="119"/>
      <c r="ZJ164" s="119"/>
      <c r="ZK164" s="119"/>
      <c r="ZL164" s="119"/>
      <c r="ZM164" s="119"/>
      <c r="ZN164" s="119"/>
      <c r="ZO164" s="119"/>
      <c r="ZP164" s="119"/>
      <c r="ZQ164" s="119"/>
      <c r="ZR164" s="119"/>
      <c r="ZS164" s="119"/>
      <c r="ZT164" s="119"/>
    </row>
    <row r="165" spans="1:738" ht="19.5" thickBot="1" x14ac:dyDescent="0.3">
      <c r="A165" s="298"/>
      <c r="B165" s="25" t="s">
        <v>12</v>
      </c>
      <c r="BY165" s="18"/>
      <c r="BZ165" s="18"/>
      <c r="CA165" s="18"/>
      <c r="CB165" s="18"/>
      <c r="CC165" s="18"/>
      <c r="CD165" s="18"/>
      <c r="CE165" s="18"/>
      <c r="CF165" s="18"/>
      <c r="CG165" s="18"/>
      <c r="CH165" s="18"/>
      <c r="CI165" s="18"/>
      <c r="CJ165" s="18"/>
      <c r="CK165" s="18"/>
      <c r="CL165" s="18"/>
      <c r="CM165" s="18"/>
      <c r="CN165" s="18"/>
      <c r="CO165" s="18"/>
      <c r="CP165" s="18"/>
      <c r="CQ165" s="18"/>
      <c r="CR165" s="18"/>
      <c r="CS165" s="18"/>
      <c r="CT165" s="18"/>
      <c r="CU165" s="18"/>
      <c r="CV165" s="18"/>
      <c r="CW165" s="18"/>
      <c r="CX165" s="18"/>
      <c r="CY165" s="18"/>
      <c r="CZ165" s="18"/>
      <c r="DA165" s="18"/>
      <c r="DB165" s="18"/>
      <c r="DC165" s="18"/>
      <c r="DD165" s="18"/>
      <c r="DE165" s="18"/>
      <c r="DF165" s="18"/>
      <c r="DG165" s="18"/>
      <c r="DH165" s="18"/>
      <c r="DI165" s="18"/>
      <c r="DJ165" s="18"/>
      <c r="DK165" s="18"/>
      <c r="DL165" s="18"/>
      <c r="DM165" s="18"/>
      <c r="DN165" s="18"/>
      <c r="DO165" s="18"/>
      <c r="DP165" s="18"/>
      <c r="DQ165" s="18"/>
      <c r="DR165" s="18"/>
      <c r="DS165" s="18"/>
      <c r="DT165" s="18"/>
      <c r="DU165" s="18"/>
      <c r="DV165" s="18"/>
      <c r="DW165" s="18"/>
      <c r="DX165" s="18"/>
      <c r="DY165" s="18"/>
      <c r="DZ165" s="18"/>
      <c r="EA165" s="18"/>
      <c r="EB165" s="18"/>
      <c r="EC165" s="18"/>
      <c r="ED165" s="18"/>
      <c r="EE165" s="18"/>
      <c r="EF165" s="18"/>
      <c r="EG165" s="18"/>
      <c r="EH165" s="18"/>
      <c r="EI165" s="18"/>
      <c r="EJ165" s="18"/>
      <c r="EK165" s="18"/>
      <c r="EL165" s="18"/>
      <c r="EM165" s="18"/>
      <c r="EN165" s="18"/>
      <c r="EO165" s="18"/>
      <c r="EP165" s="18"/>
      <c r="EQ165" s="18"/>
      <c r="ER165" s="18"/>
      <c r="ES165" s="18"/>
      <c r="ET165" s="18"/>
      <c r="EU165" s="18"/>
      <c r="EV165" s="18"/>
      <c r="EW165" s="18"/>
      <c r="EX165" s="18"/>
      <c r="EY165" s="18"/>
      <c r="EZ165" s="18"/>
      <c r="FA165" s="18"/>
      <c r="FB165" s="18"/>
      <c r="FC165" s="18"/>
      <c r="FD165" s="18"/>
      <c r="FE165" s="18"/>
      <c r="FF165" s="18"/>
      <c r="FG165" s="18"/>
      <c r="FH165" s="18"/>
      <c r="FI165" s="18"/>
      <c r="FJ165" s="18"/>
      <c r="FK165" s="18"/>
      <c r="FL165" s="18"/>
      <c r="FM165" s="18"/>
      <c r="FN165" s="18"/>
      <c r="FO165" s="18"/>
      <c r="FP165" s="18"/>
      <c r="FQ165" s="18"/>
      <c r="FR165" s="18"/>
      <c r="FS165" s="18"/>
      <c r="FT165" s="18"/>
      <c r="FU165" s="18"/>
      <c r="FV165" s="18"/>
      <c r="FW165" s="18"/>
      <c r="FX165" s="18"/>
      <c r="FY165" s="18"/>
      <c r="FZ165" s="18"/>
      <c r="GA165" s="18"/>
      <c r="GB165" s="18"/>
      <c r="GC165" s="18"/>
      <c r="GD165" s="18"/>
      <c r="GE165" s="18"/>
      <c r="GF165" s="18"/>
      <c r="GG165" s="18"/>
      <c r="GH165" s="18"/>
      <c r="GI165" s="18"/>
      <c r="GJ165" s="18"/>
      <c r="GK165" s="18"/>
      <c r="GL165" s="18"/>
      <c r="GM165" s="18"/>
      <c r="GN165" s="18"/>
      <c r="GO165" s="18"/>
      <c r="GP165" s="18"/>
      <c r="GQ165" s="18"/>
      <c r="GR165" s="18"/>
      <c r="GS165" s="18"/>
      <c r="GT165" s="18"/>
      <c r="GU165" s="18"/>
      <c r="GV165" s="18"/>
      <c r="GW165" s="18"/>
      <c r="GX165" s="18"/>
      <c r="GY165" s="18"/>
      <c r="GZ165" s="18"/>
      <c r="HA165" s="18"/>
      <c r="HB165" s="18"/>
      <c r="HC165" s="18"/>
      <c r="HD165" s="18"/>
      <c r="HE165" s="18"/>
      <c r="HF165" s="18"/>
      <c r="HG165" s="18"/>
      <c r="HH165" s="18"/>
      <c r="HI165" s="18"/>
      <c r="HJ165" s="18"/>
      <c r="HK165" s="18"/>
      <c r="HL165" s="18"/>
      <c r="HM165" s="18"/>
      <c r="HN165" s="18"/>
      <c r="HO165" s="18"/>
      <c r="HP165" s="18"/>
      <c r="HQ165" s="18"/>
      <c r="HR165" s="18"/>
      <c r="HS165" s="18"/>
      <c r="HT165" s="18"/>
      <c r="HU165" s="18"/>
      <c r="HV165" s="18"/>
      <c r="HW165" s="18"/>
      <c r="HX165" s="18"/>
      <c r="HY165" s="18"/>
      <c r="HZ165" s="18"/>
      <c r="IA165" s="18"/>
      <c r="IB165" s="18"/>
      <c r="IC165" s="18"/>
      <c r="ID165" s="18"/>
      <c r="IE165" s="18"/>
      <c r="IF165" s="18"/>
      <c r="IG165" s="18"/>
      <c r="IH165" s="18"/>
      <c r="II165" s="18"/>
      <c r="IJ165" s="18"/>
      <c r="IK165" s="18"/>
      <c r="IL165" s="18"/>
      <c r="IM165" s="18"/>
      <c r="IN165" s="18"/>
      <c r="IO165" s="18"/>
      <c r="IP165" s="18"/>
      <c r="IQ165" s="18"/>
      <c r="IR165" s="18"/>
      <c r="IS165" s="18"/>
      <c r="IT165" s="18"/>
      <c r="IU165" s="18"/>
      <c r="IV165" s="18"/>
      <c r="IW165" s="18"/>
      <c r="IX165" s="18"/>
      <c r="IY165" s="18"/>
      <c r="IZ165" s="18"/>
      <c r="JA165" s="18"/>
      <c r="JB165" s="18"/>
      <c r="JC165" s="18"/>
      <c r="JD165" s="18"/>
      <c r="JE165" s="18"/>
      <c r="JF165" s="18"/>
      <c r="JG165" s="18"/>
      <c r="JH165" s="18"/>
      <c r="JI165" s="18"/>
      <c r="JJ165" s="18"/>
      <c r="JK165" s="18"/>
      <c r="JL165" s="18"/>
      <c r="JM165" s="18"/>
      <c r="JN165" s="18"/>
      <c r="JO165" s="18"/>
      <c r="JP165" s="18"/>
      <c r="JQ165" s="18"/>
      <c r="JR165" s="18"/>
      <c r="JS165" s="18"/>
      <c r="JT165" s="18"/>
      <c r="JU165" s="18"/>
      <c r="JV165" s="18"/>
      <c r="JW165" s="18"/>
      <c r="JX165" s="18"/>
      <c r="JY165" s="18"/>
      <c r="JZ165" s="18"/>
      <c r="KA165" s="18"/>
      <c r="KB165" s="18"/>
      <c r="KC165" s="18"/>
      <c r="KD165" s="18"/>
      <c r="KE165" s="18"/>
      <c r="KF165" s="18"/>
      <c r="KG165" s="18"/>
      <c r="KH165" s="18"/>
      <c r="KI165" s="18"/>
      <c r="KJ165" s="18"/>
      <c r="KK165" s="18"/>
      <c r="KL165" s="18"/>
      <c r="KM165" s="18"/>
      <c r="KN165" s="18"/>
      <c r="KO165" s="18"/>
      <c r="KP165" s="18"/>
      <c r="KQ165" s="18"/>
      <c r="KR165" s="18"/>
      <c r="KS165" s="18"/>
      <c r="KT165" s="18"/>
      <c r="KU165" s="18"/>
      <c r="KV165" s="18"/>
      <c r="KW165" s="18"/>
      <c r="KX165" s="18"/>
      <c r="KY165" s="18"/>
      <c r="KZ165" s="18"/>
      <c r="LA165" s="18"/>
      <c r="LB165" s="18"/>
      <c r="LC165" s="18"/>
      <c r="LD165" s="18"/>
      <c r="LE165" s="18"/>
      <c r="LF165" s="18"/>
      <c r="LG165" s="18"/>
      <c r="LH165" s="18"/>
      <c r="LI165" s="18"/>
      <c r="LJ165" s="18"/>
      <c r="LK165" s="18"/>
      <c r="LL165" s="18"/>
      <c r="LM165" s="18"/>
      <c r="LN165" s="18"/>
      <c r="LO165" s="18"/>
      <c r="LP165" s="18"/>
      <c r="LQ165" s="18"/>
      <c r="LR165" s="18"/>
      <c r="LS165" s="18"/>
      <c r="LT165" s="18"/>
      <c r="LU165" s="18"/>
      <c r="LV165" s="18"/>
      <c r="LW165" s="18"/>
      <c r="LX165" s="18"/>
      <c r="LY165" s="18"/>
      <c r="LZ165" s="18"/>
      <c r="MA165" s="18"/>
      <c r="MB165" s="18"/>
      <c r="MC165" s="18"/>
      <c r="MD165" s="18"/>
      <c r="ME165" s="18"/>
      <c r="MF165" s="18"/>
      <c r="MG165" s="18"/>
      <c r="MH165" s="18"/>
      <c r="MI165" s="18"/>
      <c r="MJ165" s="18"/>
      <c r="MK165" s="18"/>
      <c r="ML165" s="18"/>
      <c r="MM165" s="18"/>
      <c r="MN165" s="18"/>
      <c r="MO165" s="18"/>
      <c r="MP165" s="18"/>
      <c r="MQ165" s="18"/>
      <c r="MR165" s="18"/>
      <c r="MS165" s="18"/>
      <c r="MT165" s="18"/>
      <c r="MU165" s="18"/>
      <c r="MV165" s="18"/>
      <c r="MW165" s="18"/>
      <c r="MX165" s="18"/>
      <c r="MY165" s="18"/>
      <c r="MZ165" s="18"/>
      <c r="NA165" s="18"/>
      <c r="NB165" s="18"/>
      <c r="NC165" s="18"/>
      <c r="ND165" s="18"/>
      <c r="NE165" s="18"/>
      <c r="NF165" s="18"/>
      <c r="NG165" s="18"/>
      <c r="NH165" s="18"/>
      <c r="NI165" s="18"/>
      <c r="NJ165" s="18"/>
      <c r="NK165" s="18"/>
      <c r="NL165" s="18"/>
      <c r="NM165" s="18"/>
      <c r="NN165" s="18"/>
      <c r="NO165" s="18"/>
      <c r="NP165" s="18"/>
      <c r="NQ165" s="18"/>
      <c r="NR165" s="18"/>
      <c r="NS165" s="18"/>
      <c r="NT165" s="18"/>
      <c r="NU165" s="18"/>
      <c r="NV165" s="18"/>
      <c r="NW165" s="18"/>
      <c r="NX165" s="18"/>
      <c r="NY165" s="18"/>
      <c r="NZ165" s="18"/>
      <c r="OA165" s="18"/>
      <c r="OB165" s="18"/>
      <c r="OC165" s="18"/>
      <c r="OD165" s="18"/>
      <c r="OE165" s="18"/>
      <c r="OF165" s="18"/>
      <c r="OG165" s="18"/>
      <c r="OH165" s="18"/>
      <c r="OI165" s="18"/>
      <c r="OJ165" s="18"/>
      <c r="OK165" s="18"/>
      <c r="OL165" s="18"/>
      <c r="OM165" s="18"/>
      <c r="ON165" s="18"/>
      <c r="OO165" s="18"/>
      <c r="OP165" s="18"/>
      <c r="OQ165" s="18"/>
      <c r="OR165" s="18"/>
      <c r="OS165" s="18"/>
      <c r="OT165" s="18"/>
      <c r="OU165" s="18"/>
      <c r="OV165" s="18"/>
      <c r="OW165" s="18"/>
      <c r="OX165" s="18"/>
      <c r="OY165" s="18"/>
      <c r="OZ165" s="18"/>
      <c r="PA165" s="18"/>
      <c r="PB165" s="18"/>
      <c r="PC165" s="18"/>
      <c r="PD165" s="18"/>
      <c r="PE165" s="18"/>
      <c r="PF165" s="18"/>
      <c r="PG165" s="18"/>
      <c r="PH165" s="18"/>
      <c r="PI165" s="18"/>
      <c r="PJ165" s="18"/>
      <c r="PK165" s="18"/>
      <c r="PL165" s="18"/>
      <c r="PM165" s="18"/>
      <c r="PN165" s="18"/>
      <c r="PO165" s="18"/>
      <c r="PP165" s="18"/>
      <c r="PQ165" s="18"/>
      <c r="PR165" s="18"/>
      <c r="PS165" s="18"/>
      <c r="PT165" s="18"/>
      <c r="PU165" s="18"/>
      <c r="PV165" s="18"/>
      <c r="PW165" s="18"/>
      <c r="PX165" s="18"/>
      <c r="PY165" s="18"/>
      <c r="PZ165" s="18"/>
      <c r="QA165" s="18"/>
      <c r="QB165" s="18"/>
      <c r="QC165" s="18"/>
      <c r="QD165" s="18"/>
      <c r="QE165" s="18"/>
      <c r="QF165" s="18"/>
      <c r="QG165" s="18"/>
      <c r="QH165" s="18"/>
      <c r="QI165" s="18"/>
      <c r="QJ165" s="18"/>
      <c r="QK165" s="18"/>
      <c r="QL165" s="18"/>
      <c r="QM165" s="18"/>
      <c r="QN165" s="18"/>
      <c r="QO165" s="18"/>
      <c r="QP165" s="18"/>
      <c r="QQ165" s="18"/>
      <c r="QR165" s="18"/>
      <c r="QS165" s="18"/>
      <c r="QT165" s="18"/>
      <c r="QU165" s="18"/>
      <c r="QV165" s="18"/>
      <c r="QW165" s="18"/>
      <c r="QX165" s="18"/>
      <c r="QY165" s="18"/>
      <c r="QZ165" s="18"/>
      <c r="RA165" s="18"/>
      <c r="RB165" s="18"/>
      <c r="RC165" s="18"/>
      <c r="RD165" s="18"/>
      <c r="RE165" s="18"/>
      <c r="RF165" s="18"/>
      <c r="RG165" s="18"/>
      <c r="RH165" s="18"/>
      <c r="RI165" s="18"/>
      <c r="RJ165" s="18"/>
      <c r="RK165" s="18"/>
      <c r="RL165" s="18"/>
      <c r="RM165" s="18"/>
      <c r="RN165" s="18"/>
      <c r="RO165" s="18"/>
      <c r="RP165" s="18"/>
      <c r="RQ165" s="18"/>
      <c r="RR165" s="18"/>
      <c r="RS165" s="18"/>
      <c r="RT165" s="18"/>
      <c r="RU165" s="18"/>
      <c r="RV165" s="18"/>
      <c r="RW165" s="18"/>
      <c r="RX165" s="18"/>
      <c r="RY165" s="18"/>
      <c r="RZ165" s="18"/>
      <c r="SA165" s="18"/>
      <c r="SB165" s="18"/>
      <c r="SS165" s="118">
        <f t="shared" si="1618"/>
        <v>5.62E-2</v>
      </c>
      <c r="ST165" s="116">
        <f t="shared" si="1619"/>
        <v>5.5899999999999998E-2</v>
      </c>
      <c r="SU165" s="116">
        <f t="shared" si="1620"/>
        <v>5.57E-2</v>
      </c>
      <c r="SV165" s="116">
        <f t="shared" si="1621"/>
        <v>5.5500000000000001E-2</v>
      </c>
      <c r="SW165" s="116">
        <f t="shared" si="1631"/>
        <v>5.5099999999999996E-2</v>
      </c>
      <c r="SX165" s="116">
        <f t="shared" si="1632"/>
        <v>5.4699999999999999E-2</v>
      </c>
      <c r="SY165" s="116">
        <f t="shared" si="1633"/>
        <v>5.4400000000000004E-2</v>
      </c>
      <c r="SZ165" s="116">
        <f t="shared" si="1634"/>
        <v>5.4000000000000006E-2</v>
      </c>
      <c r="TA165" s="116">
        <f t="shared" si="1635"/>
        <v>5.3600000000000002E-2</v>
      </c>
      <c r="TB165" s="116">
        <f t="shared" si="1636"/>
        <v>5.2999999999999999E-2</v>
      </c>
      <c r="TC165" s="116">
        <f t="shared" si="1637"/>
        <v>5.2400000000000002E-2</v>
      </c>
      <c r="TD165" s="116">
        <f t="shared" si="1638"/>
        <v>5.1799999999999999E-2</v>
      </c>
      <c r="TE165" s="116">
        <f t="shared" si="1639"/>
        <v>5.1200000000000002E-2</v>
      </c>
      <c r="TF165" s="116">
        <f t="shared" si="1640"/>
        <v>5.0599999999999999E-2</v>
      </c>
      <c r="TG165" s="116">
        <f t="shared" si="1641"/>
        <v>4.99E-2</v>
      </c>
      <c r="TH165" s="116">
        <f t="shared" si="1642"/>
        <v>4.9200000000000001E-2</v>
      </c>
      <c r="TI165" s="116">
        <f t="shared" si="1643"/>
        <v>4.8399999999999999E-2</v>
      </c>
      <c r="TJ165" s="116">
        <f t="shared" si="1644"/>
        <v>4.7699999999999992E-2</v>
      </c>
      <c r="TK165" s="116">
        <f t="shared" si="1645"/>
        <v>4.7E-2</v>
      </c>
      <c r="TL165" s="116">
        <f t="shared" si="1646"/>
        <v>4.6300000000000001E-2</v>
      </c>
      <c r="TM165" s="116">
        <f t="shared" si="1647"/>
        <v>4.5599999999999995E-2</v>
      </c>
      <c r="TN165" s="116">
        <f t="shared" si="1648"/>
        <v>4.4800000000000006E-2</v>
      </c>
      <c r="TO165" s="116">
        <f t="shared" si="1649"/>
        <v>4.41E-2</v>
      </c>
      <c r="TP165" s="116">
        <f t="shared" si="1650"/>
        <v>4.3400000000000001E-2</v>
      </c>
      <c r="TQ165" s="116">
        <f t="shared" si="1651"/>
        <v>4.2800000000000005E-2</v>
      </c>
      <c r="TR165" s="116">
        <f t="shared" si="1652"/>
        <v>4.2199999999999994E-2</v>
      </c>
      <c r="TS165" s="116">
        <f t="shared" si="1653"/>
        <v>4.1599999999999998E-2</v>
      </c>
      <c r="TT165" s="116">
        <f t="shared" si="1654"/>
        <v>4.0999999999999995E-2</v>
      </c>
      <c r="TU165" s="116">
        <f t="shared" si="1655"/>
        <v>4.0399999999999998E-2</v>
      </c>
      <c r="TV165" s="116">
        <f t="shared" si="1656"/>
        <v>3.9800000000000002E-2</v>
      </c>
      <c r="TW165" s="116">
        <f t="shared" si="1657"/>
        <v>3.9199999999999999E-2</v>
      </c>
      <c r="TX165" s="116">
        <f t="shared" si="1658"/>
        <v>3.8599999999999995E-2</v>
      </c>
      <c r="TY165" s="116">
        <f t="shared" si="1659"/>
        <v>3.7999999999999999E-2</v>
      </c>
      <c r="TZ165" s="116">
        <f t="shared" si="1660"/>
        <v>3.7400000000000003E-2</v>
      </c>
      <c r="UA165" s="116">
        <f t="shared" si="1661"/>
        <v>3.6799999999999999E-2</v>
      </c>
      <c r="UB165" s="116">
        <f t="shared" si="1662"/>
        <v>3.61E-2</v>
      </c>
      <c r="UC165" s="116">
        <f t="shared" si="1663"/>
        <v>3.5499999999999997E-2</v>
      </c>
      <c r="UD165" s="116">
        <f t="shared" si="1664"/>
        <v>3.4799999999999998E-2</v>
      </c>
      <c r="UE165" s="116">
        <f t="shared" si="1665"/>
        <v>3.4200000000000001E-2</v>
      </c>
      <c r="UF165" s="116">
        <f t="shared" si="1666"/>
        <v>3.3599999999999998E-2</v>
      </c>
      <c r="UG165" s="116">
        <f t="shared" si="1667"/>
        <v>3.2899999999999999E-2</v>
      </c>
      <c r="UH165" s="116">
        <f t="shared" si="1668"/>
        <v>3.2300000000000002E-2</v>
      </c>
      <c r="UI165" s="116">
        <f t="shared" si="1669"/>
        <v>3.1600000000000003E-2</v>
      </c>
      <c r="UJ165" s="116">
        <f t="shared" si="1670"/>
        <v>3.1E-2</v>
      </c>
      <c r="UK165" s="116">
        <f t="shared" si="1671"/>
        <v>3.04E-2</v>
      </c>
      <c r="UL165" s="116">
        <f t="shared" si="1672"/>
        <v>2.98E-2</v>
      </c>
      <c r="UM165" s="116">
        <f t="shared" si="1673"/>
        <v>2.92E-2</v>
      </c>
      <c r="UN165" s="116">
        <f t="shared" si="1674"/>
        <v>2.86E-2</v>
      </c>
      <c r="UO165" s="116">
        <f t="shared" si="1675"/>
        <v>2.7999999999999997E-2</v>
      </c>
      <c r="UP165" s="116">
        <f t="shared" si="1676"/>
        <v>2.7400000000000001E-2</v>
      </c>
      <c r="UQ165" s="171">
        <f t="shared" si="1677"/>
        <v>2.6800000000000001E-2</v>
      </c>
      <c r="UR165" s="150">
        <f t="shared" si="1678"/>
        <v>2.6200000000000001E-2</v>
      </c>
      <c r="US165" s="150">
        <f t="shared" si="1679"/>
        <v>2.5600000000000001E-2</v>
      </c>
      <c r="UT165" s="150">
        <f t="shared" si="1680"/>
        <v>2.5000000000000001E-2</v>
      </c>
      <c r="UU165" s="150">
        <f t="shared" si="1681"/>
        <v>2.46E-2</v>
      </c>
      <c r="UV165" s="150">
        <f t="shared" si="1682"/>
        <v>2.4199999999999999E-2</v>
      </c>
      <c r="UW165" s="150">
        <f t="shared" si="1683"/>
        <v>2.3700000000000002E-2</v>
      </c>
      <c r="UX165" s="150">
        <f t="shared" si="1684"/>
        <v>2.3300000000000001E-2</v>
      </c>
      <c r="UY165" s="150">
        <f t="shared" si="1685"/>
        <v>2.29E-2</v>
      </c>
      <c r="UZ165" s="150">
        <f t="shared" si="1686"/>
        <v>2.2499999999999999E-2</v>
      </c>
      <c r="VA165" s="150">
        <f t="shared" si="1687"/>
        <v>2.2099999999999998E-2</v>
      </c>
      <c r="VB165" s="150">
        <f t="shared" si="1688"/>
        <v>2.1600000000000001E-2</v>
      </c>
      <c r="VC165" s="150">
        <f t="shared" si="1689"/>
        <v>2.12E-2</v>
      </c>
      <c r="VD165" s="150">
        <f t="shared" si="1690"/>
        <v>2.0799999999999999E-2</v>
      </c>
      <c r="VE165" s="150">
        <f t="shared" si="1629"/>
        <v>2.0499999999999997E-2</v>
      </c>
      <c r="VF165" s="150">
        <f t="shared" si="1691"/>
        <v>2.0199999999999999E-2</v>
      </c>
      <c r="VG165" s="150">
        <f t="shared" si="1692"/>
        <v>1.9900000000000001E-2</v>
      </c>
      <c r="VH165" s="150">
        <f t="shared" si="1693"/>
        <v>1.9599999999999999E-2</v>
      </c>
      <c r="VI165" s="150">
        <f t="shared" si="1694"/>
        <v>1.9299999999999998E-2</v>
      </c>
      <c r="VJ165" s="150">
        <f t="shared" si="1695"/>
        <v>1.9E-2</v>
      </c>
      <c r="VK165" s="150">
        <f t="shared" si="1696"/>
        <v>1.8700000000000001E-2</v>
      </c>
      <c r="VL165" s="150">
        <f t="shared" si="1697"/>
        <v>1.84E-2</v>
      </c>
      <c r="VM165" s="150">
        <f t="shared" si="1698"/>
        <v>1.8100000000000002E-2</v>
      </c>
      <c r="VN165" s="150">
        <f t="shared" si="1699"/>
        <v>1.78E-2</v>
      </c>
      <c r="VO165" s="150">
        <f t="shared" si="1700"/>
        <v>1.7600000000000001E-2</v>
      </c>
      <c r="VP165" s="150">
        <f t="shared" si="1701"/>
        <v>1.7399999999999999E-2</v>
      </c>
      <c r="VQ165" s="150">
        <f t="shared" si="1702"/>
        <v>1.72E-2</v>
      </c>
      <c r="VR165" s="150">
        <f t="shared" si="1703"/>
        <v>1.7000000000000001E-2</v>
      </c>
      <c r="VS165" s="150">
        <f t="shared" si="1704"/>
        <v>1.6799999999999999E-2</v>
      </c>
      <c r="VT165" s="150">
        <f t="shared" si="1705"/>
        <v>1.66E-2</v>
      </c>
      <c r="VU165" s="150">
        <f t="shared" si="1706"/>
        <v>1.6399999999999998E-2</v>
      </c>
      <c r="VV165" s="150">
        <f t="shared" si="1707"/>
        <v>1.6200000000000003E-2</v>
      </c>
      <c r="VW165" s="150">
        <f t="shared" si="1708"/>
        <v>1.6E-2</v>
      </c>
      <c r="VX165" s="150">
        <f t="shared" si="1709"/>
        <v>1.5800000000000002E-2</v>
      </c>
      <c r="VY165" s="150">
        <f t="shared" si="1710"/>
        <v>1.5700000000000002E-2</v>
      </c>
      <c r="VZ165" s="150">
        <f t="shared" si="1711"/>
        <v>1.5600000000000001E-2</v>
      </c>
      <c r="WA165" s="150">
        <f t="shared" si="1712"/>
        <v>1.55E-2</v>
      </c>
      <c r="WB165" s="150">
        <f t="shared" si="1713"/>
        <v>1.54E-2</v>
      </c>
      <c r="WC165" s="150">
        <f t="shared" si="1714"/>
        <v>1.5300000000000001E-2</v>
      </c>
      <c r="WD165" s="150">
        <f t="shared" si="1715"/>
        <v>1.52E-2</v>
      </c>
      <c r="WE165" s="150">
        <f t="shared" si="1716"/>
        <v>1.5100000000000001E-2</v>
      </c>
      <c r="WF165" s="150">
        <f t="shared" si="1717"/>
        <v>1.4999999999999999E-2</v>
      </c>
      <c r="WG165" s="150">
        <f t="shared" si="1718"/>
        <v>1.49E-2</v>
      </c>
      <c r="WH165" s="150">
        <f t="shared" si="1719"/>
        <v>1.4800000000000001E-2</v>
      </c>
      <c r="WI165" s="150">
        <f t="shared" si="1720"/>
        <v>1.47E-2</v>
      </c>
      <c r="WJ165" s="150">
        <f t="shared" si="1721"/>
        <v>1.46E-2</v>
      </c>
      <c r="WK165" s="150">
        <f t="shared" si="1722"/>
        <v>1.4499999999999999E-2</v>
      </c>
      <c r="WL165" s="150">
        <f t="shared" si="1723"/>
        <v>1.44E-2</v>
      </c>
      <c r="WM165" s="150">
        <f t="shared" si="1724"/>
        <v>1.43E-2</v>
      </c>
      <c r="WN165" s="150">
        <f t="shared" si="1725"/>
        <v>1.4199999999999999E-2</v>
      </c>
      <c r="WO165" s="150">
        <f t="shared" si="1726"/>
        <v>1.41E-2</v>
      </c>
      <c r="WP165" s="175">
        <f t="shared" si="1727"/>
        <v>1.3999999999999999E-2</v>
      </c>
      <c r="WQ165" s="161">
        <f t="shared" si="1728"/>
        <v>1.3899999999999999E-2</v>
      </c>
      <c r="WR165" s="161">
        <f t="shared" si="1729"/>
        <v>1.38E-2</v>
      </c>
      <c r="WS165" s="161">
        <f t="shared" si="1730"/>
        <v>1.37E-2</v>
      </c>
      <c r="WT165" s="161">
        <f t="shared" si="1731"/>
        <v>1.3600000000000001E-2</v>
      </c>
      <c r="WU165" s="161">
        <f t="shared" si="1732"/>
        <v>1.3500000000000002E-2</v>
      </c>
      <c r="WV165" s="161">
        <f t="shared" si="1733"/>
        <v>1.34E-2</v>
      </c>
      <c r="WW165" s="161">
        <f t="shared" si="1734"/>
        <v>1.34E-2</v>
      </c>
      <c r="WX165" s="161">
        <f t="shared" si="1735"/>
        <v>1.3300000000000001E-2</v>
      </c>
      <c r="WY165" s="161">
        <f t="shared" si="1736"/>
        <v>1.32E-2</v>
      </c>
      <c r="WZ165" s="161">
        <f t="shared" si="1737"/>
        <v>1.3100000000000001E-2</v>
      </c>
      <c r="XA165" s="161">
        <f t="shared" si="1738"/>
        <v>1.3000000000000001E-2</v>
      </c>
      <c r="XB165" s="161">
        <f t="shared" si="1739"/>
        <v>1.29E-2</v>
      </c>
      <c r="XC165" s="161">
        <f t="shared" si="1740"/>
        <v>1.2800000000000001E-2</v>
      </c>
      <c r="XD165" s="161">
        <f t="shared" si="1741"/>
        <v>1.2699999999999999E-2</v>
      </c>
      <c r="XE165" s="161">
        <f t="shared" si="1742"/>
        <v>1.2699999999999999E-2</v>
      </c>
      <c r="XF165" s="161">
        <f t="shared" si="1743"/>
        <v>1.26E-2</v>
      </c>
      <c r="XG165" s="161">
        <f t="shared" si="1744"/>
        <v>1.2500000000000001E-2</v>
      </c>
      <c r="XH165" s="161">
        <f t="shared" si="1745"/>
        <v>1.24E-2</v>
      </c>
      <c r="XI165" s="161">
        <f t="shared" si="1746"/>
        <v>1.23E-2</v>
      </c>
      <c r="XJ165" s="161">
        <f t="shared" si="1747"/>
        <v>1.23E-2</v>
      </c>
      <c r="XK165" s="161">
        <f t="shared" si="1748"/>
        <v>1.2199999999999999E-2</v>
      </c>
      <c r="XL165" s="161">
        <f t="shared" si="1749"/>
        <v>1.21E-2</v>
      </c>
      <c r="XM165" s="161">
        <f t="shared" si="1750"/>
        <v>1.2E-2</v>
      </c>
      <c r="XN165" s="161">
        <f t="shared" si="1751"/>
        <v>1.1899999999999999E-2</v>
      </c>
      <c r="XO165" s="161">
        <f t="shared" si="1752"/>
        <v>1.18E-2</v>
      </c>
      <c r="XP165" s="161">
        <f t="shared" si="1753"/>
        <v>1.1699999999999999E-2</v>
      </c>
      <c r="XQ165" s="161">
        <f t="shared" si="1630"/>
        <v>1.1699999999999999E-2</v>
      </c>
      <c r="XR165" s="161">
        <f t="shared" si="1624"/>
        <v>1.1599999999999999E-2</v>
      </c>
      <c r="XS165" s="161">
        <f t="shared" si="1624"/>
        <v>1.15E-2</v>
      </c>
      <c r="XT165" s="161">
        <f t="shared" si="1624"/>
        <v>1.1399999999999999E-2</v>
      </c>
      <c r="XU165" s="161">
        <f t="shared" si="1624"/>
        <v>1.1299999999999999E-2</v>
      </c>
      <c r="XV165" s="161">
        <f t="shared" si="1624"/>
        <v>1.1200000000000002E-2</v>
      </c>
      <c r="XW165" s="161">
        <f t="shared" si="1624"/>
        <v>1.11E-2</v>
      </c>
      <c r="XX165" s="161">
        <f t="shared" si="1624"/>
        <v>1.1000000000000001E-2</v>
      </c>
      <c r="XY165" s="161">
        <f t="shared" si="1624"/>
        <v>1.1000000000000001E-2</v>
      </c>
      <c r="XZ165" s="161">
        <f t="shared" si="1627"/>
        <v>1.09E-2</v>
      </c>
      <c r="YA165" s="161">
        <f t="shared" si="1625"/>
        <v>1.0800000000000001E-2</v>
      </c>
      <c r="YB165" s="161">
        <f t="shared" si="1625"/>
        <v>1.0700000000000001E-2</v>
      </c>
      <c r="YC165" s="161">
        <f t="shared" si="1625"/>
        <v>1.06E-2</v>
      </c>
      <c r="YD165" s="161">
        <f t="shared" si="1625"/>
        <v>1.06E-2</v>
      </c>
      <c r="YE165" s="161">
        <f t="shared" si="1625"/>
        <v>1.0500000000000001E-2</v>
      </c>
      <c r="YF165" s="161">
        <f t="shared" si="1625"/>
        <v>1.04E-2</v>
      </c>
      <c r="YG165" s="161">
        <f t="shared" si="1625"/>
        <v>1.03E-2</v>
      </c>
      <c r="YH165" s="161">
        <f t="shared" si="1625"/>
        <v>1.03E-2</v>
      </c>
      <c r="YI165" s="161">
        <f t="shared" si="1625"/>
        <v>1.0200000000000001E-2</v>
      </c>
      <c r="YJ165" s="161">
        <f t="shared" si="1625"/>
        <v>1.0200000000000001E-2</v>
      </c>
      <c r="YK165" s="161">
        <f t="shared" si="1625"/>
        <v>1.01E-2</v>
      </c>
      <c r="YL165" s="161">
        <f t="shared" si="1625"/>
        <v>0.01</v>
      </c>
      <c r="YM165" s="161">
        <f t="shared" si="1628"/>
        <v>0.01</v>
      </c>
      <c r="YN165" s="161">
        <f t="shared" ref="YN165:YN169" si="1754">EX35</f>
        <v>9.8999999999999991E-3</v>
      </c>
      <c r="YO165" s="118">
        <f t="shared" ref="YO165:YO169" si="1755">EY35</f>
        <v>9.8999999999999991E-3</v>
      </c>
      <c r="YP165" s="119"/>
      <c r="YQ165" s="119"/>
      <c r="YR165" s="119"/>
      <c r="YS165" s="119"/>
      <c r="YT165" s="119"/>
      <c r="YU165" s="119"/>
      <c r="YV165" s="119"/>
      <c r="YW165" s="119"/>
      <c r="YX165" s="119"/>
      <c r="YY165" s="119"/>
      <c r="YZ165" s="119"/>
      <c r="ZA165" s="119"/>
      <c r="ZB165" s="119"/>
      <c r="ZC165" s="119"/>
      <c r="ZD165" s="119"/>
      <c r="ZE165" s="119"/>
      <c r="ZF165" s="119"/>
      <c r="ZG165" s="119"/>
      <c r="ZH165" s="119"/>
      <c r="ZI165" s="119"/>
      <c r="ZJ165" s="119"/>
      <c r="ZK165" s="119"/>
      <c r="ZL165" s="119"/>
      <c r="ZM165" s="119"/>
      <c r="ZN165" s="119"/>
      <c r="ZO165" s="119"/>
      <c r="ZP165" s="119"/>
      <c r="ZQ165" s="119"/>
      <c r="ZR165" s="119"/>
      <c r="ZS165" s="119"/>
      <c r="ZT165" s="119"/>
    </row>
    <row r="166" spans="1:738" ht="19.5" thickBot="1" x14ac:dyDescent="0.3">
      <c r="A166" s="298"/>
      <c r="B166" s="25" t="s">
        <v>105</v>
      </c>
      <c r="BY166" s="18"/>
      <c r="BZ166" s="18"/>
      <c r="CA166" s="18"/>
      <c r="CB166" s="18"/>
      <c r="CC166" s="18"/>
      <c r="CD166" s="18"/>
      <c r="CE166" s="18"/>
      <c r="CF166" s="18"/>
      <c r="CG166" s="18"/>
      <c r="CH166" s="18"/>
      <c r="CI166" s="18"/>
      <c r="CJ166" s="18"/>
      <c r="CK166" s="18"/>
      <c r="CL166" s="18"/>
      <c r="CM166" s="18"/>
      <c r="CN166" s="18"/>
      <c r="CO166" s="18"/>
      <c r="CP166" s="18"/>
      <c r="CQ166" s="18"/>
      <c r="CR166" s="18"/>
      <c r="CS166" s="18"/>
      <c r="CT166" s="18"/>
      <c r="CU166" s="18"/>
      <c r="CV166" s="18"/>
      <c r="CW166" s="18"/>
      <c r="CX166" s="18"/>
      <c r="CY166" s="18"/>
      <c r="CZ166" s="18"/>
      <c r="DA166" s="18"/>
      <c r="DB166" s="18"/>
      <c r="DC166" s="18"/>
      <c r="DD166" s="18"/>
      <c r="DE166" s="18"/>
      <c r="DF166" s="18"/>
      <c r="DG166" s="18"/>
      <c r="DH166" s="18"/>
      <c r="DI166" s="18"/>
      <c r="DJ166" s="18"/>
      <c r="DK166" s="18"/>
      <c r="DL166" s="18"/>
      <c r="DM166" s="18"/>
      <c r="DN166" s="18"/>
      <c r="DO166" s="18"/>
      <c r="DP166" s="18"/>
      <c r="DQ166" s="18"/>
      <c r="DR166" s="18"/>
      <c r="DS166" s="18"/>
      <c r="DT166" s="18"/>
      <c r="DU166" s="18"/>
      <c r="DV166" s="18"/>
      <c r="DW166" s="18"/>
      <c r="DX166" s="18"/>
      <c r="DY166" s="18"/>
      <c r="DZ166" s="18"/>
      <c r="EA166" s="18"/>
      <c r="EB166" s="18"/>
      <c r="EC166" s="18"/>
      <c r="ED166" s="18"/>
      <c r="EE166" s="18"/>
      <c r="EF166" s="18"/>
      <c r="EG166" s="18"/>
      <c r="EH166" s="18"/>
      <c r="EI166" s="18"/>
      <c r="EJ166" s="18"/>
      <c r="EK166" s="18"/>
      <c r="EL166" s="18"/>
      <c r="EM166" s="18"/>
      <c r="EN166" s="18"/>
      <c r="EO166" s="18"/>
      <c r="EP166" s="18"/>
      <c r="EQ166" s="18"/>
      <c r="ER166" s="18"/>
      <c r="ES166" s="18"/>
      <c r="ET166" s="18"/>
      <c r="EU166" s="18"/>
      <c r="EV166" s="18"/>
      <c r="EW166" s="18"/>
      <c r="EX166" s="18"/>
      <c r="EY166" s="18"/>
      <c r="EZ166" s="18"/>
      <c r="FA166" s="18"/>
      <c r="FB166" s="18"/>
      <c r="FC166" s="18"/>
      <c r="FD166" s="18"/>
      <c r="FE166" s="18"/>
      <c r="FF166" s="18"/>
      <c r="FG166" s="18"/>
      <c r="FH166" s="18"/>
      <c r="FI166" s="18"/>
      <c r="FJ166" s="18"/>
      <c r="FK166" s="18"/>
      <c r="FL166" s="18"/>
      <c r="FM166" s="18"/>
      <c r="FN166" s="18"/>
      <c r="FO166" s="18"/>
      <c r="FP166" s="18"/>
      <c r="FQ166" s="18"/>
      <c r="FR166" s="18"/>
      <c r="FS166" s="18"/>
      <c r="FT166" s="18"/>
      <c r="FU166" s="18"/>
      <c r="FV166" s="18"/>
      <c r="FW166" s="18"/>
      <c r="FX166" s="18"/>
      <c r="FY166" s="18"/>
      <c r="FZ166" s="18"/>
      <c r="GA166" s="18"/>
      <c r="GB166" s="18"/>
      <c r="GC166" s="18"/>
      <c r="GD166" s="18"/>
      <c r="GE166" s="18"/>
      <c r="GF166" s="18"/>
      <c r="GG166" s="18"/>
      <c r="GH166" s="18"/>
      <c r="GI166" s="18"/>
      <c r="GJ166" s="18"/>
      <c r="GK166" s="18"/>
      <c r="GL166" s="18"/>
      <c r="GM166" s="18"/>
      <c r="GN166" s="18"/>
      <c r="GO166" s="18"/>
      <c r="GP166" s="18"/>
      <c r="GQ166" s="18"/>
      <c r="GR166" s="18"/>
      <c r="GS166" s="18"/>
      <c r="GT166" s="18"/>
      <c r="GU166" s="18"/>
      <c r="GV166" s="18"/>
      <c r="GW166" s="18"/>
      <c r="GX166" s="18"/>
      <c r="GY166" s="18"/>
      <c r="GZ166" s="18"/>
      <c r="HA166" s="18"/>
      <c r="HB166" s="18"/>
      <c r="HC166" s="18"/>
      <c r="HD166" s="18"/>
      <c r="HE166" s="18"/>
      <c r="HF166" s="18"/>
      <c r="HG166" s="18"/>
      <c r="HH166" s="18"/>
      <c r="HI166" s="18"/>
      <c r="HJ166" s="18"/>
      <c r="HK166" s="18"/>
      <c r="HL166" s="18"/>
      <c r="HM166" s="18"/>
      <c r="HN166" s="18"/>
      <c r="HO166" s="18"/>
      <c r="HP166" s="18"/>
      <c r="HQ166" s="18"/>
      <c r="HR166" s="18"/>
      <c r="HS166" s="18"/>
      <c r="HT166" s="18"/>
      <c r="HU166" s="18"/>
      <c r="HV166" s="18"/>
      <c r="HW166" s="18"/>
      <c r="HX166" s="18"/>
      <c r="HY166" s="18"/>
      <c r="HZ166" s="18"/>
      <c r="IA166" s="18"/>
      <c r="IB166" s="18"/>
      <c r="IC166" s="18"/>
      <c r="ID166" s="18"/>
      <c r="IE166" s="18"/>
      <c r="IF166" s="18"/>
      <c r="IG166" s="18"/>
      <c r="IH166" s="18"/>
      <c r="II166" s="18"/>
      <c r="IJ166" s="18"/>
      <c r="IK166" s="18"/>
      <c r="IL166" s="18"/>
      <c r="IM166" s="18"/>
      <c r="IN166" s="18"/>
      <c r="IO166" s="18"/>
      <c r="IP166" s="18"/>
      <c r="IQ166" s="18"/>
      <c r="IR166" s="18"/>
      <c r="IS166" s="18"/>
      <c r="IT166" s="18"/>
      <c r="IU166" s="18"/>
      <c r="IV166" s="18"/>
      <c r="IW166" s="18"/>
      <c r="IX166" s="18"/>
      <c r="IY166" s="18"/>
      <c r="IZ166" s="18"/>
      <c r="JA166" s="18"/>
      <c r="JB166" s="18"/>
      <c r="JC166" s="18"/>
      <c r="JD166" s="18"/>
      <c r="JE166" s="18"/>
      <c r="JF166" s="18"/>
      <c r="JG166" s="18"/>
      <c r="JH166" s="18"/>
      <c r="JI166" s="18"/>
      <c r="JJ166" s="18"/>
      <c r="JK166" s="18"/>
      <c r="JL166" s="18"/>
      <c r="JM166" s="18"/>
      <c r="JN166" s="18"/>
      <c r="JO166" s="18"/>
      <c r="JP166" s="18"/>
      <c r="JQ166" s="18"/>
      <c r="JR166" s="18"/>
      <c r="JS166" s="18"/>
      <c r="JT166" s="18"/>
      <c r="JU166" s="18"/>
      <c r="JV166" s="18"/>
      <c r="JW166" s="18"/>
      <c r="JX166" s="18"/>
      <c r="JY166" s="18"/>
      <c r="JZ166" s="18"/>
      <c r="KA166" s="18"/>
      <c r="KB166" s="18"/>
      <c r="KC166" s="18"/>
      <c r="KD166" s="18"/>
      <c r="KE166" s="18"/>
      <c r="KF166" s="18"/>
      <c r="KG166" s="18"/>
      <c r="KH166" s="18"/>
      <c r="KI166" s="18"/>
      <c r="KJ166" s="18"/>
      <c r="KK166" s="18"/>
      <c r="KL166" s="18"/>
      <c r="KM166" s="18"/>
      <c r="KN166" s="18"/>
      <c r="KO166" s="18"/>
      <c r="KP166" s="18"/>
      <c r="KQ166" s="18"/>
      <c r="KR166" s="18"/>
      <c r="KS166" s="18"/>
      <c r="KT166" s="18"/>
      <c r="KU166" s="18"/>
      <c r="KV166" s="18"/>
      <c r="KW166" s="18"/>
      <c r="KX166" s="18"/>
      <c r="KY166" s="18"/>
      <c r="KZ166" s="18"/>
      <c r="LA166" s="18"/>
      <c r="LB166" s="18"/>
      <c r="LC166" s="18"/>
      <c r="LD166" s="18"/>
      <c r="LE166" s="18"/>
      <c r="LF166" s="18"/>
      <c r="LG166" s="18"/>
      <c r="LH166" s="18"/>
      <c r="LI166" s="18"/>
      <c r="LJ166" s="18"/>
      <c r="LK166" s="18"/>
      <c r="LL166" s="18"/>
      <c r="LM166" s="18"/>
      <c r="LN166" s="18"/>
      <c r="LO166" s="18"/>
      <c r="LP166" s="18"/>
      <c r="LQ166" s="18"/>
      <c r="LR166" s="18"/>
      <c r="LS166" s="18"/>
      <c r="LT166" s="18"/>
      <c r="LU166" s="18"/>
      <c r="LV166" s="18"/>
      <c r="LW166" s="18"/>
      <c r="LX166" s="18"/>
      <c r="LY166" s="18"/>
      <c r="LZ166" s="18"/>
      <c r="MA166" s="18"/>
      <c r="MB166" s="18"/>
      <c r="MC166" s="18"/>
      <c r="MD166" s="18"/>
      <c r="ME166" s="18"/>
      <c r="MF166" s="18"/>
      <c r="MG166" s="18"/>
      <c r="MH166" s="18"/>
      <c r="MI166" s="18"/>
      <c r="MJ166" s="18"/>
      <c r="MK166" s="18"/>
      <c r="ML166" s="18"/>
      <c r="MM166" s="18"/>
      <c r="MN166" s="18"/>
      <c r="MO166" s="18"/>
      <c r="MP166" s="18"/>
      <c r="MQ166" s="18"/>
      <c r="MR166" s="18"/>
      <c r="MS166" s="18"/>
      <c r="MT166" s="18"/>
      <c r="MU166" s="18"/>
      <c r="MV166" s="18"/>
      <c r="MW166" s="18"/>
      <c r="MX166" s="18"/>
      <c r="MY166" s="18"/>
      <c r="MZ166" s="18"/>
      <c r="NA166" s="18"/>
      <c r="NB166" s="18"/>
      <c r="NC166" s="18"/>
      <c r="ND166" s="18"/>
      <c r="NE166" s="18"/>
      <c r="NF166" s="18"/>
      <c r="NG166" s="18"/>
      <c r="NH166" s="18"/>
      <c r="NI166" s="18"/>
      <c r="NJ166" s="18"/>
      <c r="NK166" s="18"/>
      <c r="NL166" s="18"/>
      <c r="NM166" s="18"/>
      <c r="NN166" s="18"/>
      <c r="NO166" s="18"/>
      <c r="NP166" s="18"/>
      <c r="NQ166" s="18"/>
      <c r="NR166" s="18"/>
      <c r="NS166" s="18"/>
      <c r="NT166" s="18"/>
      <c r="NU166" s="18"/>
      <c r="NV166" s="18"/>
      <c r="NW166" s="18"/>
      <c r="NX166" s="18"/>
      <c r="NY166" s="18"/>
      <c r="NZ166" s="18"/>
      <c r="OA166" s="18"/>
      <c r="OB166" s="18"/>
      <c r="OC166" s="18"/>
      <c r="OD166" s="18"/>
      <c r="OE166" s="18"/>
      <c r="OF166" s="18"/>
      <c r="OG166" s="18"/>
      <c r="OH166" s="18"/>
      <c r="OI166" s="18"/>
      <c r="OJ166" s="18"/>
      <c r="OK166" s="18"/>
      <c r="OL166" s="18"/>
      <c r="OM166" s="18"/>
      <c r="ON166" s="18"/>
      <c r="OO166" s="18"/>
      <c r="OP166" s="18"/>
      <c r="OQ166" s="18"/>
      <c r="OR166" s="18"/>
      <c r="OS166" s="18"/>
      <c r="OT166" s="18"/>
      <c r="OU166" s="18"/>
      <c r="OV166" s="18"/>
      <c r="OW166" s="18"/>
      <c r="OX166" s="18"/>
      <c r="OY166" s="18"/>
      <c r="OZ166" s="18"/>
      <c r="PA166" s="18"/>
      <c r="PB166" s="18"/>
      <c r="PC166" s="18"/>
      <c r="PD166" s="18"/>
      <c r="PE166" s="18"/>
      <c r="PF166" s="18"/>
      <c r="PG166" s="18"/>
      <c r="PH166" s="18"/>
      <c r="PI166" s="18"/>
      <c r="PJ166" s="18"/>
      <c r="PK166" s="18"/>
      <c r="PL166" s="18"/>
      <c r="PM166" s="18"/>
      <c r="PN166" s="18"/>
      <c r="PO166" s="18"/>
      <c r="PP166" s="18"/>
      <c r="PQ166" s="18"/>
      <c r="PR166" s="18"/>
      <c r="PS166" s="18"/>
      <c r="PT166" s="18"/>
      <c r="PU166" s="18"/>
      <c r="PV166" s="18"/>
      <c r="PW166" s="18"/>
      <c r="PX166" s="18"/>
      <c r="PY166" s="18"/>
      <c r="PZ166" s="18"/>
      <c r="QA166" s="18"/>
      <c r="QB166" s="18"/>
      <c r="QC166" s="18"/>
      <c r="QD166" s="18"/>
      <c r="QE166" s="18"/>
      <c r="QF166" s="18"/>
      <c r="QG166" s="18"/>
      <c r="QH166" s="18"/>
      <c r="QI166" s="18"/>
      <c r="QJ166" s="18"/>
      <c r="QK166" s="18"/>
      <c r="QL166" s="18"/>
      <c r="QM166" s="18"/>
      <c r="QN166" s="18"/>
      <c r="QO166" s="18"/>
      <c r="QP166" s="18"/>
      <c r="QQ166" s="18"/>
      <c r="QR166" s="18"/>
      <c r="QS166" s="18"/>
      <c r="QT166" s="18"/>
      <c r="QU166" s="18"/>
      <c r="QV166" s="18"/>
      <c r="QW166" s="18"/>
      <c r="QX166" s="18"/>
      <c r="QY166" s="18"/>
      <c r="QZ166" s="18"/>
      <c r="RA166" s="18"/>
      <c r="RB166" s="18"/>
      <c r="RC166" s="18"/>
      <c r="RD166" s="18"/>
      <c r="RE166" s="18"/>
      <c r="RF166" s="18"/>
      <c r="RG166" s="18"/>
      <c r="RH166" s="18"/>
      <c r="RI166" s="18"/>
      <c r="RJ166" s="18"/>
      <c r="RK166" s="18"/>
      <c r="RL166" s="18"/>
      <c r="RM166" s="18"/>
      <c r="RN166" s="18"/>
      <c r="RO166" s="18"/>
      <c r="RP166" s="18"/>
      <c r="RQ166" s="18"/>
      <c r="RR166" s="18"/>
      <c r="RS166" s="18"/>
      <c r="RT166" s="18"/>
      <c r="RU166" s="18"/>
      <c r="RV166" s="18"/>
      <c r="RW166" s="18"/>
      <c r="RX166" s="18"/>
      <c r="RY166" s="18"/>
      <c r="RZ166" s="18"/>
      <c r="SA166" s="18"/>
      <c r="SB166" s="18"/>
      <c r="SS166" s="124">
        <f t="shared" si="1618"/>
        <v>0.14050000000000001</v>
      </c>
      <c r="ST166" s="115">
        <f t="shared" si="1619"/>
        <v>0.15349541071428571</v>
      </c>
      <c r="SU166" s="115">
        <f t="shared" si="1620"/>
        <v>0.16790765106568878</v>
      </c>
      <c r="SV166" s="115">
        <f t="shared" si="1621"/>
        <v>0.18331904442666083</v>
      </c>
      <c r="SW166" s="115">
        <f t="shared" si="1631"/>
        <v>0.19935467139751761</v>
      </c>
      <c r="SX166" s="115">
        <f t="shared" si="1632"/>
        <v>0.2166426892048324</v>
      </c>
      <c r="SY166" s="115">
        <f t="shared" si="1633"/>
        <v>0.2353432020092141</v>
      </c>
      <c r="SZ166" s="115">
        <f t="shared" si="1634"/>
        <v>0.25505677544932165</v>
      </c>
      <c r="TA166" s="115">
        <f t="shared" si="1635"/>
        <v>0.27583239066968751</v>
      </c>
      <c r="TB166" s="115">
        <f t="shared" si="1636"/>
        <v>0.29697738913303484</v>
      </c>
      <c r="TC166" s="115">
        <f t="shared" si="1637"/>
        <v>0.3194037691593315</v>
      </c>
      <c r="TD166" s="115">
        <f t="shared" si="1638"/>
        <v>0.34269017321519196</v>
      </c>
      <c r="TE166" s="115">
        <f t="shared" si="1639"/>
        <v>0.36728624217254702</v>
      </c>
      <c r="TF166" s="115">
        <f t="shared" si="1640"/>
        <v>0.39272283715155293</v>
      </c>
      <c r="TG166" s="115">
        <f t="shared" si="1641"/>
        <v>0.4186413483967294</v>
      </c>
      <c r="TH166" s="115">
        <f t="shared" si="1642"/>
        <v>0.44516430350160602</v>
      </c>
      <c r="TI166" s="115">
        <f t="shared" si="1643"/>
        <v>0.47180154377391648</v>
      </c>
      <c r="TJ166" s="115">
        <f t="shared" si="1644"/>
        <v>0.49977012867788351</v>
      </c>
      <c r="TK166" s="115">
        <f t="shared" si="1645"/>
        <v>0.52873554206564766</v>
      </c>
      <c r="TL166" s="115">
        <f t="shared" si="1646"/>
        <v>0.55806974775310336</v>
      </c>
      <c r="TM166" s="115">
        <f t="shared" si="1647"/>
        <v>0.58829561286534438</v>
      </c>
      <c r="TN166" s="115">
        <f t="shared" si="1648"/>
        <v>0.61736583170566495</v>
      </c>
      <c r="TO166" s="115">
        <f t="shared" si="1649"/>
        <v>0.64838994880135448</v>
      </c>
      <c r="TP166" s="115">
        <f t="shared" si="1650"/>
        <v>0.67945839994117818</v>
      </c>
      <c r="TQ166" s="115">
        <f t="shared" si="1651"/>
        <v>0.71278668366268905</v>
      </c>
      <c r="TR166" s="115">
        <f t="shared" si="1652"/>
        <v>0.74696390684333991</v>
      </c>
      <c r="TS166" s="115">
        <f t="shared" si="1653"/>
        <v>0.78124953431619559</v>
      </c>
      <c r="TT166" s="115">
        <f t="shared" si="1654"/>
        <v>0.81624935648608865</v>
      </c>
      <c r="TU166" s="115">
        <f t="shared" si="1655"/>
        <v>0.851190450173121</v>
      </c>
      <c r="TV166" s="115">
        <f t="shared" si="1656"/>
        <v>0.88669158617649757</v>
      </c>
      <c r="TW166" s="115">
        <f t="shared" si="1657"/>
        <v>0.9226928896086164</v>
      </c>
      <c r="TX166" s="115">
        <f t="shared" si="1658"/>
        <v>0.9583702115541558</v>
      </c>
      <c r="TY166" s="115">
        <f t="shared" si="1659"/>
        <v>0.99436612748230468</v>
      </c>
      <c r="TZ166" s="115">
        <f t="shared" si="1660"/>
        <v>1.0306058047907931</v>
      </c>
      <c r="UA166" s="115">
        <f t="shared" si="1661"/>
        <v>1.0662242972344411</v>
      </c>
      <c r="UB166" s="115">
        <f t="shared" si="1662"/>
        <v>1.098837681270268</v>
      </c>
      <c r="UC166" s="115">
        <f t="shared" si="1663"/>
        <v>1.1333551862719433</v>
      </c>
      <c r="UD166" s="115">
        <f t="shared" si="1664"/>
        <v>1.1643356897299235</v>
      </c>
      <c r="UE166" s="115">
        <f t="shared" si="1665"/>
        <v>1.1980573168234954</v>
      </c>
      <c r="UF166" s="115">
        <f t="shared" si="1666"/>
        <v>1.230594031322491</v>
      </c>
      <c r="UG166" s="115">
        <f t="shared" si="1667"/>
        <v>1.25877805295653</v>
      </c>
      <c r="UH166" s="115">
        <f t="shared" si="1668"/>
        <v>1.2898201531700975</v>
      </c>
      <c r="UI166" s="115">
        <f t="shared" si="1669"/>
        <v>1.3151769703837655</v>
      </c>
      <c r="UJ166" s="115">
        <f t="shared" si="1670"/>
        <v>1.3434748261788181</v>
      </c>
      <c r="UK166" s="115">
        <f t="shared" si="1671"/>
        <v>1.3707845882486138</v>
      </c>
      <c r="UL166" s="115">
        <f t="shared" si="1672"/>
        <v>1.3962440358625756</v>
      </c>
      <c r="UM166" s="115">
        <f t="shared" si="1673"/>
        <v>1.4204905112874515</v>
      </c>
      <c r="UN166" s="115">
        <f t="shared" si="1674"/>
        <v>1.4434197840759082</v>
      </c>
      <c r="UO166" s="115">
        <f t="shared" si="1675"/>
        <v>1.4641996455827908</v>
      </c>
      <c r="UP166" s="169">
        <f t="shared" si="1676"/>
        <v>1.4834503847325724</v>
      </c>
      <c r="UQ166" s="136">
        <f t="shared" si="1677"/>
        <v>0</v>
      </c>
      <c r="UR166" s="170">
        <f t="shared" si="1678"/>
        <v>1.4638512217573703</v>
      </c>
      <c r="US166" s="149">
        <f t="shared" si="1679"/>
        <v>1.4767759282456547</v>
      </c>
      <c r="UT166" s="149">
        <f t="shared" si="1680"/>
        <v>1.4872269348401286</v>
      </c>
      <c r="UU166" s="149">
        <f t="shared" si="1681"/>
        <v>1.5080184446477354</v>
      </c>
      <c r="UV166" s="149">
        <f t="shared" si="1682"/>
        <v>1.5279256892956639</v>
      </c>
      <c r="UW166" s="149">
        <f t="shared" si="1683"/>
        <v>1.5397896971590186</v>
      </c>
      <c r="UX166" s="149">
        <f t="shared" si="1684"/>
        <v>1.5567703640010737</v>
      </c>
      <c r="UY166" s="149">
        <f t="shared" si="1685"/>
        <v>1.5726897843305634</v>
      </c>
      <c r="UZ166" s="149">
        <f t="shared" si="1686"/>
        <v>1.5874948334423751</v>
      </c>
      <c r="VA166" s="149">
        <f t="shared" si="1687"/>
        <v>1.6005638232576938</v>
      </c>
      <c r="VB166" s="149">
        <f t="shared" si="1688"/>
        <v>1.6049855194787468</v>
      </c>
      <c r="VC166" s="149">
        <f t="shared" si="1689"/>
        <v>1.6151835357682431</v>
      </c>
      <c r="VD166" s="149">
        <f t="shared" si="1690"/>
        <v>1.624065309288073</v>
      </c>
      <c r="VE166" s="149">
        <f t="shared" si="1629"/>
        <v>1.639056681373809</v>
      </c>
      <c r="VF166" s="149">
        <f t="shared" si="1691"/>
        <v>1.6532265262692467</v>
      </c>
      <c r="VG166" s="149">
        <f t="shared" si="1692"/>
        <v>1.6665403195940414</v>
      </c>
      <c r="VH166" s="149">
        <f t="shared" si="1693"/>
        <v>1.6789640008207636</v>
      </c>
      <c r="VI166" s="149">
        <f t="shared" si="1694"/>
        <v>1.6904640476120993</v>
      </c>
      <c r="VJ166" s="149">
        <f t="shared" si="1695"/>
        <v>1.7005118899522849</v>
      </c>
      <c r="VK166" s="149">
        <f t="shared" si="1696"/>
        <v>1.7095731100983165</v>
      </c>
      <c r="VL166" s="149">
        <f t="shared" si="1697"/>
        <v>1.7176172571045174</v>
      </c>
      <c r="VM166" s="149">
        <f t="shared" si="1698"/>
        <v>1.724614726550094</v>
      </c>
      <c r="VN166" s="149">
        <f t="shared" si="1699"/>
        <v>1.7300746508710168</v>
      </c>
      <c r="VO166" s="149">
        <f t="shared" si="1700"/>
        <v>1.7443476482099647</v>
      </c>
      <c r="VP166" s="149">
        <f t="shared" si="1701"/>
        <v>1.7580906710059778</v>
      </c>
      <c r="VQ166" s="149">
        <f t="shared" si="1702"/>
        <v>1.7712839906251225</v>
      </c>
      <c r="VR166" s="149">
        <f t="shared" si="1703"/>
        <v>1.7839080310914897</v>
      </c>
      <c r="VS166" s="149">
        <f t="shared" si="1704"/>
        <v>1.7955030540076808</v>
      </c>
      <c r="VT166" s="149">
        <f t="shared" si="1705"/>
        <v>1.8064898226952995</v>
      </c>
      <c r="VU166" s="149">
        <f t="shared" si="1706"/>
        <v>1.8168499330037686</v>
      </c>
      <c r="VV166" s="149">
        <f t="shared" si="1707"/>
        <v>1.8265652483816326</v>
      </c>
      <c r="VW166" s="149">
        <f t="shared" si="1708"/>
        <v>1.8356179263640919</v>
      </c>
      <c r="VX166" s="149">
        <f t="shared" si="1709"/>
        <v>1.8439904451167823</v>
      </c>
      <c r="VY166" s="149">
        <f t="shared" si="1710"/>
        <v>1.8635352814665112</v>
      </c>
      <c r="VZ166" s="149">
        <f t="shared" si="1711"/>
        <v>1.8825708111023103</v>
      </c>
      <c r="WA166" s="149">
        <f t="shared" si="1712"/>
        <v>1.9014999571699871</v>
      </c>
      <c r="WB166" s="149">
        <f t="shared" si="1713"/>
        <v>1.9203145836279207</v>
      </c>
      <c r="WC166" s="149">
        <f t="shared" si="1714"/>
        <v>1.9390064768802473</v>
      </c>
      <c r="WD166" s="149">
        <f t="shared" si="1715"/>
        <v>1.9575673493368078</v>
      </c>
      <c r="WE166" s="149">
        <f t="shared" si="1716"/>
        <v>1.9759888430834802</v>
      </c>
      <c r="WF166" s="149">
        <f t="shared" si="1717"/>
        <v>1.9938474099551347</v>
      </c>
      <c r="WG166" s="149">
        <f t="shared" si="1718"/>
        <v>2.0115449559460856</v>
      </c>
      <c r="WH166" s="149">
        <f t="shared" si="1719"/>
        <v>2.0290731123881076</v>
      </c>
      <c r="WI166" s="149">
        <f t="shared" si="1720"/>
        <v>2.0464234617282977</v>
      </c>
      <c r="WJ166" s="149">
        <f t="shared" si="1721"/>
        <v>2.0635875416634013</v>
      </c>
      <c r="WK166" s="149">
        <f t="shared" si="1722"/>
        <v>2.0805568493690219</v>
      </c>
      <c r="WL166" s="149">
        <f t="shared" si="1723"/>
        <v>2.0973228458217061</v>
      </c>
      <c r="WM166" s="149">
        <f t="shared" si="1724"/>
        <v>2.1138769602118068</v>
      </c>
      <c r="WN166" s="149">
        <f t="shared" si="1725"/>
        <v>2.1297999644471441</v>
      </c>
      <c r="WO166" s="173">
        <f t="shared" si="1726"/>
        <v>2.1454905837725113</v>
      </c>
      <c r="WP166" s="136">
        <f t="shared" si="1727"/>
        <v>0</v>
      </c>
      <c r="WQ166" s="174">
        <f t="shared" si="1728"/>
        <v>2.1412140821008765</v>
      </c>
      <c r="WR166" s="159">
        <f t="shared" si="1729"/>
        <v>2.1559170615818175</v>
      </c>
      <c r="WS166" s="159">
        <f t="shared" si="1730"/>
        <v>2.1703581453977518</v>
      </c>
      <c r="WT166" s="159">
        <f t="shared" si="1731"/>
        <v>2.184529025673525</v>
      </c>
      <c r="WU166" s="159">
        <f t="shared" si="1732"/>
        <v>2.1984214050279709</v>
      </c>
      <c r="WV166" s="159">
        <f t="shared" si="1733"/>
        <v>2.211633271903449</v>
      </c>
      <c r="WW166" s="159">
        <f t="shared" si="1734"/>
        <v>2.2412742419613738</v>
      </c>
      <c r="WX166" s="159">
        <f t="shared" si="1735"/>
        <v>2.2543623761048157</v>
      </c>
      <c r="WY166" s="159">
        <f t="shared" si="1736"/>
        <v>2.2671415772951589</v>
      </c>
      <c r="WZ166" s="159">
        <f t="shared" si="1737"/>
        <v>2.2796037489433942</v>
      </c>
      <c r="XA166" s="159">
        <f t="shared" si="1738"/>
        <v>2.2917408337451746</v>
      </c>
      <c r="XB166" s="159">
        <f t="shared" si="1739"/>
        <v>2.3035448187610004</v>
      </c>
      <c r="XC166" s="159">
        <f t="shared" si="1740"/>
        <v>2.3146226128718004</v>
      </c>
      <c r="XD166" s="159">
        <f t="shared" si="1741"/>
        <v>2.325350757169812</v>
      </c>
      <c r="XE166" s="159">
        <f t="shared" si="1742"/>
        <v>2.3542590949919009</v>
      </c>
      <c r="XF166" s="159">
        <f t="shared" si="1743"/>
        <v>2.3647588883285846</v>
      </c>
      <c r="XG166" s="159">
        <f t="shared" si="1744"/>
        <v>2.3748893038404542</v>
      </c>
      <c r="XH166" s="159">
        <f t="shared" si="1745"/>
        <v>2.3846427583122991</v>
      </c>
      <c r="XI166" s="159">
        <f t="shared" si="1746"/>
        <v>2.3940117469793045</v>
      </c>
      <c r="XJ166" s="159">
        <f t="shared" si="1747"/>
        <v>2.4223095038087679</v>
      </c>
      <c r="XK166" s="159">
        <f t="shared" si="1748"/>
        <v>2.4310153908205385</v>
      </c>
      <c r="XL166" s="159">
        <f t="shared" si="1749"/>
        <v>2.4393177404910493</v>
      </c>
      <c r="XM166" s="159">
        <f t="shared" si="1750"/>
        <v>2.4472094509635824</v>
      </c>
      <c r="XN166" s="159">
        <f t="shared" si="1751"/>
        <v>2.454683521925336</v>
      </c>
      <c r="XO166" s="159">
        <f t="shared" si="1752"/>
        <v>2.4617330596463143</v>
      </c>
      <c r="XP166" s="159">
        <f t="shared" si="1753"/>
        <v>2.4683512820045368</v>
      </c>
      <c r="XQ166" s="159">
        <f t="shared" si="1630"/>
        <v>2.4955031461065866</v>
      </c>
      <c r="XR166" s="159">
        <f t="shared" si="1624"/>
        <v>2.1921182166175264</v>
      </c>
      <c r="XS166" s="159">
        <f t="shared" si="1624"/>
        <v>2.1968846039276047</v>
      </c>
      <c r="XT166" s="159">
        <f t="shared" si="1624"/>
        <v>1.8901412935030988</v>
      </c>
      <c r="XU166" s="159">
        <f t="shared" si="1624"/>
        <v>1.893545758522976</v>
      </c>
      <c r="XV166" s="159">
        <f t="shared" si="1624"/>
        <v>1.8965992639742819</v>
      </c>
      <c r="XW166" s="159">
        <f t="shared" si="1624"/>
        <v>1.8992974022129114</v>
      </c>
      <c r="XX166" s="159">
        <f t="shared" si="1624"/>
        <v>1.9013807816027264</v>
      </c>
      <c r="XY166" s="159">
        <f t="shared" si="1624"/>
        <v>1.6036649468393922</v>
      </c>
      <c r="XZ166" s="159">
        <f t="shared" si="1627"/>
        <v>1.6051167362248326</v>
      </c>
      <c r="YA166" s="159">
        <f t="shared" si="1625"/>
        <v>1.2881816709865186</v>
      </c>
      <c r="YB166" s="159">
        <f t="shared" si="1625"/>
        <v>1.2888483063119804</v>
      </c>
      <c r="YC166" s="159">
        <f t="shared" si="1625"/>
        <v>1.2892623473412648</v>
      </c>
      <c r="YD166" s="159">
        <f t="shared" si="1625"/>
        <v>1.3017016038353926</v>
      </c>
      <c r="YE166" s="159">
        <f t="shared" si="1625"/>
        <v>1.301862191115982</v>
      </c>
      <c r="YF166" s="159">
        <f t="shared" si="1625"/>
        <v>0.97939712572032023</v>
      </c>
      <c r="YG166" s="159">
        <f t="shared" si="1625"/>
        <v>0.97912536992444743</v>
      </c>
      <c r="YH166" s="159">
        <f t="shared" si="1625"/>
        <v>0.66187440390966013</v>
      </c>
      <c r="YI166" s="159">
        <f t="shared" si="1625"/>
        <v>0.66147571468451072</v>
      </c>
      <c r="YJ166" s="159">
        <f t="shared" si="1625"/>
        <v>0.66748651574403517</v>
      </c>
      <c r="YK166" s="159">
        <f t="shared" si="1625"/>
        <v>0.66694848633172832</v>
      </c>
      <c r="YL166" s="159">
        <f t="shared" si="1625"/>
        <v>0.66627378596888731</v>
      </c>
      <c r="YM166" s="159">
        <f t="shared" si="1628"/>
        <v>0.33904645178173293</v>
      </c>
      <c r="YN166" s="159">
        <f t="shared" si="1754"/>
        <v>0.33863310993356072</v>
      </c>
      <c r="YO166" s="162">
        <f t="shared" si="1755"/>
        <v>-6.845541933200597E-4</v>
      </c>
      <c r="YP166" s="119"/>
      <c r="YQ166" s="119"/>
      <c r="YR166" s="119"/>
      <c r="YS166" s="119"/>
      <c r="YT166" s="119"/>
      <c r="YU166" s="119"/>
      <c r="YV166" s="119"/>
      <c r="YW166" s="119"/>
      <c r="YX166" s="119"/>
      <c r="YY166" s="119"/>
      <c r="YZ166" s="119"/>
      <c r="ZA166" s="119"/>
      <c r="ZB166" s="119"/>
      <c r="ZC166" s="119"/>
      <c r="ZD166" s="119"/>
      <c r="ZE166" s="119"/>
      <c r="ZF166" s="119"/>
      <c r="ZG166" s="119"/>
      <c r="ZH166" s="119"/>
      <c r="ZI166" s="119"/>
      <c r="ZJ166" s="119"/>
      <c r="ZK166" s="119"/>
      <c r="ZL166" s="119"/>
      <c r="ZM166" s="119"/>
      <c r="ZN166" s="119"/>
      <c r="ZO166" s="119"/>
      <c r="ZP166" s="119"/>
      <c r="ZQ166" s="119"/>
      <c r="ZR166" s="119"/>
      <c r="ZS166" s="119"/>
      <c r="ZT166" s="119"/>
    </row>
    <row r="167" spans="1:738" ht="19.5" thickBot="1" x14ac:dyDescent="0.3">
      <c r="A167" s="298"/>
      <c r="B167" s="25" t="s">
        <v>13</v>
      </c>
      <c r="BY167" s="18"/>
      <c r="BZ167" s="18"/>
      <c r="CA167" s="18"/>
      <c r="CB167" s="18"/>
      <c r="CC167" s="18"/>
      <c r="CD167" s="18"/>
      <c r="CE167" s="18"/>
      <c r="CF167" s="18"/>
      <c r="CG167" s="18"/>
      <c r="CH167" s="18"/>
      <c r="CI167" s="18"/>
      <c r="CJ167" s="18"/>
      <c r="CK167" s="18"/>
      <c r="CL167" s="18"/>
      <c r="CM167" s="18"/>
      <c r="CN167" s="18"/>
      <c r="CO167" s="18"/>
      <c r="CP167" s="18"/>
      <c r="CQ167" s="18"/>
      <c r="CR167" s="18"/>
      <c r="CS167" s="18"/>
      <c r="CT167" s="18"/>
      <c r="CU167" s="18"/>
      <c r="CV167" s="18"/>
      <c r="CW167" s="18"/>
      <c r="CX167" s="18"/>
      <c r="CY167" s="18"/>
      <c r="CZ167" s="18"/>
      <c r="DA167" s="18"/>
      <c r="DB167" s="18"/>
      <c r="DC167" s="18"/>
      <c r="DD167" s="18"/>
      <c r="DE167" s="18"/>
      <c r="DF167" s="18"/>
      <c r="DG167" s="18"/>
      <c r="DH167" s="18"/>
      <c r="DI167" s="18"/>
      <c r="DJ167" s="18"/>
      <c r="DK167" s="18"/>
      <c r="DL167" s="18"/>
      <c r="DM167" s="18"/>
      <c r="DN167" s="18"/>
      <c r="DO167" s="18"/>
      <c r="DP167" s="18"/>
      <c r="DQ167" s="18"/>
      <c r="DR167" s="18"/>
      <c r="DS167" s="18"/>
      <c r="DT167" s="18"/>
      <c r="DU167" s="18"/>
      <c r="DV167" s="18"/>
      <c r="DW167" s="18"/>
      <c r="DX167" s="18"/>
      <c r="DY167" s="18"/>
      <c r="DZ167" s="18"/>
      <c r="EA167" s="18"/>
      <c r="EB167" s="18"/>
      <c r="EC167" s="18"/>
      <c r="ED167" s="18"/>
      <c r="EE167" s="18"/>
      <c r="EF167" s="18"/>
      <c r="EG167" s="18"/>
      <c r="EH167" s="18"/>
      <c r="EI167" s="18"/>
      <c r="EJ167" s="18"/>
      <c r="EK167" s="18"/>
      <c r="EL167" s="18"/>
      <c r="EM167" s="18"/>
      <c r="EN167" s="18"/>
      <c r="EO167" s="18"/>
      <c r="EP167" s="18"/>
      <c r="EQ167" s="18"/>
      <c r="ER167" s="18"/>
      <c r="ES167" s="18"/>
      <c r="ET167" s="18"/>
      <c r="EU167" s="18"/>
      <c r="EV167" s="18"/>
      <c r="EW167" s="18"/>
      <c r="EX167" s="18"/>
      <c r="EY167" s="18"/>
      <c r="EZ167" s="18"/>
      <c r="FA167" s="18"/>
      <c r="FB167" s="18"/>
      <c r="FC167" s="18"/>
      <c r="FD167" s="18"/>
      <c r="FE167" s="18"/>
      <c r="FF167" s="18"/>
      <c r="FG167" s="18"/>
      <c r="FH167" s="18"/>
      <c r="FI167" s="18"/>
      <c r="FJ167" s="18"/>
      <c r="FK167" s="18"/>
      <c r="FL167" s="18"/>
      <c r="FM167" s="18"/>
      <c r="FN167" s="18"/>
      <c r="FO167" s="18"/>
      <c r="FP167" s="18"/>
      <c r="FQ167" s="18"/>
      <c r="FR167" s="18"/>
      <c r="FS167" s="18"/>
      <c r="FT167" s="18"/>
      <c r="FU167" s="18"/>
      <c r="FV167" s="18"/>
      <c r="FW167" s="18"/>
      <c r="FX167" s="18"/>
      <c r="FY167" s="18"/>
      <c r="FZ167" s="18"/>
      <c r="GA167" s="18"/>
      <c r="GB167" s="18"/>
      <c r="GC167" s="18"/>
      <c r="GD167" s="18"/>
      <c r="GE167" s="18"/>
      <c r="GF167" s="18"/>
      <c r="GG167" s="18"/>
      <c r="GH167" s="18"/>
      <c r="GI167" s="18"/>
      <c r="GJ167" s="18"/>
      <c r="GK167" s="18"/>
      <c r="GL167" s="18"/>
      <c r="GM167" s="18"/>
      <c r="GN167" s="18"/>
      <c r="GO167" s="18"/>
      <c r="GP167" s="18"/>
      <c r="GQ167" s="18"/>
      <c r="GR167" s="18"/>
      <c r="GS167" s="18"/>
      <c r="GT167" s="18"/>
      <c r="GU167" s="18"/>
      <c r="GV167" s="18"/>
      <c r="GW167" s="18"/>
      <c r="GX167" s="18"/>
      <c r="GY167" s="18"/>
      <c r="GZ167" s="18"/>
      <c r="HA167" s="18"/>
      <c r="HB167" s="18"/>
      <c r="HC167" s="18"/>
      <c r="HD167" s="18"/>
      <c r="HE167" s="18"/>
      <c r="HF167" s="18"/>
      <c r="HG167" s="18"/>
      <c r="HH167" s="18"/>
      <c r="HI167" s="18"/>
      <c r="HJ167" s="18"/>
      <c r="HK167" s="18"/>
      <c r="HL167" s="18"/>
      <c r="HM167" s="18"/>
      <c r="HN167" s="18"/>
      <c r="HO167" s="18"/>
      <c r="HP167" s="18"/>
      <c r="HQ167" s="18"/>
      <c r="HR167" s="18"/>
      <c r="HS167" s="18"/>
      <c r="HT167" s="18"/>
      <c r="HU167" s="18"/>
      <c r="HV167" s="18"/>
      <c r="HW167" s="18"/>
      <c r="HX167" s="18"/>
      <c r="HY167" s="18"/>
      <c r="HZ167" s="18"/>
      <c r="IA167" s="18"/>
      <c r="IB167" s="18"/>
      <c r="IC167" s="18"/>
      <c r="ID167" s="18"/>
      <c r="IE167" s="18"/>
      <c r="IF167" s="18"/>
      <c r="IG167" s="18"/>
      <c r="IH167" s="18"/>
      <c r="II167" s="18"/>
      <c r="IJ167" s="18"/>
      <c r="IK167" s="18"/>
      <c r="IL167" s="18"/>
      <c r="IM167" s="18"/>
      <c r="IN167" s="18"/>
      <c r="IO167" s="18"/>
      <c r="IP167" s="18"/>
      <c r="IQ167" s="18"/>
      <c r="IR167" s="18"/>
      <c r="IS167" s="18"/>
      <c r="IT167" s="18"/>
      <c r="IU167" s="18"/>
      <c r="IV167" s="18"/>
      <c r="IW167" s="18"/>
      <c r="IX167" s="18"/>
      <c r="IY167" s="18"/>
      <c r="IZ167" s="18"/>
      <c r="JA167" s="18"/>
      <c r="JB167" s="18"/>
      <c r="JC167" s="18"/>
      <c r="JD167" s="18"/>
      <c r="JE167" s="18"/>
      <c r="JF167" s="18"/>
      <c r="JG167" s="18"/>
      <c r="JH167" s="18"/>
      <c r="JI167" s="18"/>
      <c r="JJ167" s="18"/>
      <c r="JK167" s="18"/>
      <c r="JL167" s="18"/>
      <c r="JM167" s="18"/>
      <c r="JN167" s="18"/>
      <c r="JO167" s="18"/>
      <c r="JP167" s="18"/>
      <c r="JQ167" s="18"/>
      <c r="JR167" s="18"/>
      <c r="JS167" s="18"/>
      <c r="JT167" s="18"/>
      <c r="JU167" s="18"/>
      <c r="JV167" s="18"/>
      <c r="JW167" s="18"/>
      <c r="JX167" s="18"/>
      <c r="JY167" s="18"/>
      <c r="JZ167" s="18"/>
      <c r="KA167" s="18"/>
      <c r="KB167" s="18"/>
      <c r="KC167" s="18"/>
      <c r="KD167" s="18"/>
      <c r="KE167" s="18"/>
      <c r="KF167" s="18"/>
      <c r="KG167" s="18"/>
      <c r="KH167" s="18"/>
      <c r="KI167" s="18"/>
      <c r="KJ167" s="18"/>
      <c r="KK167" s="18"/>
      <c r="KL167" s="18"/>
      <c r="KM167" s="18"/>
      <c r="KN167" s="18"/>
      <c r="KO167" s="18"/>
      <c r="KP167" s="18"/>
      <c r="KQ167" s="18"/>
      <c r="KR167" s="18"/>
      <c r="KS167" s="18"/>
      <c r="KT167" s="18"/>
      <c r="KU167" s="18"/>
      <c r="KV167" s="18"/>
      <c r="KW167" s="18"/>
      <c r="KX167" s="18"/>
      <c r="KY167" s="18"/>
      <c r="KZ167" s="18"/>
      <c r="LA167" s="18"/>
      <c r="LB167" s="18"/>
      <c r="LC167" s="18"/>
      <c r="LD167" s="18"/>
      <c r="LE167" s="18"/>
      <c r="LF167" s="18"/>
      <c r="LG167" s="18"/>
      <c r="LH167" s="18"/>
      <c r="LI167" s="18"/>
      <c r="LJ167" s="18"/>
      <c r="LK167" s="18"/>
      <c r="LL167" s="18"/>
      <c r="LM167" s="18"/>
      <c r="LN167" s="18"/>
      <c r="LO167" s="18"/>
      <c r="LP167" s="18"/>
      <c r="LQ167" s="18"/>
      <c r="LR167" s="18"/>
      <c r="LS167" s="18"/>
      <c r="LT167" s="18"/>
      <c r="LU167" s="18"/>
      <c r="LV167" s="18"/>
      <c r="LW167" s="18"/>
      <c r="LX167" s="18"/>
      <c r="LY167" s="18"/>
      <c r="LZ167" s="18"/>
      <c r="MA167" s="18"/>
      <c r="MB167" s="18"/>
      <c r="MC167" s="18"/>
      <c r="MD167" s="18"/>
      <c r="ME167" s="18"/>
      <c r="MF167" s="18"/>
      <c r="MG167" s="18"/>
      <c r="MH167" s="18"/>
      <c r="MI167" s="18"/>
      <c r="MJ167" s="18"/>
      <c r="MK167" s="18"/>
      <c r="ML167" s="18"/>
      <c r="MM167" s="18"/>
      <c r="MN167" s="18"/>
      <c r="MO167" s="18"/>
      <c r="MP167" s="18"/>
      <c r="MQ167" s="18"/>
      <c r="MR167" s="18"/>
      <c r="MS167" s="18"/>
      <c r="MT167" s="18"/>
      <c r="MU167" s="18"/>
      <c r="MV167" s="18"/>
      <c r="MW167" s="18"/>
      <c r="MX167" s="18"/>
      <c r="MY167" s="18"/>
      <c r="MZ167" s="18"/>
      <c r="NA167" s="18"/>
      <c r="NB167" s="18"/>
      <c r="NC167" s="18"/>
      <c r="ND167" s="18"/>
      <c r="NE167" s="18"/>
      <c r="NF167" s="18"/>
      <c r="NG167" s="18"/>
      <c r="NH167" s="18"/>
      <c r="NI167" s="18"/>
      <c r="NJ167" s="18"/>
      <c r="NK167" s="18"/>
      <c r="NL167" s="18"/>
      <c r="NM167" s="18"/>
      <c r="NN167" s="18"/>
      <c r="NO167" s="18"/>
      <c r="NP167" s="18"/>
      <c r="NQ167" s="18"/>
      <c r="NR167" s="18"/>
      <c r="NS167" s="18"/>
      <c r="NT167" s="18"/>
      <c r="NU167" s="18"/>
      <c r="NV167" s="18"/>
      <c r="NW167" s="18"/>
      <c r="NX167" s="18"/>
      <c r="NY167" s="18"/>
      <c r="NZ167" s="18"/>
      <c r="OA167" s="18"/>
      <c r="OB167" s="18"/>
      <c r="OC167" s="18"/>
      <c r="OD167" s="18"/>
      <c r="OE167" s="18"/>
      <c r="OF167" s="18"/>
      <c r="OG167" s="18"/>
      <c r="OH167" s="18"/>
      <c r="OI167" s="18"/>
      <c r="OJ167" s="18"/>
      <c r="OK167" s="18"/>
      <c r="OL167" s="18"/>
      <c r="OM167" s="18"/>
      <c r="ON167" s="18"/>
      <c r="OO167" s="18"/>
      <c r="OP167" s="18"/>
      <c r="OQ167" s="18"/>
      <c r="OR167" s="18"/>
      <c r="OS167" s="18"/>
      <c r="OT167" s="18"/>
      <c r="OU167" s="18"/>
      <c r="OV167" s="18"/>
      <c r="OW167" s="18"/>
      <c r="OX167" s="18"/>
      <c r="OY167" s="18"/>
      <c r="OZ167" s="18"/>
      <c r="PA167" s="18"/>
      <c r="PB167" s="18"/>
      <c r="PC167" s="18"/>
      <c r="PD167" s="18"/>
      <c r="PE167" s="18"/>
      <c r="PF167" s="18"/>
      <c r="PG167" s="18"/>
      <c r="PH167" s="18"/>
      <c r="PI167" s="18"/>
      <c r="PJ167" s="18"/>
      <c r="PK167" s="18"/>
      <c r="PL167" s="18"/>
      <c r="PM167" s="18"/>
      <c r="PN167" s="18"/>
      <c r="PO167" s="18"/>
      <c r="PP167" s="18"/>
      <c r="PQ167" s="18"/>
      <c r="PR167" s="18"/>
      <c r="PS167" s="18"/>
      <c r="PT167" s="18"/>
      <c r="PU167" s="18"/>
      <c r="PV167" s="18"/>
      <c r="PW167" s="18"/>
      <c r="PX167" s="18"/>
      <c r="PY167" s="18"/>
      <c r="PZ167" s="18"/>
      <c r="QA167" s="18"/>
      <c r="QB167" s="18"/>
      <c r="QC167" s="18"/>
      <c r="QD167" s="18"/>
      <c r="QE167" s="18"/>
      <c r="QF167" s="18"/>
      <c r="QG167" s="18"/>
      <c r="QH167" s="18"/>
      <c r="QI167" s="18"/>
      <c r="QJ167" s="18"/>
      <c r="QK167" s="18"/>
      <c r="QL167" s="18"/>
      <c r="QM167" s="18"/>
      <c r="QN167" s="18"/>
      <c r="QO167" s="18"/>
      <c r="QP167" s="18"/>
      <c r="QQ167" s="18"/>
      <c r="QR167" s="18"/>
      <c r="QS167" s="18"/>
      <c r="QT167" s="18"/>
      <c r="QU167" s="18"/>
      <c r="QV167" s="18"/>
      <c r="QW167" s="18"/>
      <c r="QX167" s="18"/>
      <c r="QY167" s="18"/>
      <c r="QZ167" s="18"/>
      <c r="RA167" s="18"/>
      <c r="RB167" s="18"/>
      <c r="RC167" s="18"/>
      <c r="RD167" s="18"/>
      <c r="RE167" s="18"/>
      <c r="RF167" s="18"/>
      <c r="RG167" s="18"/>
      <c r="RH167" s="18"/>
      <c r="RI167" s="18"/>
      <c r="RJ167" s="18"/>
      <c r="RK167" s="18"/>
      <c r="RL167" s="18"/>
      <c r="RM167" s="18"/>
      <c r="RN167" s="18"/>
      <c r="RO167" s="18"/>
      <c r="RP167" s="18"/>
      <c r="RQ167" s="18"/>
      <c r="RR167" s="18"/>
      <c r="RS167" s="18"/>
      <c r="RT167" s="18"/>
      <c r="RU167" s="18"/>
      <c r="RV167" s="18"/>
      <c r="RW167" s="18"/>
      <c r="RX167" s="18"/>
      <c r="RY167" s="18"/>
      <c r="RZ167" s="18"/>
      <c r="SA167" s="18"/>
      <c r="SB167" s="18"/>
      <c r="SS167" s="117">
        <f t="shared" si="1618"/>
        <v>0.56000000000000005</v>
      </c>
      <c r="ST167" s="114">
        <f t="shared" si="1619"/>
        <v>0.56000000000000005</v>
      </c>
      <c r="SU167" s="114">
        <f t="shared" si="1620"/>
        <v>0.56999999999999995</v>
      </c>
      <c r="SV167" s="114">
        <f t="shared" si="1621"/>
        <v>0.56999999999999995</v>
      </c>
      <c r="SW167" s="114">
        <f t="shared" si="1631"/>
        <v>0.56999999999999995</v>
      </c>
      <c r="SX167" s="114">
        <f t="shared" si="1632"/>
        <v>0.57999999999999996</v>
      </c>
      <c r="SY167" s="114">
        <f t="shared" si="1633"/>
        <v>0.57999999999999996</v>
      </c>
      <c r="SZ167" s="114">
        <f t="shared" si="1634"/>
        <v>0.59</v>
      </c>
      <c r="TA167" s="114">
        <f t="shared" si="1635"/>
        <v>0.59</v>
      </c>
      <c r="TB167" s="114">
        <f t="shared" si="1636"/>
        <v>0.59</v>
      </c>
      <c r="TC167" s="114">
        <f t="shared" si="1637"/>
        <v>0.6</v>
      </c>
      <c r="TD167" s="114">
        <f t="shared" si="1638"/>
        <v>0.6</v>
      </c>
      <c r="TE167" s="114">
        <f t="shared" si="1639"/>
        <v>0.61</v>
      </c>
      <c r="TF167" s="114">
        <f t="shared" si="1640"/>
        <v>0.61</v>
      </c>
      <c r="TG167" s="114">
        <f t="shared" si="1641"/>
        <v>0.62</v>
      </c>
      <c r="TH167" s="114">
        <f t="shared" si="1642"/>
        <v>0.62</v>
      </c>
      <c r="TI167" s="114">
        <f t="shared" si="1643"/>
        <v>0.63</v>
      </c>
      <c r="TJ167" s="114">
        <f t="shared" si="1644"/>
        <v>0.63</v>
      </c>
      <c r="TK167" s="114">
        <f t="shared" si="1645"/>
        <v>0.64</v>
      </c>
      <c r="TL167" s="114">
        <f t="shared" si="1646"/>
        <v>0.64</v>
      </c>
      <c r="TM167" s="114">
        <f t="shared" si="1647"/>
        <v>0.65</v>
      </c>
      <c r="TN167" s="114">
        <f t="shared" si="1648"/>
        <v>0.65</v>
      </c>
      <c r="TO167" s="114">
        <f t="shared" si="1649"/>
        <v>0.66</v>
      </c>
      <c r="TP167" s="114">
        <f t="shared" si="1650"/>
        <v>0.66</v>
      </c>
      <c r="TQ167" s="114">
        <f t="shared" si="1651"/>
        <v>0.66</v>
      </c>
      <c r="TR167" s="114">
        <f t="shared" si="1652"/>
        <v>0.67</v>
      </c>
      <c r="TS167" s="114">
        <f t="shared" si="1653"/>
        <v>0.67</v>
      </c>
      <c r="TT167" s="114">
        <f t="shared" si="1654"/>
        <v>0.68</v>
      </c>
      <c r="TU167" s="114">
        <f t="shared" si="1655"/>
        <v>0.68</v>
      </c>
      <c r="TV167" s="114">
        <f t="shared" si="1656"/>
        <v>0.68</v>
      </c>
      <c r="TW167" s="114">
        <f t="shared" si="1657"/>
        <v>0.69</v>
      </c>
      <c r="TX167" s="114">
        <f t="shared" si="1658"/>
        <v>0.69</v>
      </c>
      <c r="TY167" s="114">
        <f t="shared" si="1659"/>
        <v>0.69</v>
      </c>
      <c r="TZ167" s="114">
        <f t="shared" si="1660"/>
        <v>0.7</v>
      </c>
      <c r="UA167" s="114">
        <f t="shared" si="1661"/>
        <v>0.7</v>
      </c>
      <c r="UB167" s="114">
        <f t="shared" si="1662"/>
        <v>0.71</v>
      </c>
      <c r="UC167" s="114">
        <f t="shared" si="1663"/>
        <v>0.71</v>
      </c>
      <c r="UD167" s="114">
        <f t="shared" si="1664"/>
        <v>0.71</v>
      </c>
      <c r="UE167" s="114">
        <f t="shared" si="1665"/>
        <v>0.72</v>
      </c>
      <c r="UF167" s="114">
        <f t="shared" si="1666"/>
        <v>0.72</v>
      </c>
      <c r="UG167" s="114">
        <f t="shared" si="1667"/>
        <v>0.72</v>
      </c>
      <c r="UH167" s="114">
        <f t="shared" si="1668"/>
        <v>0.73</v>
      </c>
      <c r="UI167" s="114">
        <f t="shared" si="1669"/>
        <v>0.73</v>
      </c>
      <c r="UJ167" s="114">
        <f t="shared" si="1670"/>
        <v>0.73</v>
      </c>
      <c r="UK167" s="114">
        <f t="shared" si="1671"/>
        <v>0.74</v>
      </c>
      <c r="UL167" s="114">
        <f t="shared" si="1672"/>
        <v>0.74</v>
      </c>
      <c r="UM167" s="114">
        <f t="shared" si="1673"/>
        <v>0.74</v>
      </c>
      <c r="UN167" s="114">
        <f t="shared" si="1674"/>
        <v>0.75</v>
      </c>
      <c r="UO167" s="114">
        <f t="shared" si="1675"/>
        <v>0.75</v>
      </c>
      <c r="UP167" s="114">
        <f t="shared" si="1676"/>
        <v>0.76</v>
      </c>
      <c r="UQ167" s="172">
        <f t="shared" si="1677"/>
        <v>0.76</v>
      </c>
      <c r="UR167" s="151">
        <f t="shared" si="1678"/>
        <v>0.76</v>
      </c>
      <c r="US167" s="151">
        <f t="shared" si="1679"/>
        <v>0.77</v>
      </c>
      <c r="UT167" s="151">
        <f t="shared" si="1680"/>
        <v>0.77</v>
      </c>
      <c r="UU167" s="151">
        <f t="shared" si="1681"/>
        <v>0.77</v>
      </c>
      <c r="UV167" s="151">
        <f t="shared" si="1682"/>
        <v>0.78</v>
      </c>
      <c r="UW167" s="151">
        <f t="shared" si="1683"/>
        <v>0.78</v>
      </c>
      <c r="UX167" s="151">
        <f t="shared" si="1684"/>
        <v>0.78</v>
      </c>
      <c r="UY167" s="151">
        <f t="shared" si="1685"/>
        <v>0.78</v>
      </c>
      <c r="UZ167" s="151">
        <f t="shared" si="1686"/>
        <v>0.79</v>
      </c>
      <c r="VA167" s="151">
        <f t="shared" si="1687"/>
        <v>0.79</v>
      </c>
      <c r="VB167" s="151">
        <f t="shared" si="1688"/>
        <v>0.79</v>
      </c>
      <c r="VC167" s="151">
        <f t="shared" si="1689"/>
        <v>0.79</v>
      </c>
      <c r="VD167" s="151">
        <f t="shared" si="1690"/>
        <v>0.8</v>
      </c>
      <c r="VE167" s="151">
        <f t="shared" si="1629"/>
        <v>0.8</v>
      </c>
      <c r="VF167" s="151">
        <f t="shared" si="1691"/>
        <v>0.8</v>
      </c>
      <c r="VG167" s="151">
        <f t="shared" si="1692"/>
        <v>0.8</v>
      </c>
      <c r="VH167" s="151">
        <f t="shared" si="1693"/>
        <v>0.8</v>
      </c>
      <c r="VI167" s="151">
        <f t="shared" si="1694"/>
        <v>0.81</v>
      </c>
      <c r="VJ167" s="151">
        <f t="shared" si="1695"/>
        <v>0.81</v>
      </c>
      <c r="VK167" s="151">
        <f t="shared" si="1696"/>
        <v>0.81</v>
      </c>
      <c r="VL167" s="151">
        <f t="shared" si="1697"/>
        <v>0.81</v>
      </c>
      <c r="VM167" s="151">
        <f t="shared" si="1698"/>
        <v>0.82</v>
      </c>
      <c r="VN167" s="151">
        <f t="shared" si="1699"/>
        <v>0.82</v>
      </c>
      <c r="VO167" s="151">
        <f t="shared" si="1700"/>
        <v>0.82</v>
      </c>
      <c r="VP167" s="151">
        <f t="shared" si="1701"/>
        <v>0.82</v>
      </c>
      <c r="VQ167" s="151">
        <f t="shared" si="1702"/>
        <v>0.82</v>
      </c>
      <c r="VR167" s="151">
        <f t="shared" si="1703"/>
        <v>0.83</v>
      </c>
      <c r="VS167" s="151">
        <f t="shared" si="1704"/>
        <v>0.83</v>
      </c>
      <c r="VT167" s="151">
        <f t="shared" si="1705"/>
        <v>0.83</v>
      </c>
      <c r="VU167" s="151">
        <f t="shared" si="1706"/>
        <v>0.83</v>
      </c>
      <c r="VV167" s="151">
        <f t="shared" si="1707"/>
        <v>0.83</v>
      </c>
      <c r="VW167" s="151">
        <f t="shared" si="1708"/>
        <v>0.83</v>
      </c>
      <c r="VX167" s="151">
        <f t="shared" si="1709"/>
        <v>0.83</v>
      </c>
      <c r="VY167" s="151">
        <f t="shared" si="1710"/>
        <v>0.84</v>
      </c>
      <c r="VZ167" s="151">
        <f t="shared" si="1711"/>
        <v>0.84</v>
      </c>
      <c r="WA167" s="151">
        <f t="shared" si="1712"/>
        <v>0.84</v>
      </c>
      <c r="WB167" s="151">
        <f t="shared" si="1713"/>
        <v>0.84</v>
      </c>
      <c r="WC167" s="151">
        <f t="shared" si="1714"/>
        <v>0.84</v>
      </c>
      <c r="WD167" s="151">
        <f t="shared" si="1715"/>
        <v>0.84</v>
      </c>
      <c r="WE167" s="151">
        <f t="shared" si="1716"/>
        <v>0.85</v>
      </c>
      <c r="WF167" s="151">
        <f t="shared" si="1717"/>
        <v>0.85</v>
      </c>
      <c r="WG167" s="151">
        <f t="shared" si="1718"/>
        <v>0.85</v>
      </c>
      <c r="WH167" s="151">
        <f t="shared" si="1719"/>
        <v>0.85</v>
      </c>
      <c r="WI167" s="151">
        <f t="shared" si="1720"/>
        <v>0.85</v>
      </c>
      <c r="WJ167" s="151">
        <f t="shared" si="1721"/>
        <v>0.85</v>
      </c>
      <c r="WK167" s="151">
        <f t="shared" si="1722"/>
        <v>0.85</v>
      </c>
      <c r="WL167" s="151">
        <f t="shared" si="1723"/>
        <v>0.85</v>
      </c>
      <c r="WM167" s="151">
        <f t="shared" si="1724"/>
        <v>0.86</v>
      </c>
      <c r="WN167" s="151">
        <f t="shared" si="1725"/>
        <v>0.86</v>
      </c>
      <c r="WO167" s="151">
        <f t="shared" si="1726"/>
        <v>0.86</v>
      </c>
      <c r="WP167" s="176">
        <f t="shared" si="1727"/>
        <v>0.86</v>
      </c>
      <c r="WQ167" s="163">
        <f t="shared" si="1728"/>
        <v>0.86</v>
      </c>
      <c r="WR167" s="163">
        <f t="shared" si="1729"/>
        <v>0.86</v>
      </c>
      <c r="WS167" s="163">
        <f t="shared" si="1730"/>
        <v>0.86</v>
      </c>
      <c r="WT167" s="163">
        <f t="shared" si="1731"/>
        <v>0.86</v>
      </c>
      <c r="WU167" s="163">
        <f t="shared" si="1732"/>
        <v>0.87</v>
      </c>
      <c r="WV167" s="163">
        <f t="shared" si="1733"/>
        <v>0.87</v>
      </c>
      <c r="WW167" s="163">
        <f t="shared" si="1734"/>
        <v>0.87</v>
      </c>
      <c r="WX167" s="163">
        <f t="shared" si="1735"/>
        <v>0.87</v>
      </c>
      <c r="WY167" s="163">
        <f t="shared" si="1736"/>
        <v>0.87</v>
      </c>
      <c r="WZ167" s="163">
        <f t="shared" si="1737"/>
        <v>0.87</v>
      </c>
      <c r="XA167" s="163">
        <f t="shared" si="1738"/>
        <v>0.87</v>
      </c>
      <c r="XB167" s="163">
        <f t="shared" si="1739"/>
        <v>0.88</v>
      </c>
      <c r="XC167" s="163">
        <f t="shared" si="1740"/>
        <v>0.88</v>
      </c>
      <c r="XD167" s="163">
        <f t="shared" si="1741"/>
        <v>0.88</v>
      </c>
      <c r="XE167" s="163">
        <f t="shared" si="1742"/>
        <v>0.88</v>
      </c>
      <c r="XF167" s="163">
        <f t="shared" si="1743"/>
        <v>0.88</v>
      </c>
      <c r="XG167" s="163">
        <f t="shared" si="1744"/>
        <v>0.88</v>
      </c>
      <c r="XH167" s="163">
        <f t="shared" si="1745"/>
        <v>0.88</v>
      </c>
      <c r="XI167" s="163">
        <f t="shared" si="1746"/>
        <v>0.89</v>
      </c>
      <c r="XJ167" s="163">
        <f t="shared" si="1747"/>
        <v>0.89</v>
      </c>
      <c r="XK167" s="163">
        <f t="shared" si="1748"/>
        <v>0.89</v>
      </c>
      <c r="XL167" s="163">
        <f t="shared" si="1749"/>
        <v>0.89</v>
      </c>
      <c r="XM167" s="163">
        <f t="shared" si="1750"/>
        <v>0.89</v>
      </c>
      <c r="XN167" s="163">
        <f t="shared" si="1751"/>
        <v>0.89</v>
      </c>
      <c r="XO167" s="163">
        <f t="shared" si="1752"/>
        <v>0.89</v>
      </c>
      <c r="XP167" s="163">
        <f t="shared" si="1753"/>
        <v>0.9</v>
      </c>
      <c r="XQ167" s="163">
        <f t="shared" si="1630"/>
        <v>0.9</v>
      </c>
      <c r="XR167" s="163">
        <f t="shared" si="1624"/>
        <v>0.9</v>
      </c>
      <c r="XS167" s="163">
        <f t="shared" si="1624"/>
        <v>0.9</v>
      </c>
      <c r="XT167" s="163">
        <f t="shared" si="1624"/>
        <v>0.9</v>
      </c>
      <c r="XU167" s="163">
        <f t="shared" si="1624"/>
        <v>0.9</v>
      </c>
      <c r="XV167" s="163">
        <f t="shared" si="1624"/>
        <v>0.9</v>
      </c>
      <c r="XW167" s="163">
        <f t="shared" si="1624"/>
        <v>0.91</v>
      </c>
      <c r="XX167" s="163">
        <f t="shared" si="1624"/>
        <v>0.91</v>
      </c>
      <c r="XY167" s="163">
        <f t="shared" si="1624"/>
        <v>0.91</v>
      </c>
      <c r="XZ167" s="163">
        <f t="shared" si="1627"/>
        <v>0.91</v>
      </c>
      <c r="YA167" s="163">
        <f t="shared" si="1625"/>
        <v>0.91</v>
      </c>
      <c r="YB167" s="163">
        <f t="shared" si="1625"/>
        <v>0.91</v>
      </c>
      <c r="YC167" s="163">
        <f t="shared" si="1625"/>
        <v>0.91</v>
      </c>
      <c r="YD167" s="163">
        <f t="shared" si="1625"/>
        <v>0.91</v>
      </c>
      <c r="YE167" s="163">
        <f t="shared" si="1625"/>
        <v>0.91</v>
      </c>
      <c r="YF167" s="163">
        <f t="shared" si="1625"/>
        <v>0.91</v>
      </c>
      <c r="YG167" s="163">
        <f t="shared" si="1625"/>
        <v>0.91</v>
      </c>
      <c r="YH167" s="163">
        <f t="shared" si="1625"/>
        <v>0.92</v>
      </c>
      <c r="YI167" s="163">
        <f t="shared" si="1625"/>
        <v>0.92</v>
      </c>
      <c r="YJ167" s="163">
        <f t="shared" si="1625"/>
        <v>0.92</v>
      </c>
      <c r="YK167" s="163">
        <f t="shared" si="1625"/>
        <v>0.92</v>
      </c>
      <c r="YL167" s="163">
        <f t="shared" si="1625"/>
        <v>0.92</v>
      </c>
      <c r="YM167" s="163">
        <f t="shared" si="1628"/>
        <v>0.92</v>
      </c>
      <c r="YN167" s="163">
        <f t="shared" si="1754"/>
        <v>0.92</v>
      </c>
      <c r="YO167" s="117">
        <f t="shared" si="1755"/>
        <v>0.92</v>
      </c>
      <c r="YP167" s="119"/>
      <c r="YQ167" s="119"/>
      <c r="YR167" s="119"/>
      <c r="YS167" s="119"/>
      <c r="YT167" s="119"/>
      <c r="YU167" s="119"/>
      <c r="YV167" s="119"/>
      <c r="YW167" s="119"/>
      <c r="YX167" s="119"/>
      <c r="YY167" s="119"/>
      <c r="YZ167" s="119"/>
      <c r="ZA167" s="119"/>
      <c r="ZB167" s="119"/>
      <c r="ZC167" s="119"/>
      <c r="ZD167" s="119"/>
      <c r="ZE167" s="119"/>
      <c r="ZF167" s="119"/>
      <c r="ZG167" s="119"/>
      <c r="ZH167" s="119"/>
      <c r="ZI167" s="119"/>
      <c r="ZJ167" s="119"/>
      <c r="ZK167" s="119"/>
      <c r="ZL167" s="119"/>
      <c r="ZM167" s="119"/>
      <c r="ZN167" s="119"/>
      <c r="ZO167" s="119"/>
      <c r="ZP167" s="119"/>
      <c r="ZQ167" s="119"/>
      <c r="ZR167" s="119"/>
      <c r="ZS167" s="119"/>
      <c r="ZT167" s="119"/>
    </row>
    <row r="168" spans="1:738" ht="18.75" x14ac:dyDescent="0.25">
      <c r="A168" s="298"/>
      <c r="B168" s="25" t="s">
        <v>3</v>
      </c>
      <c r="BY168" s="18"/>
      <c r="BZ168" s="18"/>
      <c r="CA168" s="18"/>
      <c r="CB168" s="18"/>
      <c r="CC168" s="18"/>
      <c r="CD168" s="18"/>
      <c r="CE168" s="18"/>
      <c r="CF168" s="18"/>
      <c r="CG168" s="18"/>
      <c r="CH168" s="18"/>
      <c r="CI168" s="18"/>
      <c r="CJ168" s="18"/>
      <c r="CK168" s="18"/>
      <c r="CL168" s="18"/>
      <c r="CM168" s="18"/>
      <c r="CN168" s="18"/>
      <c r="CO168" s="18"/>
      <c r="CP168" s="18"/>
      <c r="CQ168" s="18"/>
      <c r="CR168" s="18"/>
      <c r="CS168" s="18"/>
      <c r="CT168" s="18"/>
      <c r="CU168" s="18"/>
      <c r="CV168" s="18"/>
      <c r="CW168" s="18"/>
      <c r="CX168" s="18"/>
      <c r="CY168" s="18"/>
      <c r="CZ168" s="18"/>
      <c r="DA168" s="18"/>
      <c r="DB168" s="18"/>
      <c r="DC168" s="18"/>
      <c r="DD168" s="18"/>
      <c r="DE168" s="18"/>
      <c r="DF168" s="18"/>
      <c r="DG168" s="18"/>
      <c r="DH168" s="18"/>
      <c r="DI168" s="18"/>
      <c r="DJ168" s="18"/>
      <c r="DK168" s="18"/>
      <c r="DL168" s="18"/>
      <c r="DM168" s="18"/>
      <c r="DN168" s="18"/>
      <c r="DO168" s="18"/>
      <c r="DP168" s="18"/>
      <c r="DQ168" s="18"/>
      <c r="DR168" s="18"/>
      <c r="DS168" s="18"/>
      <c r="DT168" s="18"/>
      <c r="DU168" s="18"/>
      <c r="DV168" s="18"/>
      <c r="DW168" s="18"/>
      <c r="DX168" s="18"/>
      <c r="DY168" s="18"/>
      <c r="DZ168" s="18"/>
      <c r="EA168" s="18"/>
      <c r="EB168" s="18"/>
      <c r="EC168" s="18"/>
      <c r="ED168" s="18"/>
      <c r="EE168" s="18"/>
      <c r="EF168" s="18"/>
      <c r="EG168" s="18"/>
      <c r="EH168" s="18"/>
      <c r="EI168" s="18"/>
      <c r="EJ168" s="18"/>
      <c r="EK168" s="18"/>
      <c r="EL168" s="18"/>
      <c r="EM168" s="18"/>
      <c r="EN168" s="18"/>
      <c r="EO168" s="18"/>
      <c r="EP168" s="18"/>
      <c r="EQ168" s="18"/>
      <c r="ER168" s="18"/>
      <c r="ES168" s="18"/>
      <c r="ET168" s="18"/>
      <c r="EU168" s="18"/>
      <c r="EV168" s="18"/>
      <c r="EW168" s="18"/>
      <c r="EX168" s="18"/>
      <c r="EY168" s="18"/>
      <c r="EZ168" s="18"/>
      <c r="FA168" s="18"/>
      <c r="FB168" s="18"/>
      <c r="FC168" s="18"/>
      <c r="FD168" s="18"/>
      <c r="FE168" s="18"/>
      <c r="FF168" s="18"/>
      <c r="FG168" s="18"/>
      <c r="FH168" s="18"/>
      <c r="FI168" s="18"/>
      <c r="FJ168" s="18"/>
      <c r="FK168" s="18"/>
      <c r="FL168" s="18"/>
      <c r="FM168" s="18"/>
      <c r="FN168" s="18"/>
      <c r="FO168" s="18"/>
      <c r="FP168" s="18"/>
      <c r="FQ168" s="18"/>
      <c r="FR168" s="18"/>
      <c r="FS168" s="18"/>
      <c r="FT168" s="18"/>
      <c r="FU168" s="18"/>
      <c r="FV168" s="18"/>
      <c r="FW168" s="18"/>
      <c r="FX168" s="18"/>
      <c r="FY168" s="18"/>
      <c r="FZ168" s="18"/>
      <c r="GA168" s="18"/>
      <c r="GB168" s="18"/>
      <c r="GC168" s="18"/>
      <c r="GD168" s="18"/>
      <c r="GE168" s="18"/>
      <c r="GF168" s="18"/>
      <c r="GG168" s="18"/>
      <c r="GH168" s="18"/>
      <c r="GI168" s="18"/>
      <c r="GJ168" s="18"/>
      <c r="GK168" s="18"/>
      <c r="GL168" s="18"/>
      <c r="GM168" s="18"/>
      <c r="GN168" s="18"/>
      <c r="GO168" s="18"/>
      <c r="GP168" s="18"/>
      <c r="GQ168" s="18"/>
      <c r="GR168" s="18"/>
      <c r="GS168" s="18"/>
      <c r="GT168" s="18"/>
      <c r="GU168" s="18"/>
      <c r="GV168" s="18"/>
      <c r="GW168" s="18"/>
      <c r="GX168" s="18"/>
      <c r="GY168" s="18"/>
      <c r="GZ168" s="18"/>
      <c r="HA168" s="18"/>
      <c r="HB168" s="18"/>
      <c r="HC168" s="18"/>
      <c r="HD168" s="18"/>
      <c r="HE168" s="18"/>
      <c r="HF168" s="18"/>
      <c r="HG168" s="18"/>
      <c r="HH168" s="18"/>
      <c r="HI168" s="18"/>
      <c r="HJ168" s="18"/>
      <c r="HK168" s="18"/>
      <c r="HL168" s="18"/>
      <c r="HM168" s="18"/>
      <c r="HN168" s="18"/>
      <c r="HO168" s="18"/>
      <c r="HP168" s="18"/>
      <c r="HQ168" s="18"/>
      <c r="HR168" s="18"/>
      <c r="HS168" s="18"/>
      <c r="HT168" s="18"/>
      <c r="HU168" s="18"/>
      <c r="HV168" s="18"/>
      <c r="HW168" s="18"/>
      <c r="HX168" s="18"/>
      <c r="HY168" s="18"/>
      <c r="HZ168" s="18"/>
      <c r="IA168" s="18"/>
      <c r="IB168" s="18"/>
      <c r="IC168" s="18"/>
      <c r="ID168" s="18"/>
      <c r="IE168" s="18"/>
      <c r="IF168" s="18"/>
      <c r="IG168" s="18"/>
      <c r="IH168" s="18"/>
      <c r="II168" s="18"/>
      <c r="IJ168" s="18"/>
      <c r="IK168" s="18"/>
      <c r="IL168" s="18"/>
      <c r="IM168" s="18"/>
      <c r="IN168" s="18"/>
      <c r="IO168" s="18"/>
      <c r="IP168" s="18"/>
      <c r="IQ168" s="18"/>
      <c r="IR168" s="18"/>
      <c r="IS168" s="18"/>
      <c r="IT168" s="18"/>
      <c r="IU168" s="18"/>
      <c r="IV168" s="18"/>
      <c r="IW168" s="18"/>
      <c r="IX168" s="18"/>
      <c r="IY168" s="18"/>
      <c r="IZ168" s="18"/>
      <c r="JA168" s="18"/>
      <c r="JB168" s="18"/>
      <c r="JC168" s="18"/>
      <c r="JD168" s="18"/>
      <c r="JE168" s="18"/>
      <c r="JF168" s="18"/>
      <c r="JG168" s="18"/>
      <c r="JH168" s="18"/>
      <c r="JI168" s="18"/>
      <c r="JJ168" s="18"/>
      <c r="JK168" s="18"/>
      <c r="JL168" s="18"/>
      <c r="JM168" s="18"/>
      <c r="JN168" s="18"/>
      <c r="JO168" s="18"/>
      <c r="JP168" s="18"/>
      <c r="JQ168" s="18"/>
      <c r="JR168" s="18"/>
      <c r="JS168" s="18"/>
      <c r="JT168" s="18"/>
      <c r="JU168" s="18"/>
      <c r="JV168" s="18"/>
      <c r="JW168" s="18"/>
      <c r="JX168" s="18"/>
      <c r="JY168" s="18"/>
      <c r="JZ168" s="18"/>
      <c r="KA168" s="18"/>
      <c r="KB168" s="18"/>
      <c r="KC168" s="18"/>
      <c r="KD168" s="18"/>
      <c r="KE168" s="18"/>
      <c r="KF168" s="18"/>
      <c r="KG168" s="18"/>
      <c r="KH168" s="18"/>
      <c r="KI168" s="18"/>
      <c r="KJ168" s="18"/>
      <c r="KK168" s="18"/>
      <c r="KL168" s="18"/>
      <c r="KM168" s="18"/>
      <c r="KN168" s="18"/>
      <c r="KO168" s="18"/>
      <c r="KP168" s="18"/>
      <c r="KQ168" s="18"/>
      <c r="KR168" s="18"/>
      <c r="KS168" s="18"/>
      <c r="KT168" s="18"/>
      <c r="KU168" s="18"/>
      <c r="KV168" s="18"/>
      <c r="KW168" s="18"/>
      <c r="KX168" s="18"/>
      <c r="KY168" s="18"/>
      <c r="KZ168" s="18"/>
      <c r="LA168" s="18"/>
      <c r="LB168" s="18"/>
      <c r="LC168" s="18"/>
      <c r="LD168" s="18"/>
      <c r="LE168" s="18"/>
      <c r="LF168" s="18"/>
      <c r="LG168" s="18"/>
      <c r="LH168" s="18"/>
      <c r="LI168" s="18"/>
      <c r="LJ168" s="18"/>
      <c r="LK168" s="18"/>
      <c r="LL168" s="18"/>
      <c r="LM168" s="18"/>
      <c r="LN168" s="18"/>
      <c r="LO168" s="18"/>
      <c r="LP168" s="18"/>
      <c r="LQ168" s="18"/>
      <c r="LR168" s="18"/>
      <c r="LS168" s="18"/>
      <c r="LT168" s="18"/>
      <c r="LU168" s="18"/>
      <c r="LV168" s="18"/>
      <c r="LW168" s="18"/>
      <c r="LX168" s="18"/>
      <c r="LY168" s="18"/>
      <c r="LZ168" s="18"/>
      <c r="MA168" s="18"/>
      <c r="MB168" s="18"/>
      <c r="MC168" s="18"/>
      <c r="MD168" s="18"/>
      <c r="ME168" s="18"/>
      <c r="MF168" s="18"/>
      <c r="MG168" s="18"/>
      <c r="MH168" s="18"/>
      <c r="MI168" s="18"/>
      <c r="MJ168" s="18"/>
      <c r="MK168" s="18"/>
      <c r="ML168" s="18"/>
      <c r="MM168" s="18"/>
      <c r="MN168" s="18"/>
      <c r="MO168" s="18"/>
      <c r="MP168" s="18"/>
      <c r="MQ168" s="18"/>
      <c r="MR168" s="18"/>
      <c r="MS168" s="18"/>
      <c r="MT168" s="18"/>
      <c r="MU168" s="18"/>
      <c r="MV168" s="18"/>
      <c r="MW168" s="18"/>
      <c r="MX168" s="18"/>
      <c r="MY168" s="18"/>
      <c r="MZ168" s="18"/>
      <c r="NA168" s="18"/>
      <c r="NB168" s="18"/>
      <c r="NC168" s="18"/>
      <c r="ND168" s="18"/>
      <c r="NE168" s="18"/>
      <c r="NF168" s="18"/>
      <c r="NG168" s="18"/>
      <c r="NH168" s="18"/>
      <c r="NI168" s="18"/>
      <c r="NJ168" s="18"/>
      <c r="NK168" s="18"/>
      <c r="NL168" s="18"/>
      <c r="NM168" s="18"/>
      <c r="NN168" s="18"/>
      <c r="NO168" s="18"/>
      <c r="NP168" s="18"/>
      <c r="NQ168" s="18"/>
      <c r="NR168" s="18"/>
      <c r="NS168" s="18"/>
      <c r="NT168" s="18"/>
      <c r="NU168" s="18"/>
      <c r="NV168" s="18"/>
      <c r="NW168" s="18"/>
      <c r="NX168" s="18"/>
      <c r="NY168" s="18"/>
      <c r="NZ168" s="18"/>
      <c r="OA168" s="18"/>
      <c r="OB168" s="18"/>
      <c r="OC168" s="18"/>
      <c r="OD168" s="18"/>
      <c r="OE168" s="18"/>
      <c r="OF168" s="18"/>
      <c r="OG168" s="18"/>
      <c r="OH168" s="18"/>
      <c r="OI168" s="18"/>
      <c r="OJ168" s="18"/>
      <c r="OK168" s="18"/>
      <c r="OL168" s="18"/>
      <c r="OM168" s="18"/>
      <c r="ON168" s="18"/>
      <c r="OO168" s="18"/>
      <c r="OP168" s="18"/>
      <c r="OQ168" s="18"/>
      <c r="OR168" s="18"/>
      <c r="OS168" s="18"/>
      <c r="OT168" s="18"/>
      <c r="OU168" s="18"/>
      <c r="OV168" s="18"/>
      <c r="OW168" s="18"/>
      <c r="OX168" s="18"/>
      <c r="OY168" s="18"/>
      <c r="OZ168" s="18"/>
      <c r="PA168" s="18"/>
      <c r="PB168" s="18"/>
      <c r="PC168" s="18"/>
      <c r="PD168" s="18"/>
      <c r="PE168" s="18"/>
      <c r="PF168" s="18"/>
      <c r="PG168" s="18"/>
      <c r="PH168" s="18"/>
      <c r="PI168" s="18"/>
      <c r="PJ168" s="18"/>
      <c r="PK168" s="18"/>
      <c r="PL168" s="18"/>
      <c r="PM168" s="18"/>
      <c r="PN168" s="18"/>
      <c r="PO168" s="18"/>
      <c r="PP168" s="18"/>
      <c r="PQ168" s="18"/>
      <c r="PR168" s="18"/>
      <c r="PS168" s="18"/>
      <c r="PT168" s="18"/>
      <c r="PU168" s="18"/>
      <c r="PV168" s="18"/>
      <c r="PW168" s="18"/>
      <c r="PX168" s="18"/>
      <c r="PY168" s="18"/>
      <c r="PZ168" s="18"/>
      <c r="QA168" s="18"/>
      <c r="QB168" s="18"/>
      <c r="QC168" s="18"/>
      <c r="QD168" s="18"/>
      <c r="QE168" s="18"/>
      <c r="QF168" s="18"/>
      <c r="QG168" s="18"/>
      <c r="QH168" s="18"/>
      <c r="QI168" s="18"/>
      <c r="QJ168" s="18"/>
      <c r="QK168" s="18"/>
      <c r="QL168" s="18"/>
      <c r="QM168" s="18"/>
      <c r="QN168" s="18"/>
      <c r="QO168" s="18"/>
      <c r="QP168" s="18"/>
      <c r="QQ168" s="18"/>
      <c r="QR168" s="18"/>
      <c r="QS168" s="18"/>
      <c r="QT168" s="18"/>
      <c r="QU168" s="18"/>
      <c r="QV168" s="18"/>
      <c r="QW168" s="18"/>
      <c r="QX168" s="18"/>
      <c r="QY168" s="18"/>
      <c r="QZ168" s="18"/>
      <c r="RA168" s="18"/>
      <c r="RB168" s="18"/>
      <c r="RC168" s="18"/>
      <c r="RD168" s="18"/>
      <c r="RE168" s="18"/>
      <c r="RF168" s="18"/>
      <c r="RG168" s="18"/>
      <c r="RH168" s="18"/>
      <c r="RI168" s="18"/>
      <c r="RJ168" s="18"/>
      <c r="RK168" s="18"/>
      <c r="RL168" s="18"/>
      <c r="RM168" s="18"/>
      <c r="RN168" s="18"/>
      <c r="RO168" s="18"/>
      <c r="RP168" s="18"/>
      <c r="RQ168" s="18"/>
      <c r="RR168" s="18"/>
      <c r="RS168" s="18"/>
      <c r="RT168" s="18"/>
      <c r="RU168" s="18"/>
      <c r="RV168" s="18"/>
      <c r="RW168" s="18"/>
      <c r="RX168" s="18"/>
      <c r="RY168" s="18"/>
      <c r="RZ168" s="18"/>
      <c r="SA168" s="18"/>
      <c r="SB168" s="18"/>
      <c r="SS168" s="125" t="str">
        <f t="shared" si="1618"/>
        <v>Tank 1</v>
      </c>
      <c r="ST168" s="111" t="str">
        <f t="shared" si="1619"/>
        <v>Tank 1</v>
      </c>
      <c r="SU168" s="111" t="str">
        <f t="shared" si="1620"/>
        <v>Tank 1</v>
      </c>
      <c r="SV168" s="111" t="str">
        <f t="shared" si="1621"/>
        <v>Tank 1</v>
      </c>
      <c r="SW168" s="111" t="str">
        <f t="shared" si="1631"/>
        <v>Tank 1</v>
      </c>
      <c r="SX168" s="111" t="str">
        <f t="shared" si="1632"/>
        <v>Tank 1</v>
      </c>
      <c r="SY168" s="111" t="str">
        <f t="shared" si="1633"/>
        <v>Tank 1</v>
      </c>
      <c r="SZ168" s="111" t="str">
        <f t="shared" si="1634"/>
        <v>Tank 1</v>
      </c>
      <c r="TA168" s="111" t="str">
        <f t="shared" si="1635"/>
        <v>Tank 1</v>
      </c>
      <c r="TB168" s="111" t="str">
        <f t="shared" si="1636"/>
        <v>Tank 1</v>
      </c>
      <c r="TC168" s="111" t="str">
        <f t="shared" si="1637"/>
        <v>Tank 1</v>
      </c>
      <c r="TD168" s="111" t="str">
        <f t="shared" si="1638"/>
        <v>Tank 1</v>
      </c>
      <c r="TE168" s="111" t="str">
        <f t="shared" si="1639"/>
        <v>Tank 1</v>
      </c>
      <c r="TF168" s="111" t="str">
        <f t="shared" si="1640"/>
        <v>Tank 1</v>
      </c>
      <c r="TG168" s="111" t="str">
        <f t="shared" si="1641"/>
        <v>Tank 1</v>
      </c>
      <c r="TH168" s="111" t="str">
        <f t="shared" si="1642"/>
        <v>Tank 1</v>
      </c>
      <c r="TI168" s="111" t="str">
        <f t="shared" si="1643"/>
        <v>Tank 1</v>
      </c>
      <c r="TJ168" s="111" t="str">
        <f t="shared" si="1644"/>
        <v>Tank 1</v>
      </c>
      <c r="TK168" s="111" t="str">
        <f t="shared" si="1645"/>
        <v>Tank 1</v>
      </c>
      <c r="TL168" s="111" t="str">
        <f t="shared" si="1646"/>
        <v>Tank 1</v>
      </c>
      <c r="TM168" s="111" t="str">
        <f t="shared" si="1647"/>
        <v>Tank 1</v>
      </c>
      <c r="TN168" s="111" t="str">
        <f t="shared" si="1648"/>
        <v>Tank 1</v>
      </c>
      <c r="TO168" s="111" t="str">
        <f t="shared" si="1649"/>
        <v>Tank 1</v>
      </c>
      <c r="TP168" s="111" t="str">
        <f t="shared" si="1650"/>
        <v>Tank 1</v>
      </c>
      <c r="TQ168" s="111" t="str">
        <f t="shared" si="1651"/>
        <v>Tank 1</v>
      </c>
      <c r="TR168" s="111" t="str">
        <f t="shared" si="1652"/>
        <v>Tank 1</v>
      </c>
      <c r="TS168" s="111" t="str">
        <f t="shared" si="1653"/>
        <v>Tank 1</v>
      </c>
      <c r="TT168" s="111" t="str">
        <f t="shared" si="1654"/>
        <v>Tank 1</v>
      </c>
      <c r="TU168" s="111" t="str">
        <f t="shared" si="1655"/>
        <v>Tank 1</v>
      </c>
      <c r="TV168" s="111" t="str">
        <f t="shared" si="1656"/>
        <v>Tank 1</v>
      </c>
      <c r="TW168" s="111" t="str">
        <f t="shared" si="1657"/>
        <v>Tank 1</v>
      </c>
      <c r="TX168" s="111" t="str">
        <f t="shared" si="1658"/>
        <v>Tank 1</v>
      </c>
      <c r="TY168" s="111" t="str">
        <f t="shared" si="1659"/>
        <v>Tank 1</v>
      </c>
      <c r="TZ168" s="111" t="str">
        <f t="shared" si="1660"/>
        <v>Tank 1</v>
      </c>
      <c r="UA168" s="111" t="str">
        <f t="shared" si="1661"/>
        <v>Tank 1</v>
      </c>
      <c r="UB168" s="111" t="str">
        <f t="shared" si="1662"/>
        <v>Tank 1</v>
      </c>
      <c r="UC168" s="111" t="str">
        <f t="shared" si="1663"/>
        <v>Tank 1</v>
      </c>
      <c r="UD168" s="111" t="str">
        <f t="shared" si="1664"/>
        <v>Tank 1</v>
      </c>
      <c r="UE168" s="111" t="str">
        <f t="shared" si="1665"/>
        <v>Tank 1</v>
      </c>
      <c r="UF168" s="111" t="str">
        <f t="shared" si="1666"/>
        <v>Tank 1</v>
      </c>
      <c r="UG168" s="111" t="str">
        <f t="shared" si="1667"/>
        <v>Tank 1</v>
      </c>
      <c r="UH168" s="111" t="str">
        <f t="shared" si="1668"/>
        <v>Tank 1</v>
      </c>
      <c r="UI168" s="111" t="str">
        <f t="shared" si="1669"/>
        <v>Tank 1</v>
      </c>
      <c r="UJ168" s="111" t="str">
        <f t="shared" si="1670"/>
        <v>Tank 1</v>
      </c>
      <c r="UK168" s="111" t="str">
        <f t="shared" si="1671"/>
        <v>Tank 1</v>
      </c>
      <c r="UL168" s="111" t="str">
        <f t="shared" si="1672"/>
        <v>Tank 1</v>
      </c>
      <c r="UM168" s="111" t="str">
        <f t="shared" si="1673"/>
        <v>Tank 1</v>
      </c>
      <c r="UN168" s="111" t="str">
        <f t="shared" si="1674"/>
        <v>Tank 1</v>
      </c>
      <c r="UO168" s="111" t="str">
        <f t="shared" si="1675"/>
        <v>Tank 1</v>
      </c>
      <c r="UP168" s="111" t="str">
        <f t="shared" si="1676"/>
        <v>Tank 1</v>
      </c>
      <c r="UQ168" s="111" t="str">
        <f t="shared" si="1677"/>
        <v>Tank 1</v>
      </c>
      <c r="UR168" s="152" t="str">
        <f t="shared" si="1678"/>
        <v>Tank 2 + 3</v>
      </c>
      <c r="US168" s="152" t="str">
        <f t="shared" si="1679"/>
        <v>Tank 2 + 3</v>
      </c>
      <c r="UT168" s="152" t="str">
        <f t="shared" si="1680"/>
        <v>Tank 2 + 3</v>
      </c>
      <c r="UU168" s="152" t="str">
        <f t="shared" si="1681"/>
        <v>Tank 2 + 3</v>
      </c>
      <c r="UV168" s="152" t="str">
        <f t="shared" si="1682"/>
        <v>Tank 2 + 3</v>
      </c>
      <c r="UW168" s="152" t="str">
        <f t="shared" si="1683"/>
        <v>Tank 2 + 3</v>
      </c>
      <c r="UX168" s="152" t="str">
        <f t="shared" si="1684"/>
        <v>Tank 2 + 3</v>
      </c>
      <c r="UY168" s="152" t="str">
        <f t="shared" si="1685"/>
        <v>Tank 2 + 3</v>
      </c>
      <c r="UZ168" s="152" t="str">
        <f t="shared" si="1686"/>
        <v>Tank 2 + 3</v>
      </c>
      <c r="VA168" s="152" t="str">
        <f t="shared" si="1687"/>
        <v>Tank 2 + 3</v>
      </c>
      <c r="VB168" s="152" t="str">
        <f t="shared" si="1688"/>
        <v>Tank 2 + 3</v>
      </c>
      <c r="VC168" s="152" t="str">
        <f t="shared" si="1689"/>
        <v>Tank 2 + 3</v>
      </c>
      <c r="VD168" s="152" t="str">
        <f t="shared" si="1690"/>
        <v>Tank 2 + 3</v>
      </c>
      <c r="VE168" s="152" t="str">
        <f t="shared" si="1629"/>
        <v>Tank 2 + 3</v>
      </c>
      <c r="VF168" s="152" t="str">
        <f t="shared" si="1691"/>
        <v>Tank 2 + 3</v>
      </c>
      <c r="VG168" s="152" t="str">
        <f t="shared" si="1692"/>
        <v>Tank 2 + 3</v>
      </c>
      <c r="VH168" s="152" t="str">
        <f t="shared" si="1693"/>
        <v>Tank 2 + 3</v>
      </c>
      <c r="VI168" s="152" t="str">
        <f t="shared" si="1694"/>
        <v>Tank 2 + 3</v>
      </c>
      <c r="VJ168" s="152" t="str">
        <f t="shared" si="1695"/>
        <v>Tank 2 + 3</v>
      </c>
      <c r="VK168" s="152" t="str">
        <f t="shared" si="1696"/>
        <v>Tank 2 + 3</v>
      </c>
      <c r="VL168" s="152" t="str">
        <f t="shared" si="1697"/>
        <v>Tank 2 + 3</v>
      </c>
      <c r="VM168" s="152" t="str">
        <f t="shared" si="1698"/>
        <v>Tank 2 + 3</v>
      </c>
      <c r="VN168" s="152" t="str">
        <f t="shared" si="1699"/>
        <v>Tank 2 + 3</v>
      </c>
      <c r="VO168" s="152" t="str">
        <f t="shared" si="1700"/>
        <v>Tank 2 + 3</v>
      </c>
      <c r="VP168" s="152" t="str">
        <f t="shared" si="1701"/>
        <v>Tank 2 + 3</v>
      </c>
      <c r="VQ168" s="152" t="str">
        <f t="shared" si="1702"/>
        <v>Tank 2 + 3</v>
      </c>
      <c r="VR168" s="152" t="str">
        <f t="shared" si="1703"/>
        <v>Tank 2 + 3</v>
      </c>
      <c r="VS168" s="152" t="str">
        <f t="shared" si="1704"/>
        <v>Tank 2 + 3</v>
      </c>
      <c r="VT168" s="152" t="str">
        <f t="shared" si="1705"/>
        <v>Tank 2 + 3</v>
      </c>
      <c r="VU168" s="152" t="str">
        <f t="shared" si="1706"/>
        <v>Tank 2 + 3</v>
      </c>
      <c r="VV168" s="152" t="str">
        <f t="shared" si="1707"/>
        <v>Tank 2 + 3</v>
      </c>
      <c r="VW168" s="152" t="str">
        <f t="shared" si="1708"/>
        <v>Tank 2 + 3</v>
      </c>
      <c r="VX168" s="152" t="str">
        <f t="shared" si="1709"/>
        <v>Tank 2 + 3</v>
      </c>
      <c r="VY168" s="152" t="str">
        <f t="shared" si="1710"/>
        <v>Tank 2 + 3</v>
      </c>
      <c r="VZ168" s="152" t="str">
        <f t="shared" si="1711"/>
        <v>Tank 2 + 3</v>
      </c>
      <c r="WA168" s="152" t="str">
        <f t="shared" si="1712"/>
        <v>Tank 2 + 3</v>
      </c>
      <c r="WB168" s="152" t="str">
        <f t="shared" si="1713"/>
        <v>Tank 2 + 3</v>
      </c>
      <c r="WC168" s="152" t="str">
        <f t="shared" si="1714"/>
        <v>Tank 2 + 3</v>
      </c>
      <c r="WD168" s="152" t="str">
        <f t="shared" si="1715"/>
        <v>Tank 2 + 3</v>
      </c>
      <c r="WE168" s="152" t="str">
        <f t="shared" si="1716"/>
        <v>Tank 2 + 3</v>
      </c>
      <c r="WF168" s="152" t="str">
        <f t="shared" si="1717"/>
        <v>Tank 2 + 3</v>
      </c>
      <c r="WG168" s="152" t="str">
        <f t="shared" si="1718"/>
        <v>Tank 2 + 3</v>
      </c>
      <c r="WH168" s="152" t="str">
        <f t="shared" si="1719"/>
        <v>Tank 2 + 3</v>
      </c>
      <c r="WI168" s="152" t="str">
        <f t="shared" si="1720"/>
        <v>Tank 2 + 3</v>
      </c>
      <c r="WJ168" s="152" t="str">
        <f t="shared" si="1721"/>
        <v>Tank 2 + 3</v>
      </c>
      <c r="WK168" s="152" t="str">
        <f t="shared" si="1722"/>
        <v>Tank 2 + 3</v>
      </c>
      <c r="WL168" s="152" t="str">
        <f t="shared" si="1723"/>
        <v>Tank 2 + 3</v>
      </c>
      <c r="WM168" s="152" t="str">
        <f t="shared" si="1724"/>
        <v>Tank 2 + 3</v>
      </c>
      <c r="WN168" s="152" t="str">
        <f t="shared" si="1725"/>
        <v>Tank 2 + 3</v>
      </c>
      <c r="WO168" s="152" t="str">
        <f t="shared" si="1726"/>
        <v>Tank 2 + 3</v>
      </c>
      <c r="WP168" s="152" t="str">
        <f t="shared" si="1727"/>
        <v>Tank 2 + 3</v>
      </c>
      <c r="WQ168" s="158" t="str">
        <f t="shared" si="1728"/>
        <v xml:space="preserve">Tank 4 + 5 + 6 </v>
      </c>
      <c r="WR168" s="158" t="str">
        <f t="shared" si="1729"/>
        <v xml:space="preserve">Tank 4 + 5 + 6 </v>
      </c>
      <c r="WS168" s="158" t="str">
        <f t="shared" si="1730"/>
        <v xml:space="preserve">Tank 4 + 5 + 6 </v>
      </c>
      <c r="WT168" s="158" t="str">
        <f t="shared" si="1731"/>
        <v xml:space="preserve">Tank 4 + 5 + 6 </v>
      </c>
      <c r="WU168" s="158" t="str">
        <f t="shared" si="1732"/>
        <v xml:space="preserve">Tank 4 + 5 + 6 </v>
      </c>
      <c r="WV168" s="158" t="str">
        <f t="shared" si="1733"/>
        <v xml:space="preserve">Tank 4 + 5 + 6 </v>
      </c>
      <c r="WW168" s="158" t="str">
        <f t="shared" si="1734"/>
        <v xml:space="preserve">Tank 4 + 5 + 6 </v>
      </c>
      <c r="WX168" s="158" t="str">
        <f t="shared" si="1735"/>
        <v xml:space="preserve">Tank 4 + 5 + 6 </v>
      </c>
      <c r="WY168" s="158" t="str">
        <f t="shared" si="1736"/>
        <v xml:space="preserve">Tank 4 + 5 + 6 </v>
      </c>
      <c r="WZ168" s="158" t="str">
        <f t="shared" si="1737"/>
        <v xml:space="preserve">Tank 4 + 5 + 6 </v>
      </c>
      <c r="XA168" s="158" t="str">
        <f t="shared" si="1738"/>
        <v xml:space="preserve">Tank 4 + 5 + 6 </v>
      </c>
      <c r="XB168" s="158" t="str">
        <f t="shared" si="1739"/>
        <v xml:space="preserve">Tank 4 + 5 + 6 </v>
      </c>
      <c r="XC168" s="158" t="str">
        <f t="shared" si="1740"/>
        <v xml:space="preserve">Tank 4 + 5 + 6 </v>
      </c>
      <c r="XD168" s="158" t="str">
        <f t="shared" si="1741"/>
        <v xml:space="preserve">Tank 4 + 5 + 6 </v>
      </c>
      <c r="XE168" s="158" t="str">
        <f t="shared" si="1742"/>
        <v xml:space="preserve">Tank 4 + 5 + 6 </v>
      </c>
      <c r="XF168" s="158" t="str">
        <f t="shared" si="1743"/>
        <v xml:space="preserve">Tank 4 + 5 + 6 </v>
      </c>
      <c r="XG168" s="158" t="str">
        <f t="shared" si="1744"/>
        <v xml:space="preserve">Tank 4 + 5 + 6 </v>
      </c>
      <c r="XH168" s="158" t="str">
        <f t="shared" si="1745"/>
        <v xml:space="preserve">Tank 4 + 5 + 6 </v>
      </c>
      <c r="XI168" s="158" t="str">
        <f t="shared" si="1746"/>
        <v xml:space="preserve">Tank 4 + 5 + 6 </v>
      </c>
      <c r="XJ168" s="158" t="str">
        <f t="shared" si="1747"/>
        <v xml:space="preserve">Tank 4 + 5 + 6 </v>
      </c>
      <c r="XK168" s="158" t="str">
        <f t="shared" si="1748"/>
        <v xml:space="preserve">Tank 4 + 5 + 6 </v>
      </c>
      <c r="XL168" s="158" t="str">
        <f t="shared" si="1749"/>
        <v xml:space="preserve">Tank 4 + 5 + 6 </v>
      </c>
      <c r="XM168" s="158" t="str">
        <f t="shared" si="1750"/>
        <v xml:space="preserve">Tank 4 + 5 + 6 </v>
      </c>
      <c r="XN168" s="158" t="str">
        <f t="shared" si="1751"/>
        <v xml:space="preserve">Tank 4 + 5 + 6 </v>
      </c>
      <c r="XO168" s="158" t="str">
        <f t="shared" si="1752"/>
        <v xml:space="preserve">Tank 4 + 5 + 6 </v>
      </c>
      <c r="XP168" s="158" t="str">
        <f t="shared" si="1753"/>
        <v xml:space="preserve">Tank 4 + 5 + 6 </v>
      </c>
      <c r="XQ168" s="158" t="str">
        <f t="shared" si="1630"/>
        <v xml:space="preserve">Tank 4 + 5 + 6 </v>
      </c>
      <c r="XR168" s="158" t="str">
        <f t="shared" si="1624"/>
        <v xml:space="preserve">Tank 4 + 5 + 6 </v>
      </c>
      <c r="XS168" s="158" t="str">
        <f t="shared" si="1624"/>
        <v xml:space="preserve">Tank 4 + 5 + 6 </v>
      </c>
      <c r="XT168" s="158" t="str">
        <f t="shared" si="1624"/>
        <v xml:space="preserve">Tank 4 + 5 + 6 </v>
      </c>
      <c r="XU168" s="158" t="str">
        <f t="shared" si="1624"/>
        <v xml:space="preserve">Tank 4 + 5 + 6 </v>
      </c>
      <c r="XV168" s="158" t="str">
        <f t="shared" si="1624"/>
        <v xml:space="preserve">Tank 4 + 5 + 6 </v>
      </c>
      <c r="XW168" s="158" t="str">
        <f t="shared" si="1624"/>
        <v xml:space="preserve">Tank 4 + 5 + 6 </v>
      </c>
      <c r="XX168" s="158" t="str">
        <f t="shared" si="1624"/>
        <v xml:space="preserve">Tank 4 + 5 + 6 </v>
      </c>
      <c r="XY168" s="158" t="str">
        <f t="shared" si="1624"/>
        <v xml:space="preserve">Tank 4 + 5 + 6 </v>
      </c>
      <c r="XZ168" s="158" t="str">
        <f t="shared" si="1627"/>
        <v xml:space="preserve">Tank 4 + 5 + 6 </v>
      </c>
      <c r="YA168" s="158" t="str">
        <f t="shared" si="1625"/>
        <v xml:space="preserve">Tank 4 + 5 + 6 </v>
      </c>
      <c r="YB168" s="158" t="str">
        <f t="shared" si="1625"/>
        <v xml:space="preserve">Tank 4 + 5 + 6 </v>
      </c>
      <c r="YC168" s="158" t="str">
        <f t="shared" si="1625"/>
        <v xml:space="preserve">Tank 4 + 5 + 6 </v>
      </c>
      <c r="YD168" s="158" t="str">
        <f t="shared" si="1625"/>
        <v xml:space="preserve">Tank 4 + 5 + 6 </v>
      </c>
      <c r="YE168" s="158" t="str">
        <f t="shared" si="1625"/>
        <v xml:space="preserve">Tank 4 + 5 + 6 </v>
      </c>
      <c r="YF168" s="158" t="str">
        <f t="shared" si="1625"/>
        <v xml:space="preserve">Tank 4 + 5 + 6 </v>
      </c>
      <c r="YG168" s="158" t="str">
        <f t="shared" si="1625"/>
        <v xml:space="preserve">Tank 4 + 5 + 6 </v>
      </c>
      <c r="YH168" s="158" t="str">
        <f t="shared" si="1625"/>
        <v xml:space="preserve">Tank 4 + 5 + 6 </v>
      </c>
      <c r="YI168" s="158" t="str">
        <f t="shared" si="1625"/>
        <v xml:space="preserve">Tank 4 + 5 + 6 </v>
      </c>
      <c r="YJ168" s="158" t="str">
        <f t="shared" si="1625"/>
        <v xml:space="preserve">Tank 4 + 5 + 6 </v>
      </c>
      <c r="YK168" s="158" t="str">
        <f t="shared" si="1625"/>
        <v xml:space="preserve">Tank 4 + 5 + 6 </v>
      </c>
      <c r="YL168" s="158" t="str">
        <f t="shared" si="1625"/>
        <v xml:space="preserve">Tank 4 + 5 + 6 </v>
      </c>
      <c r="YM168" s="158" t="str">
        <f t="shared" si="1628"/>
        <v xml:space="preserve">Tank 4 + 5 + 6 </v>
      </c>
      <c r="YN168" s="158" t="str">
        <f t="shared" si="1754"/>
        <v xml:space="preserve">Tank 4 + 5 + 6 </v>
      </c>
      <c r="YO168" s="158" t="str">
        <f t="shared" si="1755"/>
        <v xml:space="preserve">Tank 4 + 5 + 6 </v>
      </c>
      <c r="YP168" s="119"/>
      <c r="YQ168" s="119"/>
      <c r="YR168" s="119"/>
      <c r="YS168" s="119"/>
      <c r="YT168" s="119"/>
      <c r="YU168" s="119"/>
      <c r="YV168" s="119"/>
      <c r="YW168" s="119"/>
      <c r="YX168" s="119"/>
      <c r="YY168" s="119"/>
      <c r="YZ168" s="119"/>
      <c r="ZA168" s="119"/>
      <c r="ZB168" s="119"/>
      <c r="ZC168" s="119"/>
      <c r="ZD168" s="119"/>
      <c r="ZE168" s="119"/>
      <c r="ZF168" s="119"/>
      <c r="ZG168" s="119"/>
      <c r="ZH168" s="119"/>
      <c r="ZI168" s="119"/>
      <c r="ZJ168" s="119"/>
      <c r="ZK168" s="119"/>
      <c r="ZL168" s="119"/>
      <c r="ZM168" s="119"/>
      <c r="ZN168" s="119"/>
      <c r="ZO168" s="119"/>
      <c r="ZP168" s="119"/>
      <c r="ZQ168" s="119"/>
      <c r="ZR168" s="119"/>
      <c r="ZS168" s="119"/>
      <c r="ZT168" s="119"/>
    </row>
    <row r="169" spans="1:738" ht="21.75" thickBot="1" x14ac:dyDescent="0.3">
      <c r="A169" s="299"/>
      <c r="B169" s="26" t="s">
        <v>120</v>
      </c>
      <c r="BY169" s="18"/>
      <c r="BZ169" s="18"/>
      <c r="CA169" s="18"/>
      <c r="CB169" s="18"/>
      <c r="CC169" s="18"/>
      <c r="CD169" s="18"/>
      <c r="CE169" s="18"/>
      <c r="CF169" s="18"/>
      <c r="CG169" s="18"/>
      <c r="CH169" s="18"/>
      <c r="CI169" s="18"/>
      <c r="CJ169" s="18"/>
      <c r="CK169" s="18"/>
      <c r="CL169" s="18"/>
      <c r="CM169" s="18"/>
      <c r="CN169" s="18"/>
      <c r="CO169" s="18"/>
      <c r="CP169" s="18"/>
      <c r="CQ169" s="18"/>
      <c r="CR169" s="18"/>
      <c r="CS169" s="18"/>
      <c r="CT169" s="18"/>
      <c r="CU169" s="18"/>
      <c r="CV169" s="18"/>
      <c r="CW169" s="18"/>
      <c r="CX169" s="18"/>
      <c r="CY169" s="18"/>
      <c r="CZ169" s="18"/>
      <c r="DA169" s="18"/>
      <c r="DB169" s="18"/>
      <c r="DC169" s="18"/>
      <c r="DD169" s="18"/>
      <c r="DE169" s="18"/>
      <c r="DF169" s="18"/>
      <c r="DG169" s="18"/>
      <c r="DH169" s="18"/>
      <c r="DI169" s="18"/>
      <c r="DJ169" s="18"/>
      <c r="DK169" s="18"/>
      <c r="DL169" s="18"/>
      <c r="DM169" s="18"/>
      <c r="DN169" s="18"/>
      <c r="DO169" s="18"/>
      <c r="DP169" s="18"/>
      <c r="DQ169" s="18"/>
      <c r="DR169" s="18"/>
      <c r="DS169" s="18"/>
      <c r="DT169" s="18"/>
      <c r="DU169" s="18"/>
      <c r="DV169" s="18"/>
      <c r="DW169" s="18"/>
      <c r="DX169" s="18"/>
      <c r="DY169" s="18"/>
      <c r="DZ169" s="18"/>
      <c r="EA169" s="18"/>
      <c r="EB169" s="18"/>
      <c r="EC169" s="18"/>
      <c r="ED169" s="18"/>
      <c r="EE169" s="18"/>
      <c r="EF169" s="18"/>
      <c r="EG169" s="18"/>
      <c r="EH169" s="18"/>
      <c r="EI169" s="18"/>
      <c r="EJ169" s="18"/>
      <c r="EK169" s="18"/>
      <c r="EL169" s="18"/>
      <c r="EM169" s="18"/>
      <c r="EN169" s="18"/>
      <c r="EO169" s="18"/>
      <c r="EP169" s="18"/>
      <c r="EQ169" s="18"/>
      <c r="ER169" s="18"/>
      <c r="ES169" s="18"/>
      <c r="ET169" s="18"/>
      <c r="EU169" s="18"/>
      <c r="EV169" s="18"/>
      <c r="EW169" s="18"/>
      <c r="EX169" s="18"/>
      <c r="EY169" s="18"/>
      <c r="EZ169" s="18"/>
      <c r="FA169" s="18"/>
      <c r="FB169" s="18"/>
      <c r="FC169" s="18"/>
      <c r="FD169" s="18"/>
      <c r="FE169" s="18"/>
      <c r="FF169" s="18"/>
      <c r="FG169" s="18"/>
      <c r="FH169" s="18"/>
      <c r="FI169" s="18"/>
      <c r="FJ169" s="18"/>
      <c r="FK169" s="18"/>
      <c r="FL169" s="18"/>
      <c r="FM169" s="18"/>
      <c r="FN169" s="18"/>
      <c r="FO169" s="18"/>
      <c r="FP169" s="18"/>
      <c r="FQ169" s="18"/>
      <c r="FR169" s="18"/>
      <c r="FS169" s="18"/>
      <c r="FT169" s="18"/>
      <c r="FU169" s="18"/>
      <c r="FV169" s="18"/>
      <c r="FW169" s="18"/>
      <c r="FX169" s="18"/>
      <c r="FY169" s="18"/>
      <c r="FZ169" s="18"/>
      <c r="GA169" s="18"/>
      <c r="GB169" s="18"/>
      <c r="GC169" s="18"/>
      <c r="GD169" s="18"/>
      <c r="GE169" s="18"/>
      <c r="GF169" s="18"/>
      <c r="GG169" s="18"/>
      <c r="GH169" s="18"/>
      <c r="GI169" s="18"/>
      <c r="GJ169" s="18"/>
      <c r="GK169" s="18"/>
      <c r="GL169" s="18"/>
      <c r="GM169" s="18"/>
      <c r="GN169" s="18"/>
      <c r="GO169" s="18"/>
      <c r="GP169" s="18"/>
      <c r="GQ169" s="18"/>
      <c r="GR169" s="18"/>
      <c r="GS169" s="18"/>
      <c r="GT169" s="18"/>
      <c r="GU169" s="18"/>
      <c r="GV169" s="18"/>
      <c r="GW169" s="18"/>
      <c r="GX169" s="18"/>
      <c r="GY169" s="18"/>
      <c r="GZ169" s="18"/>
      <c r="HA169" s="18"/>
      <c r="HB169" s="18"/>
      <c r="HC169" s="18"/>
      <c r="HD169" s="18"/>
      <c r="HE169" s="18"/>
      <c r="HF169" s="18"/>
      <c r="HG169" s="18"/>
      <c r="HH169" s="18"/>
      <c r="HI169" s="18"/>
      <c r="HJ169" s="18"/>
      <c r="HK169" s="18"/>
      <c r="HL169" s="18"/>
      <c r="HM169" s="18"/>
      <c r="HN169" s="18"/>
      <c r="HO169" s="18"/>
      <c r="HP169" s="18"/>
      <c r="HQ169" s="18"/>
      <c r="HR169" s="18"/>
      <c r="HS169" s="18"/>
      <c r="HT169" s="18"/>
      <c r="HU169" s="18"/>
      <c r="HV169" s="18"/>
      <c r="HW169" s="18"/>
      <c r="HX169" s="18"/>
      <c r="HY169" s="18"/>
      <c r="HZ169" s="18"/>
      <c r="IA169" s="18"/>
      <c r="IB169" s="18"/>
      <c r="IC169" s="18"/>
      <c r="ID169" s="18"/>
      <c r="IE169" s="18"/>
      <c r="IF169" s="18"/>
      <c r="IG169" s="18"/>
      <c r="IH169" s="18"/>
      <c r="II169" s="18"/>
      <c r="IJ169" s="18"/>
      <c r="IK169" s="18"/>
      <c r="IL169" s="18"/>
      <c r="IM169" s="18"/>
      <c r="IN169" s="18"/>
      <c r="IO169" s="18"/>
      <c r="IP169" s="18"/>
      <c r="IQ169" s="18"/>
      <c r="IR169" s="18"/>
      <c r="IS169" s="18"/>
      <c r="IT169" s="18"/>
      <c r="IU169" s="18"/>
      <c r="IV169" s="18"/>
      <c r="IW169" s="18"/>
      <c r="IX169" s="18"/>
      <c r="IY169" s="18"/>
      <c r="IZ169" s="18"/>
      <c r="JA169" s="18"/>
      <c r="JB169" s="18"/>
      <c r="JC169" s="18"/>
      <c r="JD169" s="18"/>
      <c r="JE169" s="18"/>
      <c r="JF169" s="18"/>
      <c r="JG169" s="18"/>
      <c r="JH169" s="18"/>
      <c r="JI169" s="18"/>
      <c r="JJ169" s="18"/>
      <c r="JK169" s="18"/>
      <c r="JL169" s="18"/>
      <c r="JM169" s="18"/>
      <c r="JN169" s="18"/>
      <c r="JO169" s="18"/>
      <c r="JP169" s="18"/>
      <c r="JQ169" s="18"/>
      <c r="JR169" s="18"/>
      <c r="JS169" s="18"/>
      <c r="JT169" s="18"/>
      <c r="JU169" s="18"/>
      <c r="JV169" s="18"/>
      <c r="JW169" s="18"/>
      <c r="JX169" s="18"/>
      <c r="JY169" s="18"/>
      <c r="JZ169" s="18"/>
      <c r="KA169" s="18"/>
      <c r="KB169" s="18"/>
      <c r="KC169" s="18"/>
      <c r="KD169" s="18"/>
      <c r="KE169" s="18"/>
      <c r="KF169" s="18"/>
      <c r="KG169" s="18"/>
      <c r="KH169" s="18"/>
      <c r="KI169" s="18"/>
      <c r="KJ169" s="18"/>
      <c r="KK169" s="18"/>
      <c r="KL169" s="18"/>
      <c r="KM169" s="18"/>
      <c r="KN169" s="18"/>
      <c r="KO169" s="18"/>
      <c r="KP169" s="18"/>
      <c r="KQ169" s="18"/>
      <c r="KR169" s="18"/>
      <c r="KS169" s="18"/>
      <c r="KT169" s="18"/>
      <c r="KU169" s="18"/>
      <c r="KV169" s="18"/>
      <c r="KW169" s="18"/>
      <c r="KX169" s="18"/>
      <c r="KY169" s="18"/>
      <c r="KZ169" s="18"/>
      <c r="LA169" s="18"/>
      <c r="LB169" s="18"/>
      <c r="LC169" s="18"/>
      <c r="LD169" s="18"/>
      <c r="LE169" s="18"/>
      <c r="LF169" s="18"/>
      <c r="LG169" s="18"/>
      <c r="LH169" s="18"/>
      <c r="LI169" s="18"/>
      <c r="LJ169" s="18"/>
      <c r="LK169" s="18"/>
      <c r="LL169" s="18"/>
      <c r="LM169" s="18"/>
      <c r="LN169" s="18"/>
      <c r="LO169" s="18"/>
      <c r="LP169" s="18"/>
      <c r="LQ169" s="18"/>
      <c r="LR169" s="18"/>
      <c r="LS169" s="18"/>
      <c r="LT169" s="18"/>
      <c r="LU169" s="18"/>
      <c r="LV169" s="18"/>
      <c r="LW169" s="18"/>
      <c r="LX169" s="18"/>
      <c r="LY169" s="18"/>
      <c r="LZ169" s="18"/>
      <c r="MA169" s="18"/>
      <c r="MB169" s="18"/>
      <c r="MC169" s="18"/>
      <c r="MD169" s="18"/>
      <c r="ME169" s="18"/>
      <c r="MF169" s="18"/>
      <c r="MG169" s="18"/>
      <c r="MH169" s="18"/>
      <c r="MI169" s="18"/>
      <c r="MJ169" s="18"/>
      <c r="MK169" s="18"/>
      <c r="ML169" s="18"/>
      <c r="MM169" s="18"/>
      <c r="MN169" s="18"/>
      <c r="MO169" s="18"/>
      <c r="MP169" s="18"/>
      <c r="MQ169" s="18"/>
      <c r="MR169" s="18"/>
      <c r="MS169" s="18"/>
      <c r="MT169" s="18"/>
      <c r="MU169" s="18"/>
      <c r="MV169" s="18"/>
      <c r="MW169" s="18"/>
      <c r="MX169" s="18"/>
      <c r="MY169" s="18"/>
      <c r="MZ169" s="18"/>
      <c r="NA169" s="18"/>
      <c r="NB169" s="18"/>
      <c r="NC169" s="18"/>
      <c r="ND169" s="18"/>
      <c r="NE169" s="18"/>
      <c r="NF169" s="18"/>
      <c r="NG169" s="18"/>
      <c r="NH169" s="18"/>
      <c r="NI169" s="18"/>
      <c r="NJ169" s="18"/>
      <c r="NK169" s="18"/>
      <c r="NL169" s="18"/>
      <c r="NM169" s="18"/>
      <c r="NN169" s="18"/>
      <c r="NO169" s="18"/>
      <c r="NP169" s="18"/>
      <c r="NQ169" s="18"/>
      <c r="NR169" s="18"/>
      <c r="NS169" s="18"/>
      <c r="NT169" s="18"/>
      <c r="NU169" s="18"/>
      <c r="NV169" s="18"/>
      <c r="NW169" s="18"/>
      <c r="NX169" s="18"/>
      <c r="NY169" s="18"/>
      <c r="NZ169" s="18"/>
      <c r="OA169" s="18"/>
      <c r="OB169" s="18"/>
      <c r="OC169" s="18"/>
      <c r="OD169" s="18"/>
      <c r="OE169" s="18"/>
      <c r="OF169" s="18"/>
      <c r="OG169" s="18"/>
      <c r="OH169" s="18"/>
      <c r="OI169" s="18"/>
      <c r="OJ169" s="18"/>
      <c r="OK169" s="18"/>
      <c r="OL169" s="18"/>
      <c r="OM169" s="18"/>
      <c r="ON169" s="18"/>
      <c r="OO169" s="18"/>
      <c r="OP169" s="18"/>
      <c r="OQ169" s="18"/>
      <c r="OR169" s="18"/>
      <c r="OS169" s="18"/>
      <c r="OT169" s="18"/>
      <c r="OU169" s="18"/>
      <c r="OV169" s="18"/>
      <c r="OW169" s="18"/>
      <c r="OX169" s="18"/>
      <c r="OY169" s="18"/>
      <c r="OZ169" s="18"/>
      <c r="PA169" s="18"/>
      <c r="PB169" s="18"/>
      <c r="PC169" s="18"/>
      <c r="PD169" s="18"/>
      <c r="PE169" s="18"/>
      <c r="PF169" s="18"/>
      <c r="PG169" s="18"/>
      <c r="PH169" s="18"/>
      <c r="PI169" s="18"/>
      <c r="PJ169" s="18"/>
      <c r="PK169" s="18"/>
      <c r="PL169" s="18"/>
      <c r="PM169" s="18"/>
      <c r="PN169" s="18"/>
      <c r="PO169" s="18"/>
      <c r="PP169" s="18"/>
      <c r="PQ169" s="18"/>
      <c r="PR169" s="18"/>
      <c r="PS169" s="18"/>
      <c r="PT169" s="18"/>
      <c r="PU169" s="18"/>
      <c r="PV169" s="18"/>
      <c r="PW169" s="18"/>
      <c r="PX169" s="18"/>
      <c r="PY169" s="18"/>
      <c r="PZ169" s="18"/>
      <c r="QA169" s="18"/>
      <c r="QB169" s="18"/>
      <c r="QC169" s="18"/>
      <c r="QD169" s="18"/>
      <c r="QE169" s="18"/>
      <c r="QF169" s="18"/>
      <c r="QG169" s="18"/>
      <c r="QH169" s="18"/>
      <c r="QI169" s="18"/>
      <c r="QJ169" s="18"/>
      <c r="QK169" s="18"/>
      <c r="QL169" s="18"/>
      <c r="QM169" s="18"/>
      <c r="QN169" s="18"/>
      <c r="QO169" s="18"/>
      <c r="QP169" s="18"/>
      <c r="QQ169" s="18"/>
      <c r="QR169" s="18"/>
      <c r="QS169" s="18"/>
      <c r="QT169" s="18"/>
      <c r="QU169" s="18"/>
      <c r="QV169" s="18"/>
      <c r="QW169" s="18"/>
      <c r="QX169" s="18"/>
      <c r="QY169" s="18"/>
      <c r="QZ169" s="18"/>
      <c r="RA169" s="18"/>
      <c r="RB169" s="18"/>
      <c r="RC169" s="18"/>
      <c r="RD169" s="18"/>
      <c r="RE169" s="18"/>
      <c r="RF169" s="18"/>
      <c r="RG169" s="18"/>
      <c r="RH169" s="18"/>
      <c r="RI169" s="18"/>
      <c r="RJ169" s="18"/>
      <c r="RK169" s="18"/>
      <c r="RL169" s="18"/>
      <c r="RM169" s="18"/>
      <c r="RN169" s="18"/>
      <c r="RO169" s="18"/>
      <c r="RP169" s="18"/>
      <c r="RQ169" s="18"/>
      <c r="RR169" s="18"/>
      <c r="RS169" s="18"/>
      <c r="RT169" s="18"/>
      <c r="RU169" s="18"/>
      <c r="RV169" s="18"/>
      <c r="RW169" s="18"/>
      <c r="RX169" s="18"/>
      <c r="RY169" s="18"/>
      <c r="RZ169" s="18"/>
      <c r="SA169" s="18"/>
      <c r="SB169" s="18"/>
      <c r="SS169" s="126">
        <f t="shared" si="1618"/>
        <v>4.166666666666667</v>
      </c>
      <c r="ST169" s="127">
        <f t="shared" si="1619"/>
        <v>4.5764880952380951</v>
      </c>
      <c r="SU169" s="127">
        <f t="shared" si="1620"/>
        <v>5.0241666985544224</v>
      </c>
      <c r="SV169" s="127">
        <f t="shared" si="1621"/>
        <v>5.5050764092090345</v>
      </c>
      <c r="SW169" s="127">
        <f t="shared" si="1631"/>
        <v>6.0300868541293902</v>
      </c>
      <c r="SX169" s="127">
        <f t="shared" si="1632"/>
        <v>6.6009350763203054</v>
      </c>
      <c r="SY169" s="127">
        <f t="shared" si="1633"/>
        <v>7.210269669399942</v>
      </c>
      <c r="SZ169" s="127">
        <f t="shared" si="1634"/>
        <v>7.8721226990531363</v>
      </c>
      <c r="TA169" s="127">
        <f t="shared" si="1635"/>
        <v>8.5768778193310791</v>
      </c>
      <c r="TB169" s="127">
        <f t="shared" si="1636"/>
        <v>9.3389116079570709</v>
      </c>
      <c r="TC169" s="127">
        <f t="shared" si="1637"/>
        <v>10.159152963083063</v>
      </c>
      <c r="TD169" s="127">
        <f t="shared" si="1638"/>
        <v>11.026067349266151</v>
      </c>
      <c r="TE169" s="127">
        <f t="shared" si="1639"/>
        <v>11.955932362387598</v>
      </c>
      <c r="TF169" s="127">
        <f t="shared" si="1640"/>
        <v>12.935534820538635</v>
      </c>
      <c r="TG169" s="127">
        <f t="shared" si="1641"/>
        <v>13.982676967158632</v>
      </c>
      <c r="TH169" s="127">
        <f t="shared" si="1642"/>
        <v>15.080091582032725</v>
      </c>
      <c r="TI169" s="127">
        <f t="shared" si="1643"/>
        <v>16.246609634088035</v>
      </c>
      <c r="TJ169" s="127">
        <f t="shared" si="1644"/>
        <v>17.462268647025983</v>
      </c>
      <c r="TK169" s="127">
        <f t="shared" si="1645"/>
        <v>18.749487307292473</v>
      </c>
      <c r="TL169" s="127">
        <f t="shared" si="1646"/>
        <v>20.088903806807178</v>
      </c>
      <c r="TM169" s="127">
        <f t="shared" si="1647"/>
        <v>21.502032633967268</v>
      </c>
      <c r="TN169" s="127">
        <f t="shared" si="1648"/>
        <v>22.96747885809765</v>
      </c>
      <c r="TO169" s="127">
        <f t="shared" si="1649"/>
        <v>24.50453321244726</v>
      </c>
      <c r="TP169" s="127">
        <f t="shared" si="1650"/>
        <v>26.092872501581343</v>
      </c>
      <c r="TQ169" s="127">
        <f t="shared" si="1651"/>
        <v>27.756490796833685</v>
      </c>
      <c r="TR169" s="127">
        <f t="shared" si="1652"/>
        <v>29.500944188125594</v>
      </c>
      <c r="TS169" s="127">
        <f t="shared" si="1653"/>
        <v>31.300061471001431</v>
      </c>
      <c r="TT169" s="127">
        <f t="shared" si="1654"/>
        <v>33.180868149841011</v>
      </c>
      <c r="TU169" s="127">
        <f t="shared" si="1655"/>
        <v>35.115117581399382</v>
      </c>
      <c r="TV169" s="127">
        <f t="shared" si="1656"/>
        <v>37.131138449602076</v>
      </c>
      <c r="TW169" s="127">
        <f t="shared" si="1657"/>
        <v>39.23013986431193</v>
      </c>
      <c r="TX169" s="127">
        <f t="shared" si="1658"/>
        <v>41.380406371077548</v>
      </c>
      <c r="TY169" s="127">
        <f t="shared" si="1659"/>
        <v>43.612549450978278</v>
      </c>
      <c r="TZ169" s="127">
        <f t="shared" si="1660"/>
        <v>45.927174901550487</v>
      </c>
      <c r="UA169" s="127">
        <f t="shared" si="1661"/>
        <v>48.289143896487367</v>
      </c>
      <c r="UB169" s="127">
        <f t="shared" si="1662"/>
        <v>50.731194887824017</v>
      </c>
      <c r="UC169" s="127">
        <f t="shared" si="1663"/>
        <v>53.209163674739131</v>
      </c>
      <c r="UD169" s="127">
        <f t="shared" si="1664"/>
        <v>55.763203531126614</v>
      </c>
      <c r="UE169" s="127">
        <f t="shared" si="1665"/>
        <v>58.384859494322392</v>
      </c>
      <c r="UF169" s="127">
        <f t="shared" si="1666"/>
        <v>61.04137060131405</v>
      </c>
      <c r="UG169" s="127">
        <f t="shared" si="1667"/>
        <v>63.767885154839412</v>
      </c>
      <c r="UH169" s="127">
        <f t="shared" si="1668"/>
        <v>66.554187470077267</v>
      </c>
      <c r="UI169" s="127">
        <f t="shared" si="1669"/>
        <v>69.36587396538846</v>
      </c>
      <c r="UJ169" s="127">
        <f t="shared" si="1670"/>
        <v>72.229829364452598</v>
      </c>
      <c r="UK169" s="127">
        <f t="shared" si="1671"/>
        <v>75.152663829419623</v>
      </c>
      <c r="UL169" s="127">
        <f t="shared" si="1672"/>
        <v>78.089711177996406</v>
      </c>
      <c r="UM169" s="127">
        <f t="shared" si="1673"/>
        <v>81.078225530105684</v>
      </c>
      <c r="UN169" s="127">
        <f t="shared" si="1674"/>
        <v>84.115372032395584</v>
      </c>
      <c r="UO169" s="127">
        <f t="shared" si="1675"/>
        <v>87.154740808499469</v>
      </c>
      <c r="UP169" s="127">
        <f t="shared" si="1676"/>
        <v>90.234208317066447</v>
      </c>
      <c r="UQ169" s="127">
        <f t="shared" si="1677"/>
        <v>93.306920568705493</v>
      </c>
      <c r="UR169" s="182">
        <f t="shared" si="1678"/>
        <v>46.560153363784046</v>
      </c>
      <c r="US169" s="182">
        <f t="shared" si="1679"/>
        <v>48.07213308091324</v>
      </c>
      <c r="UT169" s="182">
        <f t="shared" si="1680"/>
        <v>49.574231161337615</v>
      </c>
      <c r="UU169" s="182">
        <f t="shared" si="1681"/>
        <v>51.084635658798625</v>
      </c>
      <c r="UV169" s="182">
        <f t="shared" si="1682"/>
        <v>52.614520981255644</v>
      </c>
      <c r="UW169" s="182">
        <f t="shared" si="1683"/>
        <v>54.141691179993622</v>
      </c>
      <c r="UX169" s="182">
        <f t="shared" si="1684"/>
        <v>55.678482260410362</v>
      </c>
      <c r="UY169" s="182">
        <f t="shared" si="1685"/>
        <v>57.230341496745396</v>
      </c>
      <c r="UZ169" s="182">
        <f t="shared" si="1686"/>
        <v>58.796104942310194</v>
      </c>
      <c r="VA169" s="182">
        <f t="shared" si="1687"/>
        <v>60.353085341542005</v>
      </c>
      <c r="VB169" s="182">
        <f t="shared" si="1688"/>
        <v>61.920737634210916</v>
      </c>
      <c r="VC169" s="182">
        <f t="shared" si="1689"/>
        <v>63.489918858814598</v>
      </c>
      <c r="VD169" s="182">
        <f t="shared" si="1690"/>
        <v>65.066719122118315</v>
      </c>
      <c r="VE169" s="182">
        <f t="shared" si="1629"/>
        <v>66.62832038104915</v>
      </c>
      <c r="VF169" s="182">
        <f t="shared" si="1691"/>
        <v>68.202414450051435</v>
      </c>
      <c r="VG169" s="182">
        <f t="shared" si="1692"/>
        <v>69.788120586015125</v>
      </c>
      <c r="VH169" s="182">
        <f t="shared" si="1693"/>
        <v>71.384523844420229</v>
      </c>
      <c r="VI169" s="182">
        <f t="shared" si="1694"/>
        <v>72.990675630919668</v>
      </c>
      <c r="VJ169" s="182">
        <f t="shared" si="1695"/>
        <v>74.583854822468638</v>
      </c>
      <c r="VK169" s="182">
        <f t="shared" si="1696"/>
        <v>76.184184941992712</v>
      </c>
      <c r="VL169" s="182">
        <f t="shared" si="1697"/>
        <v>77.790636644226339</v>
      </c>
      <c r="VM169" s="182">
        <f t="shared" si="1698"/>
        <v>79.402151314461051</v>
      </c>
      <c r="VN169" s="182">
        <f t="shared" si="1699"/>
        <v>80.996004254261095</v>
      </c>
      <c r="VO169" s="182">
        <f t="shared" si="1700"/>
        <v>82.592218191759684</v>
      </c>
      <c r="VP169" s="182">
        <f t="shared" si="1701"/>
        <v>84.199744779979795</v>
      </c>
      <c r="VQ169" s="182">
        <f t="shared" si="1702"/>
        <v>85.818022801604783</v>
      </c>
      <c r="VR169" s="182">
        <f t="shared" si="1703"/>
        <v>87.446472112327925</v>
      </c>
      <c r="VS169" s="182">
        <f t="shared" si="1704"/>
        <v>89.062651488476234</v>
      </c>
      <c r="VT169" s="182">
        <f t="shared" si="1705"/>
        <v>90.687240095145555</v>
      </c>
      <c r="VU169" s="182">
        <f t="shared" si="1706"/>
        <v>92.319610416858183</v>
      </c>
      <c r="VV169" s="182">
        <f t="shared" si="1707"/>
        <v>93.95911771510454</v>
      </c>
      <c r="VW169" s="182">
        <f t="shared" si="1708"/>
        <v>95.605100331463134</v>
      </c>
      <c r="VX169" s="182">
        <f t="shared" si="1709"/>
        <v>97.256880016707925</v>
      </c>
      <c r="VY169" s="182">
        <f t="shared" si="1710"/>
        <v>98.91376228590822</v>
      </c>
      <c r="VZ169" s="182">
        <f t="shared" si="1711"/>
        <v>100.56468008025162</v>
      </c>
      <c r="WA169" s="182">
        <f t="shared" si="1712"/>
        <v>102.23118049301006</v>
      </c>
      <c r="WB169" s="182">
        <f t="shared" si="1713"/>
        <v>103.91312681969268</v>
      </c>
      <c r="WC169" s="182">
        <f t="shared" si="1714"/>
        <v>105.61037455774766</v>
      </c>
      <c r="WD169" s="182">
        <f t="shared" si="1715"/>
        <v>107.32277134521972</v>
      </c>
      <c r="WE169" s="182">
        <f t="shared" si="1716"/>
        <v>109.05015690306182</v>
      </c>
      <c r="WF169" s="182">
        <f t="shared" si="1717"/>
        <v>110.76930055306305</v>
      </c>
      <c r="WG169" s="182">
        <f t="shared" si="1718"/>
        <v>112.50251431465804</v>
      </c>
      <c r="WH169" s="182">
        <f t="shared" si="1719"/>
        <v>114.24961218401506</v>
      </c>
      <c r="WI169" s="182">
        <f t="shared" si="1720"/>
        <v>116.01040032473342</v>
      </c>
      <c r="WJ169" s="182">
        <f t="shared" si="1721"/>
        <v>117.78467703558228</v>
      </c>
      <c r="WK169" s="182">
        <f t="shared" si="1722"/>
        <v>119.57223272235758</v>
      </c>
      <c r="WL169" s="182">
        <f t="shared" si="1723"/>
        <v>121.37284987394132</v>
      </c>
      <c r="WM169" s="182">
        <f t="shared" si="1724"/>
        <v>123.18630304264609</v>
      </c>
      <c r="WN169" s="182">
        <f t="shared" si="1725"/>
        <v>124.98826082436294</v>
      </c>
      <c r="WO169" s="182">
        <f t="shared" si="1726"/>
        <v>126.80204395818626</v>
      </c>
      <c r="WP169" s="182">
        <f t="shared" si="1727"/>
        <v>128.62740361423548</v>
      </c>
      <c r="WQ169" s="183">
        <f t="shared" si="1728"/>
        <v>85.580099204671342</v>
      </c>
      <c r="WR169" s="183">
        <f t="shared" si="1729"/>
        <v>86.792152237593314</v>
      </c>
      <c r="WS169" s="183">
        <f t="shared" si="1730"/>
        <v>88.011279213209733</v>
      </c>
      <c r="WT169" s="183">
        <f t="shared" si="1731"/>
        <v>89.237296800389089</v>
      </c>
      <c r="WU169" s="183">
        <f t="shared" si="1732"/>
        <v>90.470016667817731</v>
      </c>
      <c r="WV169" s="183">
        <f t="shared" si="1733"/>
        <v>91.692921720706849</v>
      </c>
      <c r="WW169" s="183">
        <f t="shared" si="1734"/>
        <v>92.921817660090127</v>
      </c>
      <c r="WX169" s="183">
        <f t="shared" si="1735"/>
        <v>94.16718363010925</v>
      </c>
      <c r="WY169" s="183">
        <f t="shared" si="1736"/>
        <v>95.418416552826571</v>
      </c>
      <c r="WZ169" s="183">
        <f t="shared" si="1737"/>
        <v>96.67530741914311</v>
      </c>
      <c r="XA169" s="183">
        <f t="shared" si="1738"/>
        <v>97.937642467742506</v>
      </c>
      <c r="XB169" s="183">
        <f t="shared" si="1739"/>
        <v>99.205203219681337</v>
      </c>
      <c r="XC169" s="183">
        <f t="shared" si="1740"/>
        <v>100.46105090589411</v>
      </c>
      <c r="XD169" s="183">
        <f t="shared" si="1741"/>
        <v>101.7213804536226</v>
      </c>
      <c r="XE169" s="183">
        <f t="shared" si="1742"/>
        <v>102.98596216062559</v>
      </c>
      <c r="XF169" s="183">
        <f t="shared" si="1743"/>
        <v>104.2662649174861</v>
      </c>
      <c r="XG169" s="183">
        <f t="shared" si="1744"/>
        <v>105.5506357262424</v>
      </c>
      <c r="XH169" s="183">
        <f t="shared" si="1745"/>
        <v>106.8388332577195</v>
      </c>
      <c r="XI169" s="183">
        <f t="shared" si="1746"/>
        <v>108.13061187801738</v>
      </c>
      <c r="XJ169" s="183">
        <f t="shared" si="1747"/>
        <v>109.40874000942945</v>
      </c>
      <c r="XK169" s="183">
        <f t="shared" si="1748"/>
        <v>110.70197590257463</v>
      </c>
      <c r="XL169" s="183">
        <f t="shared" si="1749"/>
        <v>111.99805971033285</v>
      </c>
      <c r="XM169" s="183">
        <f t="shared" si="1750"/>
        <v>113.2967338409066</v>
      </c>
      <c r="XN169" s="183">
        <f t="shared" si="1751"/>
        <v>114.59773678456285</v>
      </c>
      <c r="XO169" s="183">
        <f t="shared" si="1752"/>
        <v>115.90080318485475</v>
      </c>
      <c r="XP169" s="183">
        <f t="shared" si="1753"/>
        <v>117.20566391284602</v>
      </c>
      <c r="XQ169" s="183">
        <f t="shared" si="1630"/>
        <v>118.49492621588733</v>
      </c>
      <c r="XR169" s="183">
        <f t="shared" si="1624"/>
        <v>104.98650462727618</v>
      </c>
      <c r="XS169" s="183">
        <f t="shared" si="1624"/>
        <v>106.12969101099542</v>
      </c>
      <c r="XT169" s="183">
        <f t="shared" si="1624"/>
        <v>92.112148806193915</v>
      </c>
      <c r="XU169" s="183">
        <f t="shared" si="1624"/>
        <v>93.094678393460001</v>
      </c>
      <c r="XV169" s="183">
        <f t="shared" si="1624"/>
        <v>94.077344443168741</v>
      </c>
      <c r="XW169" s="183">
        <f t="shared" si="1624"/>
        <v>95.059930040686254</v>
      </c>
      <c r="XX169" s="183">
        <f t="shared" si="1624"/>
        <v>96.029332404178092</v>
      </c>
      <c r="XY169" s="183">
        <f t="shared" si="1624"/>
        <v>80.993179133302633</v>
      </c>
      <c r="XZ169" s="183">
        <f t="shared" si="1627"/>
        <v>81.810231204119916</v>
      </c>
      <c r="YA169" s="183">
        <f t="shared" si="1625"/>
        <v>66.264489248277698</v>
      </c>
      <c r="YB169" s="183">
        <f t="shared" si="1625"/>
        <v>66.918395966354112</v>
      </c>
      <c r="YC169" s="183">
        <f t="shared" si="1625"/>
        <v>67.571401852267556</v>
      </c>
      <c r="YD169" s="183">
        <f t="shared" si="1625"/>
        <v>68.223354498710307</v>
      </c>
      <c r="YE169" s="183">
        <f t="shared" si="1625"/>
        <v>68.881597413544029</v>
      </c>
      <c r="YF169" s="183">
        <f t="shared" si="1625"/>
        <v>52.318222527794894</v>
      </c>
      <c r="YG169" s="183">
        <f t="shared" si="1625"/>
        <v>52.811508625914108</v>
      </c>
      <c r="YH169" s="183">
        <f t="shared" si="1625"/>
        <v>35.699806036119753</v>
      </c>
      <c r="YI169" s="183">
        <f t="shared" si="1625"/>
        <v>36.028089035104067</v>
      </c>
      <c r="YJ169" s="183">
        <f t="shared" si="1625"/>
        <v>36.355474713727411</v>
      </c>
      <c r="YK169" s="183">
        <f t="shared" si="1625"/>
        <v>36.685835331778243</v>
      </c>
      <c r="YL169" s="183">
        <f t="shared" si="1625"/>
        <v>37.015210331604855</v>
      </c>
      <c r="YM169" s="183">
        <f t="shared" si="1628"/>
        <v>18.835913987874051</v>
      </c>
      <c r="YN169" s="183">
        <f t="shared" si="1754"/>
        <v>19.002980355418675</v>
      </c>
      <c r="YO169" s="183">
        <f t="shared" si="1755"/>
        <v>-3.8414937896748588E-2</v>
      </c>
      <c r="YP169" s="119"/>
      <c r="YQ169" s="119"/>
      <c r="YR169" s="119"/>
      <c r="YS169" s="119"/>
      <c r="YT169" s="119"/>
      <c r="YU169" s="119"/>
      <c r="YV169" s="119"/>
      <c r="YW169" s="119"/>
      <c r="YX169" s="119"/>
      <c r="YY169" s="119"/>
      <c r="YZ169" s="119"/>
      <c r="ZA169" s="119"/>
      <c r="ZB169" s="119"/>
      <c r="ZC169" s="119"/>
      <c r="ZD169" s="119"/>
      <c r="ZE169" s="119"/>
      <c r="ZF169" s="119"/>
      <c r="ZG169" s="119"/>
      <c r="ZH169" s="119"/>
      <c r="ZI169" s="119"/>
      <c r="ZJ169" s="119"/>
      <c r="ZK169" s="119"/>
      <c r="ZL169" s="119"/>
      <c r="ZM169" s="119"/>
      <c r="ZN169" s="119"/>
      <c r="ZO169" s="119"/>
      <c r="ZP169" s="119"/>
      <c r="ZQ169" s="119"/>
      <c r="ZR169" s="119"/>
      <c r="ZS169" s="119"/>
      <c r="ZT169" s="119"/>
    </row>
    <row r="170" spans="1:738" ht="19.5" thickBot="1" x14ac:dyDescent="0.3">
      <c r="A170" s="297" t="s">
        <v>121</v>
      </c>
      <c r="B170" s="24" t="s">
        <v>14</v>
      </c>
      <c r="BY170" s="18"/>
      <c r="BZ170" s="18"/>
      <c r="CA170" s="18"/>
      <c r="CB170" s="18"/>
      <c r="CC170" s="18"/>
      <c r="CD170" s="18"/>
      <c r="CE170" s="18"/>
      <c r="CF170" s="18"/>
      <c r="CG170" s="18"/>
      <c r="CH170" s="18"/>
      <c r="CI170" s="18"/>
      <c r="CJ170" s="18"/>
      <c r="CK170" s="18"/>
      <c r="CL170" s="18"/>
      <c r="CM170" s="18"/>
      <c r="CN170" s="18"/>
      <c r="CO170" s="18"/>
      <c r="CP170" s="18"/>
      <c r="CQ170" s="18"/>
      <c r="CR170" s="18"/>
      <c r="CS170" s="18"/>
      <c r="CT170" s="18"/>
      <c r="CU170" s="18"/>
      <c r="CV170" s="18"/>
      <c r="CW170" s="18"/>
      <c r="CX170" s="18"/>
      <c r="CY170" s="18"/>
      <c r="CZ170" s="18"/>
      <c r="DA170" s="18"/>
      <c r="DB170" s="18"/>
      <c r="DC170" s="18"/>
      <c r="DD170" s="18"/>
      <c r="DE170" s="18"/>
      <c r="DF170" s="18"/>
      <c r="DG170" s="18"/>
      <c r="DH170" s="18"/>
      <c r="DI170" s="18"/>
      <c r="DJ170" s="18"/>
      <c r="DK170" s="18"/>
      <c r="DL170" s="18"/>
      <c r="DM170" s="18"/>
      <c r="DN170" s="18"/>
      <c r="DO170" s="18"/>
      <c r="DP170" s="18"/>
      <c r="DQ170" s="18"/>
      <c r="DR170" s="18"/>
      <c r="DS170" s="18"/>
      <c r="DT170" s="18"/>
      <c r="DU170" s="18"/>
      <c r="DV170" s="18"/>
      <c r="DW170" s="18"/>
      <c r="DX170" s="18"/>
      <c r="DY170" s="18"/>
      <c r="DZ170" s="18"/>
      <c r="EA170" s="18"/>
      <c r="EB170" s="18"/>
      <c r="EC170" s="18"/>
      <c r="ED170" s="18"/>
      <c r="EE170" s="18"/>
      <c r="EF170" s="18"/>
      <c r="EG170" s="18"/>
      <c r="EH170" s="18"/>
      <c r="EI170" s="18"/>
      <c r="EJ170" s="18"/>
      <c r="EK170" s="18"/>
      <c r="EL170" s="18"/>
      <c r="EM170" s="18"/>
      <c r="EN170" s="18"/>
      <c r="EO170" s="18"/>
      <c r="EP170" s="18"/>
      <c r="EQ170" s="18"/>
      <c r="ER170" s="18"/>
      <c r="ES170" s="18"/>
      <c r="ET170" s="18"/>
      <c r="EU170" s="18"/>
      <c r="EV170" s="18"/>
      <c r="EW170" s="18"/>
      <c r="EX170" s="18"/>
      <c r="EY170" s="18"/>
      <c r="EZ170" s="18"/>
      <c r="FA170" s="18"/>
      <c r="FB170" s="18"/>
      <c r="FC170" s="18"/>
      <c r="FD170" s="18"/>
      <c r="FE170" s="18"/>
      <c r="FF170" s="18"/>
      <c r="FG170" s="18"/>
      <c r="FH170" s="18"/>
      <c r="FI170" s="18"/>
      <c r="FJ170" s="18"/>
      <c r="FK170" s="18"/>
      <c r="FL170" s="18"/>
      <c r="FM170" s="18"/>
      <c r="FN170" s="18"/>
      <c r="FO170" s="18"/>
      <c r="FP170" s="18"/>
      <c r="FQ170" s="18"/>
      <c r="FR170" s="18"/>
      <c r="FS170" s="18"/>
      <c r="FT170" s="18"/>
      <c r="FU170" s="18"/>
      <c r="FV170" s="18"/>
      <c r="FW170" s="18"/>
      <c r="FX170" s="18"/>
      <c r="FY170" s="18"/>
      <c r="FZ170" s="18"/>
      <c r="GA170" s="18"/>
      <c r="GB170" s="18"/>
      <c r="GC170" s="18"/>
      <c r="GD170" s="18"/>
      <c r="GE170" s="18"/>
      <c r="GF170" s="18"/>
      <c r="GG170" s="18"/>
      <c r="GH170" s="18"/>
      <c r="GI170" s="18"/>
      <c r="GJ170" s="18"/>
      <c r="GK170" s="18"/>
      <c r="GL170" s="18"/>
      <c r="GM170" s="18"/>
      <c r="GN170" s="18"/>
      <c r="GO170" s="18"/>
      <c r="GP170" s="18"/>
      <c r="GQ170" s="18"/>
      <c r="GR170" s="18"/>
      <c r="GS170" s="18"/>
      <c r="GT170" s="18"/>
      <c r="GU170" s="18"/>
      <c r="GV170" s="18"/>
      <c r="GW170" s="18"/>
      <c r="GX170" s="18"/>
      <c r="GY170" s="18"/>
      <c r="GZ170" s="18"/>
      <c r="HA170" s="18"/>
      <c r="HB170" s="18"/>
      <c r="HC170" s="18"/>
      <c r="HD170" s="18"/>
      <c r="HE170" s="18"/>
      <c r="HF170" s="18"/>
      <c r="HG170" s="18"/>
      <c r="HH170" s="18"/>
      <c r="HI170" s="18"/>
      <c r="HJ170" s="18"/>
      <c r="HK170" s="18"/>
      <c r="HL170" s="18"/>
      <c r="HM170" s="18"/>
      <c r="HN170" s="18"/>
      <c r="HO170" s="18"/>
      <c r="HP170" s="18"/>
      <c r="HQ170" s="18"/>
      <c r="HR170" s="18"/>
      <c r="HS170" s="18"/>
      <c r="HT170" s="18"/>
      <c r="HU170" s="18"/>
      <c r="HV170" s="18"/>
      <c r="HW170" s="18"/>
      <c r="HX170" s="18"/>
      <c r="HY170" s="18"/>
      <c r="HZ170" s="18"/>
      <c r="IA170" s="18"/>
      <c r="IB170" s="18"/>
      <c r="IC170" s="18"/>
      <c r="ID170" s="18"/>
      <c r="IE170" s="18"/>
      <c r="IF170" s="18"/>
      <c r="IG170" s="18"/>
      <c r="IH170" s="18"/>
      <c r="II170" s="18"/>
      <c r="IJ170" s="18"/>
      <c r="IK170" s="18"/>
      <c r="IL170" s="18"/>
      <c r="IM170" s="18"/>
      <c r="IN170" s="18"/>
      <c r="IO170" s="18"/>
      <c r="IP170" s="18"/>
      <c r="IQ170" s="18"/>
      <c r="IR170" s="18"/>
      <c r="IS170" s="18"/>
      <c r="IT170" s="18"/>
      <c r="IU170" s="18"/>
      <c r="IV170" s="18"/>
      <c r="IW170" s="18"/>
      <c r="IX170" s="18"/>
      <c r="IY170" s="18"/>
      <c r="IZ170" s="18"/>
      <c r="JA170" s="18"/>
      <c r="JB170" s="18"/>
      <c r="JC170" s="18"/>
      <c r="JD170" s="18"/>
      <c r="JE170" s="18"/>
      <c r="JF170" s="18"/>
      <c r="JG170" s="18"/>
      <c r="JH170" s="18"/>
      <c r="JI170" s="18"/>
      <c r="JJ170" s="18"/>
      <c r="JK170" s="18"/>
      <c r="JL170" s="18"/>
      <c r="JM170" s="18"/>
      <c r="JN170" s="18"/>
      <c r="JO170" s="18"/>
      <c r="JP170" s="18"/>
      <c r="JQ170" s="18"/>
      <c r="JR170" s="18"/>
      <c r="JS170" s="18"/>
      <c r="JT170" s="18"/>
      <c r="JU170" s="18"/>
      <c r="JV170" s="18"/>
      <c r="JW170" s="18"/>
      <c r="JX170" s="18"/>
      <c r="JY170" s="18"/>
      <c r="JZ170" s="18"/>
      <c r="KA170" s="18"/>
      <c r="KB170" s="18"/>
      <c r="KC170" s="18"/>
      <c r="KD170" s="18"/>
      <c r="KE170" s="18"/>
      <c r="KF170" s="18"/>
      <c r="KG170" s="18"/>
      <c r="KH170" s="18"/>
      <c r="KI170" s="18"/>
      <c r="KJ170" s="18"/>
      <c r="KK170" s="18"/>
      <c r="KL170" s="18"/>
      <c r="KM170" s="18"/>
      <c r="KN170" s="18"/>
      <c r="KO170" s="18"/>
      <c r="KP170" s="18"/>
      <c r="KQ170" s="18"/>
      <c r="KR170" s="18"/>
      <c r="KS170" s="18"/>
      <c r="KT170" s="18"/>
      <c r="KU170" s="18"/>
      <c r="KV170" s="18"/>
      <c r="KW170" s="18"/>
      <c r="KX170" s="18"/>
      <c r="KY170" s="18"/>
      <c r="KZ170" s="18"/>
      <c r="LA170" s="18"/>
      <c r="LB170" s="18"/>
      <c r="LC170" s="18"/>
      <c r="LD170" s="18"/>
      <c r="LE170" s="18"/>
      <c r="LF170" s="18"/>
      <c r="LG170" s="18"/>
      <c r="LH170" s="18"/>
      <c r="LI170" s="18"/>
      <c r="LJ170" s="18"/>
      <c r="LK170" s="18"/>
      <c r="LL170" s="18"/>
      <c r="LM170" s="18"/>
      <c r="LN170" s="18"/>
      <c r="LO170" s="18"/>
      <c r="LP170" s="18"/>
      <c r="LQ170" s="18"/>
      <c r="LR170" s="18"/>
      <c r="LS170" s="18"/>
      <c r="LT170" s="18"/>
      <c r="LU170" s="18"/>
      <c r="LV170" s="18"/>
      <c r="LW170" s="18"/>
      <c r="LX170" s="18"/>
      <c r="LY170" s="18"/>
      <c r="LZ170" s="18"/>
      <c r="MA170" s="18"/>
      <c r="MB170" s="18"/>
      <c r="MC170" s="18"/>
      <c r="MD170" s="18"/>
      <c r="ME170" s="18"/>
      <c r="MF170" s="18"/>
      <c r="MG170" s="18"/>
      <c r="MH170" s="18"/>
      <c r="MI170" s="18"/>
      <c r="MJ170" s="18"/>
      <c r="MK170" s="18"/>
      <c r="ML170" s="18"/>
      <c r="MM170" s="18"/>
      <c r="MN170" s="18"/>
      <c r="MO170" s="18"/>
      <c r="MP170" s="18"/>
      <c r="MQ170" s="18"/>
      <c r="MR170" s="18"/>
      <c r="MS170" s="18"/>
      <c r="MT170" s="18"/>
      <c r="MU170" s="18"/>
      <c r="MV170" s="18"/>
      <c r="MW170" s="18"/>
      <c r="MX170" s="18"/>
      <c r="MY170" s="18"/>
      <c r="MZ170" s="18"/>
      <c r="NA170" s="18"/>
      <c r="NB170" s="18"/>
      <c r="NC170" s="18"/>
      <c r="ND170" s="18"/>
      <c r="NE170" s="18"/>
      <c r="NF170" s="18"/>
      <c r="NG170" s="18"/>
      <c r="NH170" s="18"/>
      <c r="NI170" s="18"/>
      <c r="NJ170" s="18"/>
      <c r="NK170" s="18"/>
      <c r="NL170" s="18"/>
      <c r="NM170" s="18"/>
      <c r="NN170" s="18"/>
      <c r="NO170" s="18"/>
      <c r="NP170" s="18"/>
      <c r="NQ170" s="18"/>
      <c r="NR170" s="18"/>
      <c r="NS170" s="18"/>
      <c r="NT170" s="18"/>
      <c r="NU170" s="18"/>
      <c r="NV170" s="18"/>
      <c r="NW170" s="18"/>
      <c r="NX170" s="18"/>
      <c r="NY170" s="18"/>
      <c r="NZ170" s="18"/>
      <c r="OA170" s="18"/>
      <c r="OB170" s="18"/>
      <c r="OC170" s="18"/>
      <c r="OD170" s="18"/>
      <c r="OE170" s="18"/>
      <c r="OF170" s="18"/>
      <c r="OG170" s="18"/>
      <c r="OH170" s="18"/>
      <c r="OI170" s="18"/>
      <c r="OJ170" s="18"/>
      <c r="OK170" s="18"/>
      <c r="OL170" s="18"/>
      <c r="OM170" s="18"/>
      <c r="ON170" s="18"/>
      <c r="OO170" s="18"/>
      <c r="OP170" s="18"/>
      <c r="OQ170" s="18"/>
      <c r="OR170" s="18"/>
      <c r="OS170" s="18"/>
      <c r="OT170" s="18"/>
      <c r="OU170" s="18"/>
      <c r="OV170" s="18"/>
      <c r="OW170" s="18"/>
      <c r="OX170" s="18"/>
      <c r="OY170" s="18"/>
      <c r="OZ170" s="18"/>
      <c r="PA170" s="18"/>
      <c r="PB170" s="18"/>
      <c r="PC170" s="18"/>
      <c r="PD170" s="18"/>
      <c r="PE170" s="18"/>
      <c r="PF170" s="18"/>
      <c r="PG170" s="18"/>
      <c r="PH170" s="18"/>
      <c r="PI170" s="18"/>
      <c r="PJ170" s="18"/>
      <c r="PK170" s="18"/>
      <c r="PL170" s="18"/>
      <c r="PM170" s="18"/>
      <c r="PN170" s="18"/>
      <c r="PO170" s="18"/>
      <c r="PP170" s="18"/>
      <c r="PQ170" s="18"/>
      <c r="PR170" s="18"/>
      <c r="PS170" s="18"/>
      <c r="PT170" s="18"/>
      <c r="PU170" s="18"/>
      <c r="PV170" s="18"/>
      <c r="PW170" s="18"/>
      <c r="PX170" s="18"/>
      <c r="PY170" s="18"/>
      <c r="PZ170" s="18"/>
      <c r="QA170" s="18"/>
      <c r="QB170" s="18"/>
      <c r="QC170" s="18"/>
      <c r="QD170" s="18"/>
      <c r="QE170" s="18"/>
      <c r="QF170" s="18"/>
      <c r="QG170" s="18"/>
      <c r="QH170" s="18"/>
      <c r="QI170" s="18"/>
      <c r="QJ170" s="18"/>
      <c r="QK170" s="18"/>
      <c r="QL170" s="18"/>
      <c r="QM170" s="18"/>
      <c r="QN170" s="18"/>
      <c r="QO170" s="18"/>
      <c r="QP170" s="18"/>
      <c r="QQ170" s="18"/>
      <c r="QR170" s="18"/>
      <c r="QS170" s="18"/>
      <c r="QT170" s="18"/>
      <c r="QU170" s="18"/>
      <c r="QV170" s="18"/>
      <c r="QW170" s="18"/>
      <c r="QX170" s="18"/>
      <c r="QY170" s="18"/>
      <c r="QZ170" s="18"/>
      <c r="RA170" s="18"/>
      <c r="RB170" s="18"/>
      <c r="RC170" s="18"/>
      <c r="RD170" s="18"/>
      <c r="RE170" s="18"/>
      <c r="RF170" s="18"/>
      <c r="RG170" s="18"/>
      <c r="RH170" s="18"/>
      <c r="RI170" s="18"/>
      <c r="RJ170" s="18"/>
      <c r="RK170" s="18"/>
      <c r="RL170" s="18"/>
      <c r="RM170" s="18"/>
      <c r="RN170" s="18"/>
      <c r="RO170" s="18"/>
      <c r="RP170" s="18"/>
      <c r="RQ170" s="18"/>
      <c r="RR170" s="18"/>
      <c r="RS170" s="18"/>
      <c r="RT170" s="18"/>
      <c r="RU170" s="18"/>
      <c r="RV170" s="18"/>
      <c r="RW170" s="18"/>
      <c r="RX170" s="18"/>
      <c r="RY170" s="18"/>
      <c r="RZ170" s="18"/>
      <c r="SA170" s="18"/>
      <c r="SB170" s="18"/>
      <c r="UR170" s="134">
        <f t="shared" ref="UR170:UR182" si="1756">C27</f>
        <v>250</v>
      </c>
      <c r="US170" s="142">
        <f t="shared" ref="US170:US182" si="1757">D27</f>
        <v>249.5</v>
      </c>
      <c r="UT170" s="109">
        <f t="shared" ref="UT170:UT182" si="1758">E27</f>
        <v>249.001</v>
      </c>
      <c r="UU170" s="109">
        <f t="shared" ref="UU170:UU182" si="1759">F27</f>
        <v>248.50299799999999</v>
      </c>
      <c r="UV170" s="109">
        <f t="shared" ref="UV170:XD173" si="1760">G27</f>
        <v>248.00599200399998</v>
      </c>
      <c r="UW170" s="109">
        <f t="shared" si="1760"/>
        <v>247.50998001999199</v>
      </c>
      <c r="UX170" s="109">
        <f t="shared" si="1760"/>
        <v>247.01496005995199</v>
      </c>
      <c r="UY170" s="109">
        <f t="shared" si="1760"/>
        <v>246.52093013983207</v>
      </c>
      <c r="UZ170" s="109">
        <f t="shared" si="1760"/>
        <v>246.0278882795524</v>
      </c>
      <c r="VA170" s="109">
        <f t="shared" si="1760"/>
        <v>245.53583250299329</v>
      </c>
      <c r="VB170" s="109">
        <f t="shared" si="1760"/>
        <v>245.0447608379873</v>
      </c>
      <c r="VC170" s="109">
        <f t="shared" si="1760"/>
        <v>244.55467131631133</v>
      </c>
      <c r="VD170" s="109">
        <f t="shared" si="1760"/>
        <v>244.06556197367871</v>
      </c>
      <c r="VE170" s="109">
        <f t="shared" si="1760"/>
        <v>243.57743084973134</v>
      </c>
      <c r="VF170" s="109">
        <f t="shared" si="1760"/>
        <v>243.09027598803189</v>
      </c>
      <c r="VG170" s="109">
        <f t="shared" si="1760"/>
        <v>242.60409543605581</v>
      </c>
      <c r="VH170" s="109">
        <f t="shared" si="1760"/>
        <v>242.11888724518371</v>
      </c>
      <c r="VI170" s="109">
        <f t="shared" si="1760"/>
        <v>241.63464947069335</v>
      </c>
      <c r="VJ170" s="109">
        <f t="shared" si="1760"/>
        <v>241.15138017175195</v>
      </c>
      <c r="VK170" s="109">
        <f t="shared" si="1760"/>
        <v>240.66907741140844</v>
      </c>
      <c r="VL170" s="109">
        <f t="shared" si="1760"/>
        <v>240.18773925658562</v>
      </c>
      <c r="VM170" s="109">
        <f t="shared" si="1760"/>
        <v>239.70736377807245</v>
      </c>
      <c r="VN170" s="109">
        <f t="shared" si="1760"/>
        <v>239.22794905051632</v>
      </c>
      <c r="VO170" s="109">
        <f t="shared" si="1760"/>
        <v>238.74949315241528</v>
      </c>
      <c r="VP170" s="109">
        <f t="shared" si="1760"/>
        <v>238.27199416611046</v>
      </c>
      <c r="VQ170" s="109">
        <f t="shared" si="1760"/>
        <v>237.79545017777824</v>
      </c>
      <c r="VR170" s="109">
        <f t="shared" si="1760"/>
        <v>237.31985927742267</v>
      </c>
      <c r="VS170" s="109">
        <f t="shared" si="1760"/>
        <v>236.84521955886783</v>
      </c>
      <c r="VT170" s="109">
        <f t="shared" si="1760"/>
        <v>236.37152911975008</v>
      </c>
      <c r="VU170" s="109">
        <f t="shared" si="1760"/>
        <v>235.89878606151058</v>
      </c>
      <c r="VV170" s="109">
        <f t="shared" si="1760"/>
        <v>235.42698848938755</v>
      </c>
      <c r="VW170" s="109">
        <f t="shared" si="1760"/>
        <v>234.95613451240877</v>
      </c>
      <c r="VX170" s="109">
        <f t="shared" si="1760"/>
        <v>234.48622224338393</v>
      </c>
      <c r="VY170" s="109">
        <f t="shared" si="1760"/>
        <v>234.01724979889715</v>
      </c>
      <c r="VZ170" s="109">
        <f t="shared" si="1760"/>
        <v>233.54921529929936</v>
      </c>
      <c r="WA170" s="109">
        <f t="shared" si="1760"/>
        <v>233.08211686870075</v>
      </c>
      <c r="WB170" s="109">
        <f t="shared" si="1760"/>
        <v>232.61595263496335</v>
      </c>
      <c r="WC170" s="109">
        <f t="shared" si="1760"/>
        <v>232.15072072969343</v>
      </c>
      <c r="WD170" s="109">
        <f t="shared" si="1760"/>
        <v>231.68641928823405</v>
      </c>
      <c r="WE170" s="109">
        <f t="shared" si="1760"/>
        <v>231.22304644965757</v>
      </c>
      <c r="WF170" s="109">
        <f t="shared" si="1760"/>
        <v>230.76060035675826</v>
      </c>
      <c r="WG170" s="109">
        <f t="shared" si="1760"/>
        <v>230.29907915604474</v>
      </c>
      <c r="WH170" s="109">
        <f t="shared" si="1760"/>
        <v>229.83848099773266</v>
      </c>
      <c r="WI170" s="109">
        <f t="shared" si="1760"/>
        <v>229.3788040357372</v>
      </c>
      <c r="WJ170" s="109">
        <f t="shared" si="1760"/>
        <v>228.92004642766574</v>
      </c>
      <c r="WK170" s="109">
        <f t="shared" si="1760"/>
        <v>228.46220633481042</v>
      </c>
      <c r="WL170" s="109">
        <f t="shared" si="1760"/>
        <v>228.0052819221408</v>
      </c>
      <c r="WM170" s="109">
        <f t="shared" si="1760"/>
        <v>227.54927135829652</v>
      </c>
      <c r="WN170" s="109">
        <f t="shared" si="1760"/>
        <v>227.09417281557992</v>
      </c>
      <c r="WO170" s="109">
        <f t="shared" si="1760"/>
        <v>226.63998446994876</v>
      </c>
      <c r="WP170" s="109">
        <f t="shared" si="1760"/>
        <v>226.18670450100885</v>
      </c>
      <c r="WQ170" s="144">
        <f t="shared" si="1760"/>
        <v>225.73433109200684</v>
      </c>
      <c r="WR170" s="144">
        <f t="shared" si="1760"/>
        <v>225.28286242982281</v>
      </c>
      <c r="WS170" s="144">
        <f t="shared" si="1760"/>
        <v>224.83229670496317</v>
      </c>
      <c r="WT170" s="144">
        <f t="shared" si="1760"/>
        <v>224.38263211155325</v>
      </c>
      <c r="WU170" s="144">
        <f t="shared" si="1760"/>
        <v>223.93386684733014</v>
      </c>
      <c r="WV170" s="144">
        <f t="shared" si="1760"/>
        <v>223.48599911363547</v>
      </c>
      <c r="WW170" s="144">
        <f t="shared" si="1760"/>
        <v>223.0390271154082</v>
      </c>
      <c r="WX170" s="144">
        <f t="shared" si="1760"/>
        <v>222.59294906117739</v>
      </c>
      <c r="WY170" s="144">
        <f t="shared" si="1760"/>
        <v>222.14776316305503</v>
      </c>
      <c r="WZ170" s="144">
        <f t="shared" si="1760"/>
        <v>221.70346763672893</v>
      </c>
      <c r="XA170" s="144">
        <f t="shared" si="1760"/>
        <v>221.26006070145547</v>
      </c>
      <c r="XB170" s="144">
        <f t="shared" si="1760"/>
        <v>220.81754058005257</v>
      </c>
      <c r="XC170" s="144">
        <f t="shared" si="1760"/>
        <v>220.37590549889245</v>
      </c>
      <c r="XD170" s="144">
        <f t="shared" si="1760"/>
        <v>219.93515368789465</v>
      </c>
      <c r="XE170" s="144">
        <f t="shared" ref="XE170:ZP173" si="1761">BP27</f>
        <v>219.49528338051886</v>
      </c>
      <c r="XF170" s="144">
        <f t="shared" si="1761"/>
        <v>219.05629281375781</v>
      </c>
      <c r="XG170" s="144">
        <f t="shared" si="1761"/>
        <v>218.61818022813029</v>
      </c>
      <c r="XH170" s="144">
        <f t="shared" si="1761"/>
        <v>218.18094386767402</v>
      </c>
      <c r="XI170" s="144">
        <f t="shared" si="1761"/>
        <v>217.74458197993866</v>
      </c>
      <c r="XJ170" s="144">
        <f t="shared" si="1761"/>
        <v>217.30909281597877</v>
      </c>
      <c r="XK170" s="144">
        <f t="shared" si="1761"/>
        <v>216.87447463034681</v>
      </c>
      <c r="XL170" s="144">
        <f t="shared" si="1761"/>
        <v>216.44072568108612</v>
      </c>
      <c r="XM170" s="144">
        <f t="shared" si="1761"/>
        <v>216.00784422972396</v>
      </c>
      <c r="XN170" s="144">
        <f t="shared" si="1761"/>
        <v>215.57582854126451</v>
      </c>
      <c r="XO170" s="144">
        <f t="shared" si="1761"/>
        <v>215.14467688418199</v>
      </c>
      <c r="XP170" s="144">
        <f t="shared" si="1761"/>
        <v>214.71438753041363</v>
      </c>
      <c r="XQ170" s="144">
        <f t="shared" si="1761"/>
        <v>214.28495875535282</v>
      </c>
      <c r="XR170" s="144">
        <f t="shared" si="1761"/>
        <v>213.8563888378421</v>
      </c>
      <c r="XS170" s="144">
        <f t="shared" si="1761"/>
        <v>213.42867606016642</v>
      </c>
      <c r="XT170" s="144">
        <f t="shared" si="1761"/>
        <v>213.0018187080461</v>
      </c>
      <c r="XU170" s="144">
        <f t="shared" si="1761"/>
        <v>212.57581507063</v>
      </c>
      <c r="XV170" s="144">
        <f t="shared" si="1761"/>
        <v>212.15066344048873</v>
      </c>
      <c r="XW170" s="144">
        <f t="shared" si="1761"/>
        <v>211.72636211360776</v>
      </c>
      <c r="XX170" s="144">
        <f t="shared" si="1761"/>
        <v>211.30290938938055</v>
      </c>
      <c r="XY170" s="144">
        <f t="shared" si="1761"/>
        <v>210.8803035706018</v>
      </c>
      <c r="XZ170" s="144">
        <f t="shared" si="1761"/>
        <v>210.45854296346059</v>
      </c>
      <c r="YA170" s="144">
        <f t="shared" si="1761"/>
        <v>210.03762587753366</v>
      </c>
      <c r="YB170" s="144">
        <f t="shared" si="1761"/>
        <v>209.61755062577859</v>
      </c>
      <c r="YC170" s="144">
        <f t="shared" si="1761"/>
        <v>209.19831552452703</v>
      </c>
      <c r="YD170" s="144">
        <f t="shared" si="1761"/>
        <v>208.77991889347797</v>
      </c>
      <c r="YE170" s="144">
        <f t="shared" si="1761"/>
        <v>208.362359055691</v>
      </c>
      <c r="YF170" s="144">
        <f t="shared" si="1761"/>
        <v>207.94563433757963</v>
      </c>
      <c r="YG170" s="144">
        <f t="shared" si="1761"/>
        <v>207.52974306890448</v>
      </c>
      <c r="YH170" s="144">
        <f t="shared" si="1761"/>
        <v>207.11468358276667</v>
      </c>
      <c r="YI170" s="144">
        <f t="shared" si="1761"/>
        <v>206.70045421560113</v>
      </c>
      <c r="YJ170" s="144">
        <f t="shared" si="1761"/>
        <v>206.28705330716991</v>
      </c>
      <c r="YK170" s="144">
        <f t="shared" si="1761"/>
        <v>205.87447920055558</v>
      </c>
      <c r="YL170" s="144">
        <f t="shared" si="1761"/>
        <v>205.46273024215446</v>
      </c>
      <c r="YM170" s="144">
        <f t="shared" si="1761"/>
        <v>205.05180478167014</v>
      </c>
      <c r="YN170" s="144">
        <f t="shared" si="1761"/>
        <v>204.64170117210679</v>
      </c>
      <c r="YO170" s="144">
        <f t="shared" si="1761"/>
        <v>204.23241776976258</v>
      </c>
      <c r="YP170" s="154">
        <f t="shared" si="1761"/>
        <v>203.82395293422306</v>
      </c>
      <c r="YQ170" s="154">
        <f t="shared" si="1761"/>
        <v>203.4163050283546</v>
      </c>
      <c r="YR170" s="154">
        <f t="shared" si="1761"/>
        <v>203.00947241829789</v>
      </c>
      <c r="YS170" s="154">
        <f t="shared" si="1761"/>
        <v>202.60345347346129</v>
      </c>
      <c r="YT170" s="154">
        <f t="shared" si="1761"/>
        <v>202.19824656651437</v>
      </c>
      <c r="YU170" s="154">
        <f t="shared" si="1761"/>
        <v>201.79385007338135</v>
      </c>
      <c r="YV170" s="154">
        <f t="shared" si="1761"/>
        <v>201.39026237323458</v>
      </c>
      <c r="YW170" s="154">
        <f t="shared" si="1761"/>
        <v>200.9874818484881</v>
      </c>
      <c r="YX170" s="154">
        <f t="shared" si="1761"/>
        <v>200.58550688479113</v>
      </c>
      <c r="YY170" s="154">
        <f t="shared" si="1761"/>
        <v>200.18433587102155</v>
      </c>
      <c r="YZ170" s="154">
        <f t="shared" si="1761"/>
        <v>199.78396719927952</v>
      </c>
      <c r="ZA170" s="154">
        <f t="shared" si="1761"/>
        <v>199.38439926488095</v>
      </c>
      <c r="ZB170" s="154">
        <f t="shared" si="1761"/>
        <v>198.98563046635118</v>
      </c>
      <c r="ZC170" s="154">
        <f t="shared" si="1761"/>
        <v>198.58765920541848</v>
      </c>
      <c r="ZD170" s="154">
        <f t="shared" si="1761"/>
        <v>198.19048388700764</v>
      </c>
      <c r="ZE170" s="154">
        <f t="shared" si="1761"/>
        <v>197.79410291923364</v>
      </c>
      <c r="ZF170" s="154">
        <f t="shared" si="1761"/>
        <v>197.39851471339517</v>
      </c>
      <c r="ZG170" s="154">
        <f t="shared" si="1761"/>
        <v>197.00371768396838</v>
      </c>
      <c r="ZH170" s="154">
        <f t="shared" si="1761"/>
        <v>196.60971024860044</v>
      </c>
      <c r="ZI170" s="154">
        <f t="shared" si="1761"/>
        <v>196.21649082810325</v>
      </c>
      <c r="ZJ170" s="154">
        <f t="shared" si="1761"/>
        <v>195.82405784644703</v>
      </c>
      <c r="ZK170" s="154">
        <f t="shared" si="1761"/>
        <v>195.43240973075413</v>
      </c>
      <c r="ZL170" s="154">
        <f t="shared" si="1761"/>
        <v>195.04154491129262</v>
      </c>
      <c r="ZM170" s="154">
        <f t="shared" si="1761"/>
        <v>194.65146182147004</v>
      </c>
      <c r="ZN170" s="154">
        <f t="shared" si="1761"/>
        <v>194.26215889782711</v>
      </c>
      <c r="ZO170" s="154">
        <f t="shared" si="1761"/>
        <v>193.87363458003145</v>
      </c>
      <c r="ZP170" s="154">
        <f t="shared" si="1761"/>
        <v>193.48588731087139</v>
      </c>
      <c r="ZQ170" s="179">
        <f t="shared" ref="ZQ170:AAI182" si="1762">EB27</f>
        <v>168.91317962239071</v>
      </c>
      <c r="ZR170" s="154">
        <f t="shared" si="1762"/>
        <v>168.57535326314593</v>
      </c>
      <c r="ZS170" s="179">
        <f t="shared" si="1762"/>
        <v>144.15600923331306</v>
      </c>
      <c r="ZT170" s="154">
        <f t="shared" si="1762"/>
        <v>143.86769721484643</v>
      </c>
      <c r="ZU170" s="154">
        <f t="shared" si="1762"/>
        <v>143.57996182041674</v>
      </c>
      <c r="ZV170" s="154">
        <f t="shared" si="1762"/>
        <v>143.2928018967759</v>
      </c>
      <c r="ZW170" s="154">
        <f t="shared" si="1762"/>
        <v>143.00621629298234</v>
      </c>
      <c r="ZX170" s="179">
        <f t="shared" si="1762"/>
        <v>118.88583447823264</v>
      </c>
      <c r="ZY170" s="154">
        <f t="shared" si="1762"/>
        <v>118.64806280927617</v>
      </c>
      <c r="ZZ170" s="179">
        <f t="shared" si="1762"/>
        <v>94.681154121802379</v>
      </c>
      <c r="AAA170" s="154">
        <f t="shared" si="1762"/>
        <v>94.491791813558777</v>
      </c>
      <c r="AAB170" s="154">
        <f t="shared" si="1762"/>
        <v>94.302808229931657</v>
      </c>
      <c r="AAC170" s="154">
        <f t="shared" si="1762"/>
        <v>94.11420261347179</v>
      </c>
      <c r="AAD170" s="154">
        <f t="shared" si="1762"/>
        <v>93.925974208244853</v>
      </c>
      <c r="AAE170" s="179">
        <f t="shared" si="1762"/>
        <v>70.256628707767149</v>
      </c>
      <c r="AAF170" s="154">
        <f t="shared" si="1762"/>
        <v>70.116115450351614</v>
      </c>
      <c r="AAG170" s="179">
        <f t="shared" si="1762"/>
        <v>46.603844736000369</v>
      </c>
      <c r="AAH170" s="154">
        <f t="shared" si="1762"/>
        <v>46.510637046528366</v>
      </c>
      <c r="AAI170" s="154">
        <f t="shared" si="1762"/>
        <v>46.417615772435312</v>
      </c>
      <c r="AAJ170" s="154">
        <f>EU27</f>
        <v>46.324780540890444</v>
      </c>
      <c r="AAK170" s="154">
        <f t="shared" ref="AAK170:AAN179" si="1763">EV27</f>
        <v>46.232130979808666</v>
      </c>
      <c r="AAL170" s="179">
        <f t="shared" si="1763"/>
        <v>23.023601227944713</v>
      </c>
      <c r="AAM170" s="154">
        <f t="shared" si="1763"/>
        <v>22.977554025488825</v>
      </c>
      <c r="AAN170" s="179">
        <f t="shared" si="1763"/>
        <v>-4.5955108050979021E-2</v>
      </c>
      <c r="AAO170" s="119"/>
      <c r="AAP170" s="119"/>
      <c r="AAQ170" s="119"/>
      <c r="AAR170" s="119"/>
      <c r="AAS170" s="119"/>
      <c r="AAT170" s="119"/>
      <c r="AAU170" s="119"/>
      <c r="AAV170" s="119"/>
      <c r="AAW170" s="119"/>
      <c r="AAX170" s="119"/>
      <c r="AAY170" s="119"/>
      <c r="AAZ170" s="119"/>
      <c r="ABA170" s="119"/>
      <c r="ABB170" s="119"/>
      <c r="ABC170" s="119"/>
      <c r="ABD170" s="119"/>
      <c r="ABE170" s="119"/>
      <c r="ABF170" s="119"/>
      <c r="ABG170" s="119"/>
      <c r="ABH170" s="119"/>
      <c r="ABI170" s="119"/>
      <c r="ABJ170" s="119"/>
    </row>
    <row r="171" spans="1:738" ht="19.5" thickBot="1" x14ac:dyDescent="0.3">
      <c r="A171" s="298"/>
      <c r="B171" s="25" t="s">
        <v>1</v>
      </c>
      <c r="BY171" s="18"/>
      <c r="BZ171" s="18"/>
      <c r="CA171" s="18"/>
      <c r="CB171" s="18"/>
      <c r="CC171" s="18"/>
      <c r="CD171" s="18"/>
      <c r="CE171" s="18"/>
      <c r="CF171" s="18"/>
      <c r="CG171" s="18"/>
      <c r="CH171" s="18"/>
      <c r="CI171" s="18"/>
      <c r="CJ171" s="18"/>
      <c r="CK171" s="18"/>
      <c r="CL171" s="18"/>
      <c r="CM171" s="18"/>
      <c r="CN171" s="18"/>
      <c r="CO171" s="18"/>
      <c r="CP171" s="18"/>
      <c r="CQ171" s="18"/>
      <c r="CR171" s="18"/>
      <c r="CS171" s="18"/>
      <c r="CT171" s="18"/>
      <c r="CU171" s="18"/>
      <c r="CV171" s="18"/>
      <c r="CW171" s="18"/>
      <c r="CX171" s="18"/>
      <c r="CY171" s="18"/>
      <c r="CZ171" s="18"/>
      <c r="DA171" s="18"/>
      <c r="DB171" s="18"/>
      <c r="DC171" s="18"/>
      <c r="DD171" s="18"/>
      <c r="DE171" s="18"/>
      <c r="DF171" s="18"/>
      <c r="DG171" s="18"/>
      <c r="DH171" s="18"/>
      <c r="DI171" s="18"/>
      <c r="DJ171" s="18"/>
      <c r="DK171" s="18"/>
      <c r="DL171" s="18"/>
      <c r="DM171" s="18"/>
      <c r="DN171" s="18"/>
      <c r="DO171" s="18"/>
      <c r="DP171" s="18"/>
      <c r="DQ171" s="18"/>
      <c r="DR171" s="18"/>
      <c r="DS171" s="18"/>
      <c r="DT171" s="18"/>
      <c r="DU171" s="18"/>
      <c r="DV171" s="18"/>
      <c r="DW171" s="18"/>
      <c r="DX171" s="18"/>
      <c r="DY171" s="18"/>
      <c r="DZ171" s="18"/>
      <c r="EA171" s="18"/>
      <c r="EB171" s="18"/>
      <c r="EC171" s="18"/>
      <c r="ED171" s="18"/>
      <c r="EE171" s="18"/>
      <c r="EF171" s="18"/>
      <c r="EG171" s="18"/>
      <c r="EH171" s="18"/>
      <c r="EI171" s="18"/>
      <c r="EJ171" s="18"/>
      <c r="EK171" s="18"/>
      <c r="EL171" s="18"/>
      <c r="EM171" s="18"/>
      <c r="EN171" s="18"/>
      <c r="EO171" s="18"/>
      <c r="EP171" s="18"/>
      <c r="EQ171" s="18"/>
      <c r="ER171" s="18"/>
      <c r="ES171" s="18"/>
      <c r="ET171" s="18"/>
      <c r="EU171" s="18"/>
      <c r="EV171" s="18"/>
      <c r="EW171" s="18"/>
      <c r="EX171" s="18"/>
      <c r="EY171" s="18"/>
      <c r="EZ171" s="18"/>
      <c r="FA171" s="18"/>
      <c r="FB171" s="18"/>
      <c r="FC171" s="18"/>
      <c r="FD171" s="18"/>
      <c r="FE171" s="18"/>
      <c r="FF171" s="18"/>
      <c r="FG171" s="18"/>
      <c r="FH171" s="18"/>
      <c r="FI171" s="18"/>
      <c r="FJ171" s="18"/>
      <c r="FK171" s="18"/>
      <c r="FL171" s="18"/>
      <c r="FM171" s="18"/>
      <c r="FN171" s="18"/>
      <c r="FO171" s="18"/>
      <c r="FP171" s="18"/>
      <c r="FQ171" s="18"/>
      <c r="FR171" s="18"/>
      <c r="FS171" s="18"/>
      <c r="FT171" s="18"/>
      <c r="FU171" s="18"/>
      <c r="FV171" s="18"/>
      <c r="FW171" s="18"/>
      <c r="FX171" s="18"/>
      <c r="FY171" s="18"/>
      <c r="FZ171" s="18"/>
      <c r="GA171" s="18"/>
      <c r="GB171" s="18"/>
      <c r="GC171" s="18"/>
      <c r="GD171" s="18"/>
      <c r="GE171" s="18"/>
      <c r="GF171" s="18"/>
      <c r="GG171" s="18"/>
      <c r="GH171" s="18"/>
      <c r="GI171" s="18"/>
      <c r="GJ171" s="18"/>
      <c r="GK171" s="18"/>
      <c r="GL171" s="18"/>
      <c r="GM171" s="18"/>
      <c r="GN171" s="18"/>
      <c r="GO171" s="18"/>
      <c r="GP171" s="18"/>
      <c r="GQ171" s="18"/>
      <c r="GR171" s="18"/>
      <c r="GS171" s="18"/>
      <c r="GT171" s="18"/>
      <c r="GU171" s="18"/>
      <c r="GV171" s="18"/>
      <c r="GW171" s="18"/>
      <c r="GX171" s="18"/>
      <c r="GY171" s="18"/>
      <c r="GZ171" s="18"/>
      <c r="HA171" s="18"/>
      <c r="HB171" s="18"/>
      <c r="HC171" s="18"/>
      <c r="HD171" s="18"/>
      <c r="HE171" s="18"/>
      <c r="HF171" s="18"/>
      <c r="HG171" s="18"/>
      <c r="HH171" s="18"/>
      <c r="HI171" s="18"/>
      <c r="HJ171" s="18"/>
      <c r="HK171" s="18"/>
      <c r="HL171" s="18"/>
      <c r="HM171" s="18"/>
      <c r="HN171" s="18"/>
      <c r="HO171" s="18"/>
      <c r="HP171" s="18"/>
      <c r="HQ171" s="18"/>
      <c r="HR171" s="18"/>
      <c r="HS171" s="18"/>
      <c r="HT171" s="18"/>
      <c r="HU171" s="18"/>
      <c r="HV171" s="18"/>
      <c r="HW171" s="18"/>
      <c r="HX171" s="18"/>
      <c r="HY171" s="18"/>
      <c r="HZ171" s="18"/>
      <c r="IA171" s="18"/>
      <c r="IB171" s="18"/>
      <c r="IC171" s="18"/>
      <c r="ID171" s="18"/>
      <c r="IE171" s="18"/>
      <c r="IF171" s="18"/>
      <c r="IG171" s="18"/>
      <c r="IH171" s="18"/>
      <c r="II171" s="18"/>
      <c r="IJ171" s="18"/>
      <c r="IK171" s="18"/>
      <c r="IL171" s="18"/>
      <c r="IM171" s="18"/>
      <c r="IN171" s="18"/>
      <c r="IO171" s="18"/>
      <c r="IP171" s="18"/>
      <c r="IQ171" s="18"/>
      <c r="IR171" s="18"/>
      <c r="IS171" s="18"/>
      <c r="IT171" s="18"/>
      <c r="IU171" s="18"/>
      <c r="IV171" s="18"/>
      <c r="IW171" s="18"/>
      <c r="IX171" s="18"/>
      <c r="IY171" s="18"/>
      <c r="IZ171" s="18"/>
      <c r="JA171" s="18"/>
      <c r="JB171" s="18"/>
      <c r="JC171" s="18"/>
      <c r="JD171" s="18"/>
      <c r="JE171" s="18"/>
      <c r="JF171" s="18"/>
      <c r="JG171" s="18"/>
      <c r="JH171" s="18"/>
      <c r="JI171" s="18"/>
      <c r="JJ171" s="18"/>
      <c r="JK171" s="18"/>
      <c r="JL171" s="18"/>
      <c r="JM171" s="18"/>
      <c r="JN171" s="18"/>
      <c r="JO171" s="18"/>
      <c r="JP171" s="18"/>
      <c r="JQ171" s="18"/>
      <c r="JR171" s="18"/>
      <c r="JS171" s="18"/>
      <c r="JT171" s="18"/>
      <c r="JU171" s="18"/>
      <c r="JV171" s="18"/>
      <c r="JW171" s="18"/>
      <c r="JX171" s="18"/>
      <c r="JY171" s="18"/>
      <c r="JZ171" s="18"/>
      <c r="KA171" s="18"/>
      <c r="KB171" s="18"/>
      <c r="KC171" s="18"/>
      <c r="KD171" s="18"/>
      <c r="KE171" s="18"/>
      <c r="KF171" s="18"/>
      <c r="KG171" s="18"/>
      <c r="KH171" s="18"/>
      <c r="KI171" s="18"/>
      <c r="KJ171" s="18"/>
      <c r="KK171" s="18"/>
      <c r="KL171" s="18"/>
      <c r="KM171" s="18"/>
      <c r="KN171" s="18"/>
      <c r="KO171" s="18"/>
      <c r="KP171" s="18"/>
      <c r="KQ171" s="18"/>
      <c r="KR171" s="18"/>
      <c r="KS171" s="18"/>
      <c r="KT171" s="18"/>
      <c r="KU171" s="18"/>
      <c r="KV171" s="18"/>
      <c r="KW171" s="18"/>
      <c r="KX171" s="18"/>
      <c r="KY171" s="18"/>
      <c r="KZ171" s="18"/>
      <c r="LA171" s="18"/>
      <c r="LB171" s="18"/>
      <c r="LC171" s="18"/>
      <c r="LD171" s="18"/>
      <c r="LE171" s="18"/>
      <c r="LF171" s="18"/>
      <c r="LG171" s="18"/>
      <c r="LH171" s="18"/>
      <c r="LI171" s="18"/>
      <c r="LJ171" s="18"/>
      <c r="LK171" s="18"/>
      <c r="LL171" s="18"/>
      <c r="LM171" s="18"/>
      <c r="LN171" s="18"/>
      <c r="LO171" s="18"/>
      <c r="LP171" s="18"/>
      <c r="LQ171" s="18"/>
      <c r="LR171" s="18"/>
      <c r="LS171" s="18"/>
      <c r="LT171" s="18"/>
      <c r="LU171" s="18"/>
      <c r="LV171" s="18"/>
      <c r="LW171" s="18"/>
      <c r="LX171" s="18"/>
      <c r="LY171" s="18"/>
      <c r="LZ171" s="18"/>
      <c r="MA171" s="18"/>
      <c r="MB171" s="18"/>
      <c r="MC171" s="18"/>
      <c r="MD171" s="18"/>
      <c r="ME171" s="18"/>
      <c r="MF171" s="18"/>
      <c r="MG171" s="18"/>
      <c r="MH171" s="18"/>
      <c r="MI171" s="18"/>
      <c r="MJ171" s="18"/>
      <c r="MK171" s="18"/>
      <c r="ML171" s="18"/>
      <c r="MM171" s="18"/>
      <c r="MN171" s="18"/>
      <c r="MO171" s="18"/>
      <c r="MP171" s="18"/>
      <c r="MQ171" s="18"/>
      <c r="MR171" s="18"/>
      <c r="MS171" s="18"/>
      <c r="MT171" s="18"/>
      <c r="MU171" s="18"/>
      <c r="MV171" s="18"/>
      <c r="MW171" s="18"/>
      <c r="MX171" s="18"/>
      <c r="MY171" s="18"/>
      <c r="MZ171" s="18"/>
      <c r="NA171" s="18"/>
      <c r="NB171" s="18"/>
      <c r="NC171" s="18"/>
      <c r="ND171" s="18"/>
      <c r="NE171" s="18"/>
      <c r="NF171" s="18"/>
      <c r="NG171" s="18"/>
      <c r="NH171" s="18"/>
      <c r="NI171" s="18"/>
      <c r="NJ171" s="18"/>
      <c r="NK171" s="18"/>
      <c r="NL171" s="18"/>
      <c r="NM171" s="18"/>
      <c r="NN171" s="18"/>
      <c r="NO171" s="18"/>
      <c r="NP171" s="18"/>
      <c r="NQ171" s="18"/>
      <c r="NR171" s="18"/>
      <c r="NS171" s="18"/>
      <c r="NT171" s="18"/>
      <c r="NU171" s="18"/>
      <c r="NV171" s="18"/>
      <c r="NW171" s="18"/>
      <c r="NX171" s="18"/>
      <c r="NY171" s="18"/>
      <c r="NZ171" s="18"/>
      <c r="OA171" s="18"/>
      <c r="OB171" s="18"/>
      <c r="OC171" s="18"/>
      <c r="OD171" s="18"/>
      <c r="OE171" s="18"/>
      <c r="OF171" s="18"/>
      <c r="OG171" s="18"/>
      <c r="OH171" s="18"/>
      <c r="OI171" s="18"/>
      <c r="OJ171" s="18"/>
      <c r="OK171" s="18"/>
      <c r="OL171" s="18"/>
      <c r="OM171" s="18"/>
      <c r="ON171" s="18"/>
      <c r="OO171" s="18"/>
      <c r="OP171" s="18"/>
      <c r="OQ171" s="18"/>
      <c r="OR171" s="18"/>
      <c r="OS171" s="18"/>
      <c r="OT171" s="18"/>
      <c r="OU171" s="18"/>
      <c r="OV171" s="18"/>
      <c r="OW171" s="18"/>
      <c r="OX171" s="18"/>
      <c r="OY171" s="18"/>
      <c r="OZ171" s="18"/>
      <c r="PA171" s="18"/>
      <c r="PB171" s="18"/>
      <c r="PC171" s="18"/>
      <c r="PD171" s="18"/>
      <c r="PE171" s="18"/>
      <c r="PF171" s="18"/>
      <c r="PG171" s="18"/>
      <c r="PH171" s="18"/>
      <c r="PI171" s="18"/>
      <c r="PJ171" s="18"/>
      <c r="PK171" s="18"/>
      <c r="PL171" s="18"/>
      <c r="PM171" s="18"/>
      <c r="PN171" s="18"/>
      <c r="PO171" s="18"/>
      <c r="PP171" s="18"/>
      <c r="PQ171" s="18"/>
      <c r="PR171" s="18"/>
      <c r="PS171" s="18"/>
      <c r="PT171" s="18"/>
      <c r="PU171" s="18"/>
      <c r="PV171" s="18"/>
      <c r="PW171" s="18"/>
      <c r="PX171" s="18"/>
      <c r="PY171" s="18"/>
      <c r="PZ171" s="18"/>
      <c r="QA171" s="18"/>
      <c r="QB171" s="18"/>
      <c r="QC171" s="18"/>
      <c r="QD171" s="18"/>
      <c r="QE171" s="18"/>
      <c r="QF171" s="18"/>
      <c r="QG171" s="18"/>
      <c r="QH171" s="18"/>
      <c r="QI171" s="18"/>
      <c r="QJ171" s="18"/>
      <c r="QK171" s="18"/>
      <c r="QL171" s="18"/>
      <c r="QM171" s="18"/>
      <c r="QN171" s="18"/>
      <c r="QO171" s="18"/>
      <c r="QP171" s="18"/>
      <c r="QQ171" s="18"/>
      <c r="QR171" s="18"/>
      <c r="QS171" s="18"/>
      <c r="QT171" s="18"/>
      <c r="QU171" s="18"/>
      <c r="QV171" s="18"/>
      <c r="QW171" s="18"/>
      <c r="QX171" s="18"/>
      <c r="QY171" s="18"/>
      <c r="QZ171" s="18"/>
      <c r="RA171" s="18"/>
      <c r="RB171" s="18"/>
      <c r="RC171" s="18"/>
      <c r="RD171" s="18"/>
      <c r="RE171" s="18"/>
      <c r="RF171" s="18"/>
      <c r="RG171" s="18"/>
      <c r="RH171" s="18"/>
      <c r="RI171" s="18"/>
      <c r="RJ171" s="18"/>
      <c r="RK171" s="18"/>
      <c r="RL171" s="18"/>
      <c r="RM171" s="18"/>
      <c r="RN171" s="18"/>
      <c r="RO171" s="18"/>
      <c r="RP171" s="18"/>
      <c r="RQ171" s="18"/>
      <c r="RR171" s="18"/>
      <c r="RS171" s="18"/>
      <c r="RT171" s="18"/>
      <c r="RU171" s="18"/>
      <c r="RV171" s="18"/>
      <c r="RW171" s="18"/>
      <c r="RX171" s="18"/>
      <c r="RY171" s="18"/>
      <c r="RZ171" s="18"/>
      <c r="SA171" s="18"/>
      <c r="SB171" s="18"/>
      <c r="UR171" s="128" t="str">
        <f t="shared" si="1756"/>
        <v>-</v>
      </c>
      <c r="US171" s="108" t="str">
        <f t="shared" si="1757"/>
        <v>-</v>
      </c>
      <c r="UT171" s="108" t="str">
        <f t="shared" si="1758"/>
        <v>-</v>
      </c>
      <c r="UU171" s="108" t="str">
        <f t="shared" si="1759"/>
        <v>-</v>
      </c>
      <c r="UV171" s="108" t="str">
        <f t="shared" si="1760"/>
        <v>-</v>
      </c>
      <c r="UW171" s="108" t="str">
        <f t="shared" si="1760"/>
        <v>-</v>
      </c>
      <c r="UX171" s="108" t="str">
        <f t="shared" si="1760"/>
        <v>-</v>
      </c>
      <c r="UY171" s="108" t="str">
        <f t="shared" si="1760"/>
        <v>-</v>
      </c>
      <c r="UZ171" s="108" t="str">
        <f t="shared" si="1760"/>
        <v>-</v>
      </c>
      <c r="VA171" s="108" t="str">
        <f t="shared" si="1760"/>
        <v>-</v>
      </c>
      <c r="VB171" s="108" t="str">
        <f t="shared" si="1760"/>
        <v>-</v>
      </c>
      <c r="VC171" s="108" t="str">
        <f t="shared" si="1760"/>
        <v>-</v>
      </c>
      <c r="VD171" s="108" t="str">
        <f t="shared" si="1760"/>
        <v>-</v>
      </c>
      <c r="VE171" s="108" t="str">
        <f t="shared" si="1760"/>
        <v>-</v>
      </c>
      <c r="VF171" s="108" t="str">
        <f t="shared" si="1760"/>
        <v>-</v>
      </c>
      <c r="VG171" s="108" t="str">
        <f t="shared" si="1760"/>
        <v>-</v>
      </c>
      <c r="VH171" s="108" t="str">
        <f t="shared" si="1760"/>
        <v>-</v>
      </c>
      <c r="VI171" s="108" t="str">
        <f t="shared" si="1760"/>
        <v>-</v>
      </c>
      <c r="VJ171" s="108" t="str">
        <f t="shared" si="1760"/>
        <v>-</v>
      </c>
      <c r="VK171" s="108" t="str">
        <f t="shared" si="1760"/>
        <v>-</v>
      </c>
      <c r="VL171" s="108" t="str">
        <f t="shared" si="1760"/>
        <v>-</v>
      </c>
      <c r="VM171" s="108" t="str">
        <f t="shared" si="1760"/>
        <v>-</v>
      </c>
      <c r="VN171" s="108" t="str">
        <f t="shared" si="1760"/>
        <v>-</v>
      </c>
      <c r="VO171" s="108" t="str">
        <f t="shared" si="1760"/>
        <v>-</v>
      </c>
      <c r="VP171" s="108" t="str">
        <f t="shared" si="1760"/>
        <v>-</v>
      </c>
      <c r="VQ171" s="108" t="str">
        <f t="shared" si="1760"/>
        <v>-</v>
      </c>
      <c r="VR171" s="108" t="str">
        <f t="shared" si="1760"/>
        <v>-</v>
      </c>
      <c r="VS171" s="108" t="str">
        <f t="shared" si="1760"/>
        <v>-</v>
      </c>
      <c r="VT171" s="108" t="str">
        <f t="shared" si="1760"/>
        <v>-</v>
      </c>
      <c r="VU171" s="108" t="str">
        <f t="shared" si="1760"/>
        <v>-</v>
      </c>
      <c r="VV171" s="108" t="str">
        <f t="shared" si="1760"/>
        <v>-</v>
      </c>
      <c r="VW171" s="108" t="str">
        <f t="shared" si="1760"/>
        <v>-</v>
      </c>
      <c r="VX171" s="108" t="str">
        <f t="shared" si="1760"/>
        <v>-</v>
      </c>
      <c r="VY171" s="108" t="str">
        <f t="shared" si="1760"/>
        <v>-</v>
      </c>
      <c r="VZ171" s="108" t="str">
        <f t="shared" si="1760"/>
        <v>-</v>
      </c>
      <c r="WA171" s="108" t="str">
        <f t="shared" si="1760"/>
        <v>-</v>
      </c>
      <c r="WB171" s="108" t="str">
        <f t="shared" si="1760"/>
        <v>-</v>
      </c>
      <c r="WC171" s="108" t="str">
        <f t="shared" si="1760"/>
        <v>-</v>
      </c>
      <c r="WD171" s="108" t="str">
        <f t="shared" si="1760"/>
        <v>-</v>
      </c>
      <c r="WE171" s="108" t="str">
        <f t="shared" si="1760"/>
        <v>-</v>
      </c>
      <c r="WF171" s="108" t="str">
        <f t="shared" si="1760"/>
        <v>-</v>
      </c>
      <c r="WG171" s="108" t="str">
        <f t="shared" si="1760"/>
        <v>-</v>
      </c>
      <c r="WH171" s="108" t="str">
        <f t="shared" si="1760"/>
        <v>-</v>
      </c>
      <c r="WI171" s="108" t="str">
        <f t="shared" si="1760"/>
        <v>-</v>
      </c>
      <c r="WJ171" s="108" t="str">
        <f t="shared" si="1760"/>
        <v>-</v>
      </c>
      <c r="WK171" s="108" t="str">
        <f t="shared" si="1760"/>
        <v>-</v>
      </c>
      <c r="WL171" s="108" t="str">
        <f t="shared" si="1760"/>
        <v>-</v>
      </c>
      <c r="WM171" s="108" t="str">
        <f t="shared" si="1760"/>
        <v>-</v>
      </c>
      <c r="WN171" s="108" t="str">
        <f t="shared" si="1760"/>
        <v>-</v>
      </c>
      <c r="WO171" s="108" t="str">
        <f t="shared" si="1760"/>
        <v>-</v>
      </c>
      <c r="WP171" s="108" t="str">
        <f t="shared" si="1760"/>
        <v>-</v>
      </c>
      <c r="WQ171" s="145" t="str">
        <f t="shared" si="1760"/>
        <v>-</v>
      </c>
      <c r="WR171" s="145" t="str">
        <f t="shared" si="1760"/>
        <v>-</v>
      </c>
      <c r="WS171" s="145" t="str">
        <f t="shared" si="1760"/>
        <v>-</v>
      </c>
      <c r="WT171" s="145" t="str">
        <f t="shared" si="1760"/>
        <v>-</v>
      </c>
      <c r="WU171" s="145" t="str">
        <f t="shared" si="1760"/>
        <v>-</v>
      </c>
      <c r="WV171" s="145" t="str">
        <f t="shared" si="1760"/>
        <v>-</v>
      </c>
      <c r="WW171" s="145" t="str">
        <f t="shared" si="1760"/>
        <v>-</v>
      </c>
      <c r="WX171" s="145" t="str">
        <f t="shared" si="1760"/>
        <v>-</v>
      </c>
      <c r="WY171" s="145" t="str">
        <f t="shared" si="1760"/>
        <v>-</v>
      </c>
      <c r="WZ171" s="145" t="str">
        <f t="shared" si="1760"/>
        <v>-</v>
      </c>
      <c r="XA171" s="145" t="str">
        <f t="shared" si="1760"/>
        <v>-</v>
      </c>
      <c r="XB171" s="145" t="str">
        <f t="shared" si="1760"/>
        <v>-</v>
      </c>
      <c r="XC171" s="145" t="str">
        <f t="shared" si="1760"/>
        <v>-</v>
      </c>
      <c r="XD171" s="145" t="str">
        <f t="shared" si="1760"/>
        <v>-</v>
      </c>
      <c r="XE171" s="145" t="str">
        <f t="shared" si="1761"/>
        <v>-</v>
      </c>
      <c r="XF171" s="145" t="str">
        <f t="shared" si="1761"/>
        <v>-</v>
      </c>
      <c r="XG171" s="145" t="str">
        <f t="shared" si="1761"/>
        <v>-</v>
      </c>
      <c r="XH171" s="145" t="str">
        <f t="shared" si="1761"/>
        <v>-</v>
      </c>
      <c r="XI171" s="145" t="str">
        <f t="shared" si="1761"/>
        <v>-</v>
      </c>
      <c r="XJ171" s="145" t="str">
        <f t="shared" si="1761"/>
        <v>-</v>
      </c>
      <c r="XK171" s="145" t="str">
        <f t="shared" si="1761"/>
        <v>-</v>
      </c>
      <c r="XL171" s="145" t="str">
        <f t="shared" si="1761"/>
        <v>-</v>
      </c>
      <c r="XM171" s="145" t="str">
        <f t="shared" si="1761"/>
        <v>-</v>
      </c>
      <c r="XN171" s="145" t="str">
        <f t="shared" si="1761"/>
        <v>-</v>
      </c>
      <c r="XO171" s="145" t="str">
        <f t="shared" si="1761"/>
        <v>-</v>
      </c>
      <c r="XP171" s="145" t="str">
        <f t="shared" si="1761"/>
        <v>-</v>
      </c>
      <c r="XQ171" s="145" t="str">
        <f t="shared" si="1761"/>
        <v>-</v>
      </c>
      <c r="XR171" s="145" t="str">
        <f t="shared" si="1761"/>
        <v>-</v>
      </c>
      <c r="XS171" s="145" t="str">
        <f t="shared" si="1761"/>
        <v>-</v>
      </c>
      <c r="XT171" s="145" t="str">
        <f t="shared" si="1761"/>
        <v>-</v>
      </c>
      <c r="XU171" s="145" t="str">
        <f t="shared" si="1761"/>
        <v>-</v>
      </c>
      <c r="XV171" s="145" t="str">
        <f t="shared" si="1761"/>
        <v>-</v>
      </c>
      <c r="XW171" s="145" t="str">
        <f t="shared" si="1761"/>
        <v>-</v>
      </c>
      <c r="XX171" s="145" t="str">
        <f t="shared" si="1761"/>
        <v>-</v>
      </c>
      <c r="XY171" s="145" t="str">
        <f t="shared" si="1761"/>
        <v>-</v>
      </c>
      <c r="XZ171" s="145" t="str">
        <f t="shared" si="1761"/>
        <v>-</v>
      </c>
      <c r="YA171" s="145" t="str">
        <f t="shared" si="1761"/>
        <v>-</v>
      </c>
      <c r="YB171" s="145" t="str">
        <f t="shared" si="1761"/>
        <v>-</v>
      </c>
      <c r="YC171" s="145" t="str">
        <f t="shared" si="1761"/>
        <v>-</v>
      </c>
      <c r="YD171" s="145" t="str">
        <f t="shared" si="1761"/>
        <v>-</v>
      </c>
      <c r="YE171" s="145" t="str">
        <f t="shared" si="1761"/>
        <v>-</v>
      </c>
      <c r="YF171" s="145" t="str">
        <f t="shared" si="1761"/>
        <v>-</v>
      </c>
      <c r="YG171" s="145" t="str">
        <f t="shared" si="1761"/>
        <v>-</v>
      </c>
      <c r="YH171" s="145" t="str">
        <f t="shared" si="1761"/>
        <v>-</v>
      </c>
      <c r="YI171" s="145" t="str">
        <f t="shared" si="1761"/>
        <v>-</v>
      </c>
      <c r="YJ171" s="145" t="str">
        <f t="shared" si="1761"/>
        <v>-</v>
      </c>
      <c r="YK171" s="145" t="str">
        <f t="shared" si="1761"/>
        <v>-</v>
      </c>
      <c r="YL171" s="145" t="str">
        <f t="shared" si="1761"/>
        <v>-</v>
      </c>
      <c r="YM171" s="145" t="str">
        <f t="shared" si="1761"/>
        <v>-</v>
      </c>
      <c r="YN171" s="145" t="str">
        <f t="shared" si="1761"/>
        <v>-</v>
      </c>
      <c r="YO171" s="145" t="str">
        <f t="shared" si="1761"/>
        <v>-</v>
      </c>
      <c r="YP171" s="155" t="str">
        <f t="shared" si="1761"/>
        <v>-</v>
      </c>
      <c r="YQ171" s="155" t="str">
        <f t="shared" si="1761"/>
        <v>-</v>
      </c>
      <c r="YR171" s="155" t="str">
        <f t="shared" si="1761"/>
        <v>-</v>
      </c>
      <c r="YS171" s="155" t="str">
        <f t="shared" si="1761"/>
        <v>-</v>
      </c>
      <c r="YT171" s="155" t="str">
        <f t="shared" si="1761"/>
        <v>-</v>
      </c>
      <c r="YU171" s="155" t="str">
        <f t="shared" si="1761"/>
        <v>-</v>
      </c>
      <c r="YV171" s="155" t="str">
        <f t="shared" si="1761"/>
        <v>-</v>
      </c>
      <c r="YW171" s="155" t="str">
        <f t="shared" si="1761"/>
        <v>-</v>
      </c>
      <c r="YX171" s="155" t="str">
        <f t="shared" si="1761"/>
        <v>-</v>
      </c>
      <c r="YY171" s="155" t="str">
        <f t="shared" si="1761"/>
        <v>-</v>
      </c>
      <c r="YZ171" s="155" t="str">
        <f t="shared" si="1761"/>
        <v>-</v>
      </c>
      <c r="ZA171" s="155" t="str">
        <f t="shared" si="1761"/>
        <v>-</v>
      </c>
      <c r="ZB171" s="155" t="str">
        <f t="shared" si="1761"/>
        <v>-</v>
      </c>
      <c r="ZC171" s="155" t="str">
        <f t="shared" si="1761"/>
        <v>-</v>
      </c>
      <c r="ZD171" s="155" t="str">
        <f t="shared" si="1761"/>
        <v>-</v>
      </c>
      <c r="ZE171" s="155" t="str">
        <f t="shared" si="1761"/>
        <v>-</v>
      </c>
      <c r="ZF171" s="155" t="str">
        <f t="shared" si="1761"/>
        <v>-</v>
      </c>
      <c r="ZG171" s="155" t="str">
        <f t="shared" si="1761"/>
        <v>-</v>
      </c>
      <c r="ZH171" s="155" t="str">
        <f t="shared" si="1761"/>
        <v>-</v>
      </c>
      <c r="ZI171" s="155" t="str">
        <f t="shared" si="1761"/>
        <v>-</v>
      </c>
      <c r="ZJ171" s="155" t="str">
        <f t="shared" si="1761"/>
        <v>-</v>
      </c>
      <c r="ZK171" s="155" t="str">
        <f t="shared" si="1761"/>
        <v>-</v>
      </c>
      <c r="ZL171" s="155" t="str">
        <f t="shared" si="1761"/>
        <v>-</v>
      </c>
      <c r="ZM171" s="155" t="str">
        <f t="shared" si="1761"/>
        <v>-</v>
      </c>
      <c r="ZN171" s="155" t="str">
        <f t="shared" si="1761"/>
        <v>-</v>
      </c>
      <c r="ZO171" s="155" t="str">
        <f t="shared" si="1761"/>
        <v>-</v>
      </c>
      <c r="ZP171" s="177" t="str">
        <f t="shared" si="1761"/>
        <v>-</v>
      </c>
      <c r="ZQ171" s="181" t="str">
        <f t="shared" si="1762"/>
        <v>Harvest</v>
      </c>
      <c r="ZR171" s="177" t="str">
        <f t="shared" si="1762"/>
        <v>-</v>
      </c>
      <c r="ZS171" s="181" t="str">
        <f t="shared" si="1762"/>
        <v>Harvest</v>
      </c>
      <c r="ZT171" s="155" t="str">
        <f t="shared" si="1762"/>
        <v>-</v>
      </c>
      <c r="ZU171" s="155" t="str">
        <f t="shared" si="1762"/>
        <v>-</v>
      </c>
      <c r="ZV171" s="155" t="str">
        <f t="shared" si="1762"/>
        <v>-</v>
      </c>
      <c r="ZW171" s="177" t="str">
        <f t="shared" si="1762"/>
        <v>-</v>
      </c>
      <c r="ZX171" s="181" t="str">
        <f t="shared" si="1762"/>
        <v>Harvest</v>
      </c>
      <c r="ZY171" s="177" t="str">
        <f t="shared" si="1762"/>
        <v>-</v>
      </c>
      <c r="ZZ171" s="181" t="str">
        <f t="shared" si="1762"/>
        <v>Harvest</v>
      </c>
      <c r="AAA171" s="155" t="str">
        <f t="shared" si="1762"/>
        <v>-</v>
      </c>
      <c r="AAB171" s="155" t="str">
        <f t="shared" si="1762"/>
        <v>-</v>
      </c>
      <c r="AAC171" s="155" t="str">
        <f t="shared" si="1762"/>
        <v>-</v>
      </c>
      <c r="AAD171" s="177" t="str">
        <f t="shared" si="1762"/>
        <v>-</v>
      </c>
      <c r="AAE171" s="181" t="str">
        <f t="shared" si="1762"/>
        <v>Harvest</v>
      </c>
      <c r="AAF171" s="177" t="str">
        <f t="shared" si="1762"/>
        <v>-</v>
      </c>
      <c r="AAG171" s="181" t="str">
        <f t="shared" si="1762"/>
        <v>Harvest</v>
      </c>
      <c r="AAH171" s="155" t="str">
        <f t="shared" si="1762"/>
        <v>-</v>
      </c>
      <c r="AAI171" s="155" t="str">
        <f t="shared" si="1762"/>
        <v>-</v>
      </c>
      <c r="AAJ171" s="155" t="str">
        <f t="shared" ref="AAJ171:AAJ182" si="1764">EU28</f>
        <v>-</v>
      </c>
      <c r="AAK171" s="177" t="str">
        <f t="shared" si="1763"/>
        <v>-</v>
      </c>
      <c r="AAL171" s="181" t="str">
        <f t="shared" si="1763"/>
        <v>Harvest</v>
      </c>
      <c r="AAM171" s="177" t="str">
        <f t="shared" si="1763"/>
        <v>-</v>
      </c>
      <c r="AAN171" s="181" t="str">
        <f t="shared" si="1763"/>
        <v>Harvest</v>
      </c>
      <c r="AAO171" s="119"/>
      <c r="AAP171" s="119"/>
      <c r="AAQ171" s="119"/>
      <c r="AAR171" s="119"/>
      <c r="AAS171" s="119"/>
      <c r="AAT171" s="119"/>
      <c r="AAU171" s="119"/>
      <c r="AAV171" s="119"/>
      <c r="AAW171" s="119"/>
      <c r="AAX171" s="119"/>
      <c r="AAY171" s="119"/>
      <c r="AAZ171" s="119"/>
      <c r="ABA171" s="119"/>
      <c r="ABB171" s="119"/>
      <c r="ABC171" s="119"/>
      <c r="ABD171" s="119"/>
      <c r="ABE171" s="119"/>
      <c r="ABF171" s="119"/>
      <c r="ABG171" s="119"/>
      <c r="ABH171" s="119"/>
      <c r="ABI171" s="119"/>
      <c r="ABJ171" s="119"/>
    </row>
    <row r="172" spans="1:738" ht="19.5" thickBot="1" x14ac:dyDescent="0.3">
      <c r="A172" s="298"/>
      <c r="B172" s="25" t="s">
        <v>27</v>
      </c>
      <c r="BY172" s="18"/>
      <c r="BZ172" s="18"/>
      <c r="CA172" s="18"/>
      <c r="CB172" s="18"/>
      <c r="CC172" s="18"/>
      <c r="CD172" s="18"/>
      <c r="CE172" s="18"/>
      <c r="CF172" s="18"/>
      <c r="CG172" s="18"/>
      <c r="CH172" s="18"/>
      <c r="CI172" s="18"/>
      <c r="CJ172" s="18"/>
      <c r="CK172" s="18"/>
      <c r="CL172" s="18"/>
      <c r="CM172" s="18"/>
      <c r="CN172" s="18"/>
      <c r="CO172" s="18"/>
      <c r="CP172" s="18"/>
      <c r="CQ172" s="18"/>
      <c r="CR172" s="18"/>
      <c r="CS172" s="18"/>
      <c r="CT172" s="18"/>
      <c r="CU172" s="18"/>
      <c r="CV172" s="18"/>
      <c r="CW172" s="18"/>
      <c r="CX172" s="18"/>
      <c r="CY172" s="18"/>
      <c r="CZ172" s="18"/>
      <c r="DA172" s="18"/>
      <c r="DB172" s="18"/>
      <c r="DC172" s="18"/>
      <c r="DD172" s="18"/>
      <c r="DE172" s="18"/>
      <c r="DF172" s="18"/>
      <c r="DG172" s="18"/>
      <c r="DH172" s="18"/>
      <c r="DI172" s="18"/>
      <c r="DJ172" s="18"/>
      <c r="DK172" s="18"/>
      <c r="DL172" s="18"/>
      <c r="DM172" s="18"/>
      <c r="DN172" s="18"/>
      <c r="DO172" s="18"/>
      <c r="DP172" s="18"/>
      <c r="DQ172" s="18"/>
      <c r="DR172" s="18"/>
      <c r="DS172" s="18"/>
      <c r="DT172" s="18"/>
      <c r="DU172" s="18"/>
      <c r="DV172" s="18"/>
      <c r="DW172" s="18"/>
      <c r="DX172" s="18"/>
      <c r="DY172" s="18"/>
      <c r="DZ172" s="18"/>
      <c r="EA172" s="18"/>
      <c r="EB172" s="18"/>
      <c r="EC172" s="18"/>
      <c r="ED172" s="18"/>
      <c r="EE172" s="18"/>
      <c r="EF172" s="18"/>
      <c r="EG172" s="18"/>
      <c r="EH172" s="18"/>
      <c r="EI172" s="18"/>
      <c r="EJ172" s="18"/>
      <c r="EK172" s="18"/>
      <c r="EL172" s="18"/>
      <c r="EM172" s="18"/>
      <c r="EN172" s="18"/>
      <c r="EO172" s="18"/>
      <c r="EP172" s="18"/>
      <c r="EQ172" s="18"/>
      <c r="ER172" s="18"/>
      <c r="ES172" s="18"/>
      <c r="ET172" s="18"/>
      <c r="EU172" s="18"/>
      <c r="EV172" s="18"/>
      <c r="EW172" s="18"/>
      <c r="EX172" s="18"/>
      <c r="EY172" s="18"/>
      <c r="EZ172" s="18"/>
      <c r="FA172" s="18"/>
      <c r="FB172" s="18"/>
      <c r="FC172" s="18"/>
      <c r="FD172" s="18"/>
      <c r="FE172" s="18"/>
      <c r="FF172" s="18"/>
      <c r="FG172" s="18"/>
      <c r="FH172" s="18"/>
      <c r="FI172" s="18"/>
      <c r="FJ172" s="18"/>
      <c r="FK172" s="18"/>
      <c r="FL172" s="18"/>
      <c r="FM172" s="18"/>
      <c r="FN172" s="18"/>
      <c r="FO172" s="18"/>
      <c r="FP172" s="18"/>
      <c r="FQ172" s="18"/>
      <c r="FR172" s="18"/>
      <c r="FS172" s="18"/>
      <c r="FT172" s="18"/>
      <c r="FU172" s="18"/>
      <c r="FV172" s="18"/>
      <c r="FW172" s="18"/>
      <c r="FX172" s="18"/>
      <c r="FY172" s="18"/>
      <c r="FZ172" s="18"/>
      <c r="GA172" s="18"/>
      <c r="GB172" s="18"/>
      <c r="GC172" s="18"/>
      <c r="GD172" s="18"/>
      <c r="GE172" s="18"/>
      <c r="GF172" s="18"/>
      <c r="GG172" s="18"/>
      <c r="GH172" s="18"/>
      <c r="GI172" s="18"/>
      <c r="GJ172" s="18"/>
      <c r="GK172" s="18"/>
      <c r="GL172" s="18"/>
      <c r="GM172" s="18"/>
      <c r="GN172" s="18"/>
      <c r="GO172" s="18"/>
      <c r="GP172" s="18"/>
      <c r="GQ172" s="18"/>
      <c r="GR172" s="18"/>
      <c r="GS172" s="18"/>
      <c r="GT172" s="18"/>
      <c r="GU172" s="18"/>
      <c r="GV172" s="18"/>
      <c r="GW172" s="18"/>
      <c r="GX172" s="18"/>
      <c r="GY172" s="18"/>
      <c r="GZ172" s="18"/>
      <c r="HA172" s="18"/>
      <c r="HB172" s="18"/>
      <c r="HC172" s="18"/>
      <c r="HD172" s="18"/>
      <c r="HE172" s="18"/>
      <c r="HF172" s="18"/>
      <c r="HG172" s="18"/>
      <c r="HH172" s="18"/>
      <c r="HI172" s="18"/>
      <c r="HJ172" s="18"/>
      <c r="HK172" s="18"/>
      <c r="HL172" s="18"/>
      <c r="HM172" s="18"/>
      <c r="HN172" s="18"/>
      <c r="HO172" s="18"/>
      <c r="HP172" s="18"/>
      <c r="HQ172" s="18"/>
      <c r="HR172" s="18"/>
      <c r="HS172" s="18"/>
      <c r="HT172" s="18"/>
      <c r="HU172" s="18"/>
      <c r="HV172" s="18"/>
      <c r="HW172" s="18"/>
      <c r="HX172" s="18"/>
      <c r="HY172" s="18"/>
      <c r="HZ172" s="18"/>
      <c r="IA172" s="18"/>
      <c r="IB172" s="18"/>
      <c r="IC172" s="18"/>
      <c r="ID172" s="18"/>
      <c r="IE172" s="18"/>
      <c r="IF172" s="18"/>
      <c r="IG172" s="18"/>
      <c r="IH172" s="18"/>
      <c r="II172" s="18"/>
      <c r="IJ172" s="18"/>
      <c r="IK172" s="18"/>
      <c r="IL172" s="18"/>
      <c r="IM172" s="18"/>
      <c r="IN172" s="18"/>
      <c r="IO172" s="18"/>
      <c r="IP172" s="18"/>
      <c r="IQ172" s="18"/>
      <c r="IR172" s="18"/>
      <c r="IS172" s="18"/>
      <c r="IT172" s="18"/>
      <c r="IU172" s="18"/>
      <c r="IV172" s="18"/>
      <c r="IW172" s="18"/>
      <c r="IX172" s="18"/>
      <c r="IY172" s="18"/>
      <c r="IZ172" s="18"/>
      <c r="JA172" s="18"/>
      <c r="JB172" s="18"/>
      <c r="JC172" s="18"/>
      <c r="JD172" s="18"/>
      <c r="JE172" s="18"/>
      <c r="JF172" s="18"/>
      <c r="JG172" s="18"/>
      <c r="JH172" s="18"/>
      <c r="JI172" s="18"/>
      <c r="JJ172" s="18"/>
      <c r="JK172" s="18"/>
      <c r="JL172" s="18"/>
      <c r="JM172" s="18"/>
      <c r="JN172" s="18"/>
      <c r="JO172" s="18"/>
      <c r="JP172" s="18"/>
      <c r="JQ172" s="18"/>
      <c r="JR172" s="18"/>
      <c r="JS172" s="18"/>
      <c r="JT172" s="18"/>
      <c r="JU172" s="18"/>
      <c r="JV172" s="18"/>
      <c r="JW172" s="18"/>
      <c r="JX172" s="18"/>
      <c r="JY172" s="18"/>
      <c r="JZ172" s="18"/>
      <c r="KA172" s="18"/>
      <c r="KB172" s="18"/>
      <c r="KC172" s="18"/>
      <c r="KD172" s="18"/>
      <c r="KE172" s="18"/>
      <c r="KF172" s="18"/>
      <c r="KG172" s="18"/>
      <c r="KH172" s="18"/>
      <c r="KI172" s="18"/>
      <c r="KJ172" s="18"/>
      <c r="KK172" s="18"/>
      <c r="KL172" s="18"/>
      <c r="KM172" s="18"/>
      <c r="KN172" s="18"/>
      <c r="KO172" s="18"/>
      <c r="KP172" s="18"/>
      <c r="KQ172" s="18"/>
      <c r="KR172" s="18"/>
      <c r="KS172" s="18"/>
      <c r="KT172" s="18"/>
      <c r="KU172" s="18"/>
      <c r="KV172" s="18"/>
      <c r="KW172" s="18"/>
      <c r="KX172" s="18"/>
      <c r="KY172" s="18"/>
      <c r="KZ172" s="18"/>
      <c r="LA172" s="18"/>
      <c r="LB172" s="18"/>
      <c r="LC172" s="18"/>
      <c r="LD172" s="18"/>
      <c r="LE172" s="18"/>
      <c r="LF172" s="18"/>
      <c r="LG172" s="18"/>
      <c r="LH172" s="18"/>
      <c r="LI172" s="18"/>
      <c r="LJ172" s="18"/>
      <c r="LK172" s="18"/>
      <c r="LL172" s="18"/>
      <c r="LM172" s="18"/>
      <c r="LN172" s="18"/>
      <c r="LO172" s="18"/>
      <c r="LP172" s="18"/>
      <c r="LQ172" s="18"/>
      <c r="LR172" s="18"/>
      <c r="LS172" s="18"/>
      <c r="LT172" s="18"/>
      <c r="LU172" s="18"/>
      <c r="LV172" s="18"/>
      <c r="LW172" s="18"/>
      <c r="LX172" s="18"/>
      <c r="LY172" s="18"/>
      <c r="LZ172" s="18"/>
      <c r="MA172" s="18"/>
      <c r="MB172" s="18"/>
      <c r="MC172" s="18"/>
      <c r="MD172" s="18"/>
      <c r="ME172" s="18"/>
      <c r="MF172" s="18"/>
      <c r="MG172" s="18"/>
      <c r="MH172" s="18"/>
      <c r="MI172" s="18"/>
      <c r="MJ172" s="18"/>
      <c r="MK172" s="18"/>
      <c r="ML172" s="18"/>
      <c r="MM172" s="18"/>
      <c r="MN172" s="18"/>
      <c r="MO172" s="18"/>
      <c r="MP172" s="18"/>
      <c r="MQ172" s="18"/>
      <c r="MR172" s="18"/>
      <c r="MS172" s="18"/>
      <c r="MT172" s="18"/>
      <c r="MU172" s="18"/>
      <c r="MV172" s="18"/>
      <c r="MW172" s="18"/>
      <c r="MX172" s="18"/>
      <c r="MY172" s="18"/>
      <c r="MZ172" s="18"/>
      <c r="NA172" s="18"/>
      <c r="NB172" s="18"/>
      <c r="NC172" s="18"/>
      <c r="ND172" s="18"/>
      <c r="NE172" s="18"/>
      <c r="NF172" s="18"/>
      <c r="NG172" s="18"/>
      <c r="NH172" s="18"/>
      <c r="NI172" s="18"/>
      <c r="NJ172" s="18"/>
      <c r="NK172" s="18"/>
      <c r="NL172" s="18"/>
      <c r="NM172" s="18"/>
      <c r="NN172" s="18"/>
      <c r="NO172" s="18"/>
      <c r="NP172" s="18"/>
      <c r="NQ172" s="18"/>
      <c r="NR172" s="18"/>
      <c r="NS172" s="18"/>
      <c r="NT172" s="18"/>
      <c r="NU172" s="18"/>
      <c r="NV172" s="18"/>
      <c r="NW172" s="18"/>
      <c r="NX172" s="18"/>
      <c r="NY172" s="18"/>
      <c r="NZ172" s="18"/>
      <c r="OA172" s="18"/>
      <c r="OB172" s="18"/>
      <c r="OC172" s="18"/>
      <c r="OD172" s="18"/>
      <c r="OE172" s="18"/>
      <c r="OF172" s="18"/>
      <c r="OG172" s="18"/>
      <c r="OH172" s="18"/>
      <c r="OI172" s="18"/>
      <c r="OJ172" s="18"/>
      <c r="OK172" s="18"/>
      <c r="OL172" s="18"/>
      <c r="OM172" s="18"/>
      <c r="ON172" s="18"/>
      <c r="OO172" s="18"/>
      <c r="OP172" s="18"/>
      <c r="OQ172" s="18"/>
      <c r="OR172" s="18"/>
      <c r="OS172" s="18"/>
      <c r="OT172" s="18"/>
      <c r="OU172" s="18"/>
      <c r="OV172" s="18"/>
      <c r="OW172" s="18"/>
      <c r="OX172" s="18"/>
      <c r="OY172" s="18"/>
      <c r="OZ172" s="18"/>
      <c r="PA172" s="18"/>
      <c r="PB172" s="18"/>
      <c r="PC172" s="18"/>
      <c r="PD172" s="18"/>
      <c r="PE172" s="18"/>
      <c r="PF172" s="18"/>
      <c r="PG172" s="18"/>
      <c r="PH172" s="18"/>
      <c r="PI172" s="18"/>
      <c r="PJ172" s="18"/>
      <c r="PK172" s="18"/>
      <c r="PL172" s="18"/>
      <c r="PM172" s="18"/>
      <c r="PN172" s="18"/>
      <c r="PO172" s="18"/>
      <c r="PP172" s="18"/>
      <c r="PQ172" s="18"/>
      <c r="PR172" s="18"/>
      <c r="PS172" s="18"/>
      <c r="PT172" s="18"/>
      <c r="PU172" s="18"/>
      <c r="PV172" s="18"/>
      <c r="PW172" s="18"/>
      <c r="PX172" s="18"/>
      <c r="PY172" s="18"/>
      <c r="PZ172" s="18"/>
      <c r="QA172" s="18"/>
      <c r="QB172" s="18"/>
      <c r="QC172" s="18"/>
      <c r="QD172" s="18"/>
      <c r="QE172" s="18"/>
      <c r="QF172" s="18"/>
      <c r="QG172" s="18"/>
      <c r="QH172" s="18"/>
      <c r="QI172" s="18"/>
      <c r="QJ172" s="18"/>
      <c r="QK172" s="18"/>
      <c r="QL172" s="18"/>
      <c r="QM172" s="18"/>
      <c r="QN172" s="18"/>
      <c r="QO172" s="18"/>
      <c r="QP172" s="18"/>
      <c r="QQ172" s="18"/>
      <c r="QR172" s="18"/>
      <c r="QS172" s="18"/>
      <c r="QT172" s="18"/>
      <c r="QU172" s="18"/>
      <c r="QV172" s="18"/>
      <c r="QW172" s="18"/>
      <c r="QX172" s="18"/>
      <c r="QY172" s="18"/>
      <c r="QZ172" s="18"/>
      <c r="RA172" s="18"/>
      <c r="RB172" s="18"/>
      <c r="RC172" s="18"/>
      <c r="RD172" s="18"/>
      <c r="RE172" s="18"/>
      <c r="RF172" s="18"/>
      <c r="RG172" s="18"/>
      <c r="RH172" s="18"/>
      <c r="RI172" s="18"/>
      <c r="RJ172" s="18"/>
      <c r="RK172" s="18"/>
      <c r="RL172" s="18"/>
      <c r="RM172" s="18"/>
      <c r="RN172" s="18"/>
      <c r="RO172" s="18"/>
      <c r="RP172" s="18"/>
      <c r="RQ172" s="18"/>
      <c r="RR172" s="18"/>
      <c r="RS172" s="18"/>
      <c r="RT172" s="18"/>
      <c r="RU172" s="18"/>
      <c r="RV172" s="18"/>
      <c r="RW172" s="18"/>
      <c r="RX172" s="18"/>
      <c r="RY172" s="18"/>
      <c r="RZ172" s="18"/>
      <c r="SA172" s="18"/>
      <c r="SB172" s="18"/>
      <c r="UR172" s="121">
        <f t="shared" si="1756"/>
        <v>0</v>
      </c>
      <c r="US172" s="108">
        <f t="shared" si="1757"/>
        <v>0</v>
      </c>
      <c r="UT172" s="108">
        <f t="shared" si="1758"/>
        <v>0</v>
      </c>
      <c r="UU172" s="108">
        <f t="shared" si="1759"/>
        <v>0</v>
      </c>
      <c r="UV172" s="108">
        <f t="shared" si="1760"/>
        <v>0</v>
      </c>
      <c r="UW172" s="108">
        <f t="shared" si="1760"/>
        <v>0</v>
      </c>
      <c r="UX172" s="108">
        <f t="shared" si="1760"/>
        <v>0</v>
      </c>
      <c r="UY172" s="108">
        <f t="shared" si="1760"/>
        <v>0</v>
      </c>
      <c r="UZ172" s="108">
        <f t="shared" si="1760"/>
        <v>0</v>
      </c>
      <c r="VA172" s="108">
        <f t="shared" si="1760"/>
        <v>0</v>
      </c>
      <c r="VB172" s="108">
        <f t="shared" si="1760"/>
        <v>0</v>
      </c>
      <c r="VC172" s="108">
        <f t="shared" si="1760"/>
        <v>0</v>
      </c>
      <c r="VD172" s="108">
        <f t="shared" si="1760"/>
        <v>0</v>
      </c>
      <c r="VE172" s="108">
        <f t="shared" si="1760"/>
        <v>0</v>
      </c>
      <c r="VF172" s="108">
        <f t="shared" si="1760"/>
        <v>0</v>
      </c>
      <c r="VG172" s="108">
        <f t="shared" si="1760"/>
        <v>0</v>
      </c>
      <c r="VH172" s="108">
        <f t="shared" si="1760"/>
        <v>0</v>
      </c>
      <c r="VI172" s="108">
        <f t="shared" si="1760"/>
        <v>0</v>
      </c>
      <c r="VJ172" s="108">
        <f t="shared" si="1760"/>
        <v>0</v>
      </c>
      <c r="VK172" s="108">
        <f t="shared" si="1760"/>
        <v>0</v>
      </c>
      <c r="VL172" s="108">
        <f t="shared" si="1760"/>
        <v>0</v>
      </c>
      <c r="VM172" s="108">
        <f t="shared" si="1760"/>
        <v>0</v>
      </c>
      <c r="VN172" s="108">
        <f t="shared" si="1760"/>
        <v>0</v>
      </c>
      <c r="VO172" s="108">
        <f t="shared" si="1760"/>
        <v>0</v>
      </c>
      <c r="VP172" s="108">
        <f t="shared" si="1760"/>
        <v>0</v>
      </c>
      <c r="VQ172" s="108">
        <f t="shared" si="1760"/>
        <v>0</v>
      </c>
      <c r="VR172" s="108">
        <f t="shared" si="1760"/>
        <v>0</v>
      </c>
      <c r="VS172" s="108">
        <f t="shared" si="1760"/>
        <v>0</v>
      </c>
      <c r="VT172" s="108">
        <f t="shared" si="1760"/>
        <v>0</v>
      </c>
      <c r="VU172" s="108">
        <f t="shared" si="1760"/>
        <v>0</v>
      </c>
      <c r="VV172" s="108">
        <f t="shared" si="1760"/>
        <v>0</v>
      </c>
      <c r="VW172" s="108">
        <f t="shared" si="1760"/>
        <v>0</v>
      </c>
      <c r="VX172" s="108">
        <f t="shared" si="1760"/>
        <v>0</v>
      </c>
      <c r="VY172" s="108">
        <f t="shared" si="1760"/>
        <v>0</v>
      </c>
      <c r="VZ172" s="108">
        <f t="shared" si="1760"/>
        <v>0</v>
      </c>
      <c r="WA172" s="108">
        <f t="shared" si="1760"/>
        <v>0</v>
      </c>
      <c r="WB172" s="108">
        <f t="shared" si="1760"/>
        <v>0</v>
      </c>
      <c r="WC172" s="108">
        <f t="shared" si="1760"/>
        <v>0</v>
      </c>
      <c r="WD172" s="108">
        <f t="shared" si="1760"/>
        <v>0</v>
      </c>
      <c r="WE172" s="108">
        <f t="shared" si="1760"/>
        <v>0</v>
      </c>
      <c r="WF172" s="108">
        <f t="shared" si="1760"/>
        <v>0</v>
      </c>
      <c r="WG172" s="108">
        <f t="shared" si="1760"/>
        <v>0</v>
      </c>
      <c r="WH172" s="108">
        <f t="shared" si="1760"/>
        <v>0</v>
      </c>
      <c r="WI172" s="108">
        <f t="shared" si="1760"/>
        <v>0</v>
      </c>
      <c r="WJ172" s="108">
        <f t="shared" si="1760"/>
        <v>0</v>
      </c>
      <c r="WK172" s="108">
        <f t="shared" si="1760"/>
        <v>0</v>
      </c>
      <c r="WL172" s="108">
        <f t="shared" si="1760"/>
        <v>0</v>
      </c>
      <c r="WM172" s="108">
        <f t="shared" si="1760"/>
        <v>0</v>
      </c>
      <c r="WN172" s="108">
        <f t="shared" si="1760"/>
        <v>0</v>
      </c>
      <c r="WO172" s="108">
        <f t="shared" si="1760"/>
        <v>0</v>
      </c>
      <c r="WP172" s="108">
        <f t="shared" si="1760"/>
        <v>0</v>
      </c>
      <c r="WQ172" s="145">
        <f t="shared" si="1760"/>
        <v>0</v>
      </c>
      <c r="WR172" s="145">
        <f t="shared" si="1760"/>
        <v>0</v>
      </c>
      <c r="WS172" s="145">
        <f t="shared" si="1760"/>
        <v>0</v>
      </c>
      <c r="WT172" s="145">
        <f t="shared" si="1760"/>
        <v>0</v>
      </c>
      <c r="WU172" s="145">
        <f t="shared" si="1760"/>
        <v>0</v>
      </c>
      <c r="WV172" s="145">
        <f t="shared" si="1760"/>
        <v>0</v>
      </c>
      <c r="WW172" s="145">
        <f t="shared" si="1760"/>
        <v>0</v>
      </c>
      <c r="WX172" s="145">
        <f t="shared" si="1760"/>
        <v>0</v>
      </c>
      <c r="WY172" s="145">
        <f t="shared" si="1760"/>
        <v>0</v>
      </c>
      <c r="WZ172" s="145">
        <f t="shared" si="1760"/>
        <v>0</v>
      </c>
      <c r="XA172" s="145">
        <f t="shared" si="1760"/>
        <v>0</v>
      </c>
      <c r="XB172" s="145">
        <f t="shared" si="1760"/>
        <v>0</v>
      </c>
      <c r="XC172" s="145">
        <f t="shared" si="1760"/>
        <v>0</v>
      </c>
      <c r="XD172" s="145">
        <f t="shared" si="1760"/>
        <v>0</v>
      </c>
      <c r="XE172" s="145">
        <f t="shared" si="1761"/>
        <v>0</v>
      </c>
      <c r="XF172" s="145">
        <f t="shared" si="1761"/>
        <v>0</v>
      </c>
      <c r="XG172" s="145">
        <f t="shared" si="1761"/>
        <v>0</v>
      </c>
      <c r="XH172" s="145">
        <f t="shared" si="1761"/>
        <v>0</v>
      </c>
      <c r="XI172" s="145">
        <f t="shared" si="1761"/>
        <v>0</v>
      </c>
      <c r="XJ172" s="145">
        <f t="shared" si="1761"/>
        <v>0</v>
      </c>
      <c r="XK172" s="145">
        <f t="shared" si="1761"/>
        <v>0</v>
      </c>
      <c r="XL172" s="145">
        <f t="shared" si="1761"/>
        <v>0</v>
      </c>
      <c r="XM172" s="145">
        <f t="shared" si="1761"/>
        <v>0</v>
      </c>
      <c r="XN172" s="146">
        <f t="shared" si="1761"/>
        <v>0</v>
      </c>
      <c r="XO172" s="146">
        <f t="shared" si="1761"/>
        <v>0</v>
      </c>
      <c r="XP172" s="146">
        <f t="shared" si="1761"/>
        <v>0</v>
      </c>
      <c r="XQ172" s="146">
        <f t="shared" si="1761"/>
        <v>0</v>
      </c>
      <c r="XR172" s="146">
        <f t="shared" si="1761"/>
        <v>0</v>
      </c>
      <c r="XS172" s="146">
        <f t="shared" si="1761"/>
        <v>0</v>
      </c>
      <c r="XT172" s="146">
        <f t="shared" si="1761"/>
        <v>0</v>
      </c>
      <c r="XU172" s="146">
        <f t="shared" si="1761"/>
        <v>0</v>
      </c>
      <c r="XV172" s="146">
        <f t="shared" si="1761"/>
        <v>0</v>
      </c>
      <c r="XW172" s="146">
        <f t="shared" si="1761"/>
        <v>0</v>
      </c>
      <c r="XX172" s="146">
        <f t="shared" si="1761"/>
        <v>0</v>
      </c>
      <c r="XY172" s="146">
        <f t="shared" si="1761"/>
        <v>0</v>
      </c>
      <c r="XZ172" s="146">
        <f t="shared" si="1761"/>
        <v>0</v>
      </c>
      <c r="YA172" s="146">
        <f t="shared" si="1761"/>
        <v>0</v>
      </c>
      <c r="YB172" s="146">
        <f t="shared" si="1761"/>
        <v>0</v>
      </c>
      <c r="YC172" s="146">
        <f t="shared" si="1761"/>
        <v>0</v>
      </c>
      <c r="YD172" s="146">
        <f t="shared" si="1761"/>
        <v>0</v>
      </c>
      <c r="YE172" s="146">
        <f t="shared" si="1761"/>
        <v>0</v>
      </c>
      <c r="YF172" s="146">
        <f t="shared" si="1761"/>
        <v>0</v>
      </c>
      <c r="YG172" s="146">
        <f t="shared" si="1761"/>
        <v>0</v>
      </c>
      <c r="YH172" s="146">
        <f t="shared" si="1761"/>
        <v>0</v>
      </c>
      <c r="YI172" s="146">
        <f t="shared" si="1761"/>
        <v>0</v>
      </c>
      <c r="YJ172" s="146">
        <f t="shared" si="1761"/>
        <v>0</v>
      </c>
      <c r="YK172" s="146">
        <f t="shared" si="1761"/>
        <v>0</v>
      </c>
      <c r="YL172" s="146">
        <f t="shared" si="1761"/>
        <v>0</v>
      </c>
      <c r="YM172" s="146">
        <f t="shared" si="1761"/>
        <v>0</v>
      </c>
      <c r="YN172" s="146">
        <f t="shared" si="1761"/>
        <v>0</v>
      </c>
      <c r="YO172" s="146">
        <f t="shared" si="1761"/>
        <v>0</v>
      </c>
      <c r="YP172" s="156">
        <f t="shared" si="1761"/>
        <v>0</v>
      </c>
      <c r="YQ172" s="156">
        <f t="shared" si="1761"/>
        <v>0</v>
      </c>
      <c r="YR172" s="156">
        <f t="shared" si="1761"/>
        <v>0</v>
      </c>
      <c r="YS172" s="156">
        <f t="shared" si="1761"/>
        <v>0</v>
      </c>
      <c r="YT172" s="156">
        <f t="shared" si="1761"/>
        <v>0</v>
      </c>
      <c r="YU172" s="156">
        <f t="shared" si="1761"/>
        <v>0</v>
      </c>
      <c r="YV172" s="156">
        <f t="shared" si="1761"/>
        <v>0</v>
      </c>
      <c r="YW172" s="156">
        <f t="shared" si="1761"/>
        <v>0</v>
      </c>
      <c r="YX172" s="156">
        <f t="shared" si="1761"/>
        <v>0</v>
      </c>
      <c r="YY172" s="156">
        <f t="shared" si="1761"/>
        <v>0</v>
      </c>
      <c r="YZ172" s="156">
        <f t="shared" si="1761"/>
        <v>0</v>
      </c>
      <c r="ZA172" s="156">
        <f t="shared" si="1761"/>
        <v>0</v>
      </c>
      <c r="ZB172" s="156">
        <f t="shared" si="1761"/>
        <v>0</v>
      </c>
      <c r="ZC172" s="156">
        <f t="shared" si="1761"/>
        <v>0</v>
      </c>
      <c r="ZD172" s="156">
        <f t="shared" si="1761"/>
        <v>0</v>
      </c>
      <c r="ZE172" s="156">
        <f t="shared" si="1761"/>
        <v>0</v>
      </c>
      <c r="ZF172" s="156">
        <f t="shared" si="1761"/>
        <v>0</v>
      </c>
      <c r="ZG172" s="156">
        <f t="shared" si="1761"/>
        <v>0</v>
      </c>
      <c r="ZH172" s="156">
        <f t="shared" si="1761"/>
        <v>0</v>
      </c>
      <c r="ZI172" s="156">
        <f t="shared" si="1761"/>
        <v>0</v>
      </c>
      <c r="ZJ172" s="156">
        <f t="shared" si="1761"/>
        <v>0</v>
      </c>
      <c r="ZK172" s="156">
        <f t="shared" si="1761"/>
        <v>0</v>
      </c>
      <c r="ZL172" s="156">
        <f t="shared" si="1761"/>
        <v>0</v>
      </c>
      <c r="ZM172" s="156">
        <f t="shared" si="1761"/>
        <v>0</v>
      </c>
      <c r="ZN172" s="156">
        <f t="shared" si="1761"/>
        <v>0</v>
      </c>
      <c r="ZO172" s="156">
        <f t="shared" si="1761"/>
        <v>0</v>
      </c>
      <c r="ZP172" s="156">
        <f t="shared" si="1761"/>
        <v>0</v>
      </c>
      <c r="ZQ172" s="179">
        <f t="shared" si="1762"/>
        <v>0</v>
      </c>
      <c r="ZR172" s="156">
        <f t="shared" si="1762"/>
        <v>0</v>
      </c>
      <c r="ZS172" s="179">
        <f t="shared" si="1762"/>
        <v>0</v>
      </c>
      <c r="ZT172" s="156">
        <f t="shared" si="1762"/>
        <v>0</v>
      </c>
      <c r="ZU172" s="156">
        <f t="shared" si="1762"/>
        <v>0</v>
      </c>
      <c r="ZV172" s="156">
        <f t="shared" si="1762"/>
        <v>0</v>
      </c>
      <c r="ZW172" s="156">
        <f t="shared" si="1762"/>
        <v>0</v>
      </c>
      <c r="ZX172" s="179">
        <f t="shared" si="1762"/>
        <v>0</v>
      </c>
      <c r="ZY172" s="156">
        <f t="shared" si="1762"/>
        <v>0</v>
      </c>
      <c r="ZZ172" s="179">
        <f t="shared" si="1762"/>
        <v>0</v>
      </c>
      <c r="AAA172" s="156">
        <f t="shared" si="1762"/>
        <v>0</v>
      </c>
      <c r="AAB172" s="156">
        <f t="shared" si="1762"/>
        <v>0</v>
      </c>
      <c r="AAC172" s="156">
        <f t="shared" si="1762"/>
        <v>0</v>
      </c>
      <c r="AAD172" s="156">
        <f t="shared" si="1762"/>
        <v>0</v>
      </c>
      <c r="AAE172" s="179">
        <f t="shared" si="1762"/>
        <v>0</v>
      </c>
      <c r="AAF172" s="156">
        <f t="shared" si="1762"/>
        <v>0</v>
      </c>
      <c r="AAG172" s="179">
        <f t="shared" si="1762"/>
        <v>0</v>
      </c>
      <c r="AAH172" s="156">
        <f t="shared" si="1762"/>
        <v>0</v>
      </c>
      <c r="AAI172" s="156">
        <f t="shared" si="1762"/>
        <v>0</v>
      </c>
      <c r="AAJ172" s="156">
        <f t="shared" si="1764"/>
        <v>0</v>
      </c>
      <c r="AAK172" s="156">
        <f t="shared" si="1763"/>
        <v>0</v>
      </c>
      <c r="AAL172" s="179">
        <f t="shared" si="1763"/>
        <v>0</v>
      </c>
      <c r="AAM172" s="156">
        <f t="shared" si="1763"/>
        <v>0</v>
      </c>
      <c r="AAN172" s="179">
        <f t="shared" si="1763"/>
        <v>0</v>
      </c>
      <c r="AAO172" s="119"/>
      <c r="AAP172" s="119"/>
      <c r="AAQ172" s="119"/>
      <c r="AAR172" s="119"/>
      <c r="AAS172" s="119"/>
      <c r="AAT172" s="119"/>
      <c r="AAU172" s="119"/>
      <c r="AAV172" s="119"/>
      <c r="AAW172" s="119"/>
      <c r="AAX172" s="119"/>
      <c r="AAY172" s="119"/>
      <c r="AAZ172" s="119"/>
      <c r="ABA172" s="119"/>
      <c r="ABB172" s="119"/>
      <c r="ABC172" s="119"/>
      <c r="ABD172" s="119"/>
      <c r="ABE172" s="119"/>
      <c r="ABF172" s="119"/>
      <c r="ABG172" s="119"/>
      <c r="ABH172" s="119"/>
      <c r="ABI172" s="119"/>
      <c r="ABJ172" s="119"/>
    </row>
    <row r="173" spans="1:738" ht="19.5" thickBot="1" x14ac:dyDescent="0.3">
      <c r="A173" s="298"/>
      <c r="B173" s="25" t="s">
        <v>25</v>
      </c>
      <c r="BY173" s="18"/>
      <c r="BZ173" s="18"/>
      <c r="CA173" s="18"/>
      <c r="CB173" s="18"/>
      <c r="CC173" s="18"/>
      <c r="CD173" s="18"/>
      <c r="CE173" s="18"/>
      <c r="CF173" s="18"/>
      <c r="CG173" s="18"/>
      <c r="CH173" s="18"/>
      <c r="CI173" s="18"/>
      <c r="CJ173" s="18"/>
      <c r="CK173" s="18"/>
      <c r="CL173" s="18"/>
      <c r="CM173" s="18"/>
      <c r="CN173" s="18"/>
      <c r="CO173" s="18"/>
      <c r="CP173" s="18"/>
      <c r="CQ173" s="18"/>
      <c r="CR173" s="18"/>
      <c r="CS173" s="18"/>
      <c r="CT173" s="18"/>
      <c r="CU173" s="18"/>
      <c r="CV173" s="18"/>
      <c r="CW173" s="18"/>
      <c r="CX173" s="18"/>
      <c r="CY173" s="18"/>
      <c r="CZ173" s="18"/>
      <c r="DA173" s="18"/>
      <c r="DB173" s="18"/>
      <c r="DC173" s="18"/>
      <c r="DD173" s="18"/>
      <c r="DE173" s="18"/>
      <c r="DF173" s="18"/>
      <c r="DG173" s="18"/>
      <c r="DH173" s="18"/>
      <c r="DI173" s="18"/>
      <c r="DJ173" s="18"/>
      <c r="DK173" s="18"/>
      <c r="DL173" s="18"/>
      <c r="DM173" s="18"/>
      <c r="DN173" s="18"/>
      <c r="DO173" s="18"/>
      <c r="DP173" s="18"/>
      <c r="DQ173" s="18"/>
      <c r="DR173" s="18"/>
      <c r="DS173" s="18"/>
      <c r="DT173" s="18"/>
      <c r="DU173" s="18"/>
      <c r="DV173" s="18"/>
      <c r="DW173" s="18"/>
      <c r="DX173" s="18"/>
      <c r="DY173" s="18"/>
      <c r="DZ173" s="18"/>
      <c r="EA173" s="18"/>
      <c r="EB173" s="18"/>
      <c r="EC173" s="18"/>
      <c r="ED173" s="18"/>
      <c r="EE173" s="18"/>
      <c r="EF173" s="18"/>
      <c r="EG173" s="18"/>
      <c r="EH173" s="18"/>
      <c r="EI173" s="18"/>
      <c r="EJ173" s="18"/>
      <c r="EK173" s="18"/>
      <c r="EL173" s="18"/>
      <c r="EM173" s="18"/>
      <c r="EN173" s="18"/>
      <c r="EO173" s="18"/>
      <c r="EP173" s="18"/>
      <c r="EQ173" s="18"/>
      <c r="ER173" s="18"/>
      <c r="ES173" s="18"/>
      <c r="ET173" s="18"/>
      <c r="EU173" s="18"/>
      <c r="EV173" s="18"/>
      <c r="EW173" s="18"/>
      <c r="EX173" s="18"/>
      <c r="EY173" s="18"/>
      <c r="EZ173" s="18"/>
      <c r="FA173" s="18"/>
      <c r="FB173" s="18"/>
      <c r="FC173" s="18"/>
      <c r="FD173" s="18"/>
      <c r="FE173" s="18"/>
      <c r="FF173" s="18"/>
      <c r="FG173" s="18"/>
      <c r="FH173" s="18"/>
      <c r="FI173" s="18"/>
      <c r="FJ173" s="18"/>
      <c r="FK173" s="18"/>
      <c r="FL173" s="18"/>
      <c r="FM173" s="18"/>
      <c r="FN173" s="18"/>
      <c r="FO173" s="18"/>
      <c r="FP173" s="18"/>
      <c r="FQ173" s="18"/>
      <c r="FR173" s="18"/>
      <c r="FS173" s="18"/>
      <c r="FT173" s="18"/>
      <c r="FU173" s="18"/>
      <c r="FV173" s="18"/>
      <c r="FW173" s="18"/>
      <c r="FX173" s="18"/>
      <c r="FY173" s="18"/>
      <c r="FZ173" s="18"/>
      <c r="GA173" s="18"/>
      <c r="GB173" s="18"/>
      <c r="GC173" s="18"/>
      <c r="GD173" s="18"/>
      <c r="GE173" s="18"/>
      <c r="GF173" s="18"/>
      <c r="GG173" s="18"/>
      <c r="GH173" s="18"/>
      <c r="GI173" s="18"/>
      <c r="GJ173" s="18"/>
      <c r="GK173" s="18"/>
      <c r="GL173" s="18"/>
      <c r="GM173" s="18"/>
      <c r="GN173" s="18"/>
      <c r="GO173" s="18"/>
      <c r="GP173" s="18"/>
      <c r="GQ173" s="18"/>
      <c r="GR173" s="18"/>
      <c r="GS173" s="18"/>
      <c r="GT173" s="18"/>
      <c r="GU173" s="18"/>
      <c r="GV173" s="18"/>
      <c r="GW173" s="18"/>
      <c r="GX173" s="18"/>
      <c r="GY173" s="18"/>
      <c r="GZ173" s="18"/>
      <c r="HA173" s="18"/>
      <c r="HB173" s="18"/>
      <c r="HC173" s="18"/>
      <c r="HD173" s="18"/>
      <c r="HE173" s="18"/>
      <c r="HF173" s="18"/>
      <c r="HG173" s="18"/>
      <c r="HH173" s="18"/>
      <c r="HI173" s="18"/>
      <c r="HJ173" s="18"/>
      <c r="HK173" s="18"/>
      <c r="HL173" s="18"/>
      <c r="HM173" s="18"/>
      <c r="HN173" s="18"/>
      <c r="HO173" s="18"/>
      <c r="HP173" s="18"/>
      <c r="HQ173" s="18"/>
      <c r="HR173" s="18"/>
      <c r="HS173" s="18"/>
      <c r="HT173" s="18"/>
      <c r="HU173" s="18"/>
      <c r="HV173" s="18"/>
      <c r="HW173" s="18"/>
      <c r="HX173" s="18"/>
      <c r="HY173" s="18"/>
      <c r="HZ173" s="18"/>
      <c r="IA173" s="18"/>
      <c r="IB173" s="18"/>
      <c r="IC173" s="18"/>
      <c r="ID173" s="18"/>
      <c r="IE173" s="18"/>
      <c r="IF173" s="18"/>
      <c r="IG173" s="18"/>
      <c r="IH173" s="18"/>
      <c r="II173" s="18"/>
      <c r="IJ173" s="18"/>
      <c r="IK173" s="18"/>
      <c r="IL173" s="18"/>
      <c r="IM173" s="18"/>
      <c r="IN173" s="18"/>
      <c r="IO173" s="18"/>
      <c r="IP173" s="18"/>
      <c r="IQ173" s="18"/>
      <c r="IR173" s="18"/>
      <c r="IS173" s="18"/>
      <c r="IT173" s="18"/>
      <c r="IU173" s="18"/>
      <c r="IV173" s="18"/>
      <c r="IW173" s="18"/>
      <c r="IX173" s="18"/>
      <c r="IY173" s="18"/>
      <c r="IZ173" s="18"/>
      <c r="JA173" s="18"/>
      <c r="JB173" s="18"/>
      <c r="JC173" s="18"/>
      <c r="JD173" s="18"/>
      <c r="JE173" s="18"/>
      <c r="JF173" s="18"/>
      <c r="JG173" s="18"/>
      <c r="JH173" s="18"/>
      <c r="JI173" s="18"/>
      <c r="JJ173" s="18"/>
      <c r="JK173" s="18"/>
      <c r="JL173" s="18"/>
      <c r="JM173" s="18"/>
      <c r="JN173" s="18"/>
      <c r="JO173" s="18"/>
      <c r="JP173" s="18"/>
      <c r="JQ173" s="18"/>
      <c r="JR173" s="18"/>
      <c r="JS173" s="18"/>
      <c r="JT173" s="18"/>
      <c r="JU173" s="18"/>
      <c r="JV173" s="18"/>
      <c r="JW173" s="18"/>
      <c r="JX173" s="18"/>
      <c r="JY173" s="18"/>
      <c r="JZ173" s="18"/>
      <c r="KA173" s="18"/>
      <c r="KB173" s="18"/>
      <c r="KC173" s="18"/>
      <c r="KD173" s="18"/>
      <c r="KE173" s="18"/>
      <c r="KF173" s="18"/>
      <c r="KG173" s="18"/>
      <c r="KH173" s="18"/>
      <c r="KI173" s="18"/>
      <c r="KJ173" s="18"/>
      <c r="KK173" s="18"/>
      <c r="KL173" s="18"/>
      <c r="KM173" s="18"/>
      <c r="KN173" s="18"/>
      <c r="KO173" s="18"/>
      <c r="KP173" s="18"/>
      <c r="KQ173" s="18"/>
      <c r="KR173" s="18"/>
      <c r="KS173" s="18"/>
      <c r="KT173" s="18"/>
      <c r="KU173" s="18"/>
      <c r="KV173" s="18"/>
      <c r="KW173" s="18"/>
      <c r="KX173" s="18"/>
      <c r="KY173" s="18"/>
      <c r="KZ173" s="18"/>
      <c r="LA173" s="18"/>
      <c r="LB173" s="18"/>
      <c r="LC173" s="18"/>
      <c r="LD173" s="18"/>
      <c r="LE173" s="18"/>
      <c r="LF173" s="18"/>
      <c r="LG173" s="18"/>
      <c r="LH173" s="18"/>
      <c r="LI173" s="18"/>
      <c r="LJ173" s="18"/>
      <c r="LK173" s="18"/>
      <c r="LL173" s="18"/>
      <c r="LM173" s="18"/>
      <c r="LN173" s="18"/>
      <c r="LO173" s="18"/>
      <c r="LP173" s="18"/>
      <c r="LQ173" s="18"/>
      <c r="LR173" s="18"/>
      <c r="LS173" s="18"/>
      <c r="LT173" s="18"/>
      <c r="LU173" s="18"/>
      <c r="LV173" s="18"/>
      <c r="LW173" s="18"/>
      <c r="LX173" s="18"/>
      <c r="LY173" s="18"/>
      <c r="LZ173" s="18"/>
      <c r="MA173" s="18"/>
      <c r="MB173" s="18"/>
      <c r="MC173" s="18"/>
      <c r="MD173" s="18"/>
      <c r="ME173" s="18"/>
      <c r="MF173" s="18"/>
      <c r="MG173" s="18"/>
      <c r="MH173" s="18"/>
      <c r="MI173" s="18"/>
      <c r="MJ173" s="18"/>
      <c r="MK173" s="18"/>
      <c r="ML173" s="18"/>
      <c r="MM173" s="18"/>
      <c r="MN173" s="18"/>
      <c r="MO173" s="18"/>
      <c r="MP173" s="18"/>
      <c r="MQ173" s="18"/>
      <c r="MR173" s="18"/>
      <c r="MS173" s="18"/>
      <c r="MT173" s="18"/>
      <c r="MU173" s="18"/>
      <c r="MV173" s="18"/>
      <c r="MW173" s="18"/>
      <c r="MX173" s="18"/>
      <c r="MY173" s="18"/>
      <c r="MZ173" s="18"/>
      <c r="NA173" s="18"/>
      <c r="NB173" s="18"/>
      <c r="NC173" s="18"/>
      <c r="ND173" s="18"/>
      <c r="NE173" s="18"/>
      <c r="NF173" s="18"/>
      <c r="NG173" s="18"/>
      <c r="NH173" s="18"/>
      <c r="NI173" s="18"/>
      <c r="NJ173" s="18"/>
      <c r="NK173" s="18"/>
      <c r="NL173" s="18"/>
      <c r="NM173" s="18"/>
      <c r="NN173" s="18"/>
      <c r="NO173" s="18"/>
      <c r="NP173" s="18"/>
      <c r="NQ173" s="18"/>
      <c r="NR173" s="18"/>
      <c r="NS173" s="18"/>
      <c r="NT173" s="18"/>
      <c r="NU173" s="18"/>
      <c r="NV173" s="18"/>
      <c r="NW173" s="18"/>
      <c r="NX173" s="18"/>
      <c r="NY173" s="18"/>
      <c r="NZ173" s="18"/>
      <c r="OA173" s="18"/>
      <c r="OB173" s="18"/>
      <c r="OC173" s="18"/>
      <c r="OD173" s="18"/>
      <c r="OE173" s="18"/>
      <c r="OF173" s="18"/>
      <c r="OG173" s="18"/>
      <c r="OH173" s="18"/>
      <c r="OI173" s="18"/>
      <c r="OJ173" s="18"/>
      <c r="OK173" s="18"/>
      <c r="OL173" s="18"/>
      <c r="OM173" s="18"/>
      <c r="ON173" s="18"/>
      <c r="OO173" s="18"/>
      <c r="OP173" s="18"/>
      <c r="OQ173" s="18"/>
      <c r="OR173" s="18"/>
      <c r="OS173" s="18"/>
      <c r="OT173" s="18"/>
      <c r="OU173" s="18"/>
      <c r="OV173" s="18"/>
      <c r="OW173" s="18"/>
      <c r="OX173" s="18"/>
      <c r="OY173" s="18"/>
      <c r="OZ173" s="18"/>
      <c r="PA173" s="18"/>
      <c r="PB173" s="18"/>
      <c r="PC173" s="18"/>
      <c r="PD173" s="18"/>
      <c r="PE173" s="18"/>
      <c r="PF173" s="18"/>
      <c r="PG173" s="18"/>
      <c r="PH173" s="18"/>
      <c r="PI173" s="18"/>
      <c r="PJ173" s="18"/>
      <c r="PK173" s="18"/>
      <c r="PL173" s="18"/>
      <c r="PM173" s="18"/>
      <c r="PN173" s="18"/>
      <c r="PO173" s="18"/>
      <c r="PP173" s="18"/>
      <c r="PQ173" s="18"/>
      <c r="PR173" s="18"/>
      <c r="PS173" s="18"/>
      <c r="PT173" s="18"/>
      <c r="PU173" s="18"/>
      <c r="PV173" s="18"/>
      <c r="PW173" s="18"/>
      <c r="PX173" s="18"/>
      <c r="PY173" s="18"/>
      <c r="PZ173" s="18"/>
      <c r="QA173" s="18"/>
      <c r="QB173" s="18"/>
      <c r="QC173" s="18"/>
      <c r="QD173" s="18"/>
      <c r="QE173" s="18"/>
      <c r="QF173" s="18"/>
      <c r="QG173" s="18"/>
      <c r="QH173" s="18"/>
      <c r="QI173" s="18"/>
      <c r="QJ173" s="18"/>
      <c r="QK173" s="18"/>
      <c r="QL173" s="18"/>
      <c r="QM173" s="18"/>
      <c r="QN173" s="18"/>
      <c r="QO173" s="18"/>
      <c r="QP173" s="18"/>
      <c r="QQ173" s="18"/>
      <c r="QR173" s="18"/>
      <c r="QS173" s="18"/>
      <c r="QT173" s="18"/>
      <c r="QU173" s="18"/>
      <c r="QV173" s="18"/>
      <c r="QW173" s="18"/>
      <c r="QX173" s="18"/>
      <c r="QY173" s="18"/>
      <c r="QZ173" s="18"/>
      <c r="RA173" s="18"/>
      <c r="RB173" s="18"/>
      <c r="RC173" s="18"/>
      <c r="RD173" s="18"/>
      <c r="RE173" s="18"/>
      <c r="RF173" s="18"/>
      <c r="RG173" s="18"/>
      <c r="RH173" s="18"/>
      <c r="RI173" s="18"/>
      <c r="RJ173" s="18"/>
      <c r="RK173" s="18"/>
      <c r="RL173" s="18"/>
      <c r="RM173" s="18"/>
      <c r="RN173" s="18"/>
      <c r="RO173" s="18"/>
      <c r="RP173" s="18"/>
      <c r="RQ173" s="18"/>
      <c r="RR173" s="18"/>
      <c r="RS173" s="18"/>
      <c r="RT173" s="18"/>
      <c r="RU173" s="18"/>
      <c r="RV173" s="18"/>
      <c r="RW173" s="18"/>
      <c r="RX173" s="18"/>
      <c r="RY173" s="18"/>
      <c r="RZ173" s="18"/>
      <c r="SA173" s="18"/>
      <c r="SB173" s="18"/>
      <c r="UR173" s="138">
        <f t="shared" si="1756"/>
        <v>0</v>
      </c>
      <c r="US173" s="108">
        <f t="shared" si="1757"/>
        <v>0</v>
      </c>
      <c r="UT173" s="108">
        <f t="shared" si="1758"/>
        <v>0</v>
      </c>
      <c r="UU173" s="108">
        <f t="shared" si="1759"/>
        <v>0</v>
      </c>
      <c r="UV173" s="108">
        <f t="shared" si="1760"/>
        <v>0</v>
      </c>
      <c r="UW173" s="108">
        <f t="shared" si="1760"/>
        <v>0</v>
      </c>
      <c r="UX173" s="108">
        <f t="shared" si="1760"/>
        <v>0</v>
      </c>
      <c r="UY173" s="108">
        <f t="shared" si="1760"/>
        <v>0</v>
      </c>
      <c r="UZ173" s="108">
        <f t="shared" si="1760"/>
        <v>0</v>
      </c>
      <c r="VA173" s="108">
        <f t="shared" si="1760"/>
        <v>0</v>
      </c>
      <c r="VB173" s="108">
        <f t="shared" si="1760"/>
        <v>0</v>
      </c>
      <c r="VC173" s="108">
        <f t="shared" si="1760"/>
        <v>0</v>
      </c>
      <c r="VD173" s="108">
        <f t="shared" si="1760"/>
        <v>0</v>
      </c>
      <c r="VE173" s="108">
        <f t="shared" si="1760"/>
        <v>0</v>
      </c>
      <c r="VF173" s="108">
        <f t="shared" si="1760"/>
        <v>0</v>
      </c>
      <c r="VG173" s="108">
        <f t="shared" si="1760"/>
        <v>0</v>
      </c>
      <c r="VH173" s="108">
        <f t="shared" si="1760"/>
        <v>0</v>
      </c>
      <c r="VI173" s="108">
        <f t="shared" si="1760"/>
        <v>0</v>
      </c>
      <c r="VJ173" s="108">
        <f t="shared" si="1760"/>
        <v>0</v>
      </c>
      <c r="VK173" s="108">
        <f t="shared" si="1760"/>
        <v>0</v>
      </c>
      <c r="VL173" s="108">
        <f t="shared" si="1760"/>
        <v>0</v>
      </c>
      <c r="VM173" s="108">
        <f t="shared" si="1760"/>
        <v>0</v>
      </c>
      <c r="VN173" s="108">
        <f t="shared" si="1760"/>
        <v>0</v>
      </c>
      <c r="VO173" s="108">
        <f t="shared" si="1760"/>
        <v>0</v>
      </c>
      <c r="VP173" s="108">
        <f t="shared" si="1760"/>
        <v>0</v>
      </c>
      <c r="VQ173" s="108">
        <f t="shared" si="1760"/>
        <v>0</v>
      </c>
      <c r="VR173" s="108">
        <f t="shared" si="1760"/>
        <v>0</v>
      </c>
      <c r="VS173" s="108">
        <f t="shared" si="1760"/>
        <v>0</v>
      </c>
      <c r="VT173" s="108">
        <f t="shared" si="1760"/>
        <v>0</v>
      </c>
      <c r="VU173" s="108">
        <f t="shared" si="1760"/>
        <v>0</v>
      </c>
      <c r="VV173" s="108">
        <f t="shared" si="1760"/>
        <v>0</v>
      </c>
      <c r="VW173" s="108">
        <f t="shared" si="1760"/>
        <v>0</v>
      </c>
      <c r="VX173" s="108">
        <f t="shared" si="1760"/>
        <v>0</v>
      </c>
      <c r="VY173" s="108">
        <f t="shared" si="1760"/>
        <v>0</v>
      </c>
      <c r="VZ173" s="108">
        <f t="shared" si="1760"/>
        <v>0</v>
      </c>
      <c r="WA173" s="108">
        <f t="shared" si="1760"/>
        <v>0</v>
      </c>
      <c r="WB173" s="108">
        <f t="shared" si="1760"/>
        <v>0</v>
      </c>
      <c r="WC173" s="108">
        <f t="shared" si="1760"/>
        <v>0</v>
      </c>
      <c r="WD173" s="108">
        <f t="shared" si="1760"/>
        <v>0</v>
      </c>
      <c r="WE173" s="108">
        <f t="shared" si="1760"/>
        <v>0</v>
      </c>
      <c r="WF173" s="108">
        <f t="shared" si="1760"/>
        <v>0</v>
      </c>
      <c r="WG173" s="108">
        <f t="shared" si="1760"/>
        <v>0</v>
      </c>
      <c r="WH173" s="108">
        <f t="shared" si="1760"/>
        <v>0</v>
      </c>
      <c r="WI173" s="108">
        <f t="shared" si="1760"/>
        <v>0</v>
      </c>
      <c r="WJ173" s="108">
        <f t="shared" si="1760"/>
        <v>0</v>
      </c>
      <c r="WK173" s="108">
        <f t="shared" si="1760"/>
        <v>0</v>
      </c>
      <c r="WL173" s="108">
        <f t="shared" si="1760"/>
        <v>0</v>
      </c>
      <c r="WM173" s="108">
        <f t="shared" si="1760"/>
        <v>0</v>
      </c>
      <c r="WN173" s="108">
        <f t="shared" si="1760"/>
        <v>0</v>
      </c>
      <c r="WO173" s="108">
        <f t="shared" si="1760"/>
        <v>0</v>
      </c>
      <c r="WP173" s="108">
        <f t="shared" si="1760"/>
        <v>0</v>
      </c>
      <c r="WQ173" s="145">
        <f t="shared" si="1760"/>
        <v>0</v>
      </c>
      <c r="WR173" s="145">
        <f t="shared" si="1760"/>
        <v>0</v>
      </c>
      <c r="WS173" s="145">
        <f t="shared" si="1760"/>
        <v>0</v>
      </c>
      <c r="WT173" s="145">
        <f t="shared" si="1760"/>
        <v>0</v>
      </c>
      <c r="WU173" s="145">
        <f t="shared" si="1760"/>
        <v>0</v>
      </c>
      <c r="WV173" s="145">
        <f t="shared" si="1760"/>
        <v>0</v>
      </c>
      <c r="WW173" s="145">
        <f t="shared" si="1760"/>
        <v>0</v>
      </c>
      <c r="WX173" s="145">
        <f t="shared" si="1760"/>
        <v>0</v>
      </c>
      <c r="WY173" s="145">
        <f t="shared" si="1760"/>
        <v>0</v>
      </c>
      <c r="WZ173" s="145">
        <f t="shared" si="1760"/>
        <v>0</v>
      </c>
      <c r="XA173" s="145">
        <f t="shared" si="1760"/>
        <v>0</v>
      </c>
      <c r="XB173" s="145">
        <f t="shared" si="1760"/>
        <v>0</v>
      </c>
      <c r="XC173" s="145">
        <f t="shared" si="1760"/>
        <v>0</v>
      </c>
      <c r="XD173" s="145">
        <f t="shared" ref="XD173:XD182" si="1765">BO30</f>
        <v>0</v>
      </c>
      <c r="XE173" s="145">
        <f t="shared" si="1761"/>
        <v>0</v>
      </c>
      <c r="XF173" s="145">
        <f t="shared" si="1761"/>
        <v>0</v>
      </c>
      <c r="XG173" s="145">
        <f t="shared" si="1761"/>
        <v>0</v>
      </c>
      <c r="XH173" s="145">
        <f t="shared" si="1761"/>
        <v>0</v>
      </c>
      <c r="XI173" s="145">
        <f t="shared" si="1761"/>
        <v>0</v>
      </c>
      <c r="XJ173" s="145">
        <f t="shared" si="1761"/>
        <v>0</v>
      </c>
      <c r="XK173" s="145">
        <f t="shared" si="1761"/>
        <v>0</v>
      </c>
      <c r="XL173" s="145">
        <f t="shared" si="1761"/>
        <v>0</v>
      </c>
      <c r="XM173" s="145">
        <f t="shared" si="1761"/>
        <v>0</v>
      </c>
      <c r="XN173" s="146">
        <f t="shared" si="1761"/>
        <v>0</v>
      </c>
      <c r="XO173" s="146">
        <f t="shared" si="1761"/>
        <v>0</v>
      </c>
      <c r="XP173" s="146">
        <f t="shared" si="1761"/>
        <v>0</v>
      </c>
      <c r="XQ173" s="146">
        <f t="shared" si="1761"/>
        <v>0</v>
      </c>
      <c r="XR173" s="146">
        <f t="shared" si="1761"/>
        <v>0</v>
      </c>
      <c r="XS173" s="146">
        <f t="shared" si="1761"/>
        <v>0</v>
      </c>
      <c r="XT173" s="146">
        <f t="shared" si="1761"/>
        <v>0</v>
      </c>
      <c r="XU173" s="146">
        <f t="shared" si="1761"/>
        <v>0</v>
      </c>
      <c r="XV173" s="146">
        <f t="shared" si="1761"/>
        <v>0</v>
      </c>
      <c r="XW173" s="146">
        <f t="shared" si="1761"/>
        <v>0</v>
      </c>
      <c r="XX173" s="146">
        <f t="shared" si="1761"/>
        <v>0</v>
      </c>
      <c r="XY173" s="146">
        <f t="shared" si="1761"/>
        <v>0</v>
      </c>
      <c r="XZ173" s="146">
        <f t="shared" si="1761"/>
        <v>0</v>
      </c>
      <c r="YA173" s="146">
        <f t="shared" si="1761"/>
        <v>0</v>
      </c>
      <c r="YB173" s="146">
        <f t="shared" si="1761"/>
        <v>0</v>
      </c>
      <c r="YC173" s="146">
        <f t="shared" si="1761"/>
        <v>0</v>
      </c>
      <c r="YD173" s="146">
        <f t="shared" si="1761"/>
        <v>0</v>
      </c>
      <c r="YE173" s="146">
        <f t="shared" si="1761"/>
        <v>0</v>
      </c>
      <c r="YF173" s="146">
        <f t="shared" si="1761"/>
        <v>0</v>
      </c>
      <c r="YG173" s="146">
        <f t="shared" si="1761"/>
        <v>0</v>
      </c>
      <c r="YH173" s="146">
        <f t="shared" si="1761"/>
        <v>0</v>
      </c>
      <c r="YI173" s="146">
        <f t="shared" si="1761"/>
        <v>0</v>
      </c>
      <c r="YJ173" s="146">
        <f t="shared" si="1761"/>
        <v>0</v>
      </c>
      <c r="YK173" s="146">
        <f t="shared" si="1761"/>
        <v>0</v>
      </c>
      <c r="YL173" s="146">
        <f t="shared" si="1761"/>
        <v>0</v>
      </c>
      <c r="YM173" s="146">
        <f t="shared" si="1761"/>
        <v>0</v>
      </c>
      <c r="YN173" s="146">
        <f t="shared" si="1761"/>
        <v>0</v>
      </c>
      <c r="YO173" s="146">
        <f t="shared" si="1761"/>
        <v>0</v>
      </c>
      <c r="YP173" s="156">
        <f t="shared" si="1761"/>
        <v>0</v>
      </c>
      <c r="YQ173" s="156">
        <f t="shared" si="1761"/>
        <v>0</v>
      </c>
      <c r="YR173" s="156">
        <f t="shared" si="1761"/>
        <v>0</v>
      </c>
      <c r="YS173" s="156">
        <f t="shared" si="1761"/>
        <v>0</v>
      </c>
      <c r="YT173" s="156">
        <f t="shared" si="1761"/>
        <v>0</v>
      </c>
      <c r="YU173" s="156">
        <f t="shared" si="1761"/>
        <v>0</v>
      </c>
      <c r="YV173" s="156">
        <f t="shared" si="1761"/>
        <v>0</v>
      </c>
      <c r="YW173" s="156">
        <f t="shared" si="1761"/>
        <v>0</v>
      </c>
      <c r="YX173" s="156">
        <f t="shared" si="1761"/>
        <v>0</v>
      </c>
      <c r="YY173" s="156">
        <f t="shared" si="1761"/>
        <v>0</v>
      </c>
      <c r="YZ173" s="156">
        <f t="shared" si="1761"/>
        <v>0</v>
      </c>
      <c r="ZA173" s="156">
        <f t="shared" si="1761"/>
        <v>0</v>
      </c>
      <c r="ZB173" s="156">
        <f t="shared" si="1761"/>
        <v>0</v>
      </c>
      <c r="ZC173" s="156">
        <f t="shared" si="1761"/>
        <v>0</v>
      </c>
      <c r="ZD173" s="156">
        <f t="shared" si="1761"/>
        <v>0</v>
      </c>
      <c r="ZE173" s="156">
        <f t="shared" si="1761"/>
        <v>0</v>
      </c>
      <c r="ZF173" s="156">
        <f t="shared" si="1761"/>
        <v>0</v>
      </c>
      <c r="ZG173" s="156">
        <f t="shared" si="1761"/>
        <v>0</v>
      </c>
      <c r="ZH173" s="156">
        <f t="shared" si="1761"/>
        <v>0</v>
      </c>
      <c r="ZI173" s="156">
        <f t="shared" si="1761"/>
        <v>0</v>
      </c>
      <c r="ZJ173" s="156">
        <f t="shared" si="1761"/>
        <v>0</v>
      </c>
      <c r="ZK173" s="156">
        <f t="shared" si="1761"/>
        <v>0</v>
      </c>
      <c r="ZL173" s="156">
        <f t="shared" si="1761"/>
        <v>0</v>
      </c>
      <c r="ZM173" s="156">
        <f t="shared" si="1761"/>
        <v>0</v>
      </c>
      <c r="ZN173" s="156">
        <f t="shared" si="1761"/>
        <v>0</v>
      </c>
      <c r="ZO173" s="156">
        <f t="shared" si="1761"/>
        <v>0</v>
      </c>
      <c r="ZP173" s="178">
        <f t="shared" ref="ZP173:ZP182" si="1766">EA30</f>
        <v>0</v>
      </c>
      <c r="ZQ173" s="181">
        <f t="shared" si="1762"/>
        <v>24.185735913858924</v>
      </c>
      <c r="ZR173" s="177">
        <f t="shared" si="1762"/>
        <v>0</v>
      </c>
      <c r="ZS173" s="181">
        <f t="shared" si="1762"/>
        <v>24.082193323306559</v>
      </c>
      <c r="ZT173" s="155">
        <f t="shared" si="1762"/>
        <v>0</v>
      </c>
      <c r="ZU173" s="156">
        <f t="shared" si="1762"/>
        <v>0</v>
      </c>
      <c r="ZV173" s="156">
        <f t="shared" si="1762"/>
        <v>0</v>
      </c>
      <c r="ZW173" s="178">
        <f t="shared" si="1762"/>
        <v>0</v>
      </c>
      <c r="ZX173" s="181">
        <f t="shared" si="1762"/>
        <v>23.834369382163725</v>
      </c>
      <c r="ZY173" s="177">
        <f t="shared" si="1762"/>
        <v>0</v>
      </c>
      <c r="ZZ173" s="181">
        <f t="shared" si="1762"/>
        <v>23.729612561855234</v>
      </c>
      <c r="AAA173" s="155">
        <f t="shared" si="1762"/>
        <v>0</v>
      </c>
      <c r="AAB173" s="156">
        <f t="shared" si="1762"/>
        <v>0</v>
      </c>
      <c r="AAC173" s="156">
        <f t="shared" si="1762"/>
        <v>0</v>
      </c>
      <c r="AAD173" s="178">
        <f t="shared" si="1762"/>
        <v>0</v>
      </c>
      <c r="AAE173" s="181">
        <f t="shared" si="1762"/>
        <v>23.481493552061213</v>
      </c>
      <c r="AAF173" s="177">
        <f t="shared" si="1762"/>
        <v>0</v>
      </c>
      <c r="AAG173" s="181">
        <f t="shared" si="1762"/>
        <v>23.372038483450538</v>
      </c>
      <c r="AAH173" s="155">
        <f t="shared" si="1762"/>
        <v>0</v>
      </c>
      <c r="AAI173" s="156">
        <f t="shared" si="1762"/>
        <v>0</v>
      </c>
      <c r="AAJ173" s="156">
        <f t="shared" si="1764"/>
        <v>0</v>
      </c>
      <c r="AAK173" s="178">
        <f t="shared" si="1763"/>
        <v>0</v>
      </c>
      <c r="AAL173" s="181">
        <f t="shared" si="1763"/>
        <v>23.116065489904333</v>
      </c>
      <c r="AAM173" s="177">
        <f t="shared" si="1763"/>
        <v>0</v>
      </c>
      <c r="AAN173" s="181">
        <f t="shared" si="1763"/>
        <v>22.977554025488825</v>
      </c>
      <c r="AAO173" s="119"/>
      <c r="AAP173" s="119"/>
      <c r="AAQ173" s="119"/>
      <c r="AAR173" s="119"/>
      <c r="AAS173" s="119"/>
      <c r="AAT173" s="119"/>
      <c r="AAU173" s="119"/>
      <c r="AAV173" s="119"/>
      <c r="AAW173" s="119"/>
      <c r="AAX173" s="119"/>
      <c r="AAY173" s="119"/>
      <c r="AAZ173" s="119"/>
      <c r="ABA173" s="119"/>
      <c r="ABB173" s="119"/>
      <c r="ABC173" s="119"/>
      <c r="ABD173" s="119"/>
      <c r="ABE173" s="119"/>
      <c r="ABF173" s="119"/>
      <c r="ABG173" s="119"/>
      <c r="ABH173" s="119"/>
      <c r="ABI173" s="119"/>
      <c r="ABJ173" s="119"/>
    </row>
    <row r="174" spans="1:738" ht="19.5" thickBot="1" x14ac:dyDescent="0.3">
      <c r="A174" s="298"/>
      <c r="B174" s="25" t="s">
        <v>2</v>
      </c>
      <c r="UR174" s="135">
        <f t="shared" si="1756"/>
        <v>2E-3</v>
      </c>
      <c r="US174" s="112">
        <f t="shared" si="1757"/>
        <v>2E-3</v>
      </c>
      <c r="UT174" s="113">
        <f t="shared" si="1758"/>
        <v>2E-3</v>
      </c>
      <c r="UU174" s="113">
        <f t="shared" si="1759"/>
        <v>2E-3</v>
      </c>
      <c r="UV174" s="113">
        <f t="shared" ref="UV174:UV182" si="1767">G31</f>
        <v>2E-3</v>
      </c>
      <c r="UW174" s="113">
        <f t="shared" ref="UW174:UW182" si="1768">H31</f>
        <v>2E-3</v>
      </c>
      <c r="UX174" s="113">
        <f t="shared" ref="UX174:UX182" si="1769">I31</f>
        <v>2E-3</v>
      </c>
      <c r="UY174" s="113">
        <f t="shared" ref="UY174:UY182" si="1770">J31</f>
        <v>2E-3</v>
      </c>
      <c r="UZ174" s="113">
        <f t="shared" ref="UZ174:UZ182" si="1771">K31</f>
        <v>2E-3</v>
      </c>
      <c r="VA174" s="113">
        <f t="shared" ref="VA174:VA182" si="1772">L31</f>
        <v>2E-3</v>
      </c>
      <c r="VB174" s="113">
        <f t="shared" ref="VB174:VB182" si="1773">M31</f>
        <v>2E-3</v>
      </c>
      <c r="VC174" s="113">
        <f t="shared" ref="VC174:VC182" si="1774">N31</f>
        <v>2E-3</v>
      </c>
      <c r="VD174" s="113">
        <f t="shared" ref="VD174:VD182" si="1775">O31</f>
        <v>2E-3</v>
      </c>
      <c r="VE174" s="113">
        <f t="shared" ref="VE174:VE182" si="1776">P31</f>
        <v>2E-3</v>
      </c>
      <c r="VF174" s="113">
        <f t="shared" ref="VF174:VF182" si="1777">Q31</f>
        <v>2E-3</v>
      </c>
      <c r="VG174" s="113">
        <f t="shared" ref="VG174:VG182" si="1778">R31</f>
        <v>2E-3</v>
      </c>
      <c r="VH174" s="113">
        <f t="shared" ref="VH174:VH182" si="1779">S31</f>
        <v>2E-3</v>
      </c>
      <c r="VI174" s="113">
        <f t="shared" ref="VI174:VI182" si="1780">T31</f>
        <v>2E-3</v>
      </c>
      <c r="VJ174" s="113">
        <f t="shared" ref="VJ174:VJ182" si="1781">U31</f>
        <v>2E-3</v>
      </c>
      <c r="VK174" s="113">
        <f t="shared" ref="VK174:VK182" si="1782">V31</f>
        <v>2E-3</v>
      </c>
      <c r="VL174" s="113">
        <f t="shared" ref="VL174:VL182" si="1783">W31</f>
        <v>2E-3</v>
      </c>
      <c r="VM174" s="113">
        <f t="shared" ref="VM174:VM182" si="1784">X31</f>
        <v>2E-3</v>
      </c>
      <c r="VN174" s="113">
        <f t="shared" ref="VN174:VN182" si="1785">Y31</f>
        <v>2E-3</v>
      </c>
      <c r="VO174" s="113">
        <f t="shared" ref="VO174:VO182" si="1786">Z31</f>
        <v>2E-3</v>
      </c>
      <c r="VP174" s="113">
        <f t="shared" ref="VP174:VP182" si="1787">AA31</f>
        <v>2E-3</v>
      </c>
      <c r="VQ174" s="113">
        <f t="shared" ref="VQ174:VQ182" si="1788">AB31</f>
        <v>2E-3</v>
      </c>
      <c r="VR174" s="113">
        <f t="shared" ref="VR174:VR182" si="1789">AC31</f>
        <v>2E-3</v>
      </c>
      <c r="VS174" s="113">
        <f t="shared" ref="VS174:VS182" si="1790">AD31</f>
        <v>2E-3</v>
      </c>
      <c r="VT174" s="113">
        <f t="shared" ref="VT174:VT182" si="1791">AE31</f>
        <v>2E-3</v>
      </c>
      <c r="VU174" s="113">
        <f t="shared" ref="VU174:VU182" si="1792">AF31</f>
        <v>2E-3</v>
      </c>
      <c r="VV174" s="113">
        <f t="shared" ref="VV174:VV182" si="1793">AG31</f>
        <v>2E-3</v>
      </c>
      <c r="VW174" s="113">
        <f t="shared" ref="VW174:VW182" si="1794">AH31</f>
        <v>2E-3</v>
      </c>
      <c r="VX174" s="113">
        <f t="shared" ref="VX174:VX182" si="1795">AI31</f>
        <v>2E-3</v>
      </c>
      <c r="VY174" s="113">
        <f t="shared" ref="VY174:VY182" si="1796">AJ31</f>
        <v>2E-3</v>
      </c>
      <c r="VZ174" s="113">
        <f t="shared" ref="VZ174:VZ182" si="1797">AK31</f>
        <v>2E-3</v>
      </c>
      <c r="WA174" s="113">
        <f t="shared" ref="WA174:WA182" si="1798">AL31</f>
        <v>2E-3</v>
      </c>
      <c r="WB174" s="113">
        <f t="shared" ref="WB174:WB182" si="1799">AM31</f>
        <v>2E-3</v>
      </c>
      <c r="WC174" s="113">
        <f t="shared" ref="WC174:WC182" si="1800">AN31</f>
        <v>2E-3</v>
      </c>
      <c r="WD174" s="113">
        <f t="shared" ref="WD174:WD182" si="1801">AO31</f>
        <v>2E-3</v>
      </c>
      <c r="WE174" s="113">
        <f t="shared" ref="WE174:WE182" si="1802">AP31</f>
        <v>2E-3</v>
      </c>
      <c r="WF174" s="113">
        <f t="shared" ref="WF174:WF182" si="1803">AQ31</f>
        <v>2E-3</v>
      </c>
      <c r="WG174" s="113">
        <f t="shared" ref="WG174:WG182" si="1804">AR31</f>
        <v>2E-3</v>
      </c>
      <c r="WH174" s="113">
        <f t="shared" ref="WH174:WH182" si="1805">AS31</f>
        <v>2E-3</v>
      </c>
      <c r="WI174" s="113">
        <f t="shared" ref="WI174:WI182" si="1806">AT31</f>
        <v>2E-3</v>
      </c>
      <c r="WJ174" s="113">
        <f t="shared" ref="WJ174:WJ182" si="1807">AU31</f>
        <v>2E-3</v>
      </c>
      <c r="WK174" s="113">
        <f t="shared" ref="WK174:WK182" si="1808">AV31</f>
        <v>2E-3</v>
      </c>
      <c r="WL174" s="113">
        <f t="shared" ref="WL174:WL182" si="1809">AW31</f>
        <v>2E-3</v>
      </c>
      <c r="WM174" s="113">
        <f t="shared" ref="WM174:WM182" si="1810">AX31</f>
        <v>2E-3</v>
      </c>
      <c r="WN174" s="113">
        <f t="shared" ref="WN174:WN182" si="1811">AY31</f>
        <v>2E-3</v>
      </c>
      <c r="WO174" s="113">
        <f t="shared" ref="WO174:WO182" si="1812">AZ31</f>
        <v>2E-3</v>
      </c>
      <c r="WP174" s="113">
        <f t="shared" ref="WP174:WP182" si="1813">BA31</f>
        <v>2E-3</v>
      </c>
      <c r="WQ174" s="147">
        <f t="shared" ref="WQ174:WQ182" si="1814">BB31</f>
        <v>2E-3</v>
      </c>
      <c r="WR174" s="147">
        <f t="shared" ref="WR174:WR182" si="1815">BC31</f>
        <v>2E-3</v>
      </c>
      <c r="WS174" s="147">
        <f t="shared" ref="WS174:WS182" si="1816">BD31</f>
        <v>2E-3</v>
      </c>
      <c r="WT174" s="147">
        <f t="shared" ref="WT174:WT182" si="1817">BE31</f>
        <v>2E-3</v>
      </c>
      <c r="WU174" s="147">
        <f t="shared" ref="WU174:WU182" si="1818">BF31</f>
        <v>2E-3</v>
      </c>
      <c r="WV174" s="147">
        <f t="shared" ref="WV174:WV182" si="1819">BG31</f>
        <v>2E-3</v>
      </c>
      <c r="WW174" s="147">
        <f t="shared" ref="WW174:WW182" si="1820">BH31</f>
        <v>2E-3</v>
      </c>
      <c r="WX174" s="147">
        <f t="shared" ref="WX174:WX182" si="1821">BI31</f>
        <v>2E-3</v>
      </c>
      <c r="WY174" s="147">
        <f t="shared" ref="WY174:WY182" si="1822">BJ31</f>
        <v>2E-3</v>
      </c>
      <c r="WZ174" s="147">
        <f t="shared" ref="WZ174:WZ182" si="1823">BK31</f>
        <v>2E-3</v>
      </c>
      <c r="XA174" s="147">
        <f t="shared" ref="XA174:XA182" si="1824">BL31</f>
        <v>2E-3</v>
      </c>
      <c r="XB174" s="147">
        <f t="shared" ref="XB174:XB182" si="1825">BM31</f>
        <v>2E-3</v>
      </c>
      <c r="XC174" s="147">
        <f t="shared" ref="XC174:XC182" si="1826">BN31</f>
        <v>2E-3</v>
      </c>
      <c r="XD174" s="147">
        <f t="shared" si="1765"/>
        <v>2E-3</v>
      </c>
      <c r="XE174" s="147">
        <f t="shared" ref="XE174:XE182" si="1827">BP31</f>
        <v>2E-3</v>
      </c>
      <c r="XF174" s="147">
        <f t="shared" ref="XF174:XF182" si="1828">BQ31</f>
        <v>2E-3</v>
      </c>
      <c r="XG174" s="147">
        <f t="shared" ref="XG174:XG182" si="1829">BR31</f>
        <v>2E-3</v>
      </c>
      <c r="XH174" s="147">
        <f t="shared" ref="XH174:XH182" si="1830">BS31</f>
        <v>2E-3</v>
      </c>
      <c r="XI174" s="147">
        <f t="shared" ref="XI174:XI182" si="1831">BT31</f>
        <v>2E-3</v>
      </c>
      <c r="XJ174" s="147">
        <f t="shared" ref="XJ174:XJ182" si="1832">BU31</f>
        <v>2E-3</v>
      </c>
      <c r="XK174" s="147">
        <f t="shared" ref="XK174:XK182" si="1833">BV31</f>
        <v>2E-3</v>
      </c>
      <c r="XL174" s="147">
        <f t="shared" ref="XL174:XL182" si="1834">BW31</f>
        <v>2E-3</v>
      </c>
      <c r="XM174" s="147">
        <f t="shared" ref="XM174:XM182" si="1835">BX31</f>
        <v>2E-3</v>
      </c>
      <c r="XN174" s="147">
        <f t="shared" ref="XN174:XN182" si="1836">BY31</f>
        <v>2E-3</v>
      </c>
      <c r="XO174" s="147">
        <f t="shared" ref="XO174:XO182" si="1837">BZ31</f>
        <v>2E-3</v>
      </c>
      <c r="XP174" s="147">
        <f t="shared" ref="XP174:XP182" si="1838">CA31</f>
        <v>2E-3</v>
      </c>
      <c r="XQ174" s="147">
        <f t="shared" ref="XQ174:XQ182" si="1839">CB31</f>
        <v>2E-3</v>
      </c>
      <c r="XR174" s="147">
        <f t="shared" ref="XR174:XR182" si="1840">CC31</f>
        <v>2E-3</v>
      </c>
      <c r="XS174" s="147">
        <f t="shared" ref="XS174:XS182" si="1841">CD31</f>
        <v>2E-3</v>
      </c>
      <c r="XT174" s="147">
        <f t="shared" ref="XT174:XT182" si="1842">CE31</f>
        <v>2E-3</v>
      </c>
      <c r="XU174" s="147">
        <f t="shared" ref="XU174:XU182" si="1843">CF31</f>
        <v>2E-3</v>
      </c>
      <c r="XV174" s="147">
        <f t="shared" ref="XV174:XV182" si="1844">CG31</f>
        <v>2E-3</v>
      </c>
      <c r="XW174" s="147">
        <f t="shared" ref="XW174:XW182" si="1845">CH31</f>
        <v>2E-3</v>
      </c>
      <c r="XX174" s="147">
        <f t="shared" ref="XX174:XX182" si="1846">CI31</f>
        <v>2E-3</v>
      </c>
      <c r="XY174" s="147">
        <f t="shared" ref="XY174:XY182" si="1847">CJ31</f>
        <v>2E-3</v>
      </c>
      <c r="XZ174" s="147">
        <f t="shared" ref="XZ174:XZ182" si="1848">CK31</f>
        <v>2E-3</v>
      </c>
      <c r="YA174" s="147">
        <f t="shared" ref="YA174:YA182" si="1849">CL31</f>
        <v>2E-3</v>
      </c>
      <c r="YB174" s="147">
        <f t="shared" ref="YB174:YB182" si="1850">CM31</f>
        <v>2E-3</v>
      </c>
      <c r="YC174" s="147">
        <f t="shared" ref="YC174:YC182" si="1851">CN31</f>
        <v>2E-3</v>
      </c>
      <c r="YD174" s="147">
        <f t="shared" ref="YD174:YD182" si="1852">CO31</f>
        <v>2E-3</v>
      </c>
      <c r="YE174" s="147">
        <f t="shared" ref="YE174:YE182" si="1853">CP31</f>
        <v>2E-3</v>
      </c>
      <c r="YF174" s="147">
        <f t="shared" ref="YF174:YF182" si="1854">CQ31</f>
        <v>2E-3</v>
      </c>
      <c r="YG174" s="147">
        <f t="shared" ref="YG174:YG182" si="1855">CR31</f>
        <v>2E-3</v>
      </c>
      <c r="YH174" s="147">
        <f t="shared" ref="YH174:YH182" si="1856">CS31</f>
        <v>2E-3</v>
      </c>
      <c r="YI174" s="147">
        <f t="shared" ref="YI174:YI182" si="1857">CT31</f>
        <v>2E-3</v>
      </c>
      <c r="YJ174" s="147">
        <f t="shared" ref="YJ174:YJ182" si="1858">CU31</f>
        <v>2E-3</v>
      </c>
      <c r="YK174" s="147">
        <f t="shared" ref="YK174:YK182" si="1859">CV31</f>
        <v>2E-3</v>
      </c>
      <c r="YL174" s="147">
        <f t="shared" ref="YL174:YL182" si="1860">CW31</f>
        <v>2E-3</v>
      </c>
      <c r="YM174" s="147">
        <f t="shared" ref="YM174:YM182" si="1861">CX31</f>
        <v>2E-3</v>
      </c>
      <c r="YN174" s="147">
        <f t="shared" ref="YN174:YN182" si="1862">CY31</f>
        <v>2E-3</v>
      </c>
      <c r="YO174" s="147">
        <f t="shared" ref="YO174:YO182" si="1863">CZ31</f>
        <v>2E-3</v>
      </c>
      <c r="YP174" s="157">
        <f t="shared" ref="YP174:YP182" si="1864">DA31</f>
        <v>2E-3</v>
      </c>
      <c r="YQ174" s="157">
        <f t="shared" ref="YQ174:YQ182" si="1865">DB31</f>
        <v>2E-3</v>
      </c>
      <c r="YR174" s="157">
        <f t="shared" ref="YR174:YR182" si="1866">DC31</f>
        <v>2E-3</v>
      </c>
      <c r="YS174" s="157">
        <f t="shared" ref="YS174:YS182" si="1867">DD31</f>
        <v>2E-3</v>
      </c>
      <c r="YT174" s="157">
        <f t="shared" ref="YT174:YT182" si="1868">DE31</f>
        <v>2E-3</v>
      </c>
      <c r="YU174" s="157">
        <f t="shared" ref="YU174:YU182" si="1869">DF31</f>
        <v>2E-3</v>
      </c>
      <c r="YV174" s="157">
        <f t="shared" ref="YV174:YV182" si="1870">DG31</f>
        <v>2E-3</v>
      </c>
      <c r="YW174" s="157">
        <f t="shared" ref="YW174:YW182" si="1871">DH31</f>
        <v>2E-3</v>
      </c>
      <c r="YX174" s="157">
        <f t="shared" ref="YX174:YX182" si="1872">DI31</f>
        <v>2E-3</v>
      </c>
      <c r="YY174" s="157">
        <f t="shared" ref="YY174:YY182" si="1873">DJ31</f>
        <v>2E-3</v>
      </c>
      <c r="YZ174" s="157">
        <f t="shared" ref="YZ174:YZ182" si="1874">DK31</f>
        <v>2E-3</v>
      </c>
      <c r="ZA174" s="157">
        <f t="shared" ref="ZA174:ZA182" si="1875">DL31</f>
        <v>2E-3</v>
      </c>
      <c r="ZB174" s="157">
        <f t="shared" ref="ZB174:ZB182" si="1876">DM31</f>
        <v>2E-3</v>
      </c>
      <c r="ZC174" s="157">
        <f t="shared" ref="ZC174:ZC182" si="1877">DN31</f>
        <v>2E-3</v>
      </c>
      <c r="ZD174" s="157">
        <f t="shared" ref="ZD174:ZD182" si="1878">DO31</f>
        <v>2E-3</v>
      </c>
      <c r="ZE174" s="157">
        <f t="shared" ref="ZE174:ZE182" si="1879">DP31</f>
        <v>2E-3</v>
      </c>
      <c r="ZF174" s="157">
        <f t="shared" ref="ZF174:ZF182" si="1880">DQ31</f>
        <v>2E-3</v>
      </c>
      <c r="ZG174" s="157">
        <f t="shared" ref="ZG174:ZG182" si="1881">DR31</f>
        <v>2E-3</v>
      </c>
      <c r="ZH174" s="157">
        <f t="shared" ref="ZH174:ZH182" si="1882">DS31</f>
        <v>2E-3</v>
      </c>
      <c r="ZI174" s="157">
        <f t="shared" ref="ZI174:ZI182" si="1883">DT31</f>
        <v>2E-3</v>
      </c>
      <c r="ZJ174" s="157">
        <f t="shared" ref="ZJ174:ZJ182" si="1884">DU31</f>
        <v>2E-3</v>
      </c>
      <c r="ZK174" s="157">
        <f t="shared" ref="ZK174:ZK182" si="1885">DV31</f>
        <v>2E-3</v>
      </c>
      <c r="ZL174" s="157">
        <f t="shared" ref="ZL174:ZL182" si="1886">DW31</f>
        <v>2E-3</v>
      </c>
      <c r="ZM174" s="157">
        <f t="shared" ref="ZM174:ZM182" si="1887">DX31</f>
        <v>2E-3</v>
      </c>
      <c r="ZN174" s="157">
        <f t="shared" ref="ZN174:ZN182" si="1888">DY31</f>
        <v>2E-3</v>
      </c>
      <c r="ZO174" s="157">
        <f t="shared" ref="ZO174:ZO182" si="1889">DZ31</f>
        <v>2E-3</v>
      </c>
      <c r="ZP174" s="157">
        <f t="shared" si="1766"/>
        <v>2E-3</v>
      </c>
      <c r="ZQ174" s="180">
        <f t="shared" si="1762"/>
        <v>2E-3</v>
      </c>
      <c r="ZR174" s="157">
        <f t="shared" si="1762"/>
        <v>2E-3</v>
      </c>
      <c r="ZS174" s="180">
        <f t="shared" si="1762"/>
        <v>2E-3</v>
      </c>
      <c r="ZT174" s="157">
        <f t="shared" si="1762"/>
        <v>2E-3</v>
      </c>
      <c r="ZU174" s="157">
        <f t="shared" si="1762"/>
        <v>2E-3</v>
      </c>
      <c r="ZV174" s="157">
        <f t="shared" si="1762"/>
        <v>2E-3</v>
      </c>
      <c r="ZW174" s="157">
        <f t="shared" si="1762"/>
        <v>2E-3</v>
      </c>
      <c r="ZX174" s="180">
        <f t="shared" si="1762"/>
        <v>2E-3</v>
      </c>
      <c r="ZY174" s="157">
        <f t="shared" si="1762"/>
        <v>2E-3</v>
      </c>
      <c r="ZZ174" s="180">
        <f t="shared" si="1762"/>
        <v>2E-3</v>
      </c>
      <c r="AAA174" s="157">
        <f t="shared" si="1762"/>
        <v>2E-3</v>
      </c>
      <c r="AAB174" s="157">
        <f t="shared" si="1762"/>
        <v>2E-3</v>
      </c>
      <c r="AAC174" s="157">
        <f t="shared" si="1762"/>
        <v>2E-3</v>
      </c>
      <c r="AAD174" s="157">
        <f t="shared" si="1762"/>
        <v>2E-3</v>
      </c>
      <c r="AAE174" s="180">
        <f t="shared" si="1762"/>
        <v>2E-3</v>
      </c>
      <c r="AAF174" s="157">
        <f t="shared" si="1762"/>
        <v>2E-3</v>
      </c>
      <c r="AAG174" s="180">
        <f t="shared" si="1762"/>
        <v>2E-3</v>
      </c>
      <c r="AAH174" s="157">
        <f t="shared" si="1762"/>
        <v>2E-3</v>
      </c>
      <c r="AAI174" s="157">
        <f t="shared" si="1762"/>
        <v>2E-3</v>
      </c>
      <c r="AAJ174" s="157">
        <f t="shared" si="1764"/>
        <v>2E-3</v>
      </c>
      <c r="AAK174" s="157">
        <f t="shared" si="1763"/>
        <v>2E-3</v>
      </c>
      <c r="AAL174" s="180">
        <f t="shared" si="1763"/>
        <v>2E-3</v>
      </c>
      <c r="AAM174" s="157">
        <f t="shared" si="1763"/>
        <v>2E-3</v>
      </c>
      <c r="AAN174" s="180">
        <f t="shared" si="1763"/>
        <v>2E-3</v>
      </c>
      <c r="AAO174" s="119"/>
      <c r="AAP174" s="119"/>
      <c r="AAQ174" s="119"/>
      <c r="AAR174" s="119"/>
      <c r="AAS174" s="119"/>
      <c r="AAT174" s="119"/>
      <c r="AAU174" s="119"/>
      <c r="AAV174" s="119"/>
      <c r="AAW174" s="119"/>
      <c r="AAX174" s="119"/>
      <c r="AAY174" s="119"/>
      <c r="AAZ174" s="119"/>
      <c r="ABA174" s="119"/>
      <c r="ABB174" s="119"/>
      <c r="ABC174" s="119"/>
      <c r="ABD174" s="119"/>
      <c r="ABE174" s="119"/>
      <c r="ABF174" s="119"/>
      <c r="ABG174" s="119"/>
      <c r="ABH174" s="119"/>
      <c r="ABI174" s="119"/>
      <c r="ABJ174" s="119"/>
    </row>
    <row r="175" spans="1:738" ht="18.75" x14ac:dyDescent="0.25">
      <c r="A175" s="298"/>
      <c r="B175" s="25" t="s">
        <v>15</v>
      </c>
      <c r="UR175" s="139">
        <f t="shared" si="1756"/>
        <v>0.5</v>
      </c>
      <c r="US175" s="110">
        <f t="shared" si="1757"/>
        <v>0.499</v>
      </c>
      <c r="UT175" s="110">
        <f t="shared" si="1758"/>
        <v>0.498002</v>
      </c>
      <c r="UU175" s="110">
        <f t="shared" si="1759"/>
        <v>0.49700599600000001</v>
      </c>
      <c r="UV175" s="110">
        <f t="shared" si="1767"/>
        <v>0.49601198400799995</v>
      </c>
      <c r="UW175" s="110">
        <f t="shared" si="1768"/>
        <v>0.495019960039984</v>
      </c>
      <c r="UX175" s="110">
        <f t="shared" si="1769"/>
        <v>0.49402992011990399</v>
      </c>
      <c r="UY175" s="110">
        <f t="shared" si="1770"/>
        <v>0.49304186027966418</v>
      </c>
      <c r="UZ175" s="110">
        <f t="shared" si="1771"/>
        <v>0.49205577655910482</v>
      </c>
      <c r="VA175" s="110">
        <f t="shared" si="1772"/>
        <v>0.49107166500598659</v>
      </c>
      <c r="VB175" s="110">
        <f t="shared" si="1773"/>
        <v>0.49008952167597458</v>
      </c>
      <c r="VC175" s="110">
        <f t="shared" si="1774"/>
        <v>0.48910934263262268</v>
      </c>
      <c r="VD175" s="110">
        <f t="shared" si="1775"/>
        <v>0.48813112394735741</v>
      </c>
      <c r="VE175" s="110">
        <f t="shared" si="1776"/>
        <v>0.4871548616994627</v>
      </c>
      <c r="VF175" s="110">
        <f t="shared" si="1777"/>
        <v>0.4861805519760638</v>
      </c>
      <c r="VG175" s="110">
        <f t="shared" si="1778"/>
        <v>0.48520819087211164</v>
      </c>
      <c r="VH175" s="110">
        <f t="shared" si="1779"/>
        <v>0.48423777449036742</v>
      </c>
      <c r="VI175" s="110">
        <f t="shared" si="1780"/>
        <v>0.4832692989413867</v>
      </c>
      <c r="VJ175" s="110">
        <f t="shared" si="1781"/>
        <v>0.48230276034350389</v>
      </c>
      <c r="VK175" s="110">
        <f t="shared" si="1782"/>
        <v>0.48133815482281689</v>
      </c>
      <c r="VL175" s="110">
        <f t="shared" si="1783"/>
        <v>0.48037547851317125</v>
      </c>
      <c r="VM175" s="110">
        <f t="shared" si="1784"/>
        <v>0.47941472755614489</v>
      </c>
      <c r="VN175" s="110">
        <f t="shared" si="1785"/>
        <v>0.47845589810103262</v>
      </c>
      <c r="VO175" s="110">
        <f t="shared" si="1786"/>
        <v>0.47749898630483056</v>
      </c>
      <c r="VP175" s="110">
        <f t="shared" si="1787"/>
        <v>0.47654398833222095</v>
      </c>
      <c r="VQ175" s="110">
        <f t="shared" si="1788"/>
        <v>0.47559090035555646</v>
      </c>
      <c r="VR175" s="110">
        <f t="shared" si="1789"/>
        <v>0.47463971855484532</v>
      </c>
      <c r="VS175" s="110">
        <f t="shared" si="1790"/>
        <v>0.47369043911773567</v>
      </c>
      <c r="VT175" s="110">
        <f t="shared" si="1791"/>
        <v>0.47274305823950019</v>
      </c>
      <c r="VU175" s="110">
        <f t="shared" si="1792"/>
        <v>0.47179757212302115</v>
      </c>
      <c r="VV175" s="110">
        <f t="shared" si="1793"/>
        <v>0.47085397697877512</v>
      </c>
      <c r="VW175" s="110">
        <f t="shared" si="1794"/>
        <v>0.46991226902481753</v>
      </c>
      <c r="VX175" s="110">
        <f t="shared" si="1795"/>
        <v>0.46897244448676789</v>
      </c>
      <c r="VY175" s="110">
        <f t="shared" si="1796"/>
        <v>0.46803449959779431</v>
      </c>
      <c r="VZ175" s="110">
        <f t="shared" si="1797"/>
        <v>0.46709843059859874</v>
      </c>
      <c r="WA175" s="110">
        <f t="shared" si="1798"/>
        <v>0.46616423373740151</v>
      </c>
      <c r="WB175" s="110">
        <f t="shared" si="1799"/>
        <v>0.46523190526992669</v>
      </c>
      <c r="WC175" s="110">
        <f t="shared" si="1800"/>
        <v>0.4643014414593869</v>
      </c>
      <c r="WD175" s="110">
        <f t="shared" si="1801"/>
        <v>0.4633728385764681</v>
      </c>
      <c r="WE175" s="110">
        <f t="shared" si="1802"/>
        <v>0.46244609289931515</v>
      </c>
      <c r="WF175" s="110">
        <f t="shared" si="1803"/>
        <v>0.46152120071351654</v>
      </c>
      <c r="WG175" s="110">
        <f t="shared" si="1804"/>
        <v>0.4605981583120895</v>
      </c>
      <c r="WH175" s="110">
        <f t="shared" si="1805"/>
        <v>0.45967696199546532</v>
      </c>
      <c r="WI175" s="110">
        <f t="shared" si="1806"/>
        <v>0.45875760807147442</v>
      </c>
      <c r="WJ175" s="110">
        <f t="shared" si="1807"/>
        <v>0.4578400928553315</v>
      </c>
      <c r="WK175" s="110">
        <f t="shared" si="1808"/>
        <v>0.45692441266962086</v>
      </c>
      <c r="WL175" s="110">
        <f t="shared" si="1809"/>
        <v>0.45601056384428162</v>
      </c>
      <c r="WM175" s="110">
        <f t="shared" si="1810"/>
        <v>0.45509854271659306</v>
      </c>
      <c r="WN175" s="110">
        <f t="shared" si="1811"/>
        <v>0.45418834563115984</v>
      </c>
      <c r="WO175" s="110">
        <f t="shared" si="1812"/>
        <v>0.45327996893989753</v>
      </c>
      <c r="WP175" s="110">
        <f t="shared" si="1813"/>
        <v>0.45237340900201772</v>
      </c>
      <c r="WQ175" s="148">
        <f t="shared" si="1814"/>
        <v>0.45146866218401371</v>
      </c>
      <c r="WR175" s="148">
        <f t="shared" si="1815"/>
        <v>0.45056572485964563</v>
      </c>
      <c r="WS175" s="148">
        <f t="shared" si="1816"/>
        <v>0.44966459340992637</v>
      </c>
      <c r="WT175" s="148">
        <f t="shared" si="1817"/>
        <v>0.44876526422310653</v>
      </c>
      <c r="WU175" s="148">
        <f t="shared" si="1818"/>
        <v>0.44786773369466026</v>
      </c>
      <c r="WV175" s="148">
        <f t="shared" si="1819"/>
        <v>0.44697199822727096</v>
      </c>
      <c r="WW175" s="148">
        <f t="shared" si="1820"/>
        <v>0.44607805423081642</v>
      </c>
      <c r="WX175" s="148">
        <f t="shared" si="1821"/>
        <v>0.44518589812235482</v>
      </c>
      <c r="WY175" s="148">
        <f t="shared" si="1822"/>
        <v>0.44429552632611008</v>
      </c>
      <c r="WZ175" s="148">
        <f t="shared" si="1823"/>
        <v>0.44340693527345787</v>
      </c>
      <c r="XA175" s="148">
        <f t="shared" si="1824"/>
        <v>0.44252012140291097</v>
      </c>
      <c r="XB175" s="148">
        <f t="shared" si="1825"/>
        <v>0.44163508116010514</v>
      </c>
      <c r="XC175" s="148">
        <f t="shared" si="1826"/>
        <v>0.44075181099778493</v>
      </c>
      <c r="XD175" s="148">
        <f t="shared" si="1765"/>
        <v>0.4398703073757893</v>
      </c>
      <c r="XE175" s="148">
        <f t="shared" si="1827"/>
        <v>0.4389905667610377</v>
      </c>
      <c r="XF175" s="148">
        <f t="shared" si="1828"/>
        <v>0.43811258562751565</v>
      </c>
      <c r="XG175" s="148">
        <f t="shared" si="1829"/>
        <v>0.43723636045626058</v>
      </c>
      <c r="XH175" s="148">
        <f t="shared" si="1830"/>
        <v>0.43636188773534806</v>
      </c>
      <c r="XI175" s="148">
        <f t="shared" si="1831"/>
        <v>0.4354891639598773</v>
      </c>
      <c r="XJ175" s="148">
        <f t="shared" si="1832"/>
        <v>0.43461818563195753</v>
      </c>
      <c r="XK175" s="148">
        <f t="shared" si="1833"/>
        <v>0.43374894926069363</v>
      </c>
      <c r="XL175" s="148">
        <f t="shared" si="1834"/>
        <v>0.43288145136217226</v>
      </c>
      <c r="XM175" s="148">
        <f t="shared" si="1835"/>
        <v>0.43201568845944793</v>
      </c>
      <c r="XN175" s="148">
        <f t="shared" si="1836"/>
        <v>0.43115165708252906</v>
      </c>
      <c r="XO175" s="148">
        <f t="shared" si="1837"/>
        <v>0.43028935376836397</v>
      </c>
      <c r="XP175" s="148">
        <f t="shared" si="1838"/>
        <v>0.42942877506082727</v>
      </c>
      <c r="XQ175" s="148">
        <f t="shared" si="1839"/>
        <v>0.42856991751070567</v>
      </c>
      <c r="XR175" s="148">
        <f t="shared" si="1840"/>
        <v>0.42771277767568422</v>
      </c>
      <c r="XS175" s="148">
        <f t="shared" si="1841"/>
        <v>0.42685735212033288</v>
      </c>
      <c r="XT175" s="148">
        <f t="shared" si="1842"/>
        <v>0.42600363741609221</v>
      </c>
      <c r="XU175" s="148">
        <f t="shared" si="1843"/>
        <v>0.42515163014126001</v>
      </c>
      <c r="XV175" s="148">
        <f t="shared" si="1844"/>
        <v>0.42430132688097749</v>
      </c>
      <c r="XW175" s="148">
        <f t="shared" si="1845"/>
        <v>0.42345272422721553</v>
      </c>
      <c r="XX175" s="148">
        <f t="shared" si="1846"/>
        <v>0.42260581877876108</v>
      </c>
      <c r="XY175" s="148">
        <f t="shared" si="1847"/>
        <v>0.42176060714120361</v>
      </c>
      <c r="XZ175" s="148">
        <f t="shared" si="1848"/>
        <v>0.42091708592692118</v>
      </c>
      <c r="YA175" s="148">
        <f t="shared" si="1849"/>
        <v>0.42007525175506732</v>
      </c>
      <c r="YB175" s="148">
        <f t="shared" si="1850"/>
        <v>0.41923510125155722</v>
      </c>
      <c r="YC175" s="148">
        <f t="shared" si="1851"/>
        <v>0.41839663104905406</v>
      </c>
      <c r="YD175" s="148">
        <f t="shared" si="1852"/>
        <v>0.41755983778695593</v>
      </c>
      <c r="YE175" s="148">
        <f t="shared" si="1853"/>
        <v>0.41672471811138201</v>
      </c>
      <c r="YF175" s="148">
        <f t="shared" si="1854"/>
        <v>0.4158912686751593</v>
      </c>
      <c r="YG175" s="148">
        <f t="shared" si="1855"/>
        <v>0.41505948613780896</v>
      </c>
      <c r="YH175" s="148">
        <f t="shared" si="1856"/>
        <v>0.41422936716553338</v>
      </c>
      <c r="YI175" s="148">
        <f t="shared" si="1857"/>
        <v>0.41340090843120225</v>
      </c>
      <c r="YJ175" s="148">
        <f t="shared" si="1858"/>
        <v>0.41257410661433985</v>
      </c>
      <c r="YK175" s="148">
        <f t="shared" si="1859"/>
        <v>0.4117489584011112</v>
      </c>
      <c r="YL175" s="148">
        <f t="shared" si="1860"/>
        <v>0.41092546048430895</v>
      </c>
      <c r="YM175" s="148">
        <f t="shared" si="1861"/>
        <v>0.4101036095633403</v>
      </c>
      <c r="YN175" s="148">
        <f t="shared" si="1862"/>
        <v>0.40928340234421362</v>
      </c>
      <c r="YO175" s="148">
        <f t="shared" si="1863"/>
        <v>0.40846483553952517</v>
      </c>
      <c r="YP175" s="158">
        <f t="shared" si="1864"/>
        <v>0.40764790586844613</v>
      </c>
      <c r="YQ175" s="158">
        <f t="shared" si="1865"/>
        <v>0.40683261005670923</v>
      </c>
      <c r="YR175" s="158">
        <f t="shared" si="1866"/>
        <v>0.40601894483659579</v>
      </c>
      <c r="YS175" s="158">
        <f t="shared" si="1867"/>
        <v>0.40520690694692257</v>
      </c>
      <c r="YT175" s="158">
        <f t="shared" si="1868"/>
        <v>0.40439649313302872</v>
      </c>
      <c r="YU175" s="158">
        <f t="shared" si="1869"/>
        <v>0.40358770014676271</v>
      </c>
      <c r="YV175" s="158">
        <f t="shared" si="1870"/>
        <v>0.40278052474646914</v>
      </c>
      <c r="YW175" s="158">
        <f t="shared" si="1871"/>
        <v>0.40197496369697622</v>
      </c>
      <c r="YX175" s="158">
        <f t="shared" si="1872"/>
        <v>0.40117101376958225</v>
      </c>
      <c r="YY175" s="158">
        <f t="shared" si="1873"/>
        <v>0.4003686717420431</v>
      </c>
      <c r="YZ175" s="158">
        <f t="shared" si="1874"/>
        <v>0.39956793439855903</v>
      </c>
      <c r="ZA175" s="158">
        <f t="shared" si="1875"/>
        <v>0.39876879852976194</v>
      </c>
      <c r="ZB175" s="158">
        <f t="shared" si="1876"/>
        <v>0.39797126093270235</v>
      </c>
      <c r="ZC175" s="158">
        <f t="shared" si="1877"/>
        <v>0.39717531841083697</v>
      </c>
      <c r="ZD175" s="158">
        <f t="shared" si="1878"/>
        <v>0.39638096777401532</v>
      </c>
      <c r="ZE175" s="158">
        <f t="shared" si="1879"/>
        <v>0.39558820583846727</v>
      </c>
      <c r="ZF175" s="158">
        <f t="shared" si="1880"/>
        <v>0.39479702942679035</v>
      </c>
      <c r="ZG175" s="158">
        <f t="shared" si="1881"/>
        <v>0.39400743536793675</v>
      </c>
      <c r="ZH175" s="158">
        <f t="shared" si="1882"/>
        <v>0.39321942049720088</v>
      </c>
      <c r="ZI175" s="158">
        <f t="shared" si="1883"/>
        <v>0.39243298165620649</v>
      </c>
      <c r="ZJ175" s="158">
        <f t="shared" si="1884"/>
        <v>0.39164811569289409</v>
      </c>
      <c r="ZK175" s="158">
        <f t="shared" si="1885"/>
        <v>0.39086481946150825</v>
      </c>
      <c r="ZL175" s="158">
        <f t="shared" si="1886"/>
        <v>0.39008308982258527</v>
      </c>
      <c r="ZM175" s="158">
        <f t="shared" si="1887"/>
        <v>0.38930292364294006</v>
      </c>
      <c r="ZN175" s="158">
        <f t="shared" si="1888"/>
        <v>0.38852431779565422</v>
      </c>
      <c r="ZO175" s="158">
        <f t="shared" si="1889"/>
        <v>0.38774726916006291</v>
      </c>
      <c r="ZP175" s="158">
        <f t="shared" si="1766"/>
        <v>0.38697177462174281</v>
      </c>
      <c r="ZQ175" s="158">
        <f t="shared" si="1762"/>
        <v>0.33782635924478144</v>
      </c>
      <c r="ZR175" s="158">
        <f t="shared" si="1762"/>
        <v>0.33715070652629187</v>
      </c>
      <c r="ZS175" s="158">
        <f t="shared" si="1762"/>
        <v>0.28831201846662613</v>
      </c>
      <c r="ZT175" s="158">
        <f t="shared" si="1762"/>
        <v>0.28773539442969287</v>
      </c>
      <c r="ZU175" s="158">
        <f t="shared" si="1762"/>
        <v>0.28715992364083348</v>
      </c>
      <c r="ZV175" s="158">
        <f t="shared" si="1762"/>
        <v>0.2865856037935518</v>
      </c>
      <c r="ZW175" s="158">
        <f t="shared" si="1762"/>
        <v>0.2860124325859647</v>
      </c>
      <c r="ZX175" s="158">
        <f t="shared" si="1762"/>
        <v>0.23777166895646529</v>
      </c>
      <c r="ZY175" s="158">
        <f t="shared" si="1762"/>
        <v>0.23729612561855234</v>
      </c>
      <c r="ZZ175" s="158">
        <f t="shared" si="1762"/>
        <v>0.18936230824360475</v>
      </c>
      <c r="AAA175" s="158">
        <f t="shared" si="1762"/>
        <v>0.18898358362711756</v>
      </c>
      <c r="AAB175" s="158">
        <f t="shared" si="1762"/>
        <v>0.18860561645986332</v>
      </c>
      <c r="AAC175" s="158">
        <f t="shared" si="1762"/>
        <v>0.18822840522694359</v>
      </c>
      <c r="AAD175" s="158">
        <f t="shared" si="1762"/>
        <v>0.18785194841648972</v>
      </c>
      <c r="AAE175" s="158">
        <f t="shared" si="1762"/>
        <v>0.1405132574155343</v>
      </c>
      <c r="AAF175" s="158">
        <f t="shared" si="1762"/>
        <v>0.14023223090070322</v>
      </c>
      <c r="AAG175" s="158">
        <f t="shared" si="1762"/>
        <v>9.320768947200074E-2</v>
      </c>
      <c r="AAH175" s="158">
        <f t="shared" si="1762"/>
        <v>9.302127409305673E-2</v>
      </c>
      <c r="AAI175" s="158">
        <f t="shared" si="1762"/>
        <v>9.2835231544870625E-2</v>
      </c>
      <c r="AAJ175" s="158">
        <f t="shared" si="1764"/>
        <v>9.2649561081780893E-2</v>
      </c>
      <c r="AAK175" s="158">
        <f t="shared" si="1763"/>
        <v>9.2464261959617336E-2</v>
      </c>
      <c r="AAL175" s="158">
        <f t="shared" si="1763"/>
        <v>4.6047202455889426E-2</v>
      </c>
      <c r="AAM175" s="158">
        <f t="shared" si="1763"/>
        <v>4.5955108050977654E-2</v>
      </c>
      <c r="AAN175" s="158">
        <f t="shared" si="1763"/>
        <v>-9.1910216101958044E-5</v>
      </c>
      <c r="AAO175" s="119"/>
      <c r="AAP175" s="119"/>
      <c r="AAQ175" s="119"/>
      <c r="AAR175" s="119"/>
      <c r="AAS175" s="119"/>
      <c r="AAT175" s="119"/>
      <c r="AAU175" s="119"/>
      <c r="AAV175" s="119"/>
      <c r="AAW175" s="119"/>
      <c r="AAX175" s="119"/>
      <c r="AAY175" s="119"/>
      <c r="AAZ175" s="119"/>
      <c r="ABA175" s="119"/>
      <c r="ABB175" s="119"/>
      <c r="ABC175" s="119"/>
      <c r="ABD175" s="119"/>
      <c r="ABE175" s="119"/>
      <c r="ABF175" s="119"/>
      <c r="ABG175" s="119"/>
      <c r="ABH175" s="119"/>
      <c r="ABI175" s="119"/>
      <c r="ABJ175" s="119"/>
    </row>
    <row r="176" spans="1:738" ht="18.75" x14ac:dyDescent="0.25">
      <c r="A176" s="298"/>
      <c r="B176" s="25" t="s">
        <v>10</v>
      </c>
      <c r="UR176" s="122">
        <f t="shared" si="1756"/>
        <v>0.01</v>
      </c>
      <c r="US176" s="115">
        <f t="shared" si="1757"/>
        <v>1.1005582593758946E-2</v>
      </c>
      <c r="UT176" s="115">
        <f t="shared" si="1758"/>
        <v>1.2106377159660616E-2</v>
      </c>
      <c r="UU176" s="115">
        <f t="shared" si="1759"/>
        <v>1.329177463494996E-2</v>
      </c>
      <c r="UV176" s="115">
        <f t="shared" si="1767"/>
        <v>1.4588567329531619E-2</v>
      </c>
      <c r="UW176" s="115">
        <f t="shared" si="1768"/>
        <v>1.6001621613287186E-2</v>
      </c>
      <c r="UX176" s="115">
        <f t="shared" si="1769"/>
        <v>1.7513764350912106E-2</v>
      </c>
      <c r="UY176" s="115">
        <f t="shared" si="1770"/>
        <v>1.9159726586917943E-2</v>
      </c>
      <c r="UZ176" s="115">
        <f t="shared" si="1771"/>
        <v>2.0916842913967924E-2</v>
      </c>
      <c r="VA176" s="115">
        <f t="shared" si="1772"/>
        <v>2.2820893014488763E-2</v>
      </c>
      <c r="VB176" s="115">
        <f t="shared" si="1773"/>
        <v>2.4875013679153523E-2</v>
      </c>
      <c r="VC176" s="115">
        <f t="shared" si="1774"/>
        <v>2.7051785083274507E-2</v>
      </c>
      <c r="VD176" s="115">
        <f t="shared" si="1775"/>
        <v>2.9391936164292577E-2</v>
      </c>
      <c r="VE176" s="115">
        <f t="shared" si="1776"/>
        <v>3.1863875340368962E-2</v>
      </c>
      <c r="VF176" s="115">
        <f t="shared" si="1777"/>
        <v>3.4512306780663762E-2</v>
      </c>
      <c r="VG176" s="115">
        <f t="shared" si="1778"/>
        <v>3.7295557327491485E-2</v>
      </c>
      <c r="VH176" s="115">
        <f t="shared" si="1779"/>
        <v>4.026107129173058E-2</v>
      </c>
      <c r="VI176" s="115">
        <f t="shared" si="1780"/>
        <v>4.3360342612975861E-2</v>
      </c>
      <c r="VJ176" s="115">
        <f t="shared" si="1781"/>
        <v>4.664991913528866E-2</v>
      </c>
      <c r="VK176" s="115">
        <f t="shared" si="1782"/>
        <v>5.0082638009534913E-2</v>
      </c>
      <c r="VL176" s="115">
        <f t="shared" si="1783"/>
        <v>5.3713064706430995E-2</v>
      </c>
      <c r="VM176" s="115">
        <f t="shared" si="1784"/>
        <v>5.7488794243371416E-2</v>
      </c>
      <c r="VN176" s="115">
        <f t="shared" si="1785"/>
        <v>6.1459039321378257E-2</v>
      </c>
      <c r="VO176" s="115">
        <f t="shared" si="1786"/>
        <v>6.5573850206895934E-2</v>
      </c>
      <c r="VP176" s="115">
        <f t="shared" si="1787"/>
        <v>6.9894468866911849E-2</v>
      </c>
      <c r="VQ176" s="115">
        <f t="shared" si="1788"/>
        <v>7.4436102539565979E-2</v>
      </c>
      <c r="VR176" s="115">
        <f t="shared" si="1789"/>
        <v>7.9133861530936309E-2</v>
      </c>
      <c r="VS176" s="115">
        <f t="shared" si="1790"/>
        <v>8.405709402530856E-2</v>
      </c>
      <c r="VT176" s="115">
        <f t="shared" si="1791"/>
        <v>8.9135398951392567E-2</v>
      </c>
      <c r="VU176" s="115">
        <f t="shared" si="1792"/>
        <v>9.4441702908772407E-2</v>
      </c>
      <c r="VV176" s="115">
        <f t="shared" si="1793"/>
        <v>9.9980397615493405E-2</v>
      </c>
      <c r="VW176" s="115">
        <f t="shared" si="1794"/>
        <v>0.10567182625033895</v>
      </c>
      <c r="VX176" s="115">
        <f t="shared" si="1795"/>
        <v>0.11159516930349321</v>
      </c>
      <c r="VY176" s="115">
        <f t="shared" si="1796"/>
        <v>0.11775330649604171</v>
      </c>
      <c r="VZ176" s="115">
        <f t="shared" si="1797"/>
        <v>0.12405730544100586</v>
      </c>
      <c r="WA176" s="115">
        <f t="shared" si="1798"/>
        <v>0.13059224509206371</v>
      </c>
      <c r="WB176" s="115">
        <f t="shared" si="1799"/>
        <v>0.13724552354731717</v>
      </c>
      <c r="WC176" s="115">
        <f t="shared" si="1800"/>
        <v>0.14412155178115069</v>
      </c>
      <c r="WD176" s="115">
        <f t="shared" si="1801"/>
        <v>0.15119969398384345</v>
      </c>
      <c r="WE176" s="115">
        <f t="shared" si="1802"/>
        <v>0.15839607220451735</v>
      </c>
      <c r="WF176" s="115">
        <f t="shared" si="1803"/>
        <v>0.16580270216732043</v>
      </c>
      <c r="WG176" s="115">
        <f t="shared" si="1804"/>
        <v>0.17339414742075068</v>
      </c>
      <c r="WH176" s="115">
        <f t="shared" si="1805"/>
        <v>0.18108161957284974</v>
      </c>
      <c r="WI176" s="115">
        <f t="shared" si="1806"/>
        <v>0.18893592980770582</v>
      </c>
      <c r="WJ176" s="115">
        <f t="shared" si="1807"/>
        <v>0.19697531518673633</v>
      </c>
      <c r="WK176" s="115">
        <f t="shared" si="1808"/>
        <v>0.20508349043138344</v>
      </c>
      <c r="WL176" s="115">
        <f t="shared" si="1809"/>
        <v>0.21335880865547383</v>
      </c>
      <c r="WM176" s="115">
        <f t="shared" si="1810"/>
        <v>0.22179470370603419</v>
      </c>
      <c r="WN176" s="115">
        <f t="shared" si="1811"/>
        <v>0.2302694245156435</v>
      </c>
      <c r="WO176" s="115">
        <f t="shared" si="1812"/>
        <v>0.23888337760373704</v>
      </c>
      <c r="WP176" s="115">
        <f t="shared" si="1813"/>
        <v>0.24751301127415998</v>
      </c>
      <c r="WQ176" s="149">
        <f t="shared" si="1814"/>
        <v>0.24751301127415998</v>
      </c>
      <c r="WR176" s="149">
        <f t="shared" si="1815"/>
        <v>0.25606279623273898</v>
      </c>
      <c r="WS176" s="149">
        <f t="shared" si="1816"/>
        <v>0.26459311346923547</v>
      </c>
      <c r="WT176" s="149">
        <f t="shared" si="1817"/>
        <v>0.27320101477409309</v>
      </c>
      <c r="WU176" s="149">
        <f t="shared" si="1818"/>
        <v>0.28194674644970757</v>
      </c>
      <c r="WV176" s="149">
        <f t="shared" si="1819"/>
        <v>0.29071185521092607</v>
      </c>
      <c r="WW176" s="149">
        <f t="shared" si="1820"/>
        <v>0.29956272485855329</v>
      </c>
      <c r="WX176" s="149">
        <f t="shared" si="1821"/>
        <v>0.3085291339449367</v>
      </c>
      <c r="WY176" s="149">
        <f t="shared" si="1822"/>
        <v>0.31760538538029337</v>
      </c>
      <c r="WZ176" s="149">
        <f t="shared" si="1823"/>
        <v>0.32666923608303633</v>
      </c>
      <c r="XA176" s="149">
        <f t="shared" si="1824"/>
        <v>0.33582601815025315</v>
      </c>
      <c r="XB176" s="149">
        <f t="shared" si="1825"/>
        <v>0.34502649758005638</v>
      </c>
      <c r="XC176" s="149">
        <f t="shared" si="1826"/>
        <v>0.35430399149027836</v>
      </c>
      <c r="XD176" s="149">
        <f t="shared" si="1765"/>
        <v>0.36353435599804113</v>
      </c>
      <c r="XE176" s="149">
        <f t="shared" si="1827"/>
        <v>0.3728685923431812</v>
      </c>
      <c r="XF176" s="149">
        <f t="shared" si="1828"/>
        <v>0.38230239189895809</v>
      </c>
      <c r="XG176" s="149">
        <f t="shared" si="1829"/>
        <v>0.39183122155676026</v>
      </c>
      <c r="XH176" s="149">
        <f t="shared" si="1830"/>
        <v>0.4014503246911697</v>
      </c>
      <c r="XI176" s="149">
        <f t="shared" si="1831"/>
        <v>0.41103491518888063</v>
      </c>
      <c r="XJ176" s="149">
        <f t="shared" si="1832"/>
        <v>0.42069579669088308</v>
      </c>
      <c r="XK176" s="149">
        <f t="shared" si="1833"/>
        <v>0.43042762008844304</v>
      </c>
      <c r="XL176" s="149">
        <f t="shared" si="1834"/>
        <v>0.44022482958104225</v>
      </c>
      <c r="XM176" s="149">
        <f t="shared" si="1835"/>
        <v>0.44996146066689308</v>
      </c>
      <c r="XN176" s="149">
        <f t="shared" si="1836"/>
        <v>0.45974849082461178</v>
      </c>
      <c r="XO176" s="149">
        <f t="shared" si="1837"/>
        <v>0.46963603840576573</v>
      </c>
      <c r="XP176" s="149">
        <f t="shared" si="1838"/>
        <v>0.47962145688694802</v>
      </c>
      <c r="XQ176" s="149">
        <f t="shared" si="1839"/>
        <v>0.48970197042433439</v>
      </c>
      <c r="XR176" s="149">
        <f t="shared" si="1840"/>
        <v>0.49975211106370188</v>
      </c>
      <c r="XS176" s="149">
        <f t="shared" si="1841"/>
        <v>0.50988784695218992</v>
      </c>
      <c r="XT176" s="149">
        <f t="shared" si="1842"/>
        <v>0.5201060402778851</v>
      </c>
      <c r="XU176" s="149">
        <f t="shared" si="1843"/>
        <v>0.53040342910440241</v>
      </c>
      <c r="XV176" s="149">
        <f t="shared" si="1844"/>
        <v>0.54077662797381754</v>
      </c>
      <c r="XW176" s="149">
        <f t="shared" si="1845"/>
        <v>0.55122212867109288</v>
      </c>
      <c r="XX176" s="149">
        <f t="shared" si="1846"/>
        <v>0.56173630115220363</v>
      </c>
      <c r="XY176" s="149">
        <f t="shared" si="1847"/>
        <v>0.57225646043277623</v>
      </c>
      <c r="XZ176" s="149">
        <f t="shared" si="1848"/>
        <v>0.58290537824787225</v>
      </c>
      <c r="YA176" s="149">
        <f t="shared" si="1849"/>
        <v>0.59368292544087975</v>
      </c>
      <c r="YB176" s="149">
        <f t="shared" si="1850"/>
        <v>0.6045889244052246</v>
      </c>
      <c r="YC176" s="149">
        <f t="shared" si="1851"/>
        <v>0.61562314826174713</v>
      </c>
      <c r="YD176" s="149">
        <f t="shared" si="1852"/>
        <v>0.62678532005006016</v>
      </c>
      <c r="YE176" s="149">
        <f t="shared" si="1853"/>
        <v>0.63794229085373333</v>
      </c>
      <c r="YF176" s="149">
        <f t="shared" si="1854"/>
        <v>0.64922265671817514</v>
      </c>
      <c r="YG176" s="149">
        <f t="shared" si="1855"/>
        <v>0.66062595459050899</v>
      </c>
      <c r="YH176" s="149">
        <f t="shared" si="1856"/>
        <v>0.67215166970065821</v>
      </c>
      <c r="YI176" s="149">
        <f t="shared" si="1857"/>
        <v>0.68379923488349403</v>
      </c>
      <c r="YJ176" s="149">
        <f t="shared" si="1858"/>
        <v>0.69556802991980082</v>
      </c>
      <c r="YK176" s="149">
        <f t="shared" si="1859"/>
        <v>0.70745738089685739</v>
      </c>
      <c r="YL176" s="149">
        <f t="shared" si="1860"/>
        <v>0.71946655958943639</v>
      </c>
      <c r="YM176" s="149">
        <f t="shared" si="1861"/>
        <v>0.73145375701000881</v>
      </c>
      <c r="YN176" s="149">
        <f t="shared" si="1862"/>
        <v>0.74355545266823475</v>
      </c>
      <c r="YO176" s="149">
        <f t="shared" si="1863"/>
        <v>0.75577073425771846</v>
      </c>
      <c r="YP176" s="159">
        <f t="shared" si="1864"/>
        <v>0.75577073425771846</v>
      </c>
      <c r="YQ176" s="159">
        <f t="shared" si="1865"/>
        <v>0.76801057813871565</v>
      </c>
      <c r="YR176" s="159">
        <f t="shared" si="1866"/>
        <v>0.78035916598687038</v>
      </c>
      <c r="YS176" s="159">
        <f t="shared" si="1867"/>
        <v>0.7928153814107648</v>
      </c>
      <c r="YT176" s="159">
        <f t="shared" si="1868"/>
        <v>0.80537805231907722</v>
      </c>
      <c r="YU176" s="159">
        <f t="shared" si="1869"/>
        <v>0.81790034253895094</v>
      </c>
      <c r="YV176" s="159">
        <f t="shared" si="1870"/>
        <v>0.83052313362689922</v>
      </c>
      <c r="YW176" s="159">
        <f t="shared" si="1871"/>
        <v>0.84334073433475221</v>
      </c>
      <c r="YX176" s="159">
        <f t="shared" si="1872"/>
        <v>0.85625902121500952</v>
      </c>
      <c r="YY176" s="159">
        <f t="shared" si="1873"/>
        <v>0.86927657250153445</v>
      </c>
      <c r="YZ176" s="159">
        <f t="shared" si="1874"/>
        <v>0.88239191018813767</v>
      </c>
      <c r="ZA176" s="159">
        <f t="shared" si="1875"/>
        <v>0.8956034998415201</v>
      </c>
      <c r="ZB176" s="159">
        <f t="shared" si="1876"/>
        <v>0.9087585430506151</v>
      </c>
      <c r="ZC176" s="159">
        <f t="shared" si="1877"/>
        <v>0.92200333872269546</v>
      </c>
      <c r="ZD176" s="159">
        <f t="shared" si="1878"/>
        <v>0.93533618897066662</v>
      </c>
      <c r="ZE176" s="159">
        <f t="shared" si="1879"/>
        <v>0.94886184209501467</v>
      </c>
      <c r="ZF176" s="159">
        <f t="shared" si="1880"/>
        <v>0.96247504487602809</v>
      </c>
      <c r="ZG176" s="159">
        <f t="shared" si="1881"/>
        <v>0.97617396323655636</v>
      </c>
      <c r="ZH176" s="159">
        <f t="shared" si="1882"/>
        <v>0.98995670729755714</v>
      </c>
      <c r="ZI176" s="159">
        <f t="shared" si="1883"/>
        <v>1.0036655491382722</v>
      </c>
      <c r="ZJ176" s="159">
        <f t="shared" si="1884"/>
        <v>1.0175642299317702</v>
      </c>
      <c r="ZK176" s="159">
        <f t="shared" si="1885"/>
        <v>1.0315408163688777</v>
      </c>
      <c r="ZL176" s="159">
        <f t="shared" si="1886"/>
        <v>1.0455932401806174</v>
      </c>
      <c r="ZM176" s="159">
        <f t="shared" si="1887"/>
        <v>1.0597193788423986</v>
      </c>
      <c r="ZN176" s="159">
        <f t="shared" si="1888"/>
        <v>1.0739170557785458</v>
      </c>
      <c r="ZO176" s="159">
        <f t="shared" si="1889"/>
        <v>1.0881840406000842</v>
      </c>
      <c r="ZP176" s="159">
        <f t="shared" si="1766"/>
        <v>1.102358782611909</v>
      </c>
      <c r="ZQ176" s="159">
        <f t="shared" si="1762"/>
        <v>1.1187742054915824</v>
      </c>
      <c r="ZR176" s="159">
        <f t="shared" si="1762"/>
        <v>1.1332228592253859</v>
      </c>
      <c r="ZS176" s="159">
        <f t="shared" si="1762"/>
        <v>1.1501557842295889</v>
      </c>
      <c r="ZT176" s="159">
        <f t="shared" si="1762"/>
        <v>1.1647536198343733</v>
      </c>
      <c r="ZU176" s="159">
        <f t="shared" si="1762"/>
        <v>1.1794070554880456</v>
      </c>
      <c r="ZV176" s="159">
        <f t="shared" si="1762"/>
        <v>1.1941135340245252</v>
      </c>
      <c r="ZW176" s="159">
        <f t="shared" si="1762"/>
        <v>1.2087082842146553</v>
      </c>
      <c r="ZX176" s="159">
        <f t="shared" si="1762"/>
        <v>1.2262833758099052</v>
      </c>
      <c r="ZY176" s="159">
        <f t="shared" si="1762"/>
        <v>1.2411362872744927</v>
      </c>
      <c r="ZZ176" s="159">
        <f t="shared" si="1762"/>
        <v>1.2597658082352627</v>
      </c>
      <c r="AAA176" s="159">
        <f t="shared" si="1762"/>
        <v>1.274746837027948</v>
      </c>
      <c r="AAB176" s="159">
        <f t="shared" si="1762"/>
        <v>1.2897656561565338</v>
      </c>
      <c r="AAC176" s="159">
        <f t="shared" si="1762"/>
        <v>1.3048194075662316</v>
      </c>
      <c r="AAD176" s="159">
        <f t="shared" si="1762"/>
        <v>1.3200488617715675</v>
      </c>
      <c r="AAE176" s="159">
        <f t="shared" si="1762"/>
        <v>1.3404116064513016</v>
      </c>
      <c r="AAF176" s="159">
        <f t="shared" si="1762"/>
        <v>1.3557612956176492</v>
      </c>
      <c r="AAG176" s="159">
        <f t="shared" si="1762"/>
        <v>1.3788487029134848</v>
      </c>
      <c r="AAH176" s="159">
        <f t="shared" si="1762"/>
        <v>1.3943167494848983</v>
      </c>
      <c r="AAI176" s="159">
        <f t="shared" si="1762"/>
        <v>1.4098064580811625</v>
      </c>
      <c r="AAJ176" s="159">
        <f t="shared" si="1764"/>
        <v>1.4254682445589308</v>
      </c>
      <c r="AAK176" s="159">
        <f t="shared" si="1763"/>
        <v>1.4411487678555732</v>
      </c>
      <c r="AAL176" s="159">
        <f t="shared" si="1763"/>
        <v>1.4726039094623389</v>
      </c>
      <c r="AAM176" s="159">
        <f t="shared" si="1763"/>
        <v>1.4886425509786578</v>
      </c>
      <c r="AAN176" s="159">
        <f t="shared" si="1763"/>
        <v>1.5046616392989716</v>
      </c>
      <c r="AAO176" s="119"/>
      <c r="AAP176" s="119"/>
      <c r="AAQ176" s="119"/>
      <c r="AAR176" s="119"/>
      <c r="AAS176" s="119"/>
      <c r="AAT176" s="119"/>
      <c r="AAU176" s="119"/>
      <c r="AAV176" s="119"/>
      <c r="AAW176" s="119"/>
      <c r="AAX176" s="119"/>
      <c r="AAY176" s="119"/>
      <c r="AAZ176" s="119"/>
      <c r="ABA176" s="119"/>
      <c r="ABB176" s="119"/>
      <c r="ABC176" s="119"/>
      <c r="ABD176" s="119"/>
      <c r="ABE176" s="119"/>
      <c r="ABF176" s="119"/>
      <c r="ABG176" s="119"/>
      <c r="ABH176" s="119"/>
      <c r="ABI176" s="119"/>
      <c r="ABJ176" s="119"/>
    </row>
    <row r="177" spans="1:815" ht="19.5" thickBot="1" x14ac:dyDescent="0.3">
      <c r="A177" s="298"/>
      <c r="B177" s="25" t="s">
        <v>11</v>
      </c>
      <c r="UR177" s="123">
        <f t="shared" si="1756"/>
        <v>2.5</v>
      </c>
      <c r="US177" s="110">
        <f t="shared" si="1757"/>
        <v>2.7458928571428571</v>
      </c>
      <c r="UT177" s="110">
        <f t="shared" si="1758"/>
        <v>3.0145000191326532</v>
      </c>
      <c r="UU177" s="110">
        <f t="shared" si="1759"/>
        <v>3.3030458455254204</v>
      </c>
      <c r="UV177" s="110">
        <f t="shared" si="1767"/>
        <v>3.6180521124776339</v>
      </c>
      <c r="UW177" s="110">
        <f t="shared" si="1768"/>
        <v>3.9605610457921832</v>
      </c>
      <c r="UX177" s="110">
        <f t="shared" si="1769"/>
        <v>4.326161801639965</v>
      </c>
      <c r="UY177" s="110">
        <f t="shared" si="1770"/>
        <v>4.7232736194318816</v>
      </c>
      <c r="UZ177" s="110">
        <f t="shared" si="1771"/>
        <v>5.1461266915986474</v>
      </c>
      <c r="VA177" s="110">
        <f t="shared" si="1772"/>
        <v>5.603346964774242</v>
      </c>
      <c r="VB177" s="110">
        <f t="shared" si="1773"/>
        <v>6.0954917778498379</v>
      </c>
      <c r="VC177" s="110">
        <f t="shared" si="1774"/>
        <v>6.615640409559691</v>
      </c>
      <c r="VD177" s="110">
        <f t="shared" si="1775"/>
        <v>7.1735594174325588</v>
      </c>
      <c r="VE177" s="110">
        <f t="shared" si="1776"/>
        <v>7.7613208923231802</v>
      </c>
      <c r="VF177" s="110">
        <f t="shared" si="1777"/>
        <v>8.3896061802951785</v>
      </c>
      <c r="VG177" s="110">
        <f t="shared" si="1778"/>
        <v>9.0480549492196349</v>
      </c>
      <c r="VH177" s="110">
        <f t="shared" si="1779"/>
        <v>9.7479657804528195</v>
      </c>
      <c r="VI177" s="110">
        <f t="shared" si="1780"/>
        <v>10.477361188215589</v>
      </c>
      <c r="VJ177" s="110">
        <f t="shared" si="1781"/>
        <v>11.249692384375482</v>
      </c>
      <c r="VK177" s="110">
        <f t="shared" si="1782"/>
        <v>12.053342284084305</v>
      </c>
      <c r="VL177" s="110">
        <f t="shared" si="1783"/>
        <v>12.90121958038036</v>
      </c>
      <c r="VM177" s="110">
        <f t="shared" si="1784"/>
        <v>13.78048731485859</v>
      </c>
      <c r="VN177" s="110">
        <f t="shared" si="1785"/>
        <v>14.702719927468356</v>
      </c>
      <c r="VO177" s="110">
        <f t="shared" si="1786"/>
        <v>15.655723500948806</v>
      </c>
      <c r="VP177" s="110">
        <f t="shared" si="1787"/>
        <v>16.653894478100209</v>
      </c>
      <c r="VQ177" s="110">
        <f t="shared" si="1788"/>
        <v>17.700566512875355</v>
      </c>
      <c r="VR177" s="110">
        <f t="shared" si="1789"/>
        <v>18.780036882600857</v>
      </c>
      <c r="VS177" s="110">
        <f t="shared" si="1790"/>
        <v>19.908520889904604</v>
      </c>
      <c r="VT177" s="110">
        <f t="shared" si="1791"/>
        <v>21.06907054883963</v>
      </c>
      <c r="VU177" s="110">
        <f t="shared" si="1792"/>
        <v>22.278683069761243</v>
      </c>
      <c r="VV177" s="110">
        <f t="shared" si="1793"/>
        <v>23.538083918587155</v>
      </c>
      <c r="VW177" s="110">
        <f t="shared" si="1794"/>
        <v>24.828243822646527</v>
      </c>
      <c r="VX177" s="110">
        <f t="shared" si="1795"/>
        <v>26.167529670586966</v>
      </c>
      <c r="VY177" s="110">
        <f t="shared" si="1796"/>
        <v>27.556304940930293</v>
      </c>
      <c r="VZ177" s="110">
        <f t="shared" si="1797"/>
        <v>28.973486337892421</v>
      </c>
      <c r="WA177" s="110">
        <f t="shared" si="1798"/>
        <v>30.438716932694408</v>
      </c>
      <c r="WB177" s="110">
        <f t="shared" si="1799"/>
        <v>31.925498204843478</v>
      </c>
      <c r="WC177" s="110">
        <f t="shared" si="1800"/>
        <v>33.457922118675967</v>
      </c>
      <c r="WD177" s="110">
        <f t="shared" si="1801"/>
        <v>35.030915696593432</v>
      </c>
      <c r="WE177" s="110">
        <f t="shared" si="1802"/>
        <v>36.624822360788428</v>
      </c>
      <c r="WF177" s="110">
        <f t="shared" si="1803"/>
        <v>38.260731092903647</v>
      </c>
      <c r="WG177" s="110">
        <f t="shared" si="1804"/>
        <v>39.932512482046356</v>
      </c>
      <c r="WH177" s="110">
        <f t="shared" si="1805"/>
        <v>41.619524379233077</v>
      </c>
      <c r="WI177" s="110">
        <f t="shared" si="1806"/>
        <v>43.337897618671555</v>
      </c>
      <c r="WJ177" s="110">
        <f t="shared" si="1807"/>
        <v>45.091598297651771</v>
      </c>
      <c r="WK177" s="110">
        <f t="shared" si="1808"/>
        <v>46.85382670679784</v>
      </c>
      <c r="WL177" s="110">
        <f t="shared" si="1809"/>
        <v>48.646935318063406</v>
      </c>
      <c r="WM177" s="110">
        <f t="shared" si="1810"/>
        <v>50.469223219437346</v>
      </c>
      <c r="WN177" s="110">
        <f t="shared" si="1811"/>
        <v>52.292844485099678</v>
      </c>
      <c r="WO177" s="110">
        <f t="shared" si="1812"/>
        <v>54.140524990239868</v>
      </c>
      <c r="WP177" s="110">
        <f t="shared" si="1813"/>
        <v>55.984152341223293</v>
      </c>
      <c r="WQ177" s="148">
        <f t="shared" si="1814"/>
        <v>55.872184036540851</v>
      </c>
      <c r="WR177" s="148">
        <f t="shared" si="1815"/>
        <v>57.686559697095888</v>
      </c>
      <c r="WS177" s="148">
        <f t="shared" si="1816"/>
        <v>59.489077393605136</v>
      </c>
      <c r="WT177" s="148">
        <f t="shared" si="1817"/>
        <v>61.30156279055835</v>
      </c>
      <c r="WU177" s="148">
        <f t="shared" si="1818"/>
        <v>63.137425177506771</v>
      </c>
      <c r="WV177" s="148">
        <f t="shared" si="1819"/>
        <v>64.970029415992343</v>
      </c>
      <c r="WW177" s="148">
        <f t="shared" si="1820"/>
        <v>66.814178712492435</v>
      </c>
      <c r="WX177" s="148">
        <f t="shared" si="1821"/>
        <v>68.676409796094475</v>
      </c>
      <c r="WY177" s="148">
        <f t="shared" si="1822"/>
        <v>70.555325930772227</v>
      </c>
      <c r="WZ177" s="148">
        <f t="shared" si="1823"/>
        <v>72.423702409850407</v>
      </c>
      <c r="XA177" s="148">
        <f t="shared" si="1824"/>
        <v>74.304885161053093</v>
      </c>
      <c r="XB177" s="148">
        <f t="shared" si="1825"/>
        <v>76.187902630577511</v>
      </c>
      <c r="XC177" s="148">
        <f t="shared" si="1826"/>
        <v>78.080062946541972</v>
      </c>
      <c r="XD177" s="148">
        <f t="shared" si="1765"/>
        <v>79.953984457258983</v>
      </c>
      <c r="XE177" s="148">
        <f t="shared" si="1827"/>
        <v>81.842897340061725</v>
      </c>
      <c r="XF177" s="148">
        <f t="shared" si="1828"/>
        <v>83.745744703218151</v>
      </c>
      <c r="XG177" s="148">
        <f t="shared" si="1829"/>
        <v>85.661428613304267</v>
      </c>
      <c r="XH177" s="148">
        <f t="shared" si="1830"/>
        <v>87.588810757103602</v>
      </c>
      <c r="XI177" s="148">
        <f t="shared" si="1831"/>
        <v>89.50062578696236</v>
      </c>
      <c r="XJ177" s="148">
        <f t="shared" si="1832"/>
        <v>91.421021930391248</v>
      </c>
      <c r="XK177" s="148">
        <f t="shared" si="1833"/>
        <v>93.348763973071598</v>
      </c>
      <c r="XL177" s="148">
        <f t="shared" si="1834"/>
        <v>95.282581577353255</v>
      </c>
      <c r="XM177" s="148">
        <f t="shared" si="1835"/>
        <v>97.195205105113303</v>
      </c>
      <c r="XN177" s="148">
        <f t="shared" si="1836"/>
        <v>99.110661830111624</v>
      </c>
      <c r="XO177" s="148">
        <f t="shared" si="1837"/>
        <v>101.03969373597575</v>
      </c>
      <c r="XP177" s="148">
        <f t="shared" si="1838"/>
        <v>102.98162736192573</v>
      </c>
      <c r="XQ177" s="148">
        <f t="shared" si="1839"/>
        <v>104.9357665347935</v>
      </c>
      <c r="XR177" s="148">
        <f t="shared" si="1840"/>
        <v>106.87518178617148</v>
      </c>
      <c r="XS177" s="148">
        <f t="shared" si="1841"/>
        <v>108.82468811417466</v>
      </c>
      <c r="XT177" s="148">
        <f t="shared" si="1842"/>
        <v>110.78353250022981</v>
      </c>
      <c r="XU177" s="148">
        <f t="shared" si="1843"/>
        <v>112.75094125812545</v>
      </c>
      <c r="XV177" s="148">
        <f t="shared" si="1844"/>
        <v>114.72612039775575</v>
      </c>
      <c r="XW177" s="148">
        <f t="shared" si="1845"/>
        <v>116.7082560200495</v>
      </c>
      <c r="XX177" s="148">
        <f t="shared" si="1846"/>
        <v>118.69651474308986</v>
      </c>
      <c r="XY177" s="148">
        <f t="shared" si="1847"/>
        <v>120.67761609630193</v>
      </c>
      <c r="XZ177" s="148">
        <f t="shared" si="1848"/>
        <v>122.67741659161207</v>
      </c>
      <c r="YA177" s="148">
        <f t="shared" si="1849"/>
        <v>124.69575218363121</v>
      </c>
      <c r="YB177" s="148">
        <f t="shared" si="1850"/>
        <v>126.73244946929719</v>
      </c>
      <c r="YC177" s="148">
        <f t="shared" si="1851"/>
        <v>128.78732561426366</v>
      </c>
      <c r="YD177" s="148">
        <f t="shared" si="1852"/>
        <v>130.86018828367418</v>
      </c>
      <c r="YE177" s="148">
        <f t="shared" si="1853"/>
        <v>132.92316066367565</v>
      </c>
      <c r="YF177" s="148">
        <f t="shared" si="1854"/>
        <v>135.00301717758964</v>
      </c>
      <c r="YG177" s="148">
        <f t="shared" si="1855"/>
        <v>137.09953462081808</v>
      </c>
      <c r="YH177" s="148">
        <f t="shared" si="1856"/>
        <v>139.21248038968011</v>
      </c>
      <c r="YI177" s="148">
        <f t="shared" si="1857"/>
        <v>141.34161244269873</v>
      </c>
      <c r="YJ177" s="148">
        <f t="shared" si="1858"/>
        <v>143.4866792668291</v>
      </c>
      <c r="YK177" s="148">
        <f t="shared" si="1859"/>
        <v>145.64741984872958</v>
      </c>
      <c r="YL177" s="148">
        <f t="shared" si="1860"/>
        <v>147.82356365117531</v>
      </c>
      <c r="YM177" s="148">
        <f t="shared" si="1861"/>
        <v>149.98591298923552</v>
      </c>
      <c r="YN177" s="148">
        <f t="shared" si="1862"/>
        <v>152.1624527498235</v>
      </c>
      <c r="YO177" s="148">
        <f t="shared" si="1863"/>
        <v>154.35288433708257</v>
      </c>
      <c r="YP177" s="158">
        <f t="shared" si="1864"/>
        <v>154.0441785684084</v>
      </c>
      <c r="YQ177" s="158">
        <f t="shared" si="1865"/>
        <v>156.22587402766794</v>
      </c>
      <c r="YR177" s="158">
        <f t="shared" si="1866"/>
        <v>158.4203025837775</v>
      </c>
      <c r="YS177" s="158">
        <f t="shared" si="1867"/>
        <v>160.62713424070034</v>
      </c>
      <c r="YT177" s="158">
        <f t="shared" si="1868"/>
        <v>162.8460300020719</v>
      </c>
      <c r="YU177" s="158">
        <f t="shared" si="1869"/>
        <v>165.0472590972723</v>
      </c>
      <c r="YV177" s="158">
        <f t="shared" si="1870"/>
        <v>167.25927178816221</v>
      </c>
      <c r="YW177" s="158">
        <f t="shared" si="1871"/>
        <v>169.50093053419664</v>
      </c>
      <c r="YX177" s="158">
        <f t="shared" si="1872"/>
        <v>171.75314979508781</v>
      </c>
      <c r="YY177" s="158">
        <f t="shared" si="1873"/>
        <v>174.01555335445758</v>
      </c>
      <c r="YZ177" s="158">
        <f t="shared" si="1874"/>
        <v>176.28775644193649</v>
      </c>
      <c r="ZA177" s="158">
        <f t="shared" si="1875"/>
        <v>178.56936579542639</v>
      </c>
      <c r="ZB177" s="158">
        <f t="shared" si="1876"/>
        <v>180.82989163060938</v>
      </c>
      <c r="ZC177" s="158">
        <f t="shared" si="1877"/>
        <v>183.09848481652065</v>
      </c>
      <c r="ZD177" s="158">
        <f t="shared" si="1878"/>
        <v>185.37473188912605</v>
      </c>
      <c r="ZE177" s="158">
        <f t="shared" si="1879"/>
        <v>187.67927685147495</v>
      </c>
      <c r="ZF177" s="158">
        <f t="shared" si="1880"/>
        <v>189.99114430723631</v>
      </c>
      <c r="ZG177" s="158">
        <f t="shared" si="1881"/>
        <v>192.30989986389508</v>
      </c>
      <c r="ZH177" s="158">
        <f t="shared" si="1882"/>
        <v>194.63510138043125</v>
      </c>
      <c r="ZI177" s="158">
        <f t="shared" si="1883"/>
        <v>196.93573201697299</v>
      </c>
      <c r="ZJ177" s="158">
        <f t="shared" si="1884"/>
        <v>199.2635566246343</v>
      </c>
      <c r="ZK177" s="158">
        <f t="shared" si="1885"/>
        <v>201.59650747859911</v>
      </c>
      <c r="ZL177" s="158">
        <f t="shared" si="1886"/>
        <v>203.93412091363186</v>
      </c>
      <c r="ZM177" s="158">
        <f t="shared" si="1887"/>
        <v>206.27592621221311</v>
      </c>
      <c r="ZN177" s="158">
        <f t="shared" si="1888"/>
        <v>208.62144573273852</v>
      </c>
      <c r="ZO177" s="158">
        <f t="shared" si="1889"/>
        <v>210.97019504312283</v>
      </c>
      <c r="ZP177" s="158">
        <f t="shared" si="1766"/>
        <v>213.29086718859719</v>
      </c>
      <c r="ZQ177" s="158">
        <f t="shared" si="1762"/>
        <v>188.9757083290971</v>
      </c>
      <c r="ZR177" s="158">
        <f t="shared" si="1762"/>
        <v>191.03344381979173</v>
      </c>
      <c r="ZS177" s="158">
        <f t="shared" si="1762"/>
        <v>165.80186785114904</v>
      </c>
      <c r="ZT177" s="158">
        <f t="shared" si="1762"/>
        <v>167.57042110822798</v>
      </c>
      <c r="ZU177" s="158">
        <f t="shared" si="1762"/>
        <v>169.33921999770371</v>
      </c>
      <c r="ZV177" s="158">
        <f t="shared" si="1762"/>
        <v>171.10787407323525</v>
      </c>
      <c r="ZW177" s="158">
        <f t="shared" si="1762"/>
        <v>172.85279832752056</v>
      </c>
      <c r="ZX177" s="158">
        <f t="shared" si="1762"/>
        <v>145.78772243994473</v>
      </c>
      <c r="ZY177" s="158">
        <f t="shared" si="1762"/>
        <v>147.25841616741585</v>
      </c>
      <c r="ZZ177" s="158">
        <f t="shared" si="1762"/>
        <v>119.27608064689986</v>
      </c>
      <c r="AAA177" s="158">
        <f t="shared" si="1762"/>
        <v>120.4531127394374</v>
      </c>
      <c r="AAB177" s="158">
        <f t="shared" si="1762"/>
        <v>121.62852333408158</v>
      </c>
      <c r="AAC177" s="158">
        <f t="shared" si="1762"/>
        <v>122.80203809767855</v>
      </c>
      <c r="AAD177" s="158">
        <f t="shared" si="1762"/>
        <v>123.98687534437923</v>
      </c>
      <c r="AAE177" s="158">
        <f t="shared" si="1762"/>
        <v>94.1728005500308</v>
      </c>
      <c r="AAF177" s="158">
        <f t="shared" si="1762"/>
        <v>95.060715526645382</v>
      </c>
      <c r="AAG177" s="158">
        <f t="shared" si="1762"/>
        <v>64.259650865015544</v>
      </c>
      <c r="AAH177" s="158">
        <f t="shared" si="1762"/>
        <v>64.850560263187319</v>
      </c>
      <c r="AAI177" s="158">
        <f t="shared" si="1762"/>
        <v>65.439854484709329</v>
      </c>
      <c r="AAJ177" s="158">
        <f t="shared" si="1764"/>
        <v>66.034503597200825</v>
      </c>
      <c r="AAK177" s="158">
        <f t="shared" si="1763"/>
        <v>66.627378596888732</v>
      </c>
      <c r="AAL177" s="158">
        <f t="shared" si="1763"/>
        <v>33.90464517817329</v>
      </c>
      <c r="AAM177" s="158">
        <f t="shared" si="1763"/>
        <v>34.205364639753611</v>
      </c>
      <c r="AAN177" s="160">
        <f t="shared" si="1763"/>
        <v>-6.9146888214147453E-2</v>
      </c>
      <c r="AAO177" s="119"/>
      <c r="AAP177" s="119"/>
      <c r="AAQ177" s="119"/>
      <c r="AAR177" s="119"/>
      <c r="AAS177" s="119"/>
      <c r="AAT177" s="119"/>
      <c r="AAU177" s="119"/>
      <c r="AAV177" s="119"/>
      <c r="AAW177" s="119"/>
      <c r="AAX177" s="119"/>
      <c r="AAY177" s="119"/>
      <c r="AAZ177" s="119"/>
      <c r="ABA177" s="119"/>
      <c r="ABB177" s="119"/>
      <c r="ABC177" s="119"/>
      <c r="ABD177" s="119"/>
      <c r="ABE177" s="119"/>
      <c r="ABF177" s="119"/>
      <c r="ABG177" s="119"/>
      <c r="ABH177" s="119"/>
      <c r="ABI177" s="119"/>
      <c r="ABJ177" s="119"/>
    </row>
    <row r="178" spans="1:815" ht="19.5" thickBot="1" x14ac:dyDescent="0.3">
      <c r="A178" s="298"/>
      <c r="B178" s="25" t="s">
        <v>12</v>
      </c>
      <c r="UR178" s="118">
        <f t="shared" si="1756"/>
        <v>5.62E-2</v>
      </c>
      <c r="US178" s="116">
        <f t="shared" si="1757"/>
        <v>5.5899999999999998E-2</v>
      </c>
      <c r="UT178" s="116">
        <f t="shared" si="1758"/>
        <v>5.57E-2</v>
      </c>
      <c r="UU178" s="116">
        <f t="shared" si="1759"/>
        <v>5.5500000000000001E-2</v>
      </c>
      <c r="UV178" s="116">
        <f t="shared" si="1767"/>
        <v>5.5099999999999996E-2</v>
      </c>
      <c r="UW178" s="116">
        <f t="shared" si="1768"/>
        <v>5.4699999999999999E-2</v>
      </c>
      <c r="UX178" s="116">
        <f t="shared" si="1769"/>
        <v>5.4400000000000004E-2</v>
      </c>
      <c r="UY178" s="116">
        <f t="shared" si="1770"/>
        <v>5.4000000000000006E-2</v>
      </c>
      <c r="UZ178" s="116">
        <f t="shared" si="1771"/>
        <v>5.3600000000000002E-2</v>
      </c>
      <c r="VA178" s="116">
        <f t="shared" si="1772"/>
        <v>5.2999999999999999E-2</v>
      </c>
      <c r="VB178" s="116">
        <f t="shared" si="1773"/>
        <v>5.2400000000000002E-2</v>
      </c>
      <c r="VC178" s="116">
        <f t="shared" si="1774"/>
        <v>5.1799999999999999E-2</v>
      </c>
      <c r="VD178" s="116">
        <f t="shared" si="1775"/>
        <v>5.1200000000000002E-2</v>
      </c>
      <c r="VE178" s="116">
        <f t="shared" si="1776"/>
        <v>5.0599999999999999E-2</v>
      </c>
      <c r="VF178" s="116">
        <f t="shared" si="1777"/>
        <v>4.99E-2</v>
      </c>
      <c r="VG178" s="116">
        <f t="shared" si="1778"/>
        <v>4.9200000000000001E-2</v>
      </c>
      <c r="VH178" s="116">
        <f t="shared" si="1779"/>
        <v>4.8399999999999999E-2</v>
      </c>
      <c r="VI178" s="116">
        <f t="shared" si="1780"/>
        <v>4.7699999999999992E-2</v>
      </c>
      <c r="VJ178" s="116">
        <f t="shared" si="1781"/>
        <v>4.7E-2</v>
      </c>
      <c r="VK178" s="116">
        <f t="shared" si="1782"/>
        <v>4.6300000000000001E-2</v>
      </c>
      <c r="VL178" s="116">
        <f t="shared" si="1783"/>
        <v>4.5599999999999995E-2</v>
      </c>
      <c r="VM178" s="116">
        <f t="shared" si="1784"/>
        <v>4.4800000000000006E-2</v>
      </c>
      <c r="VN178" s="116">
        <f t="shared" si="1785"/>
        <v>4.41E-2</v>
      </c>
      <c r="VO178" s="116">
        <f t="shared" si="1786"/>
        <v>4.3400000000000001E-2</v>
      </c>
      <c r="VP178" s="116">
        <f t="shared" si="1787"/>
        <v>4.2800000000000005E-2</v>
      </c>
      <c r="VQ178" s="116">
        <f t="shared" si="1788"/>
        <v>4.2199999999999994E-2</v>
      </c>
      <c r="VR178" s="116">
        <f t="shared" si="1789"/>
        <v>4.1599999999999998E-2</v>
      </c>
      <c r="VS178" s="116">
        <f t="shared" si="1790"/>
        <v>4.0999999999999995E-2</v>
      </c>
      <c r="VT178" s="116">
        <f t="shared" si="1791"/>
        <v>4.0399999999999998E-2</v>
      </c>
      <c r="VU178" s="116">
        <f t="shared" si="1792"/>
        <v>3.9800000000000002E-2</v>
      </c>
      <c r="VV178" s="116">
        <f t="shared" si="1793"/>
        <v>3.9199999999999999E-2</v>
      </c>
      <c r="VW178" s="116">
        <f t="shared" si="1794"/>
        <v>3.8599999999999995E-2</v>
      </c>
      <c r="VX178" s="116">
        <f t="shared" si="1795"/>
        <v>3.7999999999999999E-2</v>
      </c>
      <c r="VY178" s="116">
        <f t="shared" si="1796"/>
        <v>3.7400000000000003E-2</v>
      </c>
      <c r="VZ178" s="116">
        <f t="shared" si="1797"/>
        <v>3.6799999999999999E-2</v>
      </c>
      <c r="WA178" s="116">
        <f t="shared" si="1798"/>
        <v>3.61E-2</v>
      </c>
      <c r="WB178" s="116">
        <f t="shared" si="1799"/>
        <v>3.5499999999999997E-2</v>
      </c>
      <c r="WC178" s="116">
        <f t="shared" si="1800"/>
        <v>3.4799999999999998E-2</v>
      </c>
      <c r="WD178" s="116">
        <f t="shared" si="1801"/>
        <v>3.4200000000000001E-2</v>
      </c>
      <c r="WE178" s="116">
        <f t="shared" si="1802"/>
        <v>3.3599999999999998E-2</v>
      </c>
      <c r="WF178" s="116">
        <f t="shared" si="1803"/>
        <v>3.2899999999999999E-2</v>
      </c>
      <c r="WG178" s="116">
        <f t="shared" si="1804"/>
        <v>3.2300000000000002E-2</v>
      </c>
      <c r="WH178" s="116">
        <f t="shared" si="1805"/>
        <v>3.1600000000000003E-2</v>
      </c>
      <c r="WI178" s="116">
        <f t="shared" si="1806"/>
        <v>3.1E-2</v>
      </c>
      <c r="WJ178" s="116">
        <f t="shared" si="1807"/>
        <v>3.04E-2</v>
      </c>
      <c r="WK178" s="116">
        <f t="shared" si="1808"/>
        <v>2.98E-2</v>
      </c>
      <c r="WL178" s="116">
        <f t="shared" si="1809"/>
        <v>2.92E-2</v>
      </c>
      <c r="WM178" s="116">
        <f t="shared" si="1810"/>
        <v>2.86E-2</v>
      </c>
      <c r="WN178" s="116">
        <f t="shared" si="1811"/>
        <v>2.7999999999999997E-2</v>
      </c>
      <c r="WO178" s="116">
        <f t="shared" si="1812"/>
        <v>2.7400000000000001E-2</v>
      </c>
      <c r="WP178" s="171">
        <f t="shared" si="1813"/>
        <v>2.6800000000000001E-2</v>
      </c>
      <c r="WQ178" s="150">
        <f t="shared" si="1814"/>
        <v>2.6200000000000001E-2</v>
      </c>
      <c r="WR178" s="150">
        <f t="shared" si="1815"/>
        <v>2.5600000000000001E-2</v>
      </c>
      <c r="WS178" s="150">
        <f t="shared" si="1816"/>
        <v>2.5000000000000001E-2</v>
      </c>
      <c r="WT178" s="150">
        <f t="shared" si="1817"/>
        <v>2.46E-2</v>
      </c>
      <c r="WU178" s="150">
        <f t="shared" si="1818"/>
        <v>2.4199999999999999E-2</v>
      </c>
      <c r="WV178" s="150">
        <f t="shared" si="1819"/>
        <v>2.3700000000000002E-2</v>
      </c>
      <c r="WW178" s="150">
        <f t="shared" si="1820"/>
        <v>2.3300000000000001E-2</v>
      </c>
      <c r="WX178" s="150">
        <f t="shared" si="1821"/>
        <v>2.29E-2</v>
      </c>
      <c r="WY178" s="150">
        <f t="shared" si="1822"/>
        <v>2.2499999999999999E-2</v>
      </c>
      <c r="WZ178" s="150">
        <f t="shared" si="1823"/>
        <v>2.2099999999999998E-2</v>
      </c>
      <c r="XA178" s="150">
        <f t="shared" si="1824"/>
        <v>2.1600000000000001E-2</v>
      </c>
      <c r="XB178" s="150">
        <f t="shared" si="1825"/>
        <v>2.12E-2</v>
      </c>
      <c r="XC178" s="150">
        <f t="shared" si="1826"/>
        <v>2.0799999999999999E-2</v>
      </c>
      <c r="XD178" s="150">
        <f t="shared" si="1765"/>
        <v>2.0499999999999997E-2</v>
      </c>
      <c r="XE178" s="150">
        <f t="shared" si="1827"/>
        <v>2.0199999999999999E-2</v>
      </c>
      <c r="XF178" s="150">
        <f t="shared" si="1828"/>
        <v>1.9900000000000001E-2</v>
      </c>
      <c r="XG178" s="150">
        <f t="shared" si="1829"/>
        <v>1.9599999999999999E-2</v>
      </c>
      <c r="XH178" s="150">
        <f t="shared" si="1830"/>
        <v>1.9299999999999998E-2</v>
      </c>
      <c r="XI178" s="150">
        <f t="shared" si="1831"/>
        <v>1.9E-2</v>
      </c>
      <c r="XJ178" s="150">
        <f t="shared" si="1832"/>
        <v>1.8700000000000001E-2</v>
      </c>
      <c r="XK178" s="150">
        <f t="shared" si="1833"/>
        <v>1.84E-2</v>
      </c>
      <c r="XL178" s="150">
        <f t="shared" si="1834"/>
        <v>1.8100000000000002E-2</v>
      </c>
      <c r="XM178" s="150">
        <f t="shared" si="1835"/>
        <v>1.78E-2</v>
      </c>
      <c r="XN178" s="150">
        <f t="shared" si="1836"/>
        <v>1.7600000000000001E-2</v>
      </c>
      <c r="XO178" s="150">
        <f t="shared" si="1837"/>
        <v>1.7399999999999999E-2</v>
      </c>
      <c r="XP178" s="150">
        <f t="shared" si="1838"/>
        <v>1.72E-2</v>
      </c>
      <c r="XQ178" s="150">
        <f t="shared" si="1839"/>
        <v>1.7000000000000001E-2</v>
      </c>
      <c r="XR178" s="150">
        <f t="shared" si="1840"/>
        <v>1.6799999999999999E-2</v>
      </c>
      <c r="XS178" s="150">
        <f t="shared" si="1841"/>
        <v>1.66E-2</v>
      </c>
      <c r="XT178" s="150">
        <f t="shared" si="1842"/>
        <v>1.6399999999999998E-2</v>
      </c>
      <c r="XU178" s="150">
        <f t="shared" si="1843"/>
        <v>1.6200000000000003E-2</v>
      </c>
      <c r="XV178" s="150">
        <f t="shared" si="1844"/>
        <v>1.6E-2</v>
      </c>
      <c r="XW178" s="150">
        <f t="shared" si="1845"/>
        <v>1.5800000000000002E-2</v>
      </c>
      <c r="XX178" s="150">
        <f t="shared" si="1846"/>
        <v>1.5700000000000002E-2</v>
      </c>
      <c r="XY178" s="150">
        <f t="shared" si="1847"/>
        <v>1.5600000000000001E-2</v>
      </c>
      <c r="XZ178" s="150">
        <f t="shared" si="1848"/>
        <v>1.55E-2</v>
      </c>
      <c r="YA178" s="150">
        <f t="shared" si="1849"/>
        <v>1.54E-2</v>
      </c>
      <c r="YB178" s="150">
        <f t="shared" si="1850"/>
        <v>1.5300000000000001E-2</v>
      </c>
      <c r="YC178" s="150">
        <f t="shared" si="1851"/>
        <v>1.52E-2</v>
      </c>
      <c r="YD178" s="150">
        <f t="shared" si="1852"/>
        <v>1.5100000000000001E-2</v>
      </c>
      <c r="YE178" s="150">
        <f t="shared" si="1853"/>
        <v>1.4999999999999999E-2</v>
      </c>
      <c r="YF178" s="150">
        <f t="shared" si="1854"/>
        <v>1.49E-2</v>
      </c>
      <c r="YG178" s="150">
        <f t="shared" si="1855"/>
        <v>1.4800000000000001E-2</v>
      </c>
      <c r="YH178" s="150">
        <f t="shared" si="1856"/>
        <v>1.47E-2</v>
      </c>
      <c r="YI178" s="150">
        <f t="shared" si="1857"/>
        <v>1.46E-2</v>
      </c>
      <c r="YJ178" s="150">
        <f t="shared" si="1858"/>
        <v>1.4499999999999999E-2</v>
      </c>
      <c r="YK178" s="150">
        <f t="shared" si="1859"/>
        <v>1.44E-2</v>
      </c>
      <c r="YL178" s="150">
        <f t="shared" si="1860"/>
        <v>1.43E-2</v>
      </c>
      <c r="YM178" s="150">
        <f t="shared" si="1861"/>
        <v>1.4199999999999999E-2</v>
      </c>
      <c r="YN178" s="150">
        <f t="shared" si="1862"/>
        <v>1.41E-2</v>
      </c>
      <c r="YO178" s="175">
        <f t="shared" si="1863"/>
        <v>1.3999999999999999E-2</v>
      </c>
      <c r="YP178" s="161">
        <f t="shared" si="1864"/>
        <v>1.3899999999999999E-2</v>
      </c>
      <c r="YQ178" s="161">
        <f t="shared" si="1865"/>
        <v>1.38E-2</v>
      </c>
      <c r="YR178" s="161">
        <f t="shared" si="1866"/>
        <v>1.37E-2</v>
      </c>
      <c r="YS178" s="161">
        <f t="shared" si="1867"/>
        <v>1.3600000000000001E-2</v>
      </c>
      <c r="YT178" s="161">
        <f t="shared" si="1868"/>
        <v>1.3500000000000002E-2</v>
      </c>
      <c r="YU178" s="161">
        <f t="shared" si="1869"/>
        <v>1.34E-2</v>
      </c>
      <c r="YV178" s="161">
        <f t="shared" si="1870"/>
        <v>1.34E-2</v>
      </c>
      <c r="YW178" s="161">
        <f t="shared" si="1871"/>
        <v>1.3300000000000001E-2</v>
      </c>
      <c r="YX178" s="161">
        <f t="shared" si="1872"/>
        <v>1.32E-2</v>
      </c>
      <c r="YY178" s="161">
        <f t="shared" si="1873"/>
        <v>1.3100000000000001E-2</v>
      </c>
      <c r="YZ178" s="161">
        <f t="shared" si="1874"/>
        <v>1.3000000000000001E-2</v>
      </c>
      <c r="ZA178" s="161">
        <f t="shared" si="1875"/>
        <v>1.29E-2</v>
      </c>
      <c r="ZB178" s="161">
        <f t="shared" si="1876"/>
        <v>1.2800000000000001E-2</v>
      </c>
      <c r="ZC178" s="161">
        <f t="shared" si="1877"/>
        <v>1.2699999999999999E-2</v>
      </c>
      <c r="ZD178" s="161">
        <f t="shared" si="1878"/>
        <v>1.2699999999999999E-2</v>
      </c>
      <c r="ZE178" s="161">
        <f t="shared" si="1879"/>
        <v>1.26E-2</v>
      </c>
      <c r="ZF178" s="161">
        <f t="shared" si="1880"/>
        <v>1.2500000000000001E-2</v>
      </c>
      <c r="ZG178" s="161">
        <f t="shared" si="1881"/>
        <v>1.24E-2</v>
      </c>
      <c r="ZH178" s="161">
        <f t="shared" si="1882"/>
        <v>1.23E-2</v>
      </c>
      <c r="ZI178" s="161">
        <f t="shared" si="1883"/>
        <v>1.23E-2</v>
      </c>
      <c r="ZJ178" s="161">
        <f t="shared" si="1884"/>
        <v>1.2199999999999999E-2</v>
      </c>
      <c r="ZK178" s="161">
        <f t="shared" si="1885"/>
        <v>1.21E-2</v>
      </c>
      <c r="ZL178" s="161">
        <f t="shared" si="1886"/>
        <v>1.2E-2</v>
      </c>
      <c r="ZM178" s="161">
        <f t="shared" si="1887"/>
        <v>1.1899999999999999E-2</v>
      </c>
      <c r="ZN178" s="161">
        <f t="shared" si="1888"/>
        <v>1.18E-2</v>
      </c>
      <c r="ZO178" s="161">
        <f t="shared" si="1889"/>
        <v>1.1699999999999999E-2</v>
      </c>
      <c r="ZP178" s="161">
        <f t="shared" si="1766"/>
        <v>1.1699999999999999E-2</v>
      </c>
      <c r="ZQ178" s="161">
        <f t="shared" si="1762"/>
        <v>1.1599999999999999E-2</v>
      </c>
      <c r="ZR178" s="161">
        <f t="shared" si="1762"/>
        <v>1.15E-2</v>
      </c>
      <c r="ZS178" s="161">
        <f t="shared" si="1762"/>
        <v>1.1399999999999999E-2</v>
      </c>
      <c r="ZT178" s="161">
        <f t="shared" si="1762"/>
        <v>1.1299999999999999E-2</v>
      </c>
      <c r="ZU178" s="161">
        <f t="shared" si="1762"/>
        <v>1.1200000000000002E-2</v>
      </c>
      <c r="ZV178" s="161">
        <f t="shared" si="1762"/>
        <v>1.11E-2</v>
      </c>
      <c r="ZW178" s="161">
        <f t="shared" si="1762"/>
        <v>1.1000000000000001E-2</v>
      </c>
      <c r="ZX178" s="161">
        <f t="shared" si="1762"/>
        <v>1.1000000000000001E-2</v>
      </c>
      <c r="ZY178" s="161">
        <f t="shared" si="1762"/>
        <v>1.09E-2</v>
      </c>
      <c r="ZZ178" s="161">
        <f t="shared" si="1762"/>
        <v>1.0800000000000001E-2</v>
      </c>
      <c r="AAA178" s="161">
        <f t="shared" si="1762"/>
        <v>1.0700000000000001E-2</v>
      </c>
      <c r="AAB178" s="161">
        <f t="shared" si="1762"/>
        <v>1.06E-2</v>
      </c>
      <c r="AAC178" s="161">
        <f t="shared" si="1762"/>
        <v>1.06E-2</v>
      </c>
      <c r="AAD178" s="161">
        <f t="shared" si="1762"/>
        <v>1.0500000000000001E-2</v>
      </c>
      <c r="AAE178" s="161">
        <f t="shared" si="1762"/>
        <v>1.04E-2</v>
      </c>
      <c r="AAF178" s="161">
        <f t="shared" si="1762"/>
        <v>1.03E-2</v>
      </c>
      <c r="AAG178" s="161">
        <f t="shared" si="1762"/>
        <v>1.03E-2</v>
      </c>
      <c r="AAH178" s="161">
        <f t="shared" si="1762"/>
        <v>1.0200000000000001E-2</v>
      </c>
      <c r="AAI178" s="161">
        <f t="shared" si="1762"/>
        <v>1.0200000000000001E-2</v>
      </c>
      <c r="AAJ178" s="161">
        <f t="shared" si="1764"/>
        <v>1.01E-2</v>
      </c>
      <c r="AAK178" s="161">
        <f t="shared" si="1763"/>
        <v>0.01</v>
      </c>
      <c r="AAL178" s="161">
        <f t="shared" si="1763"/>
        <v>0.01</v>
      </c>
      <c r="AAM178" s="161">
        <f t="shared" si="1763"/>
        <v>9.8999999999999991E-3</v>
      </c>
      <c r="AAN178" s="118">
        <f t="shared" si="1763"/>
        <v>9.8999999999999991E-3</v>
      </c>
      <c r="AAO178" s="119"/>
      <c r="AAP178" s="119"/>
      <c r="AAQ178" s="119"/>
      <c r="AAR178" s="119"/>
      <c r="AAS178" s="119"/>
      <c r="AAT178" s="119"/>
      <c r="AAU178" s="119"/>
      <c r="AAV178" s="119"/>
      <c r="AAW178" s="119"/>
      <c r="AAX178" s="119"/>
      <c r="AAY178" s="119"/>
      <c r="AAZ178" s="119"/>
      <c r="ABA178" s="119"/>
      <c r="ABB178" s="119"/>
      <c r="ABC178" s="119"/>
      <c r="ABD178" s="119"/>
      <c r="ABE178" s="119"/>
      <c r="ABF178" s="119"/>
      <c r="ABG178" s="119"/>
      <c r="ABH178" s="119"/>
      <c r="ABI178" s="119"/>
      <c r="ABJ178" s="119"/>
    </row>
    <row r="179" spans="1:815" ht="19.5" thickBot="1" x14ac:dyDescent="0.3">
      <c r="A179" s="298"/>
      <c r="B179" s="25" t="s">
        <v>105</v>
      </c>
      <c r="UR179" s="124">
        <f t="shared" si="1756"/>
        <v>0.14050000000000001</v>
      </c>
      <c r="US179" s="115">
        <f t="shared" si="1757"/>
        <v>0.15349541071428571</v>
      </c>
      <c r="UT179" s="115">
        <f t="shared" si="1758"/>
        <v>0.16790765106568878</v>
      </c>
      <c r="UU179" s="115">
        <f t="shared" si="1759"/>
        <v>0.18331904442666083</v>
      </c>
      <c r="UV179" s="115">
        <f t="shared" si="1767"/>
        <v>0.19935467139751761</v>
      </c>
      <c r="UW179" s="115">
        <f t="shared" si="1768"/>
        <v>0.2166426892048324</v>
      </c>
      <c r="UX179" s="115">
        <f t="shared" si="1769"/>
        <v>0.2353432020092141</v>
      </c>
      <c r="UY179" s="115">
        <f t="shared" si="1770"/>
        <v>0.25505677544932165</v>
      </c>
      <c r="UZ179" s="115">
        <f t="shared" si="1771"/>
        <v>0.27583239066968751</v>
      </c>
      <c r="VA179" s="115">
        <f t="shared" si="1772"/>
        <v>0.29697738913303484</v>
      </c>
      <c r="VB179" s="115">
        <f t="shared" si="1773"/>
        <v>0.3194037691593315</v>
      </c>
      <c r="VC179" s="115">
        <f t="shared" si="1774"/>
        <v>0.34269017321519196</v>
      </c>
      <c r="VD179" s="115">
        <f t="shared" si="1775"/>
        <v>0.36728624217254702</v>
      </c>
      <c r="VE179" s="115">
        <f t="shared" si="1776"/>
        <v>0.39272283715155293</v>
      </c>
      <c r="VF179" s="115">
        <f t="shared" si="1777"/>
        <v>0.4186413483967294</v>
      </c>
      <c r="VG179" s="115">
        <f t="shared" si="1778"/>
        <v>0.44516430350160602</v>
      </c>
      <c r="VH179" s="115">
        <f t="shared" si="1779"/>
        <v>0.47180154377391648</v>
      </c>
      <c r="VI179" s="115">
        <f t="shared" si="1780"/>
        <v>0.49977012867788351</v>
      </c>
      <c r="VJ179" s="115">
        <f t="shared" si="1781"/>
        <v>0.52873554206564766</v>
      </c>
      <c r="VK179" s="115">
        <f t="shared" si="1782"/>
        <v>0.55806974775310336</v>
      </c>
      <c r="VL179" s="115">
        <f t="shared" si="1783"/>
        <v>0.58829561286534438</v>
      </c>
      <c r="VM179" s="115">
        <f t="shared" si="1784"/>
        <v>0.61736583170566495</v>
      </c>
      <c r="VN179" s="115">
        <f t="shared" si="1785"/>
        <v>0.64838994880135448</v>
      </c>
      <c r="VO179" s="115">
        <f t="shared" si="1786"/>
        <v>0.67945839994117818</v>
      </c>
      <c r="VP179" s="115">
        <f t="shared" si="1787"/>
        <v>0.71278668366268905</v>
      </c>
      <c r="VQ179" s="115">
        <f t="shared" si="1788"/>
        <v>0.74696390684333991</v>
      </c>
      <c r="VR179" s="115">
        <f t="shared" si="1789"/>
        <v>0.78124953431619559</v>
      </c>
      <c r="VS179" s="115">
        <f t="shared" si="1790"/>
        <v>0.81624935648608865</v>
      </c>
      <c r="VT179" s="115">
        <f t="shared" si="1791"/>
        <v>0.851190450173121</v>
      </c>
      <c r="VU179" s="115">
        <f t="shared" si="1792"/>
        <v>0.88669158617649757</v>
      </c>
      <c r="VV179" s="115">
        <f t="shared" si="1793"/>
        <v>0.9226928896086164</v>
      </c>
      <c r="VW179" s="115">
        <f t="shared" si="1794"/>
        <v>0.9583702115541558</v>
      </c>
      <c r="VX179" s="115">
        <f t="shared" si="1795"/>
        <v>0.99436612748230468</v>
      </c>
      <c r="VY179" s="115">
        <f t="shared" si="1796"/>
        <v>1.0306058047907931</v>
      </c>
      <c r="VZ179" s="115">
        <f t="shared" si="1797"/>
        <v>1.0662242972344411</v>
      </c>
      <c r="WA179" s="115">
        <f t="shared" si="1798"/>
        <v>1.098837681270268</v>
      </c>
      <c r="WB179" s="115">
        <f t="shared" si="1799"/>
        <v>1.1333551862719433</v>
      </c>
      <c r="WC179" s="115">
        <f t="shared" si="1800"/>
        <v>1.1643356897299235</v>
      </c>
      <c r="WD179" s="115">
        <f t="shared" si="1801"/>
        <v>1.1980573168234954</v>
      </c>
      <c r="WE179" s="115">
        <f t="shared" si="1802"/>
        <v>1.230594031322491</v>
      </c>
      <c r="WF179" s="115">
        <f t="shared" si="1803"/>
        <v>1.25877805295653</v>
      </c>
      <c r="WG179" s="115">
        <f t="shared" si="1804"/>
        <v>1.2898201531700975</v>
      </c>
      <c r="WH179" s="115">
        <f t="shared" si="1805"/>
        <v>1.3151769703837655</v>
      </c>
      <c r="WI179" s="115">
        <f t="shared" si="1806"/>
        <v>1.3434748261788181</v>
      </c>
      <c r="WJ179" s="115">
        <f t="shared" si="1807"/>
        <v>1.3707845882486138</v>
      </c>
      <c r="WK179" s="115">
        <f t="shared" si="1808"/>
        <v>1.3962440358625756</v>
      </c>
      <c r="WL179" s="115">
        <f t="shared" si="1809"/>
        <v>1.4204905112874515</v>
      </c>
      <c r="WM179" s="115">
        <f t="shared" si="1810"/>
        <v>1.4434197840759082</v>
      </c>
      <c r="WN179" s="115">
        <f t="shared" si="1811"/>
        <v>1.4641996455827908</v>
      </c>
      <c r="WO179" s="169">
        <f t="shared" si="1812"/>
        <v>1.4834503847325724</v>
      </c>
      <c r="WP179" s="136">
        <f t="shared" si="1813"/>
        <v>0</v>
      </c>
      <c r="WQ179" s="170">
        <f t="shared" si="1814"/>
        <v>1.4638512217573703</v>
      </c>
      <c r="WR179" s="149">
        <f t="shared" si="1815"/>
        <v>1.4767759282456547</v>
      </c>
      <c r="WS179" s="149">
        <f t="shared" si="1816"/>
        <v>1.4872269348401286</v>
      </c>
      <c r="WT179" s="149">
        <f t="shared" si="1817"/>
        <v>1.5080184446477354</v>
      </c>
      <c r="WU179" s="149">
        <f t="shared" si="1818"/>
        <v>1.5279256892956639</v>
      </c>
      <c r="WV179" s="149">
        <f t="shared" si="1819"/>
        <v>1.5397896971590186</v>
      </c>
      <c r="WW179" s="149">
        <f t="shared" si="1820"/>
        <v>1.5567703640010737</v>
      </c>
      <c r="WX179" s="149">
        <f t="shared" si="1821"/>
        <v>1.5726897843305634</v>
      </c>
      <c r="WY179" s="149">
        <f t="shared" si="1822"/>
        <v>1.5874948334423751</v>
      </c>
      <c r="WZ179" s="149">
        <f t="shared" si="1823"/>
        <v>1.6005638232576938</v>
      </c>
      <c r="XA179" s="149">
        <f t="shared" si="1824"/>
        <v>1.6049855194787468</v>
      </c>
      <c r="XB179" s="149">
        <f t="shared" si="1825"/>
        <v>1.6151835357682431</v>
      </c>
      <c r="XC179" s="149">
        <f t="shared" si="1826"/>
        <v>1.624065309288073</v>
      </c>
      <c r="XD179" s="149">
        <f t="shared" si="1765"/>
        <v>1.639056681373809</v>
      </c>
      <c r="XE179" s="149">
        <f t="shared" si="1827"/>
        <v>1.6532265262692467</v>
      </c>
      <c r="XF179" s="149">
        <f t="shared" si="1828"/>
        <v>1.6665403195940414</v>
      </c>
      <c r="XG179" s="149">
        <f t="shared" si="1829"/>
        <v>1.6789640008207636</v>
      </c>
      <c r="XH179" s="149">
        <f t="shared" si="1830"/>
        <v>1.6904640476120993</v>
      </c>
      <c r="XI179" s="149">
        <f t="shared" si="1831"/>
        <v>1.7005118899522849</v>
      </c>
      <c r="XJ179" s="149">
        <f t="shared" si="1832"/>
        <v>1.7095731100983165</v>
      </c>
      <c r="XK179" s="149">
        <f t="shared" si="1833"/>
        <v>1.7176172571045174</v>
      </c>
      <c r="XL179" s="149">
        <f t="shared" si="1834"/>
        <v>1.724614726550094</v>
      </c>
      <c r="XM179" s="149">
        <f t="shared" si="1835"/>
        <v>1.7300746508710168</v>
      </c>
      <c r="XN179" s="149">
        <f t="shared" si="1836"/>
        <v>1.7443476482099647</v>
      </c>
      <c r="XO179" s="149">
        <f t="shared" si="1837"/>
        <v>1.7580906710059778</v>
      </c>
      <c r="XP179" s="149">
        <f t="shared" si="1838"/>
        <v>1.7712839906251225</v>
      </c>
      <c r="XQ179" s="149">
        <f t="shared" si="1839"/>
        <v>1.7839080310914897</v>
      </c>
      <c r="XR179" s="149">
        <f t="shared" si="1840"/>
        <v>1.7955030540076808</v>
      </c>
      <c r="XS179" s="149">
        <f t="shared" si="1841"/>
        <v>1.8064898226952995</v>
      </c>
      <c r="XT179" s="149">
        <f t="shared" si="1842"/>
        <v>1.8168499330037686</v>
      </c>
      <c r="XU179" s="149">
        <f t="shared" si="1843"/>
        <v>1.8265652483816326</v>
      </c>
      <c r="XV179" s="149">
        <f t="shared" si="1844"/>
        <v>1.8356179263640919</v>
      </c>
      <c r="XW179" s="149">
        <f t="shared" si="1845"/>
        <v>1.8439904451167823</v>
      </c>
      <c r="XX179" s="149">
        <f t="shared" si="1846"/>
        <v>1.8635352814665112</v>
      </c>
      <c r="XY179" s="149">
        <f t="shared" si="1847"/>
        <v>1.8825708111023103</v>
      </c>
      <c r="XZ179" s="149">
        <f t="shared" si="1848"/>
        <v>1.9014999571699871</v>
      </c>
      <c r="YA179" s="149">
        <f t="shared" si="1849"/>
        <v>1.9203145836279207</v>
      </c>
      <c r="YB179" s="149">
        <f t="shared" si="1850"/>
        <v>1.9390064768802473</v>
      </c>
      <c r="YC179" s="149">
        <f t="shared" si="1851"/>
        <v>1.9575673493368078</v>
      </c>
      <c r="YD179" s="149">
        <f t="shared" si="1852"/>
        <v>1.9759888430834802</v>
      </c>
      <c r="YE179" s="149">
        <f t="shared" si="1853"/>
        <v>1.9938474099551347</v>
      </c>
      <c r="YF179" s="149">
        <f t="shared" si="1854"/>
        <v>2.0115449559460856</v>
      </c>
      <c r="YG179" s="149">
        <f t="shared" si="1855"/>
        <v>2.0290731123881076</v>
      </c>
      <c r="YH179" s="149">
        <f t="shared" si="1856"/>
        <v>2.0464234617282977</v>
      </c>
      <c r="YI179" s="149">
        <f t="shared" si="1857"/>
        <v>2.0635875416634013</v>
      </c>
      <c r="YJ179" s="149">
        <f t="shared" si="1858"/>
        <v>2.0805568493690219</v>
      </c>
      <c r="YK179" s="149">
        <f t="shared" si="1859"/>
        <v>2.0973228458217061</v>
      </c>
      <c r="YL179" s="149">
        <f t="shared" si="1860"/>
        <v>2.1138769602118068</v>
      </c>
      <c r="YM179" s="149">
        <f t="shared" si="1861"/>
        <v>2.1297999644471441</v>
      </c>
      <c r="YN179" s="173">
        <f t="shared" si="1862"/>
        <v>2.1454905837725113</v>
      </c>
      <c r="YO179" s="136">
        <f t="shared" si="1863"/>
        <v>0</v>
      </c>
      <c r="YP179" s="174">
        <f t="shared" si="1864"/>
        <v>2.1412140821008765</v>
      </c>
      <c r="YQ179" s="159">
        <f t="shared" si="1865"/>
        <v>2.1559170615818175</v>
      </c>
      <c r="YR179" s="159">
        <f t="shared" si="1866"/>
        <v>2.1703581453977518</v>
      </c>
      <c r="YS179" s="159">
        <f t="shared" si="1867"/>
        <v>2.184529025673525</v>
      </c>
      <c r="YT179" s="159">
        <f t="shared" si="1868"/>
        <v>2.1984214050279709</v>
      </c>
      <c r="YU179" s="159">
        <f t="shared" si="1869"/>
        <v>2.211633271903449</v>
      </c>
      <c r="YV179" s="159">
        <f t="shared" si="1870"/>
        <v>2.2412742419613738</v>
      </c>
      <c r="YW179" s="159">
        <f t="shared" si="1871"/>
        <v>2.2543623761048157</v>
      </c>
      <c r="YX179" s="159">
        <f t="shared" si="1872"/>
        <v>2.2671415772951589</v>
      </c>
      <c r="YY179" s="159">
        <f t="shared" si="1873"/>
        <v>2.2796037489433942</v>
      </c>
      <c r="YZ179" s="159">
        <f t="shared" si="1874"/>
        <v>2.2917408337451746</v>
      </c>
      <c r="ZA179" s="159">
        <f t="shared" si="1875"/>
        <v>2.3035448187610004</v>
      </c>
      <c r="ZB179" s="159">
        <f t="shared" si="1876"/>
        <v>2.3146226128718004</v>
      </c>
      <c r="ZC179" s="159">
        <f t="shared" si="1877"/>
        <v>2.325350757169812</v>
      </c>
      <c r="ZD179" s="159">
        <f t="shared" si="1878"/>
        <v>2.3542590949919009</v>
      </c>
      <c r="ZE179" s="159">
        <f t="shared" si="1879"/>
        <v>2.3647588883285846</v>
      </c>
      <c r="ZF179" s="159">
        <f t="shared" si="1880"/>
        <v>2.3748893038404542</v>
      </c>
      <c r="ZG179" s="159">
        <f t="shared" si="1881"/>
        <v>2.3846427583122991</v>
      </c>
      <c r="ZH179" s="159">
        <f t="shared" si="1882"/>
        <v>2.3940117469793045</v>
      </c>
      <c r="ZI179" s="159">
        <f t="shared" si="1883"/>
        <v>2.4223095038087679</v>
      </c>
      <c r="ZJ179" s="159">
        <f t="shared" si="1884"/>
        <v>2.4310153908205385</v>
      </c>
      <c r="ZK179" s="159">
        <f t="shared" si="1885"/>
        <v>2.4393177404910493</v>
      </c>
      <c r="ZL179" s="159">
        <f t="shared" si="1886"/>
        <v>2.4472094509635824</v>
      </c>
      <c r="ZM179" s="159">
        <f t="shared" si="1887"/>
        <v>2.454683521925336</v>
      </c>
      <c r="ZN179" s="159">
        <f t="shared" si="1888"/>
        <v>2.4617330596463143</v>
      </c>
      <c r="ZO179" s="159">
        <f t="shared" si="1889"/>
        <v>2.4683512820045368</v>
      </c>
      <c r="ZP179" s="159">
        <f t="shared" si="1766"/>
        <v>2.4955031461065866</v>
      </c>
      <c r="ZQ179" s="159">
        <f t="shared" si="1762"/>
        <v>2.1921182166175264</v>
      </c>
      <c r="ZR179" s="159">
        <f t="shared" si="1762"/>
        <v>2.1968846039276047</v>
      </c>
      <c r="ZS179" s="159">
        <f t="shared" si="1762"/>
        <v>1.8901412935030988</v>
      </c>
      <c r="ZT179" s="159">
        <f t="shared" si="1762"/>
        <v>1.893545758522976</v>
      </c>
      <c r="ZU179" s="159">
        <f t="shared" si="1762"/>
        <v>1.8965992639742819</v>
      </c>
      <c r="ZV179" s="159">
        <f t="shared" si="1762"/>
        <v>1.8992974022129114</v>
      </c>
      <c r="ZW179" s="159">
        <f t="shared" si="1762"/>
        <v>1.9013807816027264</v>
      </c>
      <c r="ZX179" s="159">
        <f t="shared" si="1762"/>
        <v>1.6036649468393922</v>
      </c>
      <c r="ZY179" s="159">
        <f t="shared" si="1762"/>
        <v>1.6051167362248326</v>
      </c>
      <c r="ZZ179" s="159">
        <f t="shared" si="1762"/>
        <v>1.2881816709865186</v>
      </c>
      <c r="AAA179" s="159">
        <f t="shared" si="1762"/>
        <v>1.2888483063119804</v>
      </c>
      <c r="AAB179" s="159">
        <f t="shared" si="1762"/>
        <v>1.2892623473412648</v>
      </c>
      <c r="AAC179" s="159">
        <f t="shared" si="1762"/>
        <v>1.3017016038353926</v>
      </c>
      <c r="AAD179" s="159">
        <f t="shared" si="1762"/>
        <v>1.301862191115982</v>
      </c>
      <c r="AAE179" s="159">
        <f t="shared" si="1762"/>
        <v>0.97939712572032023</v>
      </c>
      <c r="AAF179" s="159">
        <f t="shared" si="1762"/>
        <v>0.97912536992444743</v>
      </c>
      <c r="AAG179" s="159">
        <f t="shared" si="1762"/>
        <v>0.66187440390966013</v>
      </c>
      <c r="AAH179" s="159">
        <f t="shared" si="1762"/>
        <v>0.66147571468451072</v>
      </c>
      <c r="AAI179" s="159">
        <f t="shared" si="1762"/>
        <v>0.66748651574403517</v>
      </c>
      <c r="AAJ179" s="159">
        <f t="shared" si="1764"/>
        <v>0.66694848633172832</v>
      </c>
      <c r="AAK179" s="159">
        <f t="shared" si="1763"/>
        <v>0.66627378596888731</v>
      </c>
      <c r="AAL179" s="159">
        <f t="shared" si="1763"/>
        <v>0.33904645178173293</v>
      </c>
      <c r="AAM179" s="159">
        <f t="shared" si="1763"/>
        <v>0.33863310993356072</v>
      </c>
      <c r="AAN179" s="162">
        <f t="shared" si="1763"/>
        <v>-6.845541933200597E-4</v>
      </c>
      <c r="AAO179" s="119"/>
      <c r="AAP179" s="119"/>
      <c r="AAQ179" s="119"/>
      <c r="AAR179" s="119"/>
      <c r="AAS179" s="119"/>
      <c r="AAT179" s="119"/>
      <c r="AAU179" s="119"/>
      <c r="AAV179" s="119"/>
      <c r="AAW179" s="119"/>
      <c r="AAX179" s="119"/>
      <c r="AAY179" s="119"/>
      <c r="AAZ179" s="119"/>
      <c r="ABA179" s="119"/>
      <c r="ABB179" s="119"/>
      <c r="ABC179" s="119"/>
      <c r="ABD179" s="119"/>
      <c r="ABE179" s="119"/>
      <c r="ABF179" s="119"/>
      <c r="ABG179" s="119"/>
      <c r="ABH179" s="119"/>
      <c r="ABI179" s="119"/>
      <c r="ABJ179" s="119"/>
    </row>
    <row r="180" spans="1:815" ht="19.5" thickBot="1" x14ac:dyDescent="0.3">
      <c r="A180" s="298"/>
      <c r="B180" s="25" t="s">
        <v>13</v>
      </c>
      <c r="UR180" s="117">
        <f t="shared" si="1756"/>
        <v>0.56000000000000005</v>
      </c>
      <c r="US180" s="114">
        <f t="shared" si="1757"/>
        <v>0.56000000000000005</v>
      </c>
      <c r="UT180" s="114">
        <f t="shared" si="1758"/>
        <v>0.56999999999999995</v>
      </c>
      <c r="UU180" s="114">
        <f t="shared" si="1759"/>
        <v>0.56999999999999995</v>
      </c>
      <c r="UV180" s="114">
        <f t="shared" si="1767"/>
        <v>0.56999999999999995</v>
      </c>
      <c r="UW180" s="114">
        <f t="shared" si="1768"/>
        <v>0.57999999999999996</v>
      </c>
      <c r="UX180" s="114">
        <f t="shared" si="1769"/>
        <v>0.57999999999999996</v>
      </c>
      <c r="UY180" s="114">
        <f t="shared" si="1770"/>
        <v>0.59</v>
      </c>
      <c r="UZ180" s="114">
        <f t="shared" si="1771"/>
        <v>0.59</v>
      </c>
      <c r="VA180" s="114">
        <f t="shared" si="1772"/>
        <v>0.59</v>
      </c>
      <c r="VB180" s="114">
        <f t="shared" si="1773"/>
        <v>0.6</v>
      </c>
      <c r="VC180" s="114">
        <f t="shared" si="1774"/>
        <v>0.6</v>
      </c>
      <c r="VD180" s="114">
        <f t="shared" si="1775"/>
        <v>0.61</v>
      </c>
      <c r="VE180" s="114">
        <f t="shared" si="1776"/>
        <v>0.61</v>
      </c>
      <c r="VF180" s="114">
        <f t="shared" si="1777"/>
        <v>0.62</v>
      </c>
      <c r="VG180" s="114">
        <f t="shared" si="1778"/>
        <v>0.62</v>
      </c>
      <c r="VH180" s="114">
        <f t="shared" si="1779"/>
        <v>0.63</v>
      </c>
      <c r="VI180" s="114">
        <f t="shared" si="1780"/>
        <v>0.63</v>
      </c>
      <c r="VJ180" s="114">
        <f t="shared" si="1781"/>
        <v>0.64</v>
      </c>
      <c r="VK180" s="114">
        <f t="shared" si="1782"/>
        <v>0.64</v>
      </c>
      <c r="VL180" s="114">
        <f t="shared" si="1783"/>
        <v>0.65</v>
      </c>
      <c r="VM180" s="114">
        <f t="shared" si="1784"/>
        <v>0.65</v>
      </c>
      <c r="VN180" s="114">
        <f t="shared" si="1785"/>
        <v>0.66</v>
      </c>
      <c r="VO180" s="114">
        <f t="shared" si="1786"/>
        <v>0.66</v>
      </c>
      <c r="VP180" s="114">
        <f t="shared" si="1787"/>
        <v>0.66</v>
      </c>
      <c r="VQ180" s="114">
        <f t="shared" si="1788"/>
        <v>0.67</v>
      </c>
      <c r="VR180" s="114">
        <f t="shared" si="1789"/>
        <v>0.67</v>
      </c>
      <c r="VS180" s="114">
        <f t="shared" si="1790"/>
        <v>0.68</v>
      </c>
      <c r="VT180" s="114">
        <f t="shared" si="1791"/>
        <v>0.68</v>
      </c>
      <c r="VU180" s="114">
        <f t="shared" si="1792"/>
        <v>0.68</v>
      </c>
      <c r="VV180" s="114">
        <f t="shared" si="1793"/>
        <v>0.69</v>
      </c>
      <c r="VW180" s="114">
        <f t="shared" si="1794"/>
        <v>0.69</v>
      </c>
      <c r="VX180" s="114">
        <f t="shared" si="1795"/>
        <v>0.69</v>
      </c>
      <c r="VY180" s="114">
        <f t="shared" si="1796"/>
        <v>0.7</v>
      </c>
      <c r="VZ180" s="114">
        <f t="shared" si="1797"/>
        <v>0.7</v>
      </c>
      <c r="WA180" s="114">
        <f t="shared" si="1798"/>
        <v>0.71</v>
      </c>
      <c r="WB180" s="114">
        <f t="shared" si="1799"/>
        <v>0.71</v>
      </c>
      <c r="WC180" s="114">
        <f t="shared" si="1800"/>
        <v>0.71</v>
      </c>
      <c r="WD180" s="114">
        <f t="shared" si="1801"/>
        <v>0.72</v>
      </c>
      <c r="WE180" s="114">
        <f t="shared" si="1802"/>
        <v>0.72</v>
      </c>
      <c r="WF180" s="114">
        <f t="shared" si="1803"/>
        <v>0.72</v>
      </c>
      <c r="WG180" s="114">
        <f t="shared" si="1804"/>
        <v>0.73</v>
      </c>
      <c r="WH180" s="114">
        <f t="shared" si="1805"/>
        <v>0.73</v>
      </c>
      <c r="WI180" s="114">
        <f t="shared" si="1806"/>
        <v>0.73</v>
      </c>
      <c r="WJ180" s="114">
        <f t="shared" si="1807"/>
        <v>0.74</v>
      </c>
      <c r="WK180" s="114">
        <f t="shared" si="1808"/>
        <v>0.74</v>
      </c>
      <c r="WL180" s="114">
        <f t="shared" si="1809"/>
        <v>0.74</v>
      </c>
      <c r="WM180" s="114">
        <f t="shared" si="1810"/>
        <v>0.75</v>
      </c>
      <c r="WN180" s="114">
        <f t="shared" si="1811"/>
        <v>0.75</v>
      </c>
      <c r="WO180" s="114">
        <f t="shared" si="1812"/>
        <v>0.76</v>
      </c>
      <c r="WP180" s="172">
        <f t="shared" si="1813"/>
        <v>0.76</v>
      </c>
      <c r="WQ180" s="151">
        <f t="shared" si="1814"/>
        <v>0.76</v>
      </c>
      <c r="WR180" s="151">
        <f t="shared" si="1815"/>
        <v>0.77</v>
      </c>
      <c r="WS180" s="151">
        <f t="shared" si="1816"/>
        <v>0.77</v>
      </c>
      <c r="WT180" s="151">
        <f t="shared" si="1817"/>
        <v>0.77</v>
      </c>
      <c r="WU180" s="151">
        <f t="shared" si="1818"/>
        <v>0.78</v>
      </c>
      <c r="WV180" s="151">
        <f t="shared" si="1819"/>
        <v>0.78</v>
      </c>
      <c r="WW180" s="151">
        <f t="shared" si="1820"/>
        <v>0.78</v>
      </c>
      <c r="WX180" s="151">
        <f t="shared" si="1821"/>
        <v>0.78</v>
      </c>
      <c r="WY180" s="151">
        <f t="shared" si="1822"/>
        <v>0.79</v>
      </c>
      <c r="WZ180" s="151">
        <f t="shared" si="1823"/>
        <v>0.79</v>
      </c>
      <c r="XA180" s="151">
        <f t="shared" si="1824"/>
        <v>0.79</v>
      </c>
      <c r="XB180" s="151">
        <f t="shared" si="1825"/>
        <v>0.79</v>
      </c>
      <c r="XC180" s="151">
        <f t="shared" si="1826"/>
        <v>0.8</v>
      </c>
      <c r="XD180" s="151">
        <f t="shared" si="1765"/>
        <v>0.8</v>
      </c>
      <c r="XE180" s="151">
        <f t="shared" si="1827"/>
        <v>0.8</v>
      </c>
      <c r="XF180" s="151">
        <f t="shared" si="1828"/>
        <v>0.8</v>
      </c>
      <c r="XG180" s="151">
        <f t="shared" si="1829"/>
        <v>0.8</v>
      </c>
      <c r="XH180" s="151">
        <f t="shared" si="1830"/>
        <v>0.81</v>
      </c>
      <c r="XI180" s="151">
        <f t="shared" si="1831"/>
        <v>0.81</v>
      </c>
      <c r="XJ180" s="151">
        <f t="shared" si="1832"/>
        <v>0.81</v>
      </c>
      <c r="XK180" s="151">
        <f t="shared" si="1833"/>
        <v>0.81</v>
      </c>
      <c r="XL180" s="151">
        <f t="shared" si="1834"/>
        <v>0.82</v>
      </c>
      <c r="XM180" s="151">
        <f t="shared" si="1835"/>
        <v>0.82</v>
      </c>
      <c r="XN180" s="151">
        <f t="shared" si="1836"/>
        <v>0.82</v>
      </c>
      <c r="XO180" s="151">
        <f t="shared" si="1837"/>
        <v>0.82</v>
      </c>
      <c r="XP180" s="151">
        <f t="shared" si="1838"/>
        <v>0.82</v>
      </c>
      <c r="XQ180" s="151">
        <f t="shared" si="1839"/>
        <v>0.83</v>
      </c>
      <c r="XR180" s="151">
        <f t="shared" si="1840"/>
        <v>0.83</v>
      </c>
      <c r="XS180" s="151">
        <f t="shared" si="1841"/>
        <v>0.83</v>
      </c>
      <c r="XT180" s="151">
        <f t="shared" si="1842"/>
        <v>0.83</v>
      </c>
      <c r="XU180" s="151">
        <f t="shared" si="1843"/>
        <v>0.83</v>
      </c>
      <c r="XV180" s="151">
        <f t="shared" si="1844"/>
        <v>0.83</v>
      </c>
      <c r="XW180" s="151">
        <f t="shared" si="1845"/>
        <v>0.83</v>
      </c>
      <c r="XX180" s="151">
        <f t="shared" si="1846"/>
        <v>0.84</v>
      </c>
      <c r="XY180" s="151">
        <f t="shared" si="1847"/>
        <v>0.84</v>
      </c>
      <c r="XZ180" s="151">
        <f t="shared" si="1848"/>
        <v>0.84</v>
      </c>
      <c r="YA180" s="151">
        <f t="shared" si="1849"/>
        <v>0.84</v>
      </c>
      <c r="YB180" s="151">
        <f t="shared" si="1850"/>
        <v>0.84</v>
      </c>
      <c r="YC180" s="151">
        <f t="shared" si="1851"/>
        <v>0.84</v>
      </c>
      <c r="YD180" s="151">
        <f t="shared" si="1852"/>
        <v>0.85</v>
      </c>
      <c r="YE180" s="151">
        <f t="shared" si="1853"/>
        <v>0.85</v>
      </c>
      <c r="YF180" s="151">
        <f t="shared" si="1854"/>
        <v>0.85</v>
      </c>
      <c r="YG180" s="151">
        <f t="shared" si="1855"/>
        <v>0.85</v>
      </c>
      <c r="YH180" s="151">
        <f t="shared" si="1856"/>
        <v>0.85</v>
      </c>
      <c r="YI180" s="151">
        <f t="shared" si="1857"/>
        <v>0.85</v>
      </c>
      <c r="YJ180" s="151">
        <f t="shared" si="1858"/>
        <v>0.85</v>
      </c>
      <c r="YK180" s="151">
        <f t="shared" si="1859"/>
        <v>0.85</v>
      </c>
      <c r="YL180" s="151">
        <f t="shared" si="1860"/>
        <v>0.86</v>
      </c>
      <c r="YM180" s="151">
        <f t="shared" si="1861"/>
        <v>0.86</v>
      </c>
      <c r="YN180" s="151">
        <f t="shared" si="1862"/>
        <v>0.86</v>
      </c>
      <c r="YO180" s="176">
        <f t="shared" si="1863"/>
        <v>0.86</v>
      </c>
      <c r="YP180" s="163">
        <f t="shared" si="1864"/>
        <v>0.86</v>
      </c>
      <c r="YQ180" s="163">
        <f t="shared" si="1865"/>
        <v>0.86</v>
      </c>
      <c r="YR180" s="163">
        <f t="shared" si="1866"/>
        <v>0.86</v>
      </c>
      <c r="YS180" s="163">
        <f t="shared" si="1867"/>
        <v>0.86</v>
      </c>
      <c r="YT180" s="163">
        <f t="shared" si="1868"/>
        <v>0.87</v>
      </c>
      <c r="YU180" s="163">
        <f t="shared" si="1869"/>
        <v>0.87</v>
      </c>
      <c r="YV180" s="163">
        <f t="shared" si="1870"/>
        <v>0.87</v>
      </c>
      <c r="YW180" s="163">
        <f t="shared" si="1871"/>
        <v>0.87</v>
      </c>
      <c r="YX180" s="163">
        <f t="shared" si="1872"/>
        <v>0.87</v>
      </c>
      <c r="YY180" s="163">
        <f t="shared" si="1873"/>
        <v>0.87</v>
      </c>
      <c r="YZ180" s="163">
        <f t="shared" si="1874"/>
        <v>0.87</v>
      </c>
      <c r="ZA180" s="163">
        <f t="shared" si="1875"/>
        <v>0.88</v>
      </c>
      <c r="ZB180" s="163">
        <f t="shared" si="1876"/>
        <v>0.88</v>
      </c>
      <c r="ZC180" s="163">
        <f t="shared" si="1877"/>
        <v>0.88</v>
      </c>
      <c r="ZD180" s="163">
        <f t="shared" si="1878"/>
        <v>0.88</v>
      </c>
      <c r="ZE180" s="163">
        <f t="shared" si="1879"/>
        <v>0.88</v>
      </c>
      <c r="ZF180" s="163">
        <f t="shared" si="1880"/>
        <v>0.88</v>
      </c>
      <c r="ZG180" s="163">
        <f t="shared" si="1881"/>
        <v>0.88</v>
      </c>
      <c r="ZH180" s="163">
        <f t="shared" si="1882"/>
        <v>0.89</v>
      </c>
      <c r="ZI180" s="163">
        <f t="shared" si="1883"/>
        <v>0.89</v>
      </c>
      <c r="ZJ180" s="163">
        <f t="shared" si="1884"/>
        <v>0.89</v>
      </c>
      <c r="ZK180" s="163">
        <f t="shared" si="1885"/>
        <v>0.89</v>
      </c>
      <c r="ZL180" s="163">
        <f t="shared" si="1886"/>
        <v>0.89</v>
      </c>
      <c r="ZM180" s="163">
        <f t="shared" si="1887"/>
        <v>0.89</v>
      </c>
      <c r="ZN180" s="163">
        <f t="shared" si="1888"/>
        <v>0.89</v>
      </c>
      <c r="ZO180" s="163">
        <f t="shared" si="1889"/>
        <v>0.9</v>
      </c>
      <c r="ZP180" s="163">
        <f t="shared" si="1766"/>
        <v>0.9</v>
      </c>
      <c r="ZQ180" s="163">
        <f t="shared" si="1762"/>
        <v>0.9</v>
      </c>
      <c r="ZR180" s="163">
        <f t="shared" si="1762"/>
        <v>0.9</v>
      </c>
      <c r="ZS180" s="163">
        <f t="shared" si="1762"/>
        <v>0.9</v>
      </c>
      <c r="ZT180" s="163">
        <f t="shared" si="1762"/>
        <v>0.9</v>
      </c>
      <c r="ZU180" s="163">
        <f t="shared" si="1762"/>
        <v>0.9</v>
      </c>
      <c r="ZV180" s="163">
        <f t="shared" si="1762"/>
        <v>0.91</v>
      </c>
      <c r="ZW180" s="163">
        <f t="shared" si="1762"/>
        <v>0.91</v>
      </c>
      <c r="ZX180" s="163">
        <f t="shared" si="1762"/>
        <v>0.91</v>
      </c>
      <c r="ZY180" s="163">
        <f t="shared" si="1762"/>
        <v>0.91</v>
      </c>
      <c r="ZZ180" s="163">
        <f t="shared" si="1762"/>
        <v>0.91</v>
      </c>
      <c r="AAA180" s="163">
        <f t="shared" si="1762"/>
        <v>0.91</v>
      </c>
      <c r="AAB180" s="163">
        <f t="shared" si="1762"/>
        <v>0.91</v>
      </c>
      <c r="AAC180" s="163">
        <f t="shared" si="1762"/>
        <v>0.91</v>
      </c>
      <c r="AAD180" s="163">
        <f t="shared" si="1762"/>
        <v>0.91</v>
      </c>
      <c r="AAE180" s="163">
        <f t="shared" si="1762"/>
        <v>0.91</v>
      </c>
      <c r="AAF180" s="163">
        <f t="shared" si="1762"/>
        <v>0.91</v>
      </c>
      <c r="AAG180" s="163">
        <f t="shared" si="1762"/>
        <v>0.92</v>
      </c>
      <c r="AAH180" s="163">
        <f t="shared" si="1762"/>
        <v>0.92</v>
      </c>
      <c r="AAI180" s="163">
        <f t="shared" si="1762"/>
        <v>0.92</v>
      </c>
      <c r="AAJ180" s="163">
        <f t="shared" si="1764"/>
        <v>0.92</v>
      </c>
      <c r="AAK180" s="163">
        <f t="shared" ref="AAK180:AAK182" si="1890">EV37</f>
        <v>0.92</v>
      </c>
      <c r="AAL180" s="163">
        <f t="shared" ref="AAL180:AAL182" si="1891">EW37</f>
        <v>0.92</v>
      </c>
      <c r="AAM180" s="163">
        <f t="shared" ref="AAM180:AAM182" si="1892">EX37</f>
        <v>0.92</v>
      </c>
      <c r="AAN180" s="117">
        <f t="shared" ref="AAN180:AAN182" si="1893">EY37</f>
        <v>0.92</v>
      </c>
      <c r="AAO180" s="119"/>
      <c r="AAP180" s="119"/>
      <c r="AAQ180" s="119"/>
      <c r="AAR180" s="119"/>
      <c r="AAS180" s="119"/>
      <c r="AAT180" s="119"/>
      <c r="AAU180" s="119"/>
      <c r="AAV180" s="119"/>
      <c r="AAW180" s="119"/>
      <c r="AAX180" s="119"/>
      <c r="AAY180" s="119"/>
      <c r="AAZ180" s="119"/>
      <c r="ABA180" s="119"/>
      <c r="ABB180" s="119"/>
      <c r="ABC180" s="119"/>
      <c r="ABD180" s="119"/>
      <c r="ABE180" s="119"/>
      <c r="ABF180" s="119"/>
      <c r="ABG180" s="119"/>
      <c r="ABH180" s="119"/>
      <c r="ABI180" s="119"/>
      <c r="ABJ180" s="119"/>
    </row>
    <row r="181" spans="1:815" ht="18.75" x14ac:dyDescent="0.25">
      <c r="A181" s="298"/>
      <c r="B181" s="25" t="s">
        <v>3</v>
      </c>
      <c r="UR181" s="125" t="str">
        <f t="shared" si="1756"/>
        <v>Tank 1</v>
      </c>
      <c r="US181" s="111" t="str">
        <f t="shared" si="1757"/>
        <v>Tank 1</v>
      </c>
      <c r="UT181" s="111" t="str">
        <f t="shared" si="1758"/>
        <v>Tank 1</v>
      </c>
      <c r="UU181" s="111" t="str">
        <f t="shared" si="1759"/>
        <v>Tank 1</v>
      </c>
      <c r="UV181" s="111" t="str">
        <f t="shared" si="1767"/>
        <v>Tank 1</v>
      </c>
      <c r="UW181" s="111" t="str">
        <f t="shared" si="1768"/>
        <v>Tank 1</v>
      </c>
      <c r="UX181" s="111" t="str">
        <f t="shared" si="1769"/>
        <v>Tank 1</v>
      </c>
      <c r="UY181" s="111" t="str">
        <f t="shared" si="1770"/>
        <v>Tank 1</v>
      </c>
      <c r="UZ181" s="111" t="str">
        <f t="shared" si="1771"/>
        <v>Tank 1</v>
      </c>
      <c r="VA181" s="111" t="str">
        <f t="shared" si="1772"/>
        <v>Tank 1</v>
      </c>
      <c r="VB181" s="111" t="str">
        <f t="shared" si="1773"/>
        <v>Tank 1</v>
      </c>
      <c r="VC181" s="111" t="str">
        <f t="shared" si="1774"/>
        <v>Tank 1</v>
      </c>
      <c r="VD181" s="111" t="str">
        <f t="shared" si="1775"/>
        <v>Tank 1</v>
      </c>
      <c r="VE181" s="111" t="str">
        <f t="shared" si="1776"/>
        <v>Tank 1</v>
      </c>
      <c r="VF181" s="111" t="str">
        <f t="shared" si="1777"/>
        <v>Tank 1</v>
      </c>
      <c r="VG181" s="111" t="str">
        <f t="shared" si="1778"/>
        <v>Tank 1</v>
      </c>
      <c r="VH181" s="111" t="str">
        <f t="shared" si="1779"/>
        <v>Tank 1</v>
      </c>
      <c r="VI181" s="111" t="str">
        <f t="shared" si="1780"/>
        <v>Tank 1</v>
      </c>
      <c r="VJ181" s="111" t="str">
        <f t="shared" si="1781"/>
        <v>Tank 1</v>
      </c>
      <c r="VK181" s="111" t="str">
        <f t="shared" si="1782"/>
        <v>Tank 1</v>
      </c>
      <c r="VL181" s="111" t="str">
        <f t="shared" si="1783"/>
        <v>Tank 1</v>
      </c>
      <c r="VM181" s="111" t="str">
        <f t="shared" si="1784"/>
        <v>Tank 1</v>
      </c>
      <c r="VN181" s="111" t="str">
        <f t="shared" si="1785"/>
        <v>Tank 1</v>
      </c>
      <c r="VO181" s="111" t="str">
        <f t="shared" si="1786"/>
        <v>Tank 1</v>
      </c>
      <c r="VP181" s="111" t="str">
        <f t="shared" si="1787"/>
        <v>Tank 1</v>
      </c>
      <c r="VQ181" s="111" t="str">
        <f t="shared" si="1788"/>
        <v>Tank 1</v>
      </c>
      <c r="VR181" s="111" t="str">
        <f t="shared" si="1789"/>
        <v>Tank 1</v>
      </c>
      <c r="VS181" s="111" t="str">
        <f t="shared" si="1790"/>
        <v>Tank 1</v>
      </c>
      <c r="VT181" s="111" t="str">
        <f t="shared" si="1791"/>
        <v>Tank 1</v>
      </c>
      <c r="VU181" s="111" t="str">
        <f t="shared" si="1792"/>
        <v>Tank 1</v>
      </c>
      <c r="VV181" s="111" t="str">
        <f t="shared" si="1793"/>
        <v>Tank 1</v>
      </c>
      <c r="VW181" s="111" t="str">
        <f t="shared" si="1794"/>
        <v>Tank 1</v>
      </c>
      <c r="VX181" s="111" t="str">
        <f t="shared" si="1795"/>
        <v>Tank 1</v>
      </c>
      <c r="VY181" s="111" t="str">
        <f t="shared" si="1796"/>
        <v>Tank 1</v>
      </c>
      <c r="VZ181" s="111" t="str">
        <f t="shared" si="1797"/>
        <v>Tank 1</v>
      </c>
      <c r="WA181" s="111" t="str">
        <f t="shared" si="1798"/>
        <v>Tank 1</v>
      </c>
      <c r="WB181" s="111" t="str">
        <f t="shared" si="1799"/>
        <v>Tank 1</v>
      </c>
      <c r="WC181" s="111" t="str">
        <f t="shared" si="1800"/>
        <v>Tank 1</v>
      </c>
      <c r="WD181" s="111" t="str">
        <f t="shared" si="1801"/>
        <v>Tank 1</v>
      </c>
      <c r="WE181" s="111" t="str">
        <f t="shared" si="1802"/>
        <v>Tank 1</v>
      </c>
      <c r="WF181" s="111" t="str">
        <f t="shared" si="1803"/>
        <v>Tank 1</v>
      </c>
      <c r="WG181" s="111" t="str">
        <f t="shared" si="1804"/>
        <v>Tank 1</v>
      </c>
      <c r="WH181" s="111" t="str">
        <f t="shared" si="1805"/>
        <v>Tank 1</v>
      </c>
      <c r="WI181" s="111" t="str">
        <f t="shared" si="1806"/>
        <v>Tank 1</v>
      </c>
      <c r="WJ181" s="111" t="str">
        <f t="shared" si="1807"/>
        <v>Tank 1</v>
      </c>
      <c r="WK181" s="111" t="str">
        <f t="shared" si="1808"/>
        <v>Tank 1</v>
      </c>
      <c r="WL181" s="111" t="str">
        <f t="shared" si="1809"/>
        <v>Tank 1</v>
      </c>
      <c r="WM181" s="111" t="str">
        <f t="shared" si="1810"/>
        <v>Tank 1</v>
      </c>
      <c r="WN181" s="111" t="str">
        <f t="shared" si="1811"/>
        <v>Tank 1</v>
      </c>
      <c r="WO181" s="111" t="str">
        <f t="shared" si="1812"/>
        <v>Tank 1</v>
      </c>
      <c r="WP181" s="111" t="str">
        <f t="shared" si="1813"/>
        <v>Tank 1</v>
      </c>
      <c r="WQ181" s="152" t="str">
        <f t="shared" si="1814"/>
        <v>Tank 2 + 3</v>
      </c>
      <c r="WR181" s="152" t="str">
        <f t="shared" si="1815"/>
        <v>Tank 2 + 3</v>
      </c>
      <c r="WS181" s="152" t="str">
        <f t="shared" si="1816"/>
        <v>Tank 2 + 3</v>
      </c>
      <c r="WT181" s="152" t="str">
        <f t="shared" si="1817"/>
        <v>Tank 2 + 3</v>
      </c>
      <c r="WU181" s="152" t="str">
        <f t="shared" si="1818"/>
        <v>Tank 2 + 3</v>
      </c>
      <c r="WV181" s="152" t="str">
        <f t="shared" si="1819"/>
        <v>Tank 2 + 3</v>
      </c>
      <c r="WW181" s="152" t="str">
        <f t="shared" si="1820"/>
        <v>Tank 2 + 3</v>
      </c>
      <c r="WX181" s="152" t="str">
        <f t="shared" si="1821"/>
        <v>Tank 2 + 3</v>
      </c>
      <c r="WY181" s="152" t="str">
        <f t="shared" si="1822"/>
        <v>Tank 2 + 3</v>
      </c>
      <c r="WZ181" s="152" t="str">
        <f t="shared" si="1823"/>
        <v>Tank 2 + 3</v>
      </c>
      <c r="XA181" s="152" t="str">
        <f t="shared" si="1824"/>
        <v>Tank 2 + 3</v>
      </c>
      <c r="XB181" s="152" t="str">
        <f t="shared" si="1825"/>
        <v>Tank 2 + 3</v>
      </c>
      <c r="XC181" s="152" t="str">
        <f t="shared" si="1826"/>
        <v>Tank 2 + 3</v>
      </c>
      <c r="XD181" s="152" t="str">
        <f t="shared" si="1765"/>
        <v>Tank 2 + 3</v>
      </c>
      <c r="XE181" s="152" t="str">
        <f t="shared" si="1827"/>
        <v>Tank 2 + 3</v>
      </c>
      <c r="XF181" s="152" t="str">
        <f t="shared" si="1828"/>
        <v>Tank 2 + 3</v>
      </c>
      <c r="XG181" s="152" t="str">
        <f t="shared" si="1829"/>
        <v>Tank 2 + 3</v>
      </c>
      <c r="XH181" s="152" t="str">
        <f t="shared" si="1830"/>
        <v>Tank 2 + 3</v>
      </c>
      <c r="XI181" s="152" t="str">
        <f t="shared" si="1831"/>
        <v>Tank 2 + 3</v>
      </c>
      <c r="XJ181" s="152" t="str">
        <f t="shared" si="1832"/>
        <v>Tank 2 + 3</v>
      </c>
      <c r="XK181" s="152" t="str">
        <f t="shared" si="1833"/>
        <v>Tank 2 + 3</v>
      </c>
      <c r="XL181" s="152" t="str">
        <f t="shared" si="1834"/>
        <v>Tank 2 + 3</v>
      </c>
      <c r="XM181" s="152" t="str">
        <f t="shared" si="1835"/>
        <v>Tank 2 + 3</v>
      </c>
      <c r="XN181" s="152" t="str">
        <f t="shared" si="1836"/>
        <v>Tank 2 + 3</v>
      </c>
      <c r="XO181" s="152" t="str">
        <f t="shared" si="1837"/>
        <v>Tank 2 + 3</v>
      </c>
      <c r="XP181" s="152" t="str">
        <f t="shared" si="1838"/>
        <v>Tank 2 + 3</v>
      </c>
      <c r="XQ181" s="152" t="str">
        <f t="shared" si="1839"/>
        <v>Tank 2 + 3</v>
      </c>
      <c r="XR181" s="152" t="str">
        <f t="shared" si="1840"/>
        <v>Tank 2 + 3</v>
      </c>
      <c r="XS181" s="152" t="str">
        <f t="shared" si="1841"/>
        <v>Tank 2 + 3</v>
      </c>
      <c r="XT181" s="152" t="str">
        <f t="shared" si="1842"/>
        <v>Tank 2 + 3</v>
      </c>
      <c r="XU181" s="152" t="str">
        <f t="shared" si="1843"/>
        <v>Tank 2 + 3</v>
      </c>
      <c r="XV181" s="152" t="str">
        <f t="shared" si="1844"/>
        <v>Tank 2 + 3</v>
      </c>
      <c r="XW181" s="152" t="str">
        <f t="shared" si="1845"/>
        <v>Tank 2 + 3</v>
      </c>
      <c r="XX181" s="152" t="str">
        <f t="shared" si="1846"/>
        <v>Tank 2 + 3</v>
      </c>
      <c r="XY181" s="152" t="str">
        <f t="shared" si="1847"/>
        <v>Tank 2 + 3</v>
      </c>
      <c r="XZ181" s="152" t="str">
        <f t="shared" si="1848"/>
        <v>Tank 2 + 3</v>
      </c>
      <c r="YA181" s="152" t="str">
        <f t="shared" si="1849"/>
        <v>Tank 2 + 3</v>
      </c>
      <c r="YB181" s="152" t="str">
        <f t="shared" si="1850"/>
        <v>Tank 2 + 3</v>
      </c>
      <c r="YC181" s="152" t="str">
        <f t="shared" si="1851"/>
        <v>Tank 2 + 3</v>
      </c>
      <c r="YD181" s="152" t="str">
        <f t="shared" si="1852"/>
        <v>Tank 2 + 3</v>
      </c>
      <c r="YE181" s="152" t="str">
        <f t="shared" si="1853"/>
        <v>Tank 2 + 3</v>
      </c>
      <c r="YF181" s="152" t="str">
        <f t="shared" si="1854"/>
        <v>Tank 2 + 3</v>
      </c>
      <c r="YG181" s="152" t="str">
        <f t="shared" si="1855"/>
        <v>Tank 2 + 3</v>
      </c>
      <c r="YH181" s="152" t="str">
        <f t="shared" si="1856"/>
        <v>Tank 2 + 3</v>
      </c>
      <c r="YI181" s="152" t="str">
        <f t="shared" si="1857"/>
        <v>Tank 2 + 3</v>
      </c>
      <c r="YJ181" s="152" t="str">
        <f t="shared" si="1858"/>
        <v>Tank 2 + 3</v>
      </c>
      <c r="YK181" s="152" t="str">
        <f t="shared" si="1859"/>
        <v>Tank 2 + 3</v>
      </c>
      <c r="YL181" s="152" t="str">
        <f t="shared" si="1860"/>
        <v>Tank 2 + 3</v>
      </c>
      <c r="YM181" s="152" t="str">
        <f t="shared" si="1861"/>
        <v>Tank 2 + 3</v>
      </c>
      <c r="YN181" s="152" t="str">
        <f t="shared" si="1862"/>
        <v>Tank 2 + 3</v>
      </c>
      <c r="YO181" s="152" t="str">
        <f t="shared" si="1863"/>
        <v>Tank 2 + 3</v>
      </c>
      <c r="YP181" s="158" t="str">
        <f t="shared" si="1864"/>
        <v xml:space="preserve">Tank 4 + 5 + 6 </v>
      </c>
      <c r="YQ181" s="158" t="str">
        <f t="shared" si="1865"/>
        <v xml:space="preserve">Tank 4 + 5 + 6 </v>
      </c>
      <c r="YR181" s="158" t="str">
        <f t="shared" si="1866"/>
        <v xml:space="preserve">Tank 4 + 5 + 6 </v>
      </c>
      <c r="YS181" s="158" t="str">
        <f t="shared" si="1867"/>
        <v xml:space="preserve">Tank 4 + 5 + 6 </v>
      </c>
      <c r="YT181" s="158" t="str">
        <f t="shared" si="1868"/>
        <v xml:space="preserve">Tank 4 + 5 + 6 </v>
      </c>
      <c r="YU181" s="158" t="str">
        <f t="shared" si="1869"/>
        <v xml:space="preserve">Tank 4 + 5 + 6 </v>
      </c>
      <c r="YV181" s="158" t="str">
        <f t="shared" si="1870"/>
        <v xml:space="preserve">Tank 4 + 5 + 6 </v>
      </c>
      <c r="YW181" s="158" t="str">
        <f t="shared" si="1871"/>
        <v xml:space="preserve">Tank 4 + 5 + 6 </v>
      </c>
      <c r="YX181" s="158" t="str">
        <f t="shared" si="1872"/>
        <v xml:space="preserve">Tank 4 + 5 + 6 </v>
      </c>
      <c r="YY181" s="158" t="str">
        <f t="shared" si="1873"/>
        <v xml:space="preserve">Tank 4 + 5 + 6 </v>
      </c>
      <c r="YZ181" s="158" t="str">
        <f t="shared" si="1874"/>
        <v xml:space="preserve">Tank 4 + 5 + 6 </v>
      </c>
      <c r="ZA181" s="158" t="str">
        <f t="shared" si="1875"/>
        <v xml:space="preserve">Tank 4 + 5 + 6 </v>
      </c>
      <c r="ZB181" s="158" t="str">
        <f t="shared" si="1876"/>
        <v xml:space="preserve">Tank 4 + 5 + 6 </v>
      </c>
      <c r="ZC181" s="158" t="str">
        <f t="shared" si="1877"/>
        <v xml:space="preserve">Tank 4 + 5 + 6 </v>
      </c>
      <c r="ZD181" s="158" t="str">
        <f t="shared" si="1878"/>
        <v xml:space="preserve">Tank 4 + 5 + 6 </v>
      </c>
      <c r="ZE181" s="158" t="str">
        <f t="shared" si="1879"/>
        <v xml:space="preserve">Tank 4 + 5 + 6 </v>
      </c>
      <c r="ZF181" s="158" t="str">
        <f t="shared" si="1880"/>
        <v xml:space="preserve">Tank 4 + 5 + 6 </v>
      </c>
      <c r="ZG181" s="158" t="str">
        <f t="shared" si="1881"/>
        <v xml:space="preserve">Tank 4 + 5 + 6 </v>
      </c>
      <c r="ZH181" s="158" t="str">
        <f t="shared" si="1882"/>
        <v xml:space="preserve">Tank 4 + 5 + 6 </v>
      </c>
      <c r="ZI181" s="158" t="str">
        <f t="shared" si="1883"/>
        <v xml:space="preserve">Tank 4 + 5 + 6 </v>
      </c>
      <c r="ZJ181" s="158" t="str">
        <f t="shared" si="1884"/>
        <v xml:space="preserve">Tank 4 + 5 + 6 </v>
      </c>
      <c r="ZK181" s="158" t="str">
        <f t="shared" si="1885"/>
        <v xml:space="preserve">Tank 4 + 5 + 6 </v>
      </c>
      <c r="ZL181" s="158" t="str">
        <f t="shared" si="1886"/>
        <v xml:space="preserve">Tank 4 + 5 + 6 </v>
      </c>
      <c r="ZM181" s="158" t="str">
        <f t="shared" si="1887"/>
        <v xml:space="preserve">Tank 4 + 5 + 6 </v>
      </c>
      <c r="ZN181" s="158" t="str">
        <f t="shared" si="1888"/>
        <v xml:space="preserve">Tank 4 + 5 + 6 </v>
      </c>
      <c r="ZO181" s="158" t="str">
        <f t="shared" si="1889"/>
        <v xml:space="preserve">Tank 4 + 5 + 6 </v>
      </c>
      <c r="ZP181" s="158" t="str">
        <f t="shared" si="1766"/>
        <v xml:space="preserve">Tank 4 + 5 + 6 </v>
      </c>
      <c r="ZQ181" s="158" t="str">
        <f t="shared" si="1762"/>
        <v xml:space="preserve">Tank 4 + 5 + 6 </v>
      </c>
      <c r="ZR181" s="158" t="str">
        <f t="shared" si="1762"/>
        <v xml:space="preserve">Tank 4 + 5 + 6 </v>
      </c>
      <c r="ZS181" s="158" t="str">
        <f t="shared" si="1762"/>
        <v xml:space="preserve">Tank 4 + 5 + 6 </v>
      </c>
      <c r="ZT181" s="158" t="str">
        <f t="shared" si="1762"/>
        <v xml:space="preserve">Tank 4 + 5 + 6 </v>
      </c>
      <c r="ZU181" s="158" t="str">
        <f t="shared" si="1762"/>
        <v xml:space="preserve">Tank 4 + 5 + 6 </v>
      </c>
      <c r="ZV181" s="158" t="str">
        <f t="shared" si="1762"/>
        <v xml:space="preserve">Tank 4 + 5 + 6 </v>
      </c>
      <c r="ZW181" s="158" t="str">
        <f t="shared" si="1762"/>
        <v xml:space="preserve">Tank 4 + 5 + 6 </v>
      </c>
      <c r="ZX181" s="158" t="str">
        <f t="shared" si="1762"/>
        <v xml:space="preserve">Tank 4 + 5 + 6 </v>
      </c>
      <c r="ZY181" s="158" t="str">
        <f t="shared" si="1762"/>
        <v xml:space="preserve">Tank 4 + 5 + 6 </v>
      </c>
      <c r="ZZ181" s="158" t="str">
        <f t="shared" si="1762"/>
        <v xml:space="preserve">Tank 4 + 5 + 6 </v>
      </c>
      <c r="AAA181" s="158" t="str">
        <f t="shared" si="1762"/>
        <v xml:space="preserve">Tank 4 + 5 + 6 </v>
      </c>
      <c r="AAB181" s="158" t="str">
        <f t="shared" si="1762"/>
        <v xml:space="preserve">Tank 4 + 5 + 6 </v>
      </c>
      <c r="AAC181" s="158" t="str">
        <f t="shared" si="1762"/>
        <v xml:space="preserve">Tank 4 + 5 + 6 </v>
      </c>
      <c r="AAD181" s="158" t="str">
        <f t="shared" si="1762"/>
        <v xml:space="preserve">Tank 4 + 5 + 6 </v>
      </c>
      <c r="AAE181" s="158" t="str">
        <f t="shared" si="1762"/>
        <v xml:space="preserve">Tank 4 + 5 + 6 </v>
      </c>
      <c r="AAF181" s="158" t="str">
        <f t="shared" si="1762"/>
        <v xml:space="preserve">Tank 4 + 5 + 6 </v>
      </c>
      <c r="AAG181" s="158" t="str">
        <f t="shared" si="1762"/>
        <v xml:space="preserve">Tank 4 + 5 + 6 </v>
      </c>
      <c r="AAH181" s="158" t="str">
        <f t="shared" si="1762"/>
        <v xml:space="preserve">Tank 4 + 5 + 6 </v>
      </c>
      <c r="AAI181" s="158" t="str">
        <f t="shared" si="1762"/>
        <v xml:space="preserve">Tank 4 + 5 + 6 </v>
      </c>
      <c r="AAJ181" s="158" t="str">
        <f t="shared" si="1764"/>
        <v xml:space="preserve">Tank 4 + 5 + 6 </v>
      </c>
      <c r="AAK181" s="158" t="str">
        <f t="shared" si="1890"/>
        <v xml:space="preserve">Tank 4 + 5 + 6 </v>
      </c>
      <c r="AAL181" s="158" t="str">
        <f t="shared" si="1891"/>
        <v xml:space="preserve">Tank 4 + 5 + 6 </v>
      </c>
      <c r="AAM181" s="158" t="str">
        <f t="shared" si="1892"/>
        <v xml:space="preserve">Tank 4 + 5 + 6 </v>
      </c>
      <c r="AAN181" s="158" t="str">
        <f t="shared" si="1893"/>
        <v xml:space="preserve">Tank 4 + 5 + 6 </v>
      </c>
      <c r="AAO181" s="119"/>
      <c r="AAP181" s="119"/>
      <c r="AAQ181" s="119"/>
      <c r="AAR181" s="119"/>
      <c r="AAS181" s="119"/>
      <c r="AAT181" s="119"/>
      <c r="AAU181" s="119"/>
      <c r="AAV181" s="119"/>
      <c r="AAW181" s="119"/>
      <c r="AAX181" s="119"/>
      <c r="AAY181" s="119"/>
      <c r="AAZ181" s="119"/>
      <c r="ABA181" s="119"/>
      <c r="ABB181" s="119"/>
      <c r="ABC181" s="119"/>
      <c r="ABD181" s="119"/>
      <c r="ABE181" s="119"/>
      <c r="ABF181" s="119"/>
      <c r="ABG181" s="119"/>
      <c r="ABH181" s="119"/>
      <c r="ABI181" s="119"/>
      <c r="ABJ181" s="119"/>
    </row>
    <row r="182" spans="1:815" ht="21.75" thickBot="1" x14ac:dyDescent="0.3">
      <c r="A182" s="299"/>
      <c r="B182" s="26" t="s">
        <v>122</v>
      </c>
      <c r="UR182" s="126">
        <f t="shared" si="1756"/>
        <v>4.166666666666667</v>
      </c>
      <c r="US182" s="127">
        <f t="shared" si="1757"/>
        <v>4.5764880952380951</v>
      </c>
      <c r="UT182" s="127">
        <f t="shared" si="1758"/>
        <v>5.0241666985544224</v>
      </c>
      <c r="UU182" s="127">
        <f t="shared" si="1759"/>
        <v>5.5050764092090345</v>
      </c>
      <c r="UV182" s="127">
        <f t="shared" si="1767"/>
        <v>6.0300868541293902</v>
      </c>
      <c r="UW182" s="127">
        <f t="shared" si="1768"/>
        <v>6.6009350763203054</v>
      </c>
      <c r="UX182" s="127">
        <f t="shared" si="1769"/>
        <v>7.210269669399942</v>
      </c>
      <c r="UY182" s="127">
        <f t="shared" si="1770"/>
        <v>7.8721226990531363</v>
      </c>
      <c r="UZ182" s="127">
        <f t="shared" si="1771"/>
        <v>8.5768778193310791</v>
      </c>
      <c r="VA182" s="127">
        <f t="shared" si="1772"/>
        <v>9.3389116079570709</v>
      </c>
      <c r="VB182" s="127">
        <f t="shared" si="1773"/>
        <v>10.159152963083063</v>
      </c>
      <c r="VC182" s="127">
        <f t="shared" si="1774"/>
        <v>11.026067349266151</v>
      </c>
      <c r="VD182" s="127">
        <f t="shared" si="1775"/>
        <v>11.955932362387598</v>
      </c>
      <c r="VE182" s="127">
        <f t="shared" si="1776"/>
        <v>12.935534820538635</v>
      </c>
      <c r="VF182" s="127">
        <f t="shared" si="1777"/>
        <v>13.982676967158632</v>
      </c>
      <c r="VG182" s="127">
        <f t="shared" si="1778"/>
        <v>15.080091582032725</v>
      </c>
      <c r="VH182" s="127">
        <f t="shared" si="1779"/>
        <v>16.246609634088035</v>
      </c>
      <c r="VI182" s="127">
        <f t="shared" si="1780"/>
        <v>17.462268647025983</v>
      </c>
      <c r="VJ182" s="127">
        <f t="shared" si="1781"/>
        <v>18.749487307292473</v>
      </c>
      <c r="VK182" s="127">
        <f t="shared" si="1782"/>
        <v>20.088903806807178</v>
      </c>
      <c r="VL182" s="127">
        <f t="shared" si="1783"/>
        <v>21.502032633967268</v>
      </c>
      <c r="VM182" s="127">
        <f t="shared" si="1784"/>
        <v>22.96747885809765</v>
      </c>
      <c r="VN182" s="127">
        <f t="shared" si="1785"/>
        <v>24.50453321244726</v>
      </c>
      <c r="VO182" s="127">
        <f t="shared" si="1786"/>
        <v>26.092872501581343</v>
      </c>
      <c r="VP182" s="127">
        <f t="shared" si="1787"/>
        <v>27.756490796833685</v>
      </c>
      <c r="VQ182" s="127">
        <f t="shared" si="1788"/>
        <v>29.500944188125594</v>
      </c>
      <c r="VR182" s="127">
        <f t="shared" si="1789"/>
        <v>31.300061471001431</v>
      </c>
      <c r="VS182" s="127">
        <f t="shared" si="1790"/>
        <v>33.180868149841011</v>
      </c>
      <c r="VT182" s="127">
        <f t="shared" si="1791"/>
        <v>35.115117581399382</v>
      </c>
      <c r="VU182" s="127">
        <f t="shared" si="1792"/>
        <v>37.131138449602076</v>
      </c>
      <c r="VV182" s="127">
        <f t="shared" si="1793"/>
        <v>39.23013986431193</v>
      </c>
      <c r="VW182" s="127">
        <f t="shared" si="1794"/>
        <v>41.380406371077548</v>
      </c>
      <c r="VX182" s="127">
        <f t="shared" si="1795"/>
        <v>43.612549450978278</v>
      </c>
      <c r="VY182" s="127">
        <f t="shared" si="1796"/>
        <v>45.927174901550487</v>
      </c>
      <c r="VZ182" s="127">
        <f t="shared" si="1797"/>
        <v>48.289143896487367</v>
      </c>
      <c r="WA182" s="127">
        <f t="shared" si="1798"/>
        <v>50.731194887824017</v>
      </c>
      <c r="WB182" s="127">
        <f t="shared" si="1799"/>
        <v>53.209163674739131</v>
      </c>
      <c r="WC182" s="127">
        <f t="shared" si="1800"/>
        <v>55.763203531126614</v>
      </c>
      <c r="WD182" s="127">
        <f t="shared" si="1801"/>
        <v>58.384859494322392</v>
      </c>
      <c r="WE182" s="127">
        <f t="shared" si="1802"/>
        <v>61.04137060131405</v>
      </c>
      <c r="WF182" s="127">
        <f t="shared" si="1803"/>
        <v>63.767885154839412</v>
      </c>
      <c r="WG182" s="127">
        <f t="shared" si="1804"/>
        <v>66.554187470077267</v>
      </c>
      <c r="WH182" s="127">
        <f t="shared" si="1805"/>
        <v>69.36587396538846</v>
      </c>
      <c r="WI182" s="127">
        <f t="shared" si="1806"/>
        <v>72.229829364452598</v>
      </c>
      <c r="WJ182" s="127">
        <f t="shared" si="1807"/>
        <v>75.152663829419623</v>
      </c>
      <c r="WK182" s="127">
        <f t="shared" si="1808"/>
        <v>78.089711177996406</v>
      </c>
      <c r="WL182" s="127">
        <f t="shared" si="1809"/>
        <v>81.078225530105684</v>
      </c>
      <c r="WM182" s="127">
        <f t="shared" si="1810"/>
        <v>84.115372032395584</v>
      </c>
      <c r="WN182" s="127">
        <f t="shared" si="1811"/>
        <v>87.154740808499469</v>
      </c>
      <c r="WO182" s="127">
        <f t="shared" si="1812"/>
        <v>90.234208317066447</v>
      </c>
      <c r="WP182" s="127">
        <f t="shared" si="1813"/>
        <v>93.306920568705493</v>
      </c>
      <c r="WQ182" s="182">
        <f t="shared" si="1814"/>
        <v>46.560153363784046</v>
      </c>
      <c r="WR182" s="182">
        <f t="shared" si="1815"/>
        <v>48.07213308091324</v>
      </c>
      <c r="WS182" s="182">
        <f t="shared" si="1816"/>
        <v>49.574231161337615</v>
      </c>
      <c r="WT182" s="182">
        <f t="shared" si="1817"/>
        <v>51.084635658798625</v>
      </c>
      <c r="WU182" s="182">
        <f t="shared" si="1818"/>
        <v>52.614520981255644</v>
      </c>
      <c r="WV182" s="182">
        <f t="shared" si="1819"/>
        <v>54.141691179993622</v>
      </c>
      <c r="WW182" s="182">
        <f t="shared" si="1820"/>
        <v>55.678482260410362</v>
      </c>
      <c r="WX182" s="182">
        <f t="shared" si="1821"/>
        <v>57.230341496745396</v>
      </c>
      <c r="WY182" s="182">
        <f t="shared" si="1822"/>
        <v>58.796104942310194</v>
      </c>
      <c r="WZ182" s="182">
        <f t="shared" si="1823"/>
        <v>60.353085341542005</v>
      </c>
      <c r="XA182" s="182">
        <f t="shared" si="1824"/>
        <v>61.920737634210916</v>
      </c>
      <c r="XB182" s="182">
        <f t="shared" si="1825"/>
        <v>63.489918858814598</v>
      </c>
      <c r="XC182" s="182">
        <f t="shared" si="1826"/>
        <v>65.066719122118315</v>
      </c>
      <c r="XD182" s="182">
        <f t="shared" si="1765"/>
        <v>66.62832038104915</v>
      </c>
      <c r="XE182" s="182">
        <f t="shared" si="1827"/>
        <v>68.202414450051435</v>
      </c>
      <c r="XF182" s="182">
        <f t="shared" si="1828"/>
        <v>69.788120586015125</v>
      </c>
      <c r="XG182" s="182">
        <f t="shared" si="1829"/>
        <v>71.384523844420229</v>
      </c>
      <c r="XH182" s="182">
        <f t="shared" si="1830"/>
        <v>72.990675630919668</v>
      </c>
      <c r="XI182" s="182">
        <f t="shared" si="1831"/>
        <v>74.583854822468638</v>
      </c>
      <c r="XJ182" s="182">
        <f t="shared" si="1832"/>
        <v>76.184184941992712</v>
      </c>
      <c r="XK182" s="182">
        <f t="shared" si="1833"/>
        <v>77.790636644226339</v>
      </c>
      <c r="XL182" s="182">
        <f t="shared" si="1834"/>
        <v>79.402151314461051</v>
      </c>
      <c r="XM182" s="182">
        <f t="shared" si="1835"/>
        <v>80.996004254261095</v>
      </c>
      <c r="XN182" s="182">
        <f t="shared" si="1836"/>
        <v>82.592218191759684</v>
      </c>
      <c r="XO182" s="182">
        <f t="shared" si="1837"/>
        <v>84.199744779979795</v>
      </c>
      <c r="XP182" s="182">
        <f t="shared" si="1838"/>
        <v>85.818022801604783</v>
      </c>
      <c r="XQ182" s="182">
        <f t="shared" si="1839"/>
        <v>87.446472112327925</v>
      </c>
      <c r="XR182" s="182">
        <f t="shared" si="1840"/>
        <v>89.062651488476234</v>
      </c>
      <c r="XS182" s="182">
        <f t="shared" si="1841"/>
        <v>90.687240095145555</v>
      </c>
      <c r="XT182" s="182">
        <f t="shared" si="1842"/>
        <v>92.319610416858183</v>
      </c>
      <c r="XU182" s="182">
        <f t="shared" si="1843"/>
        <v>93.95911771510454</v>
      </c>
      <c r="XV182" s="182">
        <f t="shared" si="1844"/>
        <v>95.605100331463134</v>
      </c>
      <c r="XW182" s="182">
        <f t="shared" si="1845"/>
        <v>97.256880016707925</v>
      </c>
      <c r="XX182" s="182">
        <f t="shared" si="1846"/>
        <v>98.91376228590822</v>
      </c>
      <c r="XY182" s="182">
        <f t="shared" si="1847"/>
        <v>100.56468008025162</v>
      </c>
      <c r="XZ182" s="182">
        <f t="shared" si="1848"/>
        <v>102.23118049301006</v>
      </c>
      <c r="YA182" s="182">
        <f t="shared" si="1849"/>
        <v>103.91312681969268</v>
      </c>
      <c r="YB182" s="182">
        <f t="shared" si="1850"/>
        <v>105.61037455774766</v>
      </c>
      <c r="YC182" s="182">
        <f t="shared" si="1851"/>
        <v>107.32277134521972</v>
      </c>
      <c r="YD182" s="182">
        <f t="shared" si="1852"/>
        <v>109.05015690306182</v>
      </c>
      <c r="YE182" s="182">
        <f t="shared" si="1853"/>
        <v>110.76930055306305</v>
      </c>
      <c r="YF182" s="182">
        <f t="shared" si="1854"/>
        <v>112.50251431465804</v>
      </c>
      <c r="YG182" s="182">
        <f t="shared" si="1855"/>
        <v>114.24961218401506</v>
      </c>
      <c r="YH182" s="182">
        <f t="shared" si="1856"/>
        <v>116.01040032473342</v>
      </c>
      <c r="YI182" s="182">
        <f t="shared" si="1857"/>
        <v>117.78467703558228</v>
      </c>
      <c r="YJ182" s="182">
        <f t="shared" si="1858"/>
        <v>119.57223272235758</v>
      </c>
      <c r="YK182" s="182">
        <f t="shared" si="1859"/>
        <v>121.37284987394132</v>
      </c>
      <c r="YL182" s="182">
        <f t="shared" si="1860"/>
        <v>123.18630304264609</v>
      </c>
      <c r="YM182" s="182">
        <f t="shared" si="1861"/>
        <v>124.98826082436294</v>
      </c>
      <c r="YN182" s="182">
        <f t="shared" si="1862"/>
        <v>126.80204395818626</v>
      </c>
      <c r="YO182" s="182">
        <f t="shared" si="1863"/>
        <v>128.62740361423548</v>
      </c>
      <c r="YP182" s="183">
        <f t="shared" si="1864"/>
        <v>85.580099204671342</v>
      </c>
      <c r="YQ182" s="183">
        <f t="shared" si="1865"/>
        <v>86.792152237593314</v>
      </c>
      <c r="YR182" s="183">
        <f t="shared" si="1866"/>
        <v>88.011279213209733</v>
      </c>
      <c r="YS182" s="183">
        <f t="shared" si="1867"/>
        <v>89.237296800389089</v>
      </c>
      <c r="YT182" s="183">
        <f t="shared" si="1868"/>
        <v>90.470016667817731</v>
      </c>
      <c r="YU182" s="183">
        <f t="shared" si="1869"/>
        <v>91.692921720706849</v>
      </c>
      <c r="YV182" s="183">
        <f t="shared" si="1870"/>
        <v>92.921817660090127</v>
      </c>
      <c r="YW182" s="183">
        <f t="shared" si="1871"/>
        <v>94.16718363010925</v>
      </c>
      <c r="YX182" s="183">
        <f t="shared" si="1872"/>
        <v>95.418416552826571</v>
      </c>
      <c r="YY182" s="183">
        <f t="shared" si="1873"/>
        <v>96.67530741914311</v>
      </c>
      <c r="YZ182" s="183">
        <f t="shared" si="1874"/>
        <v>97.937642467742506</v>
      </c>
      <c r="ZA182" s="183">
        <f t="shared" si="1875"/>
        <v>99.205203219681337</v>
      </c>
      <c r="ZB182" s="183">
        <f t="shared" si="1876"/>
        <v>100.46105090589411</v>
      </c>
      <c r="ZC182" s="183">
        <f t="shared" si="1877"/>
        <v>101.7213804536226</v>
      </c>
      <c r="ZD182" s="183">
        <f t="shared" si="1878"/>
        <v>102.98596216062559</v>
      </c>
      <c r="ZE182" s="183">
        <f t="shared" si="1879"/>
        <v>104.2662649174861</v>
      </c>
      <c r="ZF182" s="183">
        <f t="shared" si="1880"/>
        <v>105.5506357262424</v>
      </c>
      <c r="ZG182" s="183">
        <f t="shared" si="1881"/>
        <v>106.8388332577195</v>
      </c>
      <c r="ZH182" s="183">
        <f t="shared" si="1882"/>
        <v>108.13061187801738</v>
      </c>
      <c r="ZI182" s="183">
        <f t="shared" si="1883"/>
        <v>109.40874000942945</v>
      </c>
      <c r="ZJ182" s="183">
        <f t="shared" si="1884"/>
        <v>110.70197590257463</v>
      </c>
      <c r="ZK182" s="183">
        <f t="shared" si="1885"/>
        <v>111.99805971033285</v>
      </c>
      <c r="ZL182" s="183">
        <f t="shared" si="1886"/>
        <v>113.2967338409066</v>
      </c>
      <c r="ZM182" s="183">
        <f t="shared" si="1887"/>
        <v>114.59773678456285</v>
      </c>
      <c r="ZN182" s="183">
        <f t="shared" si="1888"/>
        <v>115.90080318485475</v>
      </c>
      <c r="ZO182" s="183">
        <f t="shared" si="1889"/>
        <v>117.20566391284602</v>
      </c>
      <c r="ZP182" s="183">
        <f t="shared" si="1766"/>
        <v>118.49492621588733</v>
      </c>
      <c r="ZQ182" s="183">
        <f t="shared" si="1762"/>
        <v>104.98650462727618</v>
      </c>
      <c r="ZR182" s="183">
        <f t="shared" si="1762"/>
        <v>106.12969101099542</v>
      </c>
      <c r="ZS182" s="183">
        <f t="shared" si="1762"/>
        <v>92.112148806193915</v>
      </c>
      <c r="ZT182" s="183">
        <f t="shared" si="1762"/>
        <v>93.094678393460001</v>
      </c>
      <c r="ZU182" s="183">
        <f t="shared" si="1762"/>
        <v>94.077344443168741</v>
      </c>
      <c r="ZV182" s="183">
        <f t="shared" si="1762"/>
        <v>95.059930040686254</v>
      </c>
      <c r="ZW182" s="183">
        <f t="shared" si="1762"/>
        <v>96.029332404178092</v>
      </c>
      <c r="ZX182" s="183">
        <f t="shared" si="1762"/>
        <v>80.993179133302633</v>
      </c>
      <c r="ZY182" s="183">
        <f t="shared" si="1762"/>
        <v>81.810231204119916</v>
      </c>
      <c r="ZZ182" s="183">
        <f t="shared" si="1762"/>
        <v>66.264489248277698</v>
      </c>
      <c r="AAA182" s="183">
        <f t="shared" si="1762"/>
        <v>66.918395966354112</v>
      </c>
      <c r="AAB182" s="183">
        <f t="shared" si="1762"/>
        <v>67.571401852267556</v>
      </c>
      <c r="AAC182" s="183">
        <f t="shared" si="1762"/>
        <v>68.223354498710307</v>
      </c>
      <c r="AAD182" s="183">
        <f t="shared" si="1762"/>
        <v>68.881597413544029</v>
      </c>
      <c r="AAE182" s="183">
        <f t="shared" si="1762"/>
        <v>52.318222527794894</v>
      </c>
      <c r="AAF182" s="183">
        <f t="shared" si="1762"/>
        <v>52.811508625914108</v>
      </c>
      <c r="AAG182" s="183">
        <f t="shared" si="1762"/>
        <v>35.699806036119753</v>
      </c>
      <c r="AAH182" s="183">
        <f t="shared" si="1762"/>
        <v>36.028089035104067</v>
      </c>
      <c r="AAI182" s="183">
        <f t="shared" si="1762"/>
        <v>36.355474713727411</v>
      </c>
      <c r="AAJ182" s="183">
        <f t="shared" si="1764"/>
        <v>36.685835331778243</v>
      </c>
      <c r="AAK182" s="183">
        <f t="shared" si="1890"/>
        <v>37.015210331604855</v>
      </c>
      <c r="AAL182" s="183">
        <f t="shared" si="1891"/>
        <v>18.835913987874051</v>
      </c>
      <c r="AAM182" s="183">
        <f t="shared" si="1892"/>
        <v>19.002980355418675</v>
      </c>
      <c r="AAN182" s="183">
        <f t="shared" si="1893"/>
        <v>-3.8414937896748588E-2</v>
      </c>
      <c r="AAO182" s="119"/>
      <c r="AAP182" s="119"/>
      <c r="AAQ182" s="119"/>
      <c r="AAR182" s="119"/>
      <c r="AAS182" s="119"/>
      <c r="AAT182" s="119"/>
      <c r="AAU182" s="119"/>
      <c r="AAV182" s="119"/>
      <c r="AAW182" s="119"/>
      <c r="AAX182" s="119"/>
      <c r="AAY182" s="119"/>
      <c r="AAZ182" s="119"/>
      <c r="ABA182" s="119"/>
      <c r="ABB182" s="119"/>
      <c r="ABC182" s="119"/>
      <c r="ABD182" s="119"/>
      <c r="ABE182" s="119"/>
      <c r="ABF182" s="119"/>
      <c r="ABG182" s="119"/>
      <c r="ABH182" s="119"/>
      <c r="ABI182" s="119"/>
      <c r="ABJ182" s="119"/>
    </row>
    <row r="183" spans="1:815" ht="19.5" thickBot="1" x14ac:dyDescent="0.3">
      <c r="A183" s="297" t="s">
        <v>123</v>
      </c>
      <c r="B183" s="24" t="s">
        <v>14</v>
      </c>
      <c r="WQ183" s="134">
        <f t="shared" ref="WQ183:WQ195" si="1894">C27</f>
        <v>250</v>
      </c>
      <c r="WR183" s="142">
        <f t="shared" ref="WR183:WR195" si="1895">D27</f>
        <v>249.5</v>
      </c>
      <c r="WS183" s="109">
        <f t="shared" ref="WS183:WS195" si="1896">E27</f>
        <v>249.001</v>
      </c>
      <c r="WT183" s="109">
        <f t="shared" ref="WT183:WT195" si="1897">F27</f>
        <v>248.50299799999999</v>
      </c>
      <c r="WU183" s="109">
        <f t="shared" ref="WU183:ZC186" si="1898">G27</f>
        <v>248.00599200399998</v>
      </c>
      <c r="WV183" s="109">
        <f t="shared" si="1898"/>
        <v>247.50998001999199</v>
      </c>
      <c r="WW183" s="109">
        <f t="shared" si="1898"/>
        <v>247.01496005995199</v>
      </c>
      <c r="WX183" s="109">
        <f t="shared" si="1898"/>
        <v>246.52093013983207</v>
      </c>
      <c r="WY183" s="109">
        <f t="shared" si="1898"/>
        <v>246.0278882795524</v>
      </c>
      <c r="WZ183" s="109">
        <f t="shared" si="1898"/>
        <v>245.53583250299329</v>
      </c>
      <c r="XA183" s="109">
        <f t="shared" si="1898"/>
        <v>245.0447608379873</v>
      </c>
      <c r="XB183" s="109">
        <f t="shared" si="1898"/>
        <v>244.55467131631133</v>
      </c>
      <c r="XC183" s="109">
        <f t="shared" si="1898"/>
        <v>244.06556197367871</v>
      </c>
      <c r="XD183" s="109">
        <f t="shared" si="1898"/>
        <v>243.57743084973134</v>
      </c>
      <c r="XE183" s="109">
        <f t="shared" si="1898"/>
        <v>243.09027598803189</v>
      </c>
      <c r="XF183" s="109">
        <f t="shared" si="1898"/>
        <v>242.60409543605581</v>
      </c>
      <c r="XG183" s="109">
        <f t="shared" si="1898"/>
        <v>242.11888724518371</v>
      </c>
      <c r="XH183" s="109">
        <f t="shared" si="1898"/>
        <v>241.63464947069335</v>
      </c>
      <c r="XI183" s="109">
        <f t="shared" si="1898"/>
        <v>241.15138017175195</v>
      </c>
      <c r="XJ183" s="109">
        <f t="shared" si="1898"/>
        <v>240.66907741140844</v>
      </c>
      <c r="XK183" s="109">
        <f t="shared" si="1898"/>
        <v>240.18773925658562</v>
      </c>
      <c r="XL183" s="109">
        <f t="shared" si="1898"/>
        <v>239.70736377807245</v>
      </c>
      <c r="XM183" s="109">
        <f t="shared" si="1898"/>
        <v>239.22794905051632</v>
      </c>
      <c r="XN183" s="109">
        <f t="shared" si="1898"/>
        <v>238.74949315241528</v>
      </c>
      <c r="XO183" s="109">
        <f t="shared" si="1898"/>
        <v>238.27199416611046</v>
      </c>
      <c r="XP183" s="109">
        <f t="shared" si="1898"/>
        <v>237.79545017777824</v>
      </c>
      <c r="XQ183" s="109">
        <f t="shared" si="1898"/>
        <v>237.31985927742267</v>
      </c>
      <c r="XR183" s="109">
        <f t="shared" si="1898"/>
        <v>236.84521955886783</v>
      </c>
      <c r="XS183" s="109">
        <f t="shared" si="1898"/>
        <v>236.37152911975008</v>
      </c>
      <c r="XT183" s="109">
        <f t="shared" si="1898"/>
        <v>235.89878606151058</v>
      </c>
      <c r="XU183" s="109">
        <f t="shared" si="1898"/>
        <v>235.42698848938755</v>
      </c>
      <c r="XV183" s="109">
        <f t="shared" si="1898"/>
        <v>234.95613451240877</v>
      </c>
      <c r="XW183" s="109">
        <f t="shared" si="1898"/>
        <v>234.48622224338393</v>
      </c>
      <c r="XX183" s="109">
        <f t="shared" si="1898"/>
        <v>234.01724979889715</v>
      </c>
      <c r="XY183" s="109">
        <f t="shared" si="1898"/>
        <v>233.54921529929936</v>
      </c>
      <c r="XZ183" s="109">
        <f t="shared" si="1898"/>
        <v>233.08211686870075</v>
      </c>
      <c r="YA183" s="109">
        <f t="shared" si="1898"/>
        <v>232.61595263496335</v>
      </c>
      <c r="YB183" s="109">
        <f t="shared" si="1898"/>
        <v>232.15072072969343</v>
      </c>
      <c r="YC183" s="109">
        <f t="shared" si="1898"/>
        <v>231.68641928823405</v>
      </c>
      <c r="YD183" s="109">
        <f t="shared" si="1898"/>
        <v>231.22304644965757</v>
      </c>
      <c r="YE183" s="109">
        <f t="shared" si="1898"/>
        <v>230.76060035675826</v>
      </c>
      <c r="YF183" s="109">
        <f t="shared" si="1898"/>
        <v>230.29907915604474</v>
      </c>
      <c r="YG183" s="109">
        <f t="shared" si="1898"/>
        <v>229.83848099773266</v>
      </c>
      <c r="YH183" s="109">
        <f t="shared" si="1898"/>
        <v>229.3788040357372</v>
      </c>
      <c r="YI183" s="109">
        <f t="shared" si="1898"/>
        <v>228.92004642766574</v>
      </c>
      <c r="YJ183" s="109">
        <f t="shared" si="1898"/>
        <v>228.46220633481042</v>
      </c>
      <c r="YK183" s="109">
        <f t="shared" si="1898"/>
        <v>228.0052819221408</v>
      </c>
      <c r="YL183" s="109">
        <f t="shared" si="1898"/>
        <v>227.54927135829652</v>
      </c>
      <c r="YM183" s="109">
        <f t="shared" si="1898"/>
        <v>227.09417281557992</v>
      </c>
      <c r="YN183" s="109">
        <f t="shared" si="1898"/>
        <v>226.63998446994876</v>
      </c>
      <c r="YO183" s="109">
        <f t="shared" si="1898"/>
        <v>226.18670450100885</v>
      </c>
      <c r="YP183" s="144">
        <f t="shared" si="1898"/>
        <v>225.73433109200684</v>
      </c>
      <c r="YQ183" s="144">
        <f t="shared" si="1898"/>
        <v>225.28286242982281</v>
      </c>
      <c r="YR183" s="144">
        <f t="shared" si="1898"/>
        <v>224.83229670496317</v>
      </c>
      <c r="YS183" s="144">
        <f t="shared" si="1898"/>
        <v>224.38263211155325</v>
      </c>
      <c r="YT183" s="144">
        <f t="shared" si="1898"/>
        <v>223.93386684733014</v>
      </c>
      <c r="YU183" s="144">
        <f t="shared" si="1898"/>
        <v>223.48599911363547</v>
      </c>
      <c r="YV183" s="144">
        <f t="shared" si="1898"/>
        <v>223.0390271154082</v>
      </c>
      <c r="YW183" s="144">
        <f t="shared" si="1898"/>
        <v>222.59294906117739</v>
      </c>
      <c r="YX183" s="144">
        <f t="shared" si="1898"/>
        <v>222.14776316305503</v>
      </c>
      <c r="YY183" s="144">
        <f t="shared" si="1898"/>
        <v>221.70346763672893</v>
      </c>
      <c r="YZ183" s="144">
        <f t="shared" si="1898"/>
        <v>221.26006070145547</v>
      </c>
      <c r="ZA183" s="144">
        <f t="shared" si="1898"/>
        <v>220.81754058005257</v>
      </c>
      <c r="ZB183" s="144">
        <f t="shared" si="1898"/>
        <v>220.37590549889245</v>
      </c>
      <c r="ZC183" s="144">
        <f t="shared" si="1898"/>
        <v>219.93515368789465</v>
      </c>
      <c r="ZD183" s="144">
        <f t="shared" ref="ZD183:ABO186" si="1899">BP27</f>
        <v>219.49528338051886</v>
      </c>
      <c r="ZE183" s="144">
        <f t="shared" si="1899"/>
        <v>219.05629281375781</v>
      </c>
      <c r="ZF183" s="144">
        <f t="shared" si="1899"/>
        <v>218.61818022813029</v>
      </c>
      <c r="ZG183" s="144">
        <f t="shared" si="1899"/>
        <v>218.18094386767402</v>
      </c>
      <c r="ZH183" s="144">
        <f t="shared" si="1899"/>
        <v>217.74458197993866</v>
      </c>
      <c r="ZI183" s="144">
        <f t="shared" si="1899"/>
        <v>217.30909281597877</v>
      </c>
      <c r="ZJ183" s="144">
        <f t="shared" si="1899"/>
        <v>216.87447463034681</v>
      </c>
      <c r="ZK183" s="144">
        <f t="shared" si="1899"/>
        <v>216.44072568108612</v>
      </c>
      <c r="ZL183" s="144">
        <f t="shared" si="1899"/>
        <v>216.00784422972396</v>
      </c>
      <c r="ZM183" s="144">
        <f t="shared" si="1899"/>
        <v>215.57582854126451</v>
      </c>
      <c r="ZN183" s="144">
        <f t="shared" si="1899"/>
        <v>215.14467688418199</v>
      </c>
      <c r="ZO183" s="144">
        <f t="shared" si="1899"/>
        <v>214.71438753041363</v>
      </c>
      <c r="ZP183" s="144">
        <f t="shared" si="1899"/>
        <v>214.28495875535282</v>
      </c>
      <c r="ZQ183" s="144">
        <f t="shared" si="1899"/>
        <v>213.8563888378421</v>
      </c>
      <c r="ZR183" s="144">
        <f t="shared" si="1899"/>
        <v>213.42867606016642</v>
      </c>
      <c r="ZS183" s="144">
        <f t="shared" si="1899"/>
        <v>213.0018187080461</v>
      </c>
      <c r="ZT183" s="144">
        <f t="shared" si="1899"/>
        <v>212.57581507063</v>
      </c>
      <c r="ZU183" s="144">
        <f t="shared" si="1899"/>
        <v>212.15066344048873</v>
      </c>
      <c r="ZV183" s="144">
        <f t="shared" si="1899"/>
        <v>211.72636211360776</v>
      </c>
      <c r="ZW183" s="144">
        <f t="shared" si="1899"/>
        <v>211.30290938938055</v>
      </c>
      <c r="ZX183" s="144">
        <f t="shared" si="1899"/>
        <v>210.8803035706018</v>
      </c>
      <c r="ZY183" s="144">
        <f t="shared" si="1899"/>
        <v>210.45854296346059</v>
      </c>
      <c r="ZZ183" s="144">
        <f t="shared" si="1899"/>
        <v>210.03762587753366</v>
      </c>
      <c r="AAA183" s="144">
        <f t="shared" si="1899"/>
        <v>209.61755062577859</v>
      </c>
      <c r="AAB183" s="144">
        <f t="shared" si="1899"/>
        <v>209.19831552452703</v>
      </c>
      <c r="AAC183" s="144">
        <f t="shared" si="1899"/>
        <v>208.77991889347797</v>
      </c>
      <c r="AAD183" s="144">
        <f t="shared" si="1899"/>
        <v>208.362359055691</v>
      </c>
      <c r="AAE183" s="144">
        <f t="shared" si="1899"/>
        <v>207.94563433757963</v>
      </c>
      <c r="AAF183" s="144">
        <f t="shared" si="1899"/>
        <v>207.52974306890448</v>
      </c>
      <c r="AAG183" s="144">
        <f t="shared" si="1899"/>
        <v>207.11468358276667</v>
      </c>
      <c r="AAH183" s="144">
        <f t="shared" si="1899"/>
        <v>206.70045421560113</v>
      </c>
      <c r="AAI183" s="144">
        <f t="shared" si="1899"/>
        <v>206.28705330716991</v>
      </c>
      <c r="AAJ183" s="144">
        <f t="shared" si="1899"/>
        <v>205.87447920055558</v>
      </c>
      <c r="AAK183" s="144">
        <f t="shared" si="1899"/>
        <v>205.46273024215446</v>
      </c>
      <c r="AAL183" s="144">
        <f t="shared" si="1899"/>
        <v>205.05180478167014</v>
      </c>
      <c r="AAM183" s="144">
        <f t="shared" si="1899"/>
        <v>204.64170117210679</v>
      </c>
      <c r="AAN183" s="144">
        <f t="shared" si="1899"/>
        <v>204.23241776976258</v>
      </c>
      <c r="AAO183" s="154">
        <f t="shared" si="1899"/>
        <v>203.82395293422306</v>
      </c>
      <c r="AAP183" s="154">
        <f t="shared" si="1899"/>
        <v>203.4163050283546</v>
      </c>
      <c r="AAQ183" s="154">
        <f t="shared" si="1899"/>
        <v>203.00947241829789</v>
      </c>
      <c r="AAR183" s="154">
        <f t="shared" si="1899"/>
        <v>202.60345347346129</v>
      </c>
      <c r="AAS183" s="154">
        <f t="shared" si="1899"/>
        <v>202.19824656651437</v>
      </c>
      <c r="AAT183" s="154">
        <f t="shared" si="1899"/>
        <v>201.79385007338135</v>
      </c>
      <c r="AAU183" s="154">
        <f t="shared" si="1899"/>
        <v>201.39026237323458</v>
      </c>
      <c r="AAV183" s="154">
        <f t="shared" si="1899"/>
        <v>200.9874818484881</v>
      </c>
      <c r="AAW183" s="154">
        <f t="shared" si="1899"/>
        <v>200.58550688479113</v>
      </c>
      <c r="AAX183" s="154">
        <f t="shared" si="1899"/>
        <v>200.18433587102155</v>
      </c>
      <c r="AAY183" s="154">
        <f t="shared" si="1899"/>
        <v>199.78396719927952</v>
      </c>
      <c r="AAZ183" s="154">
        <f t="shared" si="1899"/>
        <v>199.38439926488095</v>
      </c>
      <c r="ABA183" s="154">
        <f t="shared" si="1899"/>
        <v>198.98563046635118</v>
      </c>
      <c r="ABB183" s="154">
        <f t="shared" si="1899"/>
        <v>198.58765920541848</v>
      </c>
      <c r="ABC183" s="154">
        <f t="shared" si="1899"/>
        <v>198.19048388700764</v>
      </c>
      <c r="ABD183" s="154">
        <f t="shared" si="1899"/>
        <v>197.79410291923364</v>
      </c>
      <c r="ABE183" s="154">
        <f t="shared" si="1899"/>
        <v>197.39851471339517</v>
      </c>
      <c r="ABF183" s="154">
        <f t="shared" si="1899"/>
        <v>197.00371768396838</v>
      </c>
      <c r="ABG183" s="154">
        <f t="shared" si="1899"/>
        <v>196.60971024860044</v>
      </c>
      <c r="ABH183" s="154">
        <f t="shared" si="1899"/>
        <v>196.21649082810325</v>
      </c>
      <c r="ABI183" s="154">
        <f t="shared" si="1899"/>
        <v>195.82405784644703</v>
      </c>
      <c r="ABJ183" s="154">
        <f t="shared" si="1899"/>
        <v>195.43240973075413</v>
      </c>
      <c r="ABK183" s="154">
        <f t="shared" si="1899"/>
        <v>195.04154491129262</v>
      </c>
      <c r="ABL183" s="154">
        <f t="shared" si="1899"/>
        <v>194.65146182147004</v>
      </c>
      <c r="ABM183" s="154">
        <f t="shared" si="1899"/>
        <v>194.26215889782711</v>
      </c>
      <c r="ABN183" s="154">
        <f t="shared" si="1899"/>
        <v>193.87363458003145</v>
      </c>
      <c r="ABO183" s="154">
        <f t="shared" si="1899"/>
        <v>193.48588731087139</v>
      </c>
      <c r="ABP183" s="179">
        <f t="shared" ref="ABP183:ACM186" si="1900">EB27</f>
        <v>168.91317962239071</v>
      </c>
      <c r="ABQ183" s="154">
        <f t="shared" si="1900"/>
        <v>168.57535326314593</v>
      </c>
      <c r="ABR183" s="179">
        <f t="shared" si="1900"/>
        <v>144.15600923331306</v>
      </c>
      <c r="ABS183" s="154">
        <f t="shared" si="1900"/>
        <v>143.86769721484643</v>
      </c>
      <c r="ABT183" s="154">
        <f t="shared" si="1900"/>
        <v>143.57996182041674</v>
      </c>
      <c r="ABU183" s="154">
        <f t="shared" si="1900"/>
        <v>143.2928018967759</v>
      </c>
      <c r="ABV183" s="154">
        <f t="shared" si="1900"/>
        <v>143.00621629298234</v>
      </c>
      <c r="ABW183" s="179">
        <f t="shared" si="1900"/>
        <v>118.88583447823264</v>
      </c>
      <c r="ABX183" s="154">
        <f t="shared" si="1900"/>
        <v>118.64806280927617</v>
      </c>
      <c r="ABY183" s="179">
        <f t="shared" si="1900"/>
        <v>94.681154121802379</v>
      </c>
      <c r="ABZ183" s="154">
        <f t="shared" si="1900"/>
        <v>94.491791813558777</v>
      </c>
      <c r="ACA183" s="154">
        <f t="shared" si="1900"/>
        <v>94.302808229931657</v>
      </c>
      <c r="ACB183" s="154">
        <f t="shared" si="1900"/>
        <v>94.11420261347179</v>
      </c>
      <c r="ACC183" s="154">
        <f t="shared" si="1900"/>
        <v>93.925974208244853</v>
      </c>
      <c r="ACD183" s="179">
        <f t="shared" si="1900"/>
        <v>70.256628707767149</v>
      </c>
      <c r="ACE183" s="154">
        <f t="shared" si="1900"/>
        <v>70.116115450351614</v>
      </c>
      <c r="ACF183" s="179">
        <f t="shared" si="1900"/>
        <v>46.603844736000369</v>
      </c>
      <c r="ACG183" s="154">
        <f t="shared" si="1900"/>
        <v>46.510637046528366</v>
      </c>
      <c r="ACH183" s="154">
        <f t="shared" si="1900"/>
        <v>46.417615772435312</v>
      </c>
      <c r="ACI183" s="154">
        <f t="shared" si="1900"/>
        <v>46.324780540890444</v>
      </c>
      <c r="ACJ183" s="154">
        <f t="shared" si="1900"/>
        <v>46.232130979808666</v>
      </c>
      <c r="ACK183" s="179">
        <f t="shared" si="1900"/>
        <v>23.023601227944713</v>
      </c>
      <c r="ACL183" s="154">
        <f t="shared" si="1900"/>
        <v>22.977554025488825</v>
      </c>
      <c r="ACM183" s="179">
        <f t="shared" si="1900"/>
        <v>-4.5955108050979021E-2</v>
      </c>
      <c r="ACN183" s="119"/>
      <c r="ACO183" s="119"/>
      <c r="ACP183" s="119"/>
      <c r="ACQ183" s="119"/>
      <c r="ACR183" s="119"/>
      <c r="ACS183" s="119"/>
      <c r="ACT183" s="119"/>
      <c r="ACU183" s="119"/>
      <c r="ACV183" s="119"/>
      <c r="ACW183" s="119"/>
      <c r="ACX183" s="119"/>
      <c r="ACY183" s="119"/>
      <c r="ACZ183" s="119"/>
      <c r="ADA183" s="119"/>
      <c r="ADB183" s="119"/>
      <c r="ADC183" s="119"/>
      <c r="ADD183" s="119"/>
      <c r="ADE183" s="119"/>
      <c r="ADF183" s="119"/>
      <c r="ADG183" s="119"/>
      <c r="ADH183" s="119"/>
      <c r="ADI183" s="119"/>
      <c r="ADJ183" s="119"/>
      <c r="ADK183" s="119"/>
      <c r="ADL183" s="119"/>
      <c r="ADM183" s="119"/>
      <c r="ADN183" s="119"/>
      <c r="ADO183" s="119"/>
      <c r="ADP183" s="119"/>
      <c r="ADQ183" s="119"/>
      <c r="ADR183" s="119"/>
      <c r="ADS183" s="119"/>
      <c r="ADT183" s="119"/>
      <c r="ADU183" s="119"/>
      <c r="ADV183" s="119"/>
      <c r="ADW183" s="119"/>
      <c r="ADX183" s="119"/>
      <c r="ADY183" s="119"/>
      <c r="ADZ183" s="119"/>
      <c r="AEA183" s="119"/>
      <c r="AEB183" s="119"/>
      <c r="AEC183" s="119"/>
      <c r="AED183" s="119"/>
      <c r="AEE183" s="119"/>
      <c r="AEF183" s="119"/>
      <c r="AEG183" s="119"/>
      <c r="AEH183" s="119"/>
      <c r="AEI183" s="119"/>
    </row>
    <row r="184" spans="1:815" ht="19.5" thickBot="1" x14ac:dyDescent="0.3">
      <c r="A184" s="298"/>
      <c r="B184" s="25" t="s">
        <v>1</v>
      </c>
      <c r="WQ184" s="128" t="str">
        <f t="shared" si="1894"/>
        <v>-</v>
      </c>
      <c r="WR184" s="108" t="str">
        <f t="shared" si="1895"/>
        <v>-</v>
      </c>
      <c r="WS184" s="108" t="str">
        <f t="shared" si="1896"/>
        <v>-</v>
      </c>
      <c r="WT184" s="108" t="str">
        <f t="shared" si="1897"/>
        <v>-</v>
      </c>
      <c r="WU184" s="108" t="str">
        <f t="shared" si="1898"/>
        <v>-</v>
      </c>
      <c r="WV184" s="108" t="str">
        <f t="shared" si="1898"/>
        <v>-</v>
      </c>
      <c r="WW184" s="108" t="str">
        <f t="shared" si="1898"/>
        <v>-</v>
      </c>
      <c r="WX184" s="108" t="str">
        <f t="shared" si="1898"/>
        <v>-</v>
      </c>
      <c r="WY184" s="108" t="str">
        <f t="shared" si="1898"/>
        <v>-</v>
      </c>
      <c r="WZ184" s="108" t="str">
        <f t="shared" si="1898"/>
        <v>-</v>
      </c>
      <c r="XA184" s="108" t="str">
        <f t="shared" si="1898"/>
        <v>-</v>
      </c>
      <c r="XB184" s="108" t="str">
        <f t="shared" si="1898"/>
        <v>-</v>
      </c>
      <c r="XC184" s="108" t="str">
        <f t="shared" si="1898"/>
        <v>-</v>
      </c>
      <c r="XD184" s="108" t="str">
        <f t="shared" si="1898"/>
        <v>-</v>
      </c>
      <c r="XE184" s="108" t="str">
        <f t="shared" si="1898"/>
        <v>-</v>
      </c>
      <c r="XF184" s="108" t="str">
        <f t="shared" si="1898"/>
        <v>-</v>
      </c>
      <c r="XG184" s="108" t="str">
        <f t="shared" si="1898"/>
        <v>-</v>
      </c>
      <c r="XH184" s="108" t="str">
        <f t="shared" si="1898"/>
        <v>-</v>
      </c>
      <c r="XI184" s="108" t="str">
        <f t="shared" si="1898"/>
        <v>-</v>
      </c>
      <c r="XJ184" s="108" t="str">
        <f t="shared" si="1898"/>
        <v>-</v>
      </c>
      <c r="XK184" s="108" t="str">
        <f t="shared" si="1898"/>
        <v>-</v>
      </c>
      <c r="XL184" s="108" t="str">
        <f t="shared" si="1898"/>
        <v>-</v>
      </c>
      <c r="XM184" s="108" t="str">
        <f t="shared" si="1898"/>
        <v>-</v>
      </c>
      <c r="XN184" s="108" t="str">
        <f t="shared" si="1898"/>
        <v>-</v>
      </c>
      <c r="XO184" s="108" t="str">
        <f t="shared" si="1898"/>
        <v>-</v>
      </c>
      <c r="XP184" s="108" t="str">
        <f t="shared" si="1898"/>
        <v>-</v>
      </c>
      <c r="XQ184" s="108" t="str">
        <f t="shared" si="1898"/>
        <v>-</v>
      </c>
      <c r="XR184" s="108" t="str">
        <f t="shared" si="1898"/>
        <v>-</v>
      </c>
      <c r="XS184" s="108" t="str">
        <f t="shared" si="1898"/>
        <v>-</v>
      </c>
      <c r="XT184" s="108" t="str">
        <f t="shared" si="1898"/>
        <v>-</v>
      </c>
      <c r="XU184" s="108" t="str">
        <f t="shared" si="1898"/>
        <v>-</v>
      </c>
      <c r="XV184" s="108" t="str">
        <f t="shared" si="1898"/>
        <v>-</v>
      </c>
      <c r="XW184" s="108" t="str">
        <f t="shared" si="1898"/>
        <v>-</v>
      </c>
      <c r="XX184" s="108" t="str">
        <f t="shared" si="1898"/>
        <v>-</v>
      </c>
      <c r="XY184" s="108" t="str">
        <f t="shared" si="1898"/>
        <v>-</v>
      </c>
      <c r="XZ184" s="108" t="str">
        <f t="shared" si="1898"/>
        <v>-</v>
      </c>
      <c r="YA184" s="108" t="str">
        <f t="shared" si="1898"/>
        <v>-</v>
      </c>
      <c r="YB184" s="108" t="str">
        <f t="shared" si="1898"/>
        <v>-</v>
      </c>
      <c r="YC184" s="108" t="str">
        <f t="shared" si="1898"/>
        <v>-</v>
      </c>
      <c r="YD184" s="108" t="str">
        <f t="shared" si="1898"/>
        <v>-</v>
      </c>
      <c r="YE184" s="108" t="str">
        <f t="shared" si="1898"/>
        <v>-</v>
      </c>
      <c r="YF184" s="108" t="str">
        <f t="shared" si="1898"/>
        <v>-</v>
      </c>
      <c r="YG184" s="108" t="str">
        <f t="shared" si="1898"/>
        <v>-</v>
      </c>
      <c r="YH184" s="108" t="str">
        <f t="shared" si="1898"/>
        <v>-</v>
      </c>
      <c r="YI184" s="108" t="str">
        <f t="shared" si="1898"/>
        <v>-</v>
      </c>
      <c r="YJ184" s="108" t="str">
        <f t="shared" si="1898"/>
        <v>-</v>
      </c>
      <c r="YK184" s="108" t="str">
        <f t="shared" si="1898"/>
        <v>-</v>
      </c>
      <c r="YL184" s="108" t="str">
        <f t="shared" si="1898"/>
        <v>-</v>
      </c>
      <c r="YM184" s="108" t="str">
        <f t="shared" si="1898"/>
        <v>-</v>
      </c>
      <c r="YN184" s="108" t="str">
        <f t="shared" si="1898"/>
        <v>-</v>
      </c>
      <c r="YO184" s="108" t="str">
        <f t="shared" si="1898"/>
        <v>-</v>
      </c>
      <c r="YP184" s="145" t="str">
        <f t="shared" si="1898"/>
        <v>-</v>
      </c>
      <c r="YQ184" s="145" t="str">
        <f t="shared" si="1898"/>
        <v>-</v>
      </c>
      <c r="YR184" s="145" t="str">
        <f t="shared" si="1898"/>
        <v>-</v>
      </c>
      <c r="YS184" s="145" t="str">
        <f t="shared" si="1898"/>
        <v>-</v>
      </c>
      <c r="YT184" s="145" t="str">
        <f t="shared" si="1898"/>
        <v>-</v>
      </c>
      <c r="YU184" s="145" t="str">
        <f t="shared" si="1898"/>
        <v>-</v>
      </c>
      <c r="YV184" s="145" t="str">
        <f t="shared" si="1898"/>
        <v>-</v>
      </c>
      <c r="YW184" s="145" t="str">
        <f t="shared" si="1898"/>
        <v>-</v>
      </c>
      <c r="YX184" s="145" t="str">
        <f t="shared" si="1898"/>
        <v>-</v>
      </c>
      <c r="YY184" s="145" t="str">
        <f t="shared" si="1898"/>
        <v>-</v>
      </c>
      <c r="YZ184" s="145" t="str">
        <f t="shared" si="1898"/>
        <v>-</v>
      </c>
      <c r="ZA184" s="145" t="str">
        <f t="shared" si="1898"/>
        <v>-</v>
      </c>
      <c r="ZB184" s="145" t="str">
        <f t="shared" si="1898"/>
        <v>-</v>
      </c>
      <c r="ZC184" s="145" t="str">
        <f t="shared" si="1898"/>
        <v>-</v>
      </c>
      <c r="ZD184" s="145" t="str">
        <f t="shared" si="1899"/>
        <v>-</v>
      </c>
      <c r="ZE184" s="145" t="str">
        <f t="shared" si="1899"/>
        <v>-</v>
      </c>
      <c r="ZF184" s="145" t="str">
        <f t="shared" si="1899"/>
        <v>-</v>
      </c>
      <c r="ZG184" s="145" t="str">
        <f t="shared" si="1899"/>
        <v>-</v>
      </c>
      <c r="ZH184" s="145" t="str">
        <f t="shared" si="1899"/>
        <v>-</v>
      </c>
      <c r="ZI184" s="145" t="str">
        <f t="shared" si="1899"/>
        <v>-</v>
      </c>
      <c r="ZJ184" s="145" t="str">
        <f t="shared" si="1899"/>
        <v>-</v>
      </c>
      <c r="ZK184" s="145" t="str">
        <f t="shared" si="1899"/>
        <v>-</v>
      </c>
      <c r="ZL184" s="145" t="str">
        <f t="shared" si="1899"/>
        <v>-</v>
      </c>
      <c r="ZM184" s="145" t="str">
        <f t="shared" si="1899"/>
        <v>-</v>
      </c>
      <c r="ZN184" s="145" t="str">
        <f t="shared" si="1899"/>
        <v>-</v>
      </c>
      <c r="ZO184" s="145" t="str">
        <f t="shared" si="1899"/>
        <v>-</v>
      </c>
      <c r="ZP184" s="145" t="str">
        <f t="shared" si="1899"/>
        <v>-</v>
      </c>
      <c r="ZQ184" s="145" t="str">
        <f t="shared" si="1899"/>
        <v>-</v>
      </c>
      <c r="ZR184" s="145" t="str">
        <f t="shared" si="1899"/>
        <v>-</v>
      </c>
      <c r="ZS184" s="145" t="str">
        <f t="shared" si="1899"/>
        <v>-</v>
      </c>
      <c r="ZT184" s="145" t="str">
        <f t="shared" si="1899"/>
        <v>-</v>
      </c>
      <c r="ZU184" s="145" t="str">
        <f t="shared" si="1899"/>
        <v>-</v>
      </c>
      <c r="ZV184" s="145" t="str">
        <f t="shared" si="1899"/>
        <v>-</v>
      </c>
      <c r="ZW184" s="145" t="str">
        <f t="shared" si="1899"/>
        <v>-</v>
      </c>
      <c r="ZX184" s="145" t="str">
        <f t="shared" si="1899"/>
        <v>-</v>
      </c>
      <c r="ZY184" s="145" t="str">
        <f t="shared" si="1899"/>
        <v>-</v>
      </c>
      <c r="ZZ184" s="145" t="str">
        <f t="shared" si="1899"/>
        <v>-</v>
      </c>
      <c r="AAA184" s="145" t="str">
        <f t="shared" si="1899"/>
        <v>-</v>
      </c>
      <c r="AAB184" s="145" t="str">
        <f t="shared" si="1899"/>
        <v>-</v>
      </c>
      <c r="AAC184" s="145" t="str">
        <f t="shared" si="1899"/>
        <v>-</v>
      </c>
      <c r="AAD184" s="145" t="str">
        <f t="shared" si="1899"/>
        <v>-</v>
      </c>
      <c r="AAE184" s="145" t="str">
        <f t="shared" si="1899"/>
        <v>-</v>
      </c>
      <c r="AAF184" s="145" t="str">
        <f t="shared" si="1899"/>
        <v>-</v>
      </c>
      <c r="AAG184" s="145" t="str">
        <f t="shared" si="1899"/>
        <v>-</v>
      </c>
      <c r="AAH184" s="145" t="str">
        <f t="shared" si="1899"/>
        <v>-</v>
      </c>
      <c r="AAI184" s="145" t="str">
        <f t="shared" si="1899"/>
        <v>-</v>
      </c>
      <c r="AAJ184" s="145" t="str">
        <f t="shared" si="1899"/>
        <v>-</v>
      </c>
      <c r="AAK184" s="145" t="str">
        <f t="shared" si="1899"/>
        <v>-</v>
      </c>
      <c r="AAL184" s="145" t="str">
        <f t="shared" si="1899"/>
        <v>-</v>
      </c>
      <c r="AAM184" s="145" t="str">
        <f t="shared" si="1899"/>
        <v>-</v>
      </c>
      <c r="AAN184" s="145" t="str">
        <f t="shared" si="1899"/>
        <v>-</v>
      </c>
      <c r="AAO184" s="155" t="str">
        <f t="shared" si="1899"/>
        <v>-</v>
      </c>
      <c r="AAP184" s="155" t="str">
        <f t="shared" si="1899"/>
        <v>-</v>
      </c>
      <c r="AAQ184" s="155" t="str">
        <f t="shared" si="1899"/>
        <v>-</v>
      </c>
      <c r="AAR184" s="155" t="str">
        <f t="shared" si="1899"/>
        <v>-</v>
      </c>
      <c r="AAS184" s="155" t="str">
        <f t="shared" si="1899"/>
        <v>-</v>
      </c>
      <c r="AAT184" s="155" t="str">
        <f t="shared" si="1899"/>
        <v>-</v>
      </c>
      <c r="AAU184" s="155" t="str">
        <f t="shared" si="1899"/>
        <v>-</v>
      </c>
      <c r="AAV184" s="155" t="str">
        <f t="shared" si="1899"/>
        <v>-</v>
      </c>
      <c r="AAW184" s="155" t="str">
        <f t="shared" si="1899"/>
        <v>-</v>
      </c>
      <c r="AAX184" s="155" t="str">
        <f t="shared" si="1899"/>
        <v>-</v>
      </c>
      <c r="AAY184" s="155" t="str">
        <f t="shared" si="1899"/>
        <v>-</v>
      </c>
      <c r="AAZ184" s="155" t="str">
        <f t="shared" si="1899"/>
        <v>-</v>
      </c>
      <c r="ABA184" s="155" t="str">
        <f t="shared" si="1899"/>
        <v>-</v>
      </c>
      <c r="ABB184" s="155" t="str">
        <f t="shared" si="1899"/>
        <v>-</v>
      </c>
      <c r="ABC184" s="155" t="str">
        <f t="shared" si="1899"/>
        <v>-</v>
      </c>
      <c r="ABD184" s="155" t="str">
        <f t="shared" si="1899"/>
        <v>-</v>
      </c>
      <c r="ABE184" s="155" t="str">
        <f t="shared" si="1899"/>
        <v>-</v>
      </c>
      <c r="ABF184" s="155" t="str">
        <f t="shared" si="1899"/>
        <v>-</v>
      </c>
      <c r="ABG184" s="155" t="str">
        <f t="shared" si="1899"/>
        <v>-</v>
      </c>
      <c r="ABH184" s="155" t="str">
        <f t="shared" si="1899"/>
        <v>-</v>
      </c>
      <c r="ABI184" s="155" t="str">
        <f t="shared" si="1899"/>
        <v>-</v>
      </c>
      <c r="ABJ184" s="155" t="str">
        <f t="shared" si="1899"/>
        <v>-</v>
      </c>
      <c r="ABK184" s="155" t="str">
        <f t="shared" si="1899"/>
        <v>-</v>
      </c>
      <c r="ABL184" s="155" t="str">
        <f t="shared" si="1899"/>
        <v>-</v>
      </c>
      <c r="ABM184" s="155" t="str">
        <f t="shared" si="1899"/>
        <v>-</v>
      </c>
      <c r="ABN184" s="155" t="str">
        <f t="shared" si="1899"/>
        <v>-</v>
      </c>
      <c r="ABO184" s="177" t="str">
        <f t="shared" si="1899"/>
        <v>-</v>
      </c>
      <c r="ABP184" s="181" t="str">
        <f t="shared" si="1900"/>
        <v>Harvest</v>
      </c>
      <c r="ABQ184" s="177" t="str">
        <f t="shared" si="1900"/>
        <v>-</v>
      </c>
      <c r="ABR184" s="181" t="str">
        <f t="shared" si="1900"/>
        <v>Harvest</v>
      </c>
      <c r="ABS184" s="155" t="str">
        <f t="shared" si="1900"/>
        <v>-</v>
      </c>
      <c r="ABT184" s="155" t="str">
        <f t="shared" si="1900"/>
        <v>-</v>
      </c>
      <c r="ABU184" s="155" t="str">
        <f t="shared" si="1900"/>
        <v>-</v>
      </c>
      <c r="ABV184" s="177" t="str">
        <f t="shared" si="1900"/>
        <v>-</v>
      </c>
      <c r="ABW184" s="181" t="str">
        <f t="shared" si="1900"/>
        <v>Harvest</v>
      </c>
      <c r="ABX184" s="177" t="str">
        <f t="shared" si="1900"/>
        <v>-</v>
      </c>
      <c r="ABY184" s="181" t="str">
        <f t="shared" si="1900"/>
        <v>Harvest</v>
      </c>
      <c r="ABZ184" s="155" t="str">
        <f t="shared" si="1900"/>
        <v>-</v>
      </c>
      <c r="ACA184" s="155" t="str">
        <f t="shared" si="1900"/>
        <v>-</v>
      </c>
      <c r="ACB184" s="155" t="str">
        <f t="shared" si="1900"/>
        <v>-</v>
      </c>
      <c r="ACC184" s="177" t="str">
        <f t="shared" si="1900"/>
        <v>-</v>
      </c>
      <c r="ACD184" s="181" t="str">
        <f t="shared" si="1900"/>
        <v>Harvest</v>
      </c>
      <c r="ACE184" s="177" t="str">
        <f t="shared" si="1900"/>
        <v>-</v>
      </c>
      <c r="ACF184" s="181" t="str">
        <f t="shared" si="1900"/>
        <v>Harvest</v>
      </c>
      <c r="ACG184" s="155" t="str">
        <f t="shared" si="1900"/>
        <v>-</v>
      </c>
      <c r="ACH184" s="155" t="str">
        <f t="shared" si="1900"/>
        <v>-</v>
      </c>
      <c r="ACI184" s="155" t="str">
        <f t="shared" si="1900"/>
        <v>-</v>
      </c>
      <c r="ACJ184" s="177" t="str">
        <f t="shared" si="1900"/>
        <v>-</v>
      </c>
      <c r="ACK184" s="181" t="str">
        <f t="shared" si="1900"/>
        <v>Harvest</v>
      </c>
      <c r="ACL184" s="177" t="str">
        <f t="shared" si="1900"/>
        <v>-</v>
      </c>
      <c r="ACM184" s="181" t="str">
        <f t="shared" si="1900"/>
        <v>Harvest</v>
      </c>
      <c r="ACN184" s="119"/>
      <c r="ACO184" s="119"/>
      <c r="ACP184" s="119"/>
      <c r="ACQ184" s="119"/>
      <c r="ACR184" s="119"/>
      <c r="ACS184" s="119"/>
      <c r="ACT184" s="119"/>
      <c r="ACU184" s="119"/>
      <c r="ACV184" s="119"/>
      <c r="ACW184" s="119"/>
      <c r="ACX184" s="119"/>
      <c r="ACY184" s="119"/>
      <c r="ACZ184" s="119"/>
      <c r="ADA184" s="119"/>
      <c r="ADB184" s="119"/>
      <c r="ADC184" s="119"/>
      <c r="ADD184" s="119"/>
      <c r="ADE184" s="119"/>
      <c r="ADF184" s="119"/>
      <c r="ADG184" s="119"/>
      <c r="ADH184" s="119"/>
      <c r="ADI184" s="119"/>
      <c r="ADJ184" s="119"/>
      <c r="ADK184" s="119"/>
      <c r="ADL184" s="119"/>
      <c r="ADM184" s="119"/>
      <c r="ADN184" s="119"/>
      <c r="ADO184" s="119"/>
      <c r="ADP184" s="119"/>
      <c r="ADQ184" s="119"/>
      <c r="ADR184" s="119"/>
      <c r="ADS184" s="119"/>
      <c r="ADT184" s="119"/>
      <c r="ADU184" s="119"/>
      <c r="ADV184" s="119"/>
      <c r="ADW184" s="119"/>
      <c r="ADX184" s="119"/>
      <c r="ADY184" s="119"/>
      <c r="ADZ184" s="119"/>
      <c r="AEA184" s="119"/>
      <c r="AEB184" s="119"/>
      <c r="AEC184" s="119"/>
      <c r="AED184" s="119"/>
      <c r="AEE184" s="119"/>
      <c r="AEF184" s="119"/>
      <c r="AEG184" s="119"/>
      <c r="AEH184" s="119"/>
      <c r="AEI184" s="119"/>
    </row>
    <row r="185" spans="1:815" ht="19.5" thickBot="1" x14ac:dyDescent="0.3">
      <c r="A185" s="298"/>
      <c r="B185" s="25" t="s">
        <v>27</v>
      </c>
      <c r="WQ185" s="121">
        <f t="shared" si="1894"/>
        <v>0</v>
      </c>
      <c r="WR185" s="108">
        <f t="shared" si="1895"/>
        <v>0</v>
      </c>
      <c r="WS185" s="108">
        <f t="shared" si="1896"/>
        <v>0</v>
      </c>
      <c r="WT185" s="108">
        <f t="shared" si="1897"/>
        <v>0</v>
      </c>
      <c r="WU185" s="108">
        <f t="shared" si="1898"/>
        <v>0</v>
      </c>
      <c r="WV185" s="108">
        <f t="shared" si="1898"/>
        <v>0</v>
      </c>
      <c r="WW185" s="108">
        <f t="shared" si="1898"/>
        <v>0</v>
      </c>
      <c r="WX185" s="108">
        <f t="shared" si="1898"/>
        <v>0</v>
      </c>
      <c r="WY185" s="108">
        <f t="shared" si="1898"/>
        <v>0</v>
      </c>
      <c r="WZ185" s="108">
        <f t="shared" si="1898"/>
        <v>0</v>
      </c>
      <c r="XA185" s="108">
        <f t="shared" si="1898"/>
        <v>0</v>
      </c>
      <c r="XB185" s="108">
        <f t="shared" si="1898"/>
        <v>0</v>
      </c>
      <c r="XC185" s="108">
        <f t="shared" si="1898"/>
        <v>0</v>
      </c>
      <c r="XD185" s="108">
        <f t="shared" si="1898"/>
        <v>0</v>
      </c>
      <c r="XE185" s="108">
        <f t="shared" si="1898"/>
        <v>0</v>
      </c>
      <c r="XF185" s="108">
        <f t="shared" si="1898"/>
        <v>0</v>
      </c>
      <c r="XG185" s="108">
        <f t="shared" si="1898"/>
        <v>0</v>
      </c>
      <c r="XH185" s="108">
        <f t="shared" si="1898"/>
        <v>0</v>
      </c>
      <c r="XI185" s="108">
        <f t="shared" si="1898"/>
        <v>0</v>
      </c>
      <c r="XJ185" s="108">
        <f t="shared" si="1898"/>
        <v>0</v>
      </c>
      <c r="XK185" s="108">
        <f t="shared" si="1898"/>
        <v>0</v>
      </c>
      <c r="XL185" s="108">
        <f t="shared" si="1898"/>
        <v>0</v>
      </c>
      <c r="XM185" s="108">
        <f t="shared" si="1898"/>
        <v>0</v>
      </c>
      <c r="XN185" s="108">
        <f t="shared" si="1898"/>
        <v>0</v>
      </c>
      <c r="XO185" s="108">
        <f t="shared" si="1898"/>
        <v>0</v>
      </c>
      <c r="XP185" s="108">
        <f t="shared" si="1898"/>
        <v>0</v>
      </c>
      <c r="XQ185" s="108">
        <f t="shared" si="1898"/>
        <v>0</v>
      </c>
      <c r="XR185" s="108">
        <f t="shared" si="1898"/>
        <v>0</v>
      </c>
      <c r="XS185" s="108">
        <f t="shared" si="1898"/>
        <v>0</v>
      </c>
      <c r="XT185" s="108">
        <f t="shared" si="1898"/>
        <v>0</v>
      </c>
      <c r="XU185" s="108">
        <f t="shared" si="1898"/>
        <v>0</v>
      </c>
      <c r="XV185" s="108">
        <f t="shared" si="1898"/>
        <v>0</v>
      </c>
      <c r="XW185" s="108">
        <f t="shared" si="1898"/>
        <v>0</v>
      </c>
      <c r="XX185" s="108">
        <f t="shared" si="1898"/>
        <v>0</v>
      </c>
      <c r="XY185" s="108">
        <f t="shared" si="1898"/>
        <v>0</v>
      </c>
      <c r="XZ185" s="108">
        <f t="shared" si="1898"/>
        <v>0</v>
      </c>
      <c r="YA185" s="108">
        <f t="shared" si="1898"/>
        <v>0</v>
      </c>
      <c r="YB185" s="108">
        <f t="shared" si="1898"/>
        <v>0</v>
      </c>
      <c r="YC185" s="108">
        <f t="shared" si="1898"/>
        <v>0</v>
      </c>
      <c r="YD185" s="108">
        <f t="shared" si="1898"/>
        <v>0</v>
      </c>
      <c r="YE185" s="108">
        <f t="shared" si="1898"/>
        <v>0</v>
      </c>
      <c r="YF185" s="108">
        <f t="shared" si="1898"/>
        <v>0</v>
      </c>
      <c r="YG185" s="108">
        <f t="shared" si="1898"/>
        <v>0</v>
      </c>
      <c r="YH185" s="108">
        <f t="shared" si="1898"/>
        <v>0</v>
      </c>
      <c r="YI185" s="108">
        <f t="shared" si="1898"/>
        <v>0</v>
      </c>
      <c r="YJ185" s="108">
        <f t="shared" si="1898"/>
        <v>0</v>
      </c>
      <c r="YK185" s="108">
        <f t="shared" si="1898"/>
        <v>0</v>
      </c>
      <c r="YL185" s="108">
        <f t="shared" si="1898"/>
        <v>0</v>
      </c>
      <c r="YM185" s="108">
        <f t="shared" si="1898"/>
        <v>0</v>
      </c>
      <c r="YN185" s="108">
        <f t="shared" si="1898"/>
        <v>0</v>
      </c>
      <c r="YO185" s="108">
        <f t="shared" si="1898"/>
        <v>0</v>
      </c>
      <c r="YP185" s="145">
        <f t="shared" si="1898"/>
        <v>0</v>
      </c>
      <c r="YQ185" s="145">
        <f t="shared" si="1898"/>
        <v>0</v>
      </c>
      <c r="YR185" s="145">
        <f t="shared" si="1898"/>
        <v>0</v>
      </c>
      <c r="YS185" s="145">
        <f t="shared" si="1898"/>
        <v>0</v>
      </c>
      <c r="YT185" s="145">
        <f t="shared" si="1898"/>
        <v>0</v>
      </c>
      <c r="YU185" s="145">
        <f t="shared" si="1898"/>
        <v>0</v>
      </c>
      <c r="YV185" s="145">
        <f t="shared" si="1898"/>
        <v>0</v>
      </c>
      <c r="YW185" s="145">
        <f t="shared" si="1898"/>
        <v>0</v>
      </c>
      <c r="YX185" s="145">
        <f t="shared" si="1898"/>
        <v>0</v>
      </c>
      <c r="YY185" s="145">
        <f t="shared" si="1898"/>
        <v>0</v>
      </c>
      <c r="YZ185" s="145">
        <f t="shared" si="1898"/>
        <v>0</v>
      </c>
      <c r="ZA185" s="145">
        <f t="shared" si="1898"/>
        <v>0</v>
      </c>
      <c r="ZB185" s="145">
        <f t="shared" si="1898"/>
        <v>0</v>
      </c>
      <c r="ZC185" s="145">
        <f t="shared" si="1898"/>
        <v>0</v>
      </c>
      <c r="ZD185" s="145">
        <f t="shared" si="1899"/>
        <v>0</v>
      </c>
      <c r="ZE185" s="145">
        <f t="shared" si="1899"/>
        <v>0</v>
      </c>
      <c r="ZF185" s="145">
        <f t="shared" si="1899"/>
        <v>0</v>
      </c>
      <c r="ZG185" s="145">
        <f t="shared" si="1899"/>
        <v>0</v>
      </c>
      <c r="ZH185" s="145">
        <f t="shared" si="1899"/>
        <v>0</v>
      </c>
      <c r="ZI185" s="145">
        <f t="shared" si="1899"/>
        <v>0</v>
      </c>
      <c r="ZJ185" s="145">
        <f t="shared" si="1899"/>
        <v>0</v>
      </c>
      <c r="ZK185" s="145">
        <f t="shared" si="1899"/>
        <v>0</v>
      </c>
      <c r="ZL185" s="145">
        <f t="shared" si="1899"/>
        <v>0</v>
      </c>
      <c r="ZM185" s="146">
        <f t="shared" si="1899"/>
        <v>0</v>
      </c>
      <c r="ZN185" s="146">
        <f t="shared" si="1899"/>
        <v>0</v>
      </c>
      <c r="ZO185" s="146">
        <f t="shared" si="1899"/>
        <v>0</v>
      </c>
      <c r="ZP185" s="146">
        <f t="shared" si="1899"/>
        <v>0</v>
      </c>
      <c r="ZQ185" s="146">
        <f t="shared" si="1899"/>
        <v>0</v>
      </c>
      <c r="ZR185" s="146">
        <f t="shared" si="1899"/>
        <v>0</v>
      </c>
      <c r="ZS185" s="146">
        <f t="shared" si="1899"/>
        <v>0</v>
      </c>
      <c r="ZT185" s="146">
        <f t="shared" si="1899"/>
        <v>0</v>
      </c>
      <c r="ZU185" s="146">
        <f t="shared" si="1899"/>
        <v>0</v>
      </c>
      <c r="ZV185" s="146">
        <f t="shared" si="1899"/>
        <v>0</v>
      </c>
      <c r="ZW185" s="146">
        <f t="shared" si="1899"/>
        <v>0</v>
      </c>
      <c r="ZX185" s="146">
        <f t="shared" si="1899"/>
        <v>0</v>
      </c>
      <c r="ZY185" s="146">
        <f t="shared" si="1899"/>
        <v>0</v>
      </c>
      <c r="ZZ185" s="146">
        <f t="shared" si="1899"/>
        <v>0</v>
      </c>
      <c r="AAA185" s="146">
        <f t="shared" si="1899"/>
        <v>0</v>
      </c>
      <c r="AAB185" s="146">
        <f t="shared" si="1899"/>
        <v>0</v>
      </c>
      <c r="AAC185" s="146">
        <f t="shared" si="1899"/>
        <v>0</v>
      </c>
      <c r="AAD185" s="146">
        <f t="shared" si="1899"/>
        <v>0</v>
      </c>
      <c r="AAE185" s="146">
        <f t="shared" si="1899"/>
        <v>0</v>
      </c>
      <c r="AAF185" s="146">
        <f t="shared" si="1899"/>
        <v>0</v>
      </c>
      <c r="AAG185" s="146">
        <f t="shared" si="1899"/>
        <v>0</v>
      </c>
      <c r="AAH185" s="146">
        <f t="shared" si="1899"/>
        <v>0</v>
      </c>
      <c r="AAI185" s="146">
        <f t="shared" si="1899"/>
        <v>0</v>
      </c>
      <c r="AAJ185" s="146">
        <f t="shared" si="1899"/>
        <v>0</v>
      </c>
      <c r="AAK185" s="146">
        <f t="shared" si="1899"/>
        <v>0</v>
      </c>
      <c r="AAL185" s="146">
        <f t="shared" si="1899"/>
        <v>0</v>
      </c>
      <c r="AAM185" s="146">
        <f t="shared" si="1899"/>
        <v>0</v>
      </c>
      <c r="AAN185" s="146">
        <f t="shared" si="1899"/>
        <v>0</v>
      </c>
      <c r="AAO185" s="156">
        <f t="shared" si="1899"/>
        <v>0</v>
      </c>
      <c r="AAP185" s="156">
        <f t="shared" si="1899"/>
        <v>0</v>
      </c>
      <c r="AAQ185" s="156">
        <f t="shared" si="1899"/>
        <v>0</v>
      </c>
      <c r="AAR185" s="156">
        <f t="shared" si="1899"/>
        <v>0</v>
      </c>
      <c r="AAS185" s="156">
        <f t="shared" si="1899"/>
        <v>0</v>
      </c>
      <c r="AAT185" s="156">
        <f t="shared" si="1899"/>
        <v>0</v>
      </c>
      <c r="AAU185" s="156">
        <f t="shared" si="1899"/>
        <v>0</v>
      </c>
      <c r="AAV185" s="156">
        <f t="shared" si="1899"/>
        <v>0</v>
      </c>
      <c r="AAW185" s="156">
        <f t="shared" si="1899"/>
        <v>0</v>
      </c>
      <c r="AAX185" s="156">
        <f t="shared" si="1899"/>
        <v>0</v>
      </c>
      <c r="AAY185" s="156">
        <f t="shared" si="1899"/>
        <v>0</v>
      </c>
      <c r="AAZ185" s="156">
        <f t="shared" si="1899"/>
        <v>0</v>
      </c>
      <c r="ABA185" s="156">
        <f t="shared" si="1899"/>
        <v>0</v>
      </c>
      <c r="ABB185" s="156">
        <f t="shared" si="1899"/>
        <v>0</v>
      </c>
      <c r="ABC185" s="156">
        <f t="shared" si="1899"/>
        <v>0</v>
      </c>
      <c r="ABD185" s="156">
        <f t="shared" si="1899"/>
        <v>0</v>
      </c>
      <c r="ABE185" s="156">
        <f t="shared" si="1899"/>
        <v>0</v>
      </c>
      <c r="ABF185" s="156">
        <f t="shared" si="1899"/>
        <v>0</v>
      </c>
      <c r="ABG185" s="156">
        <f t="shared" si="1899"/>
        <v>0</v>
      </c>
      <c r="ABH185" s="156">
        <f t="shared" si="1899"/>
        <v>0</v>
      </c>
      <c r="ABI185" s="156">
        <f t="shared" si="1899"/>
        <v>0</v>
      </c>
      <c r="ABJ185" s="156">
        <f t="shared" si="1899"/>
        <v>0</v>
      </c>
      <c r="ABK185" s="156">
        <f t="shared" si="1899"/>
        <v>0</v>
      </c>
      <c r="ABL185" s="156">
        <f t="shared" si="1899"/>
        <v>0</v>
      </c>
      <c r="ABM185" s="156">
        <f t="shared" si="1899"/>
        <v>0</v>
      </c>
      <c r="ABN185" s="156">
        <f t="shared" si="1899"/>
        <v>0</v>
      </c>
      <c r="ABO185" s="156">
        <f t="shared" si="1899"/>
        <v>0</v>
      </c>
      <c r="ABP185" s="179">
        <f t="shared" si="1900"/>
        <v>0</v>
      </c>
      <c r="ABQ185" s="156">
        <f t="shared" si="1900"/>
        <v>0</v>
      </c>
      <c r="ABR185" s="179">
        <f t="shared" si="1900"/>
        <v>0</v>
      </c>
      <c r="ABS185" s="156">
        <f t="shared" si="1900"/>
        <v>0</v>
      </c>
      <c r="ABT185" s="156">
        <f t="shared" si="1900"/>
        <v>0</v>
      </c>
      <c r="ABU185" s="156">
        <f t="shared" si="1900"/>
        <v>0</v>
      </c>
      <c r="ABV185" s="156">
        <f t="shared" si="1900"/>
        <v>0</v>
      </c>
      <c r="ABW185" s="179">
        <f t="shared" si="1900"/>
        <v>0</v>
      </c>
      <c r="ABX185" s="156">
        <f t="shared" si="1900"/>
        <v>0</v>
      </c>
      <c r="ABY185" s="179">
        <f t="shared" si="1900"/>
        <v>0</v>
      </c>
      <c r="ABZ185" s="156">
        <f t="shared" si="1900"/>
        <v>0</v>
      </c>
      <c r="ACA185" s="156">
        <f t="shared" si="1900"/>
        <v>0</v>
      </c>
      <c r="ACB185" s="156">
        <f t="shared" si="1900"/>
        <v>0</v>
      </c>
      <c r="ACC185" s="156">
        <f t="shared" si="1900"/>
        <v>0</v>
      </c>
      <c r="ACD185" s="179">
        <f t="shared" si="1900"/>
        <v>0</v>
      </c>
      <c r="ACE185" s="156">
        <f t="shared" si="1900"/>
        <v>0</v>
      </c>
      <c r="ACF185" s="179">
        <f t="shared" si="1900"/>
        <v>0</v>
      </c>
      <c r="ACG185" s="156">
        <f t="shared" si="1900"/>
        <v>0</v>
      </c>
      <c r="ACH185" s="156">
        <f t="shared" si="1900"/>
        <v>0</v>
      </c>
      <c r="ACI185" s="156">
        <f t="shared" si="1900"/>
        <v>0</v>
      </c>
      <c r="ACJ185" s="156">
        <f t="shared" si="1900"/>
        <v>0</v>
      </c>
      <c r="ACK185" s="179">
        <f t="shared" si="1900"/>
        <v>0</v>
      </c>
      <c r="ACL185" s="156">
        <f t="shared" si="1900"/>
        <v>0</v>
      </c>
      <c r="ACM185" s="179">
        <f t="shared" si="1900"/>
        <v>0</v>
      </c>
      <c r="ACN185" s="119"/>
      <c r="ACO185" s="119"/>
      <c r="ACP185" s="119"/>
      <c r="ACQ185" s="119"/>
      <c r="ACR185" s="119"/>
      <c r="ACS185" s="119"/>
      <c r="ACT185" s="119"/>
      <c r="ACU185" s="119"/>
      <c r="ACV185" s="119"/>
      <c r="ACW185" s="119"/>
      <c r="ACX185" s="119"/>
      <c r="ACY185" s="119"/>
      <c r="ACZ185" s="119"/>
      <c r="ADA185" s="119"/>
      <c r="ADB185" s="119"/>
      <c r="ADC185" s="119"/>
      <c r="ADD185" s="119"/>
      <c r="ADE185" s="119"/>
      <c r="ADF185" s="119"/>
      <c r="ADG185" s="119"/>
      <c r="ADH185" s="119"/>
      <c r="ADI185" s="119"/>
      <c r="ADJ185" s="119"/>
      <c r="ADK185" s="119"/>
      <c r="ADL185" s="119"/>
      <c r="ADM185" s="119"/>
      <c r="ADN185" s="119"/>
      <c r="ADO185" s="119"/>
      <c r="ADP185" s="119"/>
      <c r="ADQ185" s="119"/>
      <c r="ADR185" s="119"/>
      <c r="ADS185" s="119"/>
      <c r="ADT185" s="119"/>
      <c r="ADU185" s="119"/>
      <c r="ADV185" s="119"/>
      <c r="ADW185" s="119"/>
      <c r="ADX185" s="119"/>
      <c r="ADY185" s="119"/>
      <c r="ADZ185" s="119"/>
      <c r="AEA185" s="119"/>
      <c r="AEB185" s="119"/>
      <c r="AEC185" s="119"/>
      <c r="AED185" s="119"/>
      <c r="AEE185" s="119"/>
      <c r="AEF185" s="119"/>
      <c r="AEG185" s="119"/>
      <c r="AEH185" s="119"/>
      <c r="AEI185" s="119"/>
    </row>
    <row r="186" spans="1:815" ht="19.5" thickBot="1" x14ac:dyDescent="0.3">
      <c r="A186" s="298"/>
      <c r="B186" s="25" t="s">
        <v>25</v>
      </c>
      <c r="WQ186" s="138">
        <f t="shared" si="1894"/>
        <v>0</v>
      </c>
      <c r="WR186" s="108">
        <f t="shared" si="1895"/>
        <v>0</v>
      </c>
      <c r="WS186" s="108">
        <f t="shared" si="1896"/>
        <v>0</v>
      </c>
      <c r="WT186" s="108">
        <f t="shared" si="1897"/>
        <v>0</v>
      </c>
      <c r="WU186" s="108">
        <f t="shared" si="1898"/>
        <v>0</v>
      </c>
      <c r="WV186" s="108">
        <f t="shared" si="1898"/>
        <v>0</v>
      </c>
      <c r="WW186" s="108">
        <f t="shared" si="1898"/>
        <v>0</v>
      </c>
      <c r="WX186" s="108">
        <f t="shared" si="1898"/>
        <v>0</v>
      </c>
      <c r="WY186" s="108">
        <f t="shared" si="1898"/>
        <v>0</v>
      </c>
      <c r="WZ186" s="108">
        <f t="shared" si="1898"/>
        <v>0</v>
      </c>
      <c r="XA186" s="108">
        <f t="shared" si="1898"/>
        <v>0</v>
      </c>
      <c r="XB186" s="108">
        <f t="shared" si="1898"/>
        <v>0</v>
      </c>
      <c r="XC186" s="108">
        <f t="shared" si="1898"/>
        <v>0</v>
      </c>
      <c r="XD186" s="108">
        <f t="shared" si="1898"/>
        <v>0</v>
      </c>
      <c r="XE186" s="108">
        <f t="shared" si="1898"/>
        <v>0</v>
      </c>
      <c r="XF186" s="108">
        <f t="shared" si="1898"/>
        <v>0</v>
      </c>
      <c r="XG186" s="108">
        <f t="shared" si="1898"/>
        <v>0</v>
      </c>
      <c r="XH186" s="108">
        <f t="shared" si="1898"/>
        <v>0</v>
      </c>
      <c r="XI186" s="108">
        <f t="shared" si="1898"/>
        <v>0</v>
      </c>
      <c r="XJ186" s="108">
        <f t="shared" si="1898"/>
        <v>0</v>
      </c>
      <c r="XK186" s="108">
        <f t="shared" si="1898"/>
        <v>0</v>
      </c>
      <c r="XL186" s="108">
        <f t="shared" si="1898"/>
        <v>0</v>
      </c>
      <c r="XM186" s="108">
        <f t="shared" si="1898"/>
        <v>0</v>
      </c>
      <c r="XN186" s="108">
        <f t="shared" si="1898"/>
        <v>0</v>
      </c>
      <c r="XO186" s="108">
        <f t="shared" si="1898"/>
        <v>0</v>
      </c>
      <c r="XP186" s="108">
        <f t="shared" si="1898"/>
        <v>0</v>
      </c>
      <c r="XQ186" s="108">
        <f t="shared" si="1898"/>
        <v>0</v>
      </c>
      <c r="XR186" s="108">
        <f t="shared" si="1898"/>
        <v>0</v>
      </c>
      <c r="XS186" s="108">
        <f t="shared" si="1898"/>
        <v>0</v>
      </c>
      <c r="XT186" s="108">
        <f t="shared" si="1898"/>
        <v>0</v>
      </c>
      <c r="XU186" s="108">
        <f t="shared" si="1898"/>
        <v>0</v>
      </c>
      <c r="XV186" s="108">
        <f t="shared" si="1898"/>
        <v>0</v>
      </c>
      <c r="XW186" s="108">
        <f t="shared" si="1898"/>
        <v>0</v>
      </c>
      <c r="XX186" s="108">
        <f t="shared" si="1898"/>
        <v>0</v>
      </c>
      <c r="XY186" s="108">
        <f t="shared" si="1898"/>
        <v>0</v>
      </c>
      <c r="XZ186" s="108">
        <f t="shared" si="1898"/>
        <v>0</v>
      </c>
      <c r="YA186" s="108">
        <f t="shared" si="1898"/>
        <v>0</v>
      </c>
      <c r="YB186" s="108">
        <f t="shared" si="1898"/>
        <v>0</v>
      </c>
      <c r="YC186" s="108">
        <f t="shared" si="1898"/>
        <v>0</v>
      </c>
      <c r="YD186" s="108">
        <f t="shared" si="1898"/>
        <v>0</v>
      </c>
      <c r="YE186" s="108">
        <f t="shared" si="1898"/>
        <v>0</v>
      </c>
      <c r="YF186" s="108">
        <f t="shared" si="1898"/>
        <v>0</v>
      </c>
      <c r="YG186" s="108">
        <f t="shared" si="1898"/>
        <v>0</v>
      </c>
      <c r="YH186" s="108">
        <f t="shared" si="1898"/>
        <v>0</v>
      </c>
      <c r="YI186" s="108">
        <f t="shared" si="1898"/>
        <v>0</v>
      </c>
      <c r="YJ186" s="108">
        <f t="shared" si="1898"/>
        <v>0</v>
      </c>
      <c r="YK186" s="108">
        <f t="shared" si="1898"/>
        <v>0</v>
      </c>
      <c r="YL186" s="108">
        <f t="shared" si="1898"/>
        <v>0</v>
      </c>
      <c r="YM186" s="108">
        <f t="shared" si="1898"/>
        <v>0</v>
      </c>
      <c r="YN186" s="108">
        <f t="shared" si="1898"/>
        <v>0</v>
      </c>
      <c r="YO186" s="108">
        <f t="shared" si="1898"/>
        <v>0</v>
      </c>
      <c r="YP186" s="145">
        <f t="shared" si="1898"/>
        <v>0</v>
      </c>
      <c r="YQ186" s="145">
        <f t="shared" si="1898"/>
        <v>0</v>
      </c>
      <c r="YR186" s="145">
        <f t="shared" si="1898"/>
        <v>0</v>
      </c>
      <c r="YS186" s="145">
        <f t="shared" si="1898"/>
        <v>0</v>
      </c>
      <c r="YT186" s="145">
        <f t="shared" si="1898"/>
        <v>0</v>
      </c>
      <c r="YU186" s="145">
        <f t="shared" si="1898"/>
        <v>0</v>
      </c>
      <c r="YV186" s="145">
        <f t="shared" si="1898"/>
        <v>0</v>
      </c>
      <c r="YW186" s="145">
        <f t="shared" si="1898"/>
        <v>0</v>
      </c>
      <c r="YX186" s="145">
        <f t="shared" si="1898"/>
        <v>0</v>
      </c>
      <c r="YY186" s="145">
        <f t="shared" si="1898"/>
        <v>0</v>
      </c>
      <c r="YZ186" s="145">
        <f t="shared" si="1898"/>
        <v>0</v>
      </c>
      <c r="ZA186" s="145">
        <f t="shared" si="1898"/>
        <v>0</v>
      </c>
      <c r="ZB186" s="145">
        <f t="shared" si="1898"/>
        <v>0</v>
      </c>
      <c r="ZC186" s="145">
        <f t="shared" ref="ZC186:ZC195" si="1901">BO30</f>
        <v>0</v>
      </c>
      <c r="ZD186" s="145">
        <f t="shared" si="1899"/>
        <v>0</v>
      </c>
      <c r="ZE186" s="145">
        <f t="shared" si="1899"/>
        <v>0</v>
      </c>
      <c r="ZF186" s="145">
        <f t="shared" si="1899"/>
        <v>0</v>
      </c>
      <c r="ZG186" s="145">
        <f t="shared" si="1899"/>
        <v>0</v>
      </c>
      <c r="ZH186" s="145">
        <f t="shared" si="1899"/>
        <v>0</v>
      </c>
      <c r="ZI186" s="145">
        <f t="shared" si="1899"/>
        <v>0</v>
      </c>
      <c r="ZJ186" s="145">
        <f t="shared" si="1899"/>
        <v>0</v>
      </c>
      <c r="ZK186" s="145">
        <f t="shared" si="1899"/>
        <v>0</v>
      </c>
      <c r="ZL186" s="145">
        <f t="shared" si="1899"/>
        <v>0</v>
      </c>
      <c r="ZM186" s="146">
        <f t="shared" si="1899"/>
        <v>0</v>
      </c>
      <c r="ZN186" s="146">
        <f t="shared" si="1899"/>
        <v>0</v>
      </c>
      <c r="ZO186" s="146">
        <f t="shared" si="1899"/>
        <v>0</v>
      </c>
      <c r="ZP186" s="146">
        <f t="shared" si="1899"/>
        <v>0</v>
      </c>
      <c r="ZQ186" s="146">
        <f t="shared" si="1899"/>
        <v>0</v>
      </c>
      <c r="ZR186" s="146">
        <f t="shared" si="1899"/>
        <v>0</v>
      </c>
      <c r="ZS186" s="146">
        <f t="shared" si="1899"/>
        <v>0</v>
      </c>
      <c r="ZT186" s="146">
        <f t="shared" si="1899"/>
        <v>0</v>
      </c>
      <c r="ZU186" s="146">
        <f t="shared" si="1899"/>
        <v>0</v>
      </c>
      <c r="ZV186" s="146">
        <f t="shared" si="1899"/>
        <v>0</v>
      </c>
      <c r="ZW186" s="146">
        <f t="shared" si="1899"/>
        <v>0</v>
      </c>
      <c r="ZX186" s="146">
        <f t="shared" si="1899"/>
        <v>0</v>
      </c>
      <c r="ZY186" s="146">
        <f t="shared" si="1899"/>
        <v>0</v>
      </c>
      <c r="ZZ186" s="146">
        <f t="shared" si="1899"/>
        <v>0</v>
      </c>
      <c r="AAA186" s="146">
        <f t="shared" si="1899"/>
        <v>0</v>
      </c>
      <c r="AAB186" s="146">
        <f t="shared" si="1899"/>
        <v>0</v>
      </c>
      <c r="AAC186" s="146">
        <f t="shared" si="1899"/>
        <v>0</v>
      </c>
      <c r="AAD186" s="146">
        <f t="shared" si="1899"/>
        <v>0</v>
      </c>
      <c r="AAE186" s="146">
        <f t="shared" si="1899"/>
        <v>0</v>
      </c>
      <c r="AAF186" s="146">
        <f t="shared" si="1899"/>
        <v>0</v>
      </c>
      <c r="AAG186" s="146">
        <f t="shared" si="1899"/>
        <v>0</v>
      </c>
      <c r="AAH186" s="146">
        <f t="shared" si="1899"/>
        <v>0</v>
      </c>
      <c r="AAI186" s="146">
        <f t="shared" si="1899"/>
        <v>0</v>
      </c>
      <c r="AAJ186" s="146">
        <f t="shared" si="1899"/>
        <v>0</v>
      </c>
      <c r="AAK186" s="146">
        <f t="shared" si="1899"/>
        <v>0</v>
      </c>
      <c r="AAL186" s="146">
        <f t="shared" si="1899"/>
        <v>0</v>
      </c>
      <c r="AAM186" s="146">
        <f t="shared" si="1899"/>
        <v>0</v>
      </c>
      <c r="AAN186" s="146">
        <f t="shared" si="1899"/>
        <v>0</v>
      </c>
      <c r="AAO186" s="156">
        <f t="shared" si="1899"/>
        <v>0</v>
      </c>
      <c r="AAP186" s="156">
        <f t="shared" si="1899"/>
        <v>0</v>
      </c>
      <c r="AAQ186" s="156">
        <f t="shared" si="1899"/>
        <v>0</v>
      </c>
      <c r="AAR186" s="156">
        <f t="shared" si="1899"/>
        <v>0</v>
      </c>
      <c r="AAS186" s="156">
        <f t="shared" si="1899"/>
        <v>0</v>
      </c>
      <c r="AAT186" s="156">
        <f t="shared" si="1899"/>
        <v>0</v>
      </c>
      <c r="AAU186" s="156">
        <f t="shared" si="1899"/>
        <v>0</v>
      </c>
      <c r="AAV186" s="156">
        <f t="shared" si="1899"/>
        <v>0</v>
      </c>
      <c r="AAW186" s="156">
        <f t="shared" si="1899"/>
        <v>0</v>
      </c>
      <c r="AAX186" s="156">
        <f t="shared" si="1899"/>
        <v>0</v>
      </c>
      <c r="AAY186" s="156">
        <f t="shared" si="1899"/>
        <v>0</v>
      </c>
      <c r="AAZ186" s="156">
        <f t="shared" si="1899"/>
        <v>0</v>
      </c>
      <c r="ABA186" s="156">
        <f t="shared" si="1899"/>
        <v>0</v>
      </c>
      <c r="ABB186" s="156">
        <f t="shared" si="1899"/>
        <v>0</v>
      </c>
      <c r="ABC186" s="156">
        <f t="shared" si="1899"/>
        <v>0</v>
      </c>
      <c r="ABD186" s="156">
        <f t="shared" si="1899"/>
        <v>0</v>
      </c>
      <c r="ABE186" s="156">
        <f t="shared" si="1899"/>
        <v>0</v>
      </c>
      <c r="ABF186" s="156">
        <f t="shared" si="1899"/>
        <v>0</v>
      </c>
      <c r="ABG186" s="156">
        <f t="shared" si="1899"/>
        <v>0</v>
      </c>
      <c r="ABH186" s="156">
        <f t="shared" si="1899"/>
        <v>0</v>
      </c>
      <c r="ABI186" s="156">
        <f t="shared" si="1899"/>
        <v>0</v>
      </c>
      <c r="ABJ186" s="156">
        <f t="shared" si="1899"/>
        <v>0</v>
      </c>
      <c r="ABK186" s="156">
        <f t="shared" si="1899"/>
        <v>0</v>
      </c>
      <c r="ABL186" s="156">
        <f t="shared" si="1899"/>
        <v>0</v>
      </c>
      <c r="ABM186" s="156">
        <f t="shared" si="1899"/>
        <v>0</v>
      </c>
      <c r="ABN186" s="156">
        <f t="shared" si="1899"/>
        <v>0</v>
      </c>
      <c r="ABO186" s="178">
        <f t="shared" ref="ABO186:ABO195" si="1902">EA30</f>
        <v>0</v>
      </c>
      <c r="ABP186" s="181">
        <f t="shared" si="1900"/>
        <v>24.185735913858924</v>
      </c>
      <c r="ABQ186" s="177">
        <f t="shared" si="1900"/>
        <v>0</v>
      </c>
      <c r="ABR186" s="181">
        <f t="shared" si="1900"/>
        <v>24.082193323306559</v>
      </c>
      <c r="ABS186" s="155">
        <f t="shared" si="1900"/>
        <v>0</v>
      </c>
      <c r="ABT186" s="156">
        <f t="shared" si="1900"/>
        <v>0</v>
      </c>
      <c r="ABU186" s="156">
        <f t="shared" si="1900"/>
        <v>0</v>
      </c>
      <c r="ABV186" s="178">
        <f t="shared" si="1900"/>
        <v>0</v>
      </c>
      <c r="ABW186" s="181">
        <f t="shared" si="1900"/>
        <v>23.834369382163725</v>
      </c>
      <c r="ABX186" s="177">
        <f t="shared" si="1900"/>
        <v>0</v>
      </c>
      <c r="ABY186" s="181">
        <f t="shared" si="1900"/>
        <v>23.729612561855234</v>
      </c>
      <c r="ABZ186" s="155">
        <f t="shared" si="1900"/>
        <v>0</v>
      </c>
      <c r="ACA186" s="156">
        <f t="shared" si="1900"/>
        <v>0</v>
      </c>
      <c r="ACB186" s="156">
        <f t="shared" si="1900"/>
        <v>0</v>
      </c>
      <c r="ACC186" s="178">
        <f t="shared" si="1900"/>
        <v>0</v>
      </c>
      <c r="ACD186" s="181">
        <f t="shared" si="1900"/>
        <v>23.481493552061213</v>
      </c>
      <c r="ACE186" s="177">
        <f t="shared" si="1900"/>
        <v>0</v>
      </c>
      <c r="ACF186" s="181">
        <f t="shared" si="1900"/>
        <v>23.372038483450538</v>
      </c>
      <c r="ACG186" s="155">
        <f t="shared" si="1900"/>
        <v>0</v>
      </c>
      <c r="ACH186" s="156">
        <f t="shared" si="1900"/>
        <v>0</v>
      </c>
      <c r="ACI186" s="156">
        <f t="shared" si="1900"/>
        <v>0</v>
      </c>
      <c r="ACJ186" s="178">
        <f t="shared" si="1900"/>
        <v>0</v>
      </c>
      <c r="ACK186" s="181">
        <f t="shared" si="1900"/>
        <v>23.116065489904333</v>
      </c>
      <c r="ACL186" s="177">
        <f t="shared" si="1900"/>
        <v>0</v>
      </c>
      <c r="ACM186" s="181">
        <f t="shared" si="1900"/>
        <v>22.977554025488825</v>
      </c>
      <c r="ACN186" s="119"/>
      <c r="ACO186" s="119"/>
      <c r="ACP186" s="119"/>
      <c r="ACQ186" s="119"/>
      <c r="ACR186" s="119"/>
      <c r="ACS186" s="119"/>
      <c r="ACT186" s="119"/>
      <c r="ACU186" s="119"/>
      <c r="ACV186" s="119"/>
      <c r="ACW186" s="119"/>
      <c r="ACX186" s="119"/>
      <c r="ACY186" s="119"/>
      <c r="ACZ186" s="119"/>
      <c r="ADA186" s="119"/>
      <c r="ADB186" s="119"/>
      <c r="ADC186" s="119"/>
      <c r="ADD186" s="119"/>
      <c r="ADE186" s="119"/>
      <c r="ADF186" s="119"/>
      <c r="ADG186" s="119"/>
      <c r="ADH186" s="119"/>
      <c r="ADI186" s="119"/>
      <c r="ADJ186" s="119"/>
      <c r="ADK186" s="119"/>
      <c r="ADL186" s="119"/>
      <c r="ADM186" s="119"/>
      <c r="ADN186" s="119"/>
      <c r="ADO186" s="119"/>
      <c r="ADP186" s="119"/>
      <c r="ADQ186" s="119"/>
      <c r="ADR186" s="119"/>
      <c r="ADS186" s="119"/>
      <c r="ADT186" s="119"/>
      <c r="ADU186" s="119"/>
      <c r="ADV186" s="119"/>
      <c r="ADW186" s="119"/>
      <c r="ADX186" s="119"/>
      <c r="ADY186" s="119"/>
      <c r="ADZ186" s="119"/>
      <c r="AEA186" s="119"/>
      <c r="AEB186" s="119"/>
      <c r="AEC186" s="119"/>
      <c r="AED186" s="119"/>
      <c r="AEE186" s="119"/>
      <c r="AEF186" s="119"/>
      <c r="AEG186" s="119"/>
      <c r="AEH186" s="119"/>
      <c r="AEI186" s="119"/>
    </row>
    <row r="187" spans="1:815" ht="19.5" thickBot="1" x14ac:dyDescent="0.3">
      <c r="A187" s="298"/>
      <c r="B187" s="25" t="s">
        <v>2</v>
      </c>
      <c r="WQ187" s="135">
        <f t="shared" si="1894"/>
        <v>2E-3</v>
      </c>
      <c r="WR187" s="112">
        <f t="shared" si="1895"/>
        <v>2E-3</v>
      </c>
      <c r="WS187" s="113">
        <f t="shared" si="1896"/>
        <v>2E-3</v>
      </c>
      <c r="WT187" s="113">
        <f t="shared" si="1897"/>
        <v>2E-3</v>
      </c>
      <c r="WU187" s="113">
        <f t="shared" ref="WU187:WU195" si="1903">G31</f>
        <v>2E-3</v>
      </c>
      <c r="WV187" s="113">
        <f t="shared" ref="WV187:WV195" si="1904">H31</f>
        <v>2E-3</v>
      </c>
      <c r="WW187" s="113">
        <f t="shared" ref="WW187:WW195" si="1905">I31</f>
        <v>2E-3</v>
      </c>
      <c r="WX187" s="113">
        <f t="shared" ref="WX187:WX195" si="1906">J31</f>
        <v>2E-3</v>
      </c>
      <c r="WY187" s="113">
        <f t="shared" ref="WY187:WY195" si="1907">K31</f>
        <v>2E-3</v>
      </c>
      <c r="WZ187" s="113">
        <f t="shared" ref="WZ187:WZ195" si="1908">L31</f>
        <v>2E-3</v>
      </c>
      <c r="XA187" s="113">
        <f t="shared" ref="XA187:XA195" si="1909">M31</f>
        <v>2E-3</v>
      </c>
      <c r="XB187" s="113">
        <f t="shared" ref="XB187:XB195" si="1910">N31</f>
        <v>2E-3</v>
      </c>
      <c r="XC187" s="113">
        <f t="shared" ref="XC187:XC195" si="1911">O31</f>
        <v>2E-3</v>
      </c>
      <c r="XD187" s="113">
        <f t="shared" ref="XD187:XD195" si="1912">P31</f>
        <v>2E-3</v>
      </c>
      <c r="XE187" s="113">
        <f t="shared" ref="XE187:XE195" si="1913">Q31</f>
        <v>2E-3</v>
      </c>
      <c r="XF187" s="113">
        <f t="shared" ref="XF187:XF195" si="1914">R31</f>
        <v>2E-3</v>
      </c>
      <c r="XG187" s="113">
        <f t="shared" ref="XG187:XG195" si="1915">S31</f>
        <v>2E-3</v>
      </c>
      <c r="XH187" s="113">
        <f t="shared" ref="XH187:XH195" si="1916">T31</f>
        <v>2E-3</v>
      </c>
      <c r="XI187" s="113">
        <f t="shared" ref="XI187:XI195" si="1917">U31</f>
        <v>2E-3</v>
      </c>
      <c r="XJ187" s="113">
        <f t="shared" ref="XJ187:XJ195" si="1918">V31</f>
        <v>2E-3</v>
      </c>
      <c r="XK187" s="113">
        <f t="shared" ref="XK187:XK195" si="1919">W31</f>
        <v>2E-3</v>
      </c>
      <c r="XL187" s="113">
        <f t="shared" ref="XL187:XL195" si="1920">X31</f>
        <v>2E-3</v>
      </c>
      <c r="XM187" s="113">
        <f t="shared" ref="XM187:XM195" si="1921">Y31</f>
        <v>2E-3</v>
      </c>
      <c r="XN187" s="113">
        <f t="shared" ref="XN187:XN195" si="1922">Z31</f>
        <v>2E-3</v>
      </c>
      <c r="XO187" s="113">
        <f t="shared" ref="XO187:XO195" si="1923">AA31</f>
        <v>2E-3</v>
      </c>
      <c r="XP187" s="113">
        <f t="shared" ref="XP187:XP195" si="1924">AB31</f>
        <v>2E-3</v>
      </c>
      <c r="XQ187" s="113">
        <f t="shared" ref="XQ187:XQ195" si="1925">AC31</f>
        <v>2E-3</v>
      </c>
      <c r="XR187" s="113">
        <f t="shared" ref="XR187:XR195" si="1926">AD31</f>
        <v>2E-3</v>
      </c>
      <c r="XS187" s="113">
        <f t="shared" ref="XS187:XS195" si="1927">AE31</f>
        <v>2E-3</v>
      </c>
      <c r="XT187" s="113">
        <f t="shared" ref="XT187:XT195" si="1928">AF31</f>
        <v>2E-3</v>
      </c>
      <c r="XU187" s="113">
        <f t="shared" ref="XU187:XU195" si="1929">AG31</f>
        <v>2E-3</v>
      </c>
      <c r="XV187" s="113">
        <f t="shared" ref="XV187:XV195" si="1930">AH31</f>
        <v>2E-3</v>
      </c>
      <c r="XW187" s="113">
        <f t="shared" ref="XW187:XW195" si="1931">AI31</f>
        <v>2E-3</v>
      </c>
      <c r="XX187" s="113">
        <f t="shared" ref="XX187:XX195" si="1932">AJ31</f>
        <v>2E-3</v>
      </c>
      <c r="XY187" s="113">
        <f t="shared" ref="XY187:XY195" si="1933">AK31</f>
        <v>2E-3</v>
      </c>
      <c r="XZ187" s="113">
        <f t="shared" ref="XZ187:XZ195" si="1934">AL31</f>
        <v>2E-3</v>
      </c>
      <c r="YA187" s="113">
        <f t="shared" ref="YA187:YA195" si="1935">AM31</f>
        <v>2E-3</v>
      </c>
      <c r="YB187" s="113">
        <f t="shared" ref="YB187:YB195" si="1936">AN31</f>
        <v>2E-3</v>
      </c>
      <c r="YC187" s="113">
        <f t="shared" ref="YC187:YC195" si="1937">AO31</f>
        <v>2E-3</v>
      </c>
      <c r="YD187" s="113">
        <f t="shared" ref="YD187:YD195" si="1938">AP31</f>
        <v>2E-3</v>
      </c>
      <c r="YE187" s="113">
        <f t="shared" ref="YE187:YE195" si="1939">AQ31</f>
        <v>2E-3</v>
      </c>
      <c r="YF187" s="113">
        <f t="shared" ref="YF187:YF195" si="1940">AR31</f>
        <v>2E-3</v>
      </c>
      <c r="YG187" s="113">
        <f t="shared" ref="YG187:YG195" si="1941">AS31</f>
        <v>2E-3</v>
      </c>
      <c r="YH187" s="113">
        <f t="shared" ref="YH187:YH195" si="1942">AT31</f>
        <v>2E-3</v>
      </c>
      <c r="YI187" s="113">
        <f t="shared" ref="YI187:YI195" si="1943">AU31</f>
        <v>2E-3</v>
      </c>
      <c r="YJ187" s="113">
        <f t="shared" ref="YJ187:YJ195" si="1944">AV31</f>
        <v>2E-3</v>
      </c>
      <c r="YK187" s="113">
        <f t="shared" ref="YK187:YK195" si="1945">AW31</f>
        <v>2E-3</v>
      </c>
      <c r="YL187" s="113">
        <f t="shared" ref="YL187:YL195" si="1946">AX31</f>
        <v>2E-3</v>
      </c>
      <c r="YM187" s="113">
        <f t="shared" ref="YM187:YM195" si="1947">AY31</f>
        <v>2E-3</v>
      </c>
      <c r="YN187" s="113">
        <f t="shared" ref="YN187:YN195" si="1948">AZ31</f>
        <v>2E-3</v>
      </c>
      <c r="YO187" s="113">
        <f t="shared" ref="YO187:YO195" si="1949">BA31</f>
        <v>2E-3</v>
      </c>
      <c r="YP187" s="147">
        <f t="shared" ref="YP187:YP195" si="1950">BB31</f>
        <v>2E-3</v>
      </c>
      <c r="YQ187" s="147">
        <f t="shared" ref="YQ187:YQ195" si="1951">BC31</f>
        <v>2E-3</v>
      </c>
      <c r="YR187" s="147">
        <f t="shared" ref="YR187:YR195" si="1952">BD31</f>
        <v>2E-3</v>
      </c>
      <c r="YS187" s="147">
        <f t="shared" ref="YS187:YS195" si="1953">BE31</f>
        <v>2E-3</v>
      </c>
      <c r="YT187" s="147">
        <f t="shared" ref="YT187:YT195" si="1954">BF31</f>
        <v>2E-3</v>
      </c>
      <c r="YU187" s="147">
        <f t="shared" ref="YU187:YU195" si="1955">BG31</f>
        <v>2E-3</v>
      </c>
      <c r="YV187" s="147">
        <f t="shared" ref="YV187:YV195" si="1956">BH31</f>
        <v>2E-3</v>
      </c>
      <c r="YW187" s="147">
        <f t="shared" ref="YW187:YW195" si="1957">BI31</f>
        <v>2E-3</v>
      </c>
      <c r="YX187" s="147">
        <f t="shared" ref="YX187:YX195" si="1958">BJ31</f>
        <v>2E-3</v>
      </c>
      <c r="YY187" s="147">
        <f t="shared" ref="YY187:YY195" si="1959">BK31</f>
        <v>2E-3</v>
      </c>
      <c r="YZ187" s="147">
        <f t="shared" ref="YZ187:YZ195" si="1960">BL31</f>
        <v>2E-3</v>
      </c>
      <c r="ZA187" s="147">
        <f t="shared" ref="ZA187:ZA195" si="1961">BM31</f>
        <v>2E-3</v>
      </c>
      <c r="ZB187" s="147">
        <f t="shared" ref="ZB187:ZB195" si="1962">BN31</f>
        <v>2E-3</v>
      </c>
      <c r="ZC187" s="147">
        <f t="shared" si="1901"/>
        <v>2E-3</v>
      </c>
      <c r="ZD187" s="147">
        <f t="shared" ref="ZD187:ZD195" si="1963">BP31</f>
        <v>2E-3</v>
      </c>
      <c r="ZE187" s="147">
        <f t="shared" ref="ZE187:ZE195" si="1964">BQ31</f>
        <v>2E-3</v>
      </c>
      <c r="ZF187" s="147">
        <f t="shared" ref="ZF187:ZF195" si="1965">BR31</f>
        <v>2E-3</v>
      </c>
      <c r="ZG187" s="147">
        <f t="shared" ref="ZG187:ZG195" si="1966">BS31</f>
        <v>2E-3</v>
      </c>
      <c r="ZH187" s="147">
        <f t="shared" ref="ZH187:ZH195" si="1967">BT31</f>
        <v>2E-3</v>
      </c>
      <c r="ZI187" s="147">
        <f t="shared" ref="ZI187:ZI195" si="1968">BU31</f>
        <v>2E-3</v>
      </c>
      <c r="ZJ187" s="147">
        <f t="shared" ref="ZJ187:ZJ195" si="1969">BV31</f>
        <v>2E-3</v>
      </c>
      <c r="ZK187" s="147">
        <f t="shared" ref="ZK187:ZK195" si="1970">BW31</f>
        <v>2E-3</v>
      </c>
      <c r="ZL187" s="147">
        <f t="shared" ref="ZL187:ZL195" si="1971">BX31</f>
        <v>2E-3</v>
      </c>
      <c r="ZM187" s="147">
        <f t="shared" ref="ZM187:ZM195" si="1972">BY31</f>
        <v>2E-3</v>
      </c>
      <c r="ZN187" s="147">
        <f t="shared" ref="ZN187:ZN195" si="1973">BZ31</f>
        <v>2E-3</v>
      </c>
      <c r="ZO187" s="147">
        <f t="shared" ref="ZO187:ZO195" si="1974">CA31</f>
        <v>2E-3</v>
      </c>
      <c r="ZP187" s="147">
        <f t="shared" ref="ZP187:ZP195" si="1975">CB31</f>
        <v>2E-3</v>
      </c>
      <c r="ZQ187" s="147">
        <f t="shared" ref="ZQ187:ZQ195" si="1976">CC31</f>
        <v>2E-3</v>
      </c>
      <c r="ZR187" s="147">
        <f t="shared" ref="ZR187:ZR195" si="1977">CD31</f>
        <v>2E-3</v>
      </c>
      <c r="ZS187" s="147">
        <f t="shared" ref="ZS187:ZS195" si="1978">CE31</f>
        <v>2E-3</v>
      </c>
      <c r="ZT187" s="147">
        <f t="shared" ref="ZT187:ZT195" si="1979">CF31</f>
        <v>2E-3</v>
      </c>
      <c r="ZU187" s="147">
        <f t="shared" ref="ZU187:ZU195" si="1980">CG31</f>
        <v>2E-3</v>
      </c>
      <c r="ZV187" s="147">
        <f t="shared" ref="ZV187:ZV195" si="1981">CH31</f>
        <v>2E-3</v>
      </c>
      <c r="ZW187" s="147">
        <f t="shared" ref="ZW187:ZW195" si="1982">CI31</f>
        <v>2E-3</v>
      </c>
      <c r="ZX187" s="147">
        <f t="shared" ref="ZX187:ZX195" si="1983">CJ31</f>
        <v>2E-3</v>
      </c>
      <c r="ZY187" s="147">
        <f t="shared" ref="ZY187:ZY195" si="1984">CK31</f>
        <v>2E-3</v>
      </c>
      <c r="ZZ187" s="147">
        <f t="shared" ref="ZZ187:ZZ195" si="1985">CL31</f>
        <v>2E-3</v>
      </c>
      <c r="AAA187" s="147">
        <f t="shared" ref="AAA187:AAA195" si="1986">CM31</f>
        <v>2E-3</v>
      </c>
      <c r="AAB187" s="147">
        <f t="shared" ref="AAB187:AAB195" si="1987">CN31</f>
        <v>2E-3</v>
      </c>
      <c r="AAC187" s="147">
        <f t="shared" ref="AAC187:AAC195" si="1988">CO31</f>
        <v>2E-3</v>
      </c>
      <c r="AAD187" s="147">
        <f t="shared" ref="AAD187:AAD195" si="1989">CP31</f>
        <v>2E-3</v>
      </c>
      <c r="AAE187" s="147">
        <f t="shared" ref="AAE187:AAE195" si="1990">CQ31</f>
        <v>2E-3</v>
      </c>
      <c r="AAF187" s="147">
        <f t="shared" ref="AAF187:AAF195" si="1991">CR31</f>
        <v>2E-3</v>
      </c>
      <c r="AAG187" s="147">
        <f t="shared" ref="AAG187:AAG195" si="1992">CS31</f>
        <v>2E-3</v>
      </c>
      <c r="AAH187" s="147">
        <f t="shared" ref="AAH187:AAH195" si="1993">CT31</f>
        <v>2E-3</v>
      </c>
      <c r="AAI187" s="147">
        <f t="shared" ref="AAI187:AAI195" si="1994">CU31</f>
        <v>2E-3</v>
      </c>
      <c r="AAJ187" s="147">
        <f t="shared" ref="AAJ187:AAJ195" si="1995">CV31</f>
        <v>2E-3</v>
      </c>
      <c r="AAK187" s="147">
        <f t="shared" ref="AAK187:AAK195" si="1996">CW31</f>
        <v>2E-3</v>
      </c>
      <c r="AAL187" s="147">
        <f t="shared" ref="AAL187:AAL195" si="1997">CX31</f>
        <v>2E-3</v>
      </c>
      <c r="AAM187" s="147">
        <f t="shared" ref="AAM187:AAM195" si="1998">CY31</f>
        <v>2E-3</v>
      </c>
      <c r="AAN187" s="147">
        <f t="shared" ref="AAN187:AAN195" si="1999">CZ31</f>
        <v>2E-3</v>
      </c>
      <c r="AAO187" s="157">
        <f t="shared" ref="AAO187:AAO195" si="2000">DA31</f>
        <v>2E-3</v>
      </c>
      <c r="AAP187" s="157">
        <f t="shared" ref="AAP187:AAP195" si="2001">DB31</f>
        <v>2E-3</v>
      </c>
      <c r="AAQ187" s="157">
        <f t="shared" ref="AAQ187:AAQ195" si="2002">DC31</f>
        <v>2E-3</v>
      </c>
      <c r="AAR187" s="157">
        <f t="shared" ref="AAR187:AAR195" si="2003">DD31</f>
        <v>2E-3</v>
      </c>
      <c r="AAS187" s="157">
        <f t="shared" ref="AAS187:AAS195" si="2004">DE31</f>
        <v>2E-3</v>
      </c>
      <c r="AAT187" s="157">
        <f t="shared" ref="AAT187:AAT195" si="2005">DF31</f>
        <v>2E-3</v>
      </c>
      <c r="AAU187" s="157">
        <f t="shared" ref="AAU187:AAU195" si="2006">DG31</f>
        <v>2E-3</v>
      </c>
      <c r="AAV187" s="157">
        <f t="shared" ref="AAV187:AAV195" si="2007">DH31</f>
        <v>2E-3</v>
      </c>
      <c r="AAW187" s="157">
        <f t="shared" ref="AAW187:AAW195" si="2008">DI31</f>
        <v>2E-3</v>
      </c>
      <c r="AAX187" s="157">
        <f t="shared" ref="AAX187:AAX195" si="2009">DJ31</f>
        <v>2E-3</v>
      </c>
      <c r="AAY187" s="157">
        <f t="shared" ref="AAY187:AAY195" si="2010">DK31</f>
        <v>2E-3</v>
      </c>
      <c r="AAZ187" s="157">
        <f t="shared" ref="AAZ187:AAZ195" si="2011">DL31</f>
        <v>2E-3</v>
      </c>
      <c r="ABA187" s="157">
        <f t="shared" ref="ABA187:ABA195" si="2012">DM31</f>
        <v>2E-3</v>
      </c>
      <c r="ABB187" s="157">
        <f t="shared" ref="ABB187:ABB195" si="2013">DN31</f>
        <v>2E-3</v>
      </c>
      <c r="ABC187" s="157">
        <f t="shared" ref="ABC187:ABC195" si="2014">DO31</f>
        <v>2E-3</v>
      </c>
      <c r="ABD187" s="157">
        <f t="shared" ref="ABD187:ABD195" si="2015">DP31</f>
        <v>2E-3</v>
      </c>
      <c r="ABE187" s="157">
        <f t="shared" ref="ABE187:ABE195" si="2016">DQ31</f>
        <v>2E-3</v>
      </c>
      <c r="ABF187" s="157">
        <f t="shared" ref="ABF187:ABF195" si="2017">DR31</f>
        <v>2E-3</v>
      </c>
      <c r="ABG187" s="157">
        <f t="shared" ref="ABG187:ABG195" si="2018">DS31</f>
        <v>2E-3</v>
      </c>
      <c r="ABH187" s="157">
        <f t="shared" ref="ABH187:ABH195" si="2019">DT31</f>
        <v>2E-3</v>
      </c>
      <c r="ABI187" s="157">
        <f t="shared" ref="ABI187:ABI195" si="2020">DU31</f>
        <v>2E-3</v>
      </c>
      <c r="ABJ187" s="157">
        <f t="shared" ref="ABJ187:ABJ195" si="2021">DV31</f>
        <v>2E-3</v>
      </c>
      <c r="ABK187" s="157">
        <f t="shared" ref="ABK187:ABK195" si="2022">DW31</f>
        <v>2E-3</v>
      </c>
      <c r="ABL187" s="157">
        <f t="shared" ref="ABL187:ABL195" si="2023">DX31</f>
        <v>2E-3</v>
      </c>
      <c r="ABM187" s="157">
        <f t="shared" ref="ABM187:ABM195" si="2024">DY31</f>
        <v>2E-3</v>
      </c>
      <c r="ABN187" s="157">
        <f t="shared" ref="ABN187:ABN195" si="2025">DZ31</f>
        <v>2E-3</v>
      </c>
      <c r="ABO187" s="157">
        <f t="shared" si="1902"/>
        <v>2E-3</v>
      </c>
      <c r="ABP187" s="180">
        <f t="shared" ref="ABP187:ABP195" si="2026">EB31</f>
        <v>2E-3</v>
      </c>
      <c r="ABQ187" s="157">
        <f t="shared" ref="ABQ187:ABQ195" si="2027">EC31</f>
        <v>2E-3</v>
      </c>
      <c r="ABR187" s="180">
        <f t="shared" ref="ABR187:ABR195" si="2028">ED31</f>
        <v>2E-3</v>
      </c>
      <c r="ABS187" s="157">
        <f t="shared" ref="ABS187:ABS195" si="2029">EE31</f>
        <v>2E-3</v>
      </c>
      <c r="ABT187" s="157">
        <f t="shared" ref="ABT187:ABT195" si="2030">EF31</f>
        <v>2E-3</v>
      </c>
      <c r="ABU187" s="157">
        <f t="shared" ref="ABU187:ABU195" si="2031">EG31</f>
        <v>2E-3</v>
      </c>
      <c r="ABV187" s="157">
        <f t="shared" ref="ABV187:ABV195" si="2032">EH31</f>
        <v>2E-3</v>
      </c>
      <c r="ABW187" s="180">
        <f t="shared" ref="ABW187:ABW195" si="2033">EI31</f>
        <v>2E-3</v>
      </c>
      <c r="ABX187" s="157">
        <f t="shared" ref="ABX187:ABX195" si="2034">EJ31</f>
        <v>2E-3</v>
      </c>
      <c r="ABY187" s="180">
        <f t="shared" ref="ABY187:ABY195" si="2035">EK31</f>
        <v>2E-3</v>
      </c>
      <c r="ABZ187" s="157">
        <f t="shared" ref="ABZ187:ABZ195" si="2036">EL31</f>
        <v>2E-3</v>
      </c>
      <c r="ACA187" s="157">
        <f t="shared" ref="ACA187:ACA195" si="2037">EM31</f>
        <v>2E-3</v>
      </c>
      <c r="ACB187" s="157">
        <f t="shared" ref="ACB187:ACB195" si="2038">EN31</f>
        <v>2E-3</v>
      </c>
      <c r="ACC187" s="157">
        <f t="shared" ref="ACC187:ACC195" si="2039">EO31</f>
        <v>2E-3</v>
      </c>
      <c r="ACD187" s="180">
        <f t="shared" ref="ACD187:ACD195" si="2040">EP31</f>
        <v>2E-3</v>
      </c>
      <c r="ACE187" s="157">
        <f t="shared" ref="ACE187:ACE195" si="2041">EQ31</f>
        <v>2E-3</v>
      </c>
      <c r="ACF187" s="180">
        <f t="shared" ref="ACF187:ACF195" si="2042">ER31</f>
        <v>2E-3</v>
      </c>
      <c r="ACG187" s="157">
        <f t="shared" ref="ACG187:ACG195" si="2043">ES31</f>
        <v>2E-3</v>
      </c>
      <c r="ACH187" s="157">
        <f t="shared" ref="ACH187:ACH195" si="2044">ET31</f>
        <v>2E-3</v>
      </c>
      <c r="ACI187" s="157">
        <f t="shared" ref="ACI187:ACI195" si="2045">EU31</f>
        <v>2E-3</v>
      </c>
      <c r="ACJ187" s="157">
        <f t="shared" ref="ACJ187:ACJ195" si="2046">EV31</f>
        <v>2E-3</v>
      </c>
      <c r="ACK187" s="180">
        <f t="shared" ref="ACK187:ACK195" si="2047">EW31</f>
        <v>2E-3</v>
      </c>
      <c r="ACL187" s="157">
        <f t="shared" ref="ACL187:ACL195" si="2048">EX31</f>
        <v>2E-3</v>
      </c>
      <c r="ACM187" s="180">
        <f t="shared" ref="ACM187:ACM195" si="2049">EY31</f>
        <v>2E-3</v>
      </c>
      <c r="ACN187" s="119"/>
      <c r="ACO187" s="119"/>
      <c r="ACP187" s="119"/>
      <c r="ACQ187" s="119"/>
      <c r="ACR187" s="119"/>
      <c r="ACS187" s="119"/>
      <c r="ACT187" s="119"/>
      <c r="ACU187" s="119"/>
      <c r="ACV187" s="119"/>
      <c r="ACW187" s="119"/>
      <c r="ACX187" s="119"/>
      <c r="ACY187" s="119"/>
      <c r="ACZ187" s="119"/>
      <c r="ADA187" s="119"/>
      <c r="ADB187" s="119"/>
      <c r="ADC187" s="119"/>
      <c r="ADD187" s="119"/>
      <c r="ADE187" s="119"/>
      <c r="ADF187" s="119"/>
      <c r="ADG187" s="119"/>
      <c r="ADH187" s="119"/>
      <c r="ADI187" s="119"/>
      <c r="ADJ187" s="119"/>
      <c r="ADK187" s="119"/>
      <c r="ADL187" s="119"/>
      <c r="ADM187" s="119"/>
      <c r="ADN187" s="119"/>
      <c r="ADO187" s="119"/>
      <c r="ADP187" s="119"/>
      <c r="ADQ187" s="119"/>
      <c r="ADR187" s="119"/>
      <c r="ADS187" s="119"/>
      <c r="ADT187" s="119"/>
      <c r="ADU187" s="119"/>
      <c r="ADV187" s="119"/>
      <c r="ADW187" s="119"/>
      <c r="ADX187" s="119"/>
      <c r="ADY187" s="119"/>
      <c r="ADZ187" s="119"/>
      <c r="AEA187" s="119"/>
      <c r="AEB187" s="119"/>
      <c r="AEC187" s="119"/>
      <c r="AED187" s="119"/>
      <c r="AEE187" s="119"/>
      <c r="AEF187" s="119"/>
      <c r="AEG187" s="119"/>
      <c r="AEH187" s="119"/>
      <c r="AEI187" s="119"/>
    </row>
    <row r="188" spans="1:815" ht="18.75" x14ac:dyDescent="0.25">
      <c r="A188" s="298"/>
      <c r="B188" s="25" t="s">
        <v>15</v>
      </c>
      <c r="WQ188" s="139">
        <f t="shared" si="1894"/>
        <v>0.5</v>
      </c>
      <c r="WR188" s="110">
        <f t="shared" si="1895"/>
        <v>0.499</v>
      </c>
      <c r="WS188" s="110">
        <f t="shared" si="1896"/>
        <v>0.498002</v>
      </c>
      <c r="WT188" s="110">
        <f t="shared" si="1897"/>
        <v>0.49700599600000001</v>
      </c>
      <c r="WU188" s="110">
        <f t="shared" si="1903"/>
        <v>0.49601198400799995</v>
      </c>
      <c r="WV188" s="110">
        <f t="shared" si="1904"/>
        <v>0.495019960039984</v>
      </c>
      <c r="WW188" s="110">
        <f t="shared" si="1905"/>
        <v>0.49402992011990399</v>
      </c>
      <c r="WX188" s="110">
        <f t="shared" si="1906"/>
        <v>0.49304186027966418</v>
      </c>
      <c r="WY188" s="110">
        <f t="shared" si="1907"/>
        <v>0.49205577655910482</v>
      </c>
      <c r="WZ188" s="110">
        <f t="shared" si="1908"/>
        <v>0.49107166500598659</v>
      </c>
      <c r="XA188" s="110">
        <f t="shared" si="1909"/>
        <v>0.49008952167597458</v>
      </c>
      <c r="XB188" s="110">
        <f t="shared" si="1910"/>
        <v>0.48910934263262268</v>
      </c>
      <c r="XC188" s="110">
        <f t="shared" si="1911"/>
        <v>0.48813112394735741</v>
      </c>
      <c r="XD188" s="110">
        <f t="shared" si="1912"/>
        <v>0.4871548616994627</v>
      </c>
      <c r="XE188" s="110">
        <f t="shared" si="1913"/>
        <v>0.4861805519760638</v>
      </c>
      <c r="XF188" s="110">
        <f t="shared" si="1914"/>
        <v>0.48520819087211164</v>
      </c>
      <c r="XG188" s="110">
        <f t="shared" si="1915"/>
        <v>0.48423777449036742</v>
      </c>
      <c r="XH188" s="110">
        <f t="shared" si="1916"/>
        <v>0.4832692989413867</v>
      </c>
      <c r="XI188" s="110">
        <f t="shared" si="1917"/>
        <v>0.48230276034350389</v>
      </c>
      <c r="XJ188" s="110">
        <f t="shared" si="1918"/>
        <v>0.48133815482281689</v>
      </c>
      <c r="XK188" s="110">
        <f t="shared" si="1919"/>
        <v>0.48037547851317125</v>
      </c>
      <c r="XL188" s="110">
        <f t="shared" si="1920"/>
        <v>0.47941472755614489</v>
      </c>
      <c r="XM188" s="110">
        <f t="shared" si="1921"/>
        <v>0.47845589810103262</v>
      </c>
      <c r="XN188" s="110">
        <f t="shared" si="1922"/>
        <v>0.47749898630483056</v>
      </c>
      <c r="XO188" s="110">
        <f t="shared" si="1923"/>
        <v>0.47654398833222095</v>
      </c>
      <c r="XP188" s="110">
        <f t="shared" si="1924"/>
        <v>0.47559090035555646</v>
      </c>
      <c r="XQ188" s="110">
        <f t="shared" si="1925"/>
        <v>0.47463971855484532</v>
      </c>
      <c r="XR188" s="110">
        <f t="shared" si="1926"/>
        <v>0.47369043911773567</v>
      </c>
      <c r="XS188" s="110">
        <f t="shared" si="1927"/>
        <v>0.47274305823950019</v>
      </c>
      <c r="XT188" s="110">
        <f t="shared" si="1928"/>
        <v>0.47179757212302115</v>
      </c>
      <c r="XU188" s="110">
        <f t="shared" si="1929"/>
        <v>0.47085397697877512</v>
      </c>
      <c r="XV188" s="110">
        <f t="shared" si="1930"/>
        <v>0.46991226902481753</v>
      </c>
      <c r="XW188" s="110">
        <f t="shared" si="1931"/>
        <v>0.46897244448676789</v>
      </c>
      <c r="XX188" s="110">
        <f t="shared" si="1932"/>
        <v>0.46803449959779431</v>
      </c>
      <c r="XY188" s="110">
        <f t="shared" si="1933"/>
        <v>0.46709843059859874</v>
      </c>
      <c r="XZ188" s="110">
        <f t="shared" si="1934"/>
        <v>0.46616423373740151</v>
      </c>
      <c r="YA188" s="110">
        <f t="shared" si="1935"/>
        <v>0.46523190526992669</v>
      </c>
      <c r="YB188" s="110">
        <f t="shared" si="1936"/>
        <v>0.4643014414593869</v>
      </c>
      <c r="YC188" s="110">
        <f t="shared" si="1937"/>
        <v>0.4633728385764681</v>
      </c>
      <c r="YD188" s="110">
        <f t="shared" si="1938"/>
        <v>0.46244609289931515</v>
      </c>
      <c r="YE188" s="110">
        <f t="shared" si="1939"/>
        <v>0.46152120071351654</v>
      </c>
      <c r="YF188" s="110">
        <f t="shared" si="1940"/>
        <v>0.4605981583120895</v>
      </c>
      <c r="YG188" s="110">
        <f t="shared" si="1941"/>
        <v>0.45967696199546532</v>
      </c>
      <c r="YH188" s="110">
        <f t="shared" si="1942"/>
        <v>0.45875760807147442</v>
      </c>
      <c r="YI188" s="110">
        <f t="shared" si="1943"/>
        <v>0.4578400928553315</v>
      </c>
      <c r="YJ188" s="110">
        <f t="shared" si="1944"/>
        <v>0.45692441266962086</v>
      </c>
      <c r="YK188" s="110">
        <f t="shared" si="1945"/>
        <v>0.45601056384428162</v>
      </c>
      <c r="YL188" s="110">
        <f t="shared" si="1946"/>
        <v>0.45509854271659306</v>
      </c>
      <c r="YM188" s="110">
        <f t="shared" si="1947"/>
        <v>0.45418834563115984</v>
      </c>
      <c r="YN188" s="110">
        <f t="shared" si="1948"/>
        <v>0.45327996893989753</v>
      </c>
      <c r="YO188" s="110">
        <f t="shared" si="1949"/>
        <v>0.45237340900201772</v>
      </c>
      <c r="YP188" s="148">
        <f t="shared" si="1950"/>
        <v>0.45146866218401371</v>
      </c>
      <c r="YQ188" s="148">
        <f t="shared" si="1951"/>
        <v>0.45056572485964563</v>
      </c>
      <c r="YR188" s="148">
        <f t="shared" si="1952"/>
        <v>0.44966459340992637</v>
      </c>
      <c r="YS188" s="148">
        <f t="shared" si="1953"/>
        <v>0.44876526422310653</v>
      </c>
      <c r="YT188" s="148">
        <f t="shared" si="1954"/>
        <v>0.44786773369466026</v>
      </c>
      <c r="YU188" s="148">
        <f t="shared" si="1955"/>
        <v>0.44697199822727096</v>
      </c>
      <c r="YV188" s="148">
        <f t="shared" si="1956"/>
        <v>0.44607805423081642</v>
      </c>
      <c r="YW188" s="148">
        <f t="shared" si="1957"/>
        <v>0.44518589812235482</v>
      </c>
      <c r="YX188" s="148">
        <f t="shared" si="1958"/>
        <v>0.44429552632611008</v>
      </c>
      <c r="YY188" s="148">
        <f t="shared" si="1959"/>
        <v>0.44340693527345787</v>
      </c>
      <c r="YZ188" s="148">
        <f t="shared" si="1960"/>
        <v>0.44252012140291097</v>
      </c>
      <c r="ZA188" s="148">
        <f t="shared" si="1961"/>
        <v>0.44163508116010514</v>
      </c>
      <c r="ZB188" s="148">
        <f t="shared" si="1962"/>
        <v>0.44075181099778493</v>
      </c>
      <c r="ZC188" s="148">
        <f t="shared" si="1901"/>
        <v>0.4398703073757893</v>
      </c>
      <c r="ZD188" s="148">
        <f t="shared" si="1963"/>
        <v>0.4389905667610377</v>
      </c>
      <c r="ZE188" s="148">
        <f t="shared" si="1964"/>
        <v>0.43811258562751565</v>
      </c>
      <c r="ZF188" s="148">
        <f t="shared" si="1965"/>
        <v>0.43723636045626058</v>
      </c>
      <c r="ZG188" s="148">
        <f t="shared" si="1966"/>
        <v>0.43636188773534806</v>
      </c>
      <c r="ZH188" s="148">
        <f t="shared" si="1967"/>
        <v>0.4354891639598773</v>
      </c>
      <c r="ZI188" s="148">
        <f t="shared" si="1968"/>
        <v>0.43461818563195753</v>
      </c>
      <c r="ZJ188" s="148">
        <f t="shared" si="1969"/>
        <v>0.43374894926069363</v>
      </c>
      <c r="ZK188" s="148">
        <f t="shared" si="1970"/>
        <v>0.43288145136217226</v>
      </c>
      <c r="ZL188" s="148">
        <f t="shared" si="1971"/>
        <v>0.43201568845944793</v>
      </c>
      <c r="ZM188" s="148">
        <f t="shared" si="1972"/>
        <v>0.43115165708252906</v>
      </c>
      <c r="ZN188" s="148">
        <f t="shared" si="1973"/>
        <v>0.43028935376836397</v>
      </c>
      <c r="ZO188" s="148">
        <f t="shared" si="1974"/>
        <v>0.42942877506082727</v>
      </c>
      <c r="ZP188" s="148">
        <f t="shared" si="1975"/>
        <v>0.42856991751070567</v>
      </c>
      <c r="ZQ188" s="148">
        <f t="shared" si="1976"/>
        <v>0.42771277767568422</v>
      </c>
      <c r="ZR188" s="148">
        <f t="shared" si="1977"/>
        <v>0.42685735212033288</v>
      </c>
      <c r="ZS188" s="148">
        <f t="shared" si="1978"/>
        <v>0.42600363741609221</v>
      </c>
      <c r="ZT188" s="148">
        <f t="shared" si="1979"/>
        <v>0.42515163014126001</v>
      </c>
      <c r="ZU188" s="148">
        <f t="shared" si="1980"/>
        <v>0.42430132688097749</v>
      </c>
      <c r="ZV188" s="148">
        <f t="shared" si="1981"/>
        <v>0.42345272422721553</v>
      </c>
      <c r="ZW188" s="148">
        <f t="shared" si="1982"/>
        <v>0.42260581877876108</v>
      </c>
      <c r="ZX188" s="148">
        <f t="shared" si="1983"/>
        <v>0.42176060714120361</v>
      </c>
      <c r="ZY188" s="148">
        <f t="shared" si="1984"/>
        <v>0.42091708592692118</v>
      </c>
      <c r="ZZ188" s="148">
        <f t="shared" si="1985"/>
        <v>0.42007525175506732</v>
      </c>
      <c r="AAA188" s="148">
        <f t="shared" si="1986"/>
        <v>0.41923510125155722</v>
      </c>
      <c r="AAB188" s="148">
        <f t="shared" si="1987"/>
        <v>0.41839663104905406</v>
      </c>
      <c r="AAC188" s="148">
        <f t="shared" si="1988"/>
        <v>0.41755983778695593</v>
      </c>
      <c r="AAD188" s="148">
        <f t="shared" si="1989"/>
        <v>0.41672471811138201</v>
      </c>
      <c r="AAE188" s="148">
        <f t="shared" si="1990"/>
        <v>0.4158912686751593</v>
      </c>
      <c r="AAF188" s="148">
        <f t="shared" si="1991"/>
        <v>0.41505948613780896</v>
      </c>
      <c r="AAG188" s="148">
        <f t="shared" si="1992"/>
        <v>0.41422936716553338</v>
      </c>
      <c r="AAH188" s="148">
        <f t="shared" si="1993"/>
        <v>0.41340090843120225</v>
      </c>
      <c r="AAI188" s="148">
        <f t="shared" si="1994"/>
        <v>0.41257410661433985</v>
      </c>
      <c r="AAJ188" s="148">
        <f t="shared" si="1995"/>
        <v>0.4117489584011112</v>
      </c>
      <c r="AAK188" s="148">
        <f t="shared" si="1996"/>
        <v>0.41092546048430895</v>
      </c>
      <c r="AAL188" s="148">
        <f t="shared" si="1997"/>
        <v>0.4101036095633403</v>
      </c>
      <c r="AAM188" s="148">
        <f t="shared" si="1998"/>
        <v>0.40928340234421362</v>
      </c>
      <c r="AAN188" s="148">
        <f t="shared" si="1999"/>
        <v>0.40846483553952517</v>
      </c>
      <c r="AAO188" s="158">
        <f t="shared" si="2000"/>
        <v>0.40764790586844613</v>
      </c>
      <c r="AAP188" s="158">
        <f t="shared" si="2001"/>
        <v>0.40683261005670923</v>
      </c>
      <c r="AAQ188" s="158">
        <f t="shared" si="2002"/>
        <v>0.40601894483659579</v>
      </c>
      <c r="AAR188" s="158">
        <f t="shared" si="2003"/>
        <v>0.40520690694692257</v>
      </c>
      <c r="AAS188" s="158">
        <f t="shared" si="2004"/>
        <v>0.40439649313302872</v>
      </c>
      <c r="AAT188" s="158">
        <f t="shared" si="2005"/>
        <v>0.40358770014676271</v>
      </c>
      <c r="AAU188" s="158">
        <f t="shared" si="2006"/>
        <v>0.40278052474646914</v>
      </c>
      <c r="AAV188" s="158">
        <f t="shared" si="2007"/>
        <v>0.40197496369697622</v>
      </c>
      <c r="AAW188" s="158">
        <f t="shared" si="2008"/>
        <v>0.40117101376958225</v>
      </c>
      <c r="AAX188" s="158">
        <f t="shared" si="2009"/>
        <v>0.4003686717420431</v>
      </c>
      <c r="AAY188" s="158">
        <f t="shared" si="2010"/>
        <v>0.39956793439855903</v>
      </c>
      <c r="AAZ188" s="158">
        <f t="shared" si="2011"/>
        <v>0.39876879852976194</v>
      </c>
      <c r="ABA188" s="158">
        <f t="shared" si="2012"/>
        <v>0.39797126093270235</v>
      </c>
      <c r="ABB188" s="158">
        <f t="shared" si="2013"/>
        <v>0.39717531841083697</v>
      </c>
      <c r="ABC188" s="158">
        <f t="shared" si="2014"/>
        <v>0.39638096777401532</v>
      </c>
      <c r="ABD188" s="158">
        <f t="shared" si="2015"/>
        <v>0.39558820583846727</v>
      </c>
      <c r="ABE188" s="158">
        <f t="shared" si="2016"/>
        <v>0.39479702942679035</v>
      </c>
      <c r="ABF188" s="158">
        <f t="shared" si="2017"/>
        <v>0.39400743536793675</v>
      </c>
      <c r="ABG188" s="158">
        <f t="shared" si="2018"/>
        <v>0.39321942049720088</v>
      </c>
      <c r="ABH188" s="158">
        <f t="shared" si="2019"/>
        <v>0.39243298165620649</v>
      </c>
      <c r="ABI188" s="158">
        <f t="shared" si="2020"/>
        <v>0.39164811569289409</v>
      </c>
      <c r="ABJ188" s="158">
        <f t="shared" si="2021"/>
        <v>0.39086481946150825</v>
      </c>
      <c r="ABK188" s="158">
        <f t="shared" si="2022"/>
        <v>0.39008308982258527</v>
      </c>
      <c r="ABL188" s="158">
        <f t="shared" si="2023"/>
        <v>0.38930292364294006</v>
      </c>
      <c r="ABM188" s="158">
        <f t="shared" si="2024"/>
        <v>0.38852431779565422</v>
      </c>
      <c r="ABN188" s="158">
        <f t="shared" si="2025"/>
        <v>0.38774726916006291</v>
      </c>
      <c r="ABO188" s="158">
        <f t="shared" si="1902"/>
        <v>0.38697177462174281</v>
      </c>
      <c r="ABP188" s="158">
        <f t="shared" si="2026"/>
        <v>0.33782635924478144</v>
      </c>
      <c r="ABQ188" s="158">
        <f t="shared" si="2027"/>
        <v>0.33715070652629187</v>
      </c>
      <c r="ABR188" s="158">
        <f t="shared" si="2028"/>
        <v>0.28831201846662613</v>
      </c>
      <c r="ABS188" s="158">
        <f t="shared" si="2029"/>
        <v>0.28773539442969287</v>
      </c>
      <c r="ABT188" s="158">
        <f t="shared" si="2030"/>
        <v>0.28715992364083348</v>
      </c>
      <c r="ABU188" s="158">
        <f t="shared" si="2031"/>
        <v>0.2865856037935518</v>
      </c>
      <c r="ABV188" s="158">
        <f t="shared" si="2032"/>
        <v>0.2860124325859647</v>
      </c>
      <c r="ABW188" s="158">
        <f t="shared" si="2033"/>
        <v>0.23777166895646529</v>
      </c>
      <c r="ABX188" s="158">
        <f t="shared" si="2034"/>
        <v>0.23729612561855234</v>
      </c>
      <c r="ABY188" s="158">
        <f t="shared" si="2035"/>
        <v>0.18936230824360475</v>
      </c>
      <c r="ABZ188" s="158">
        <f t="shared" si="2036"/>
        <v>0.18898358362711756</v>
      </c>
      <c r="ACA188" s="158">
        <f t="shared" si="2037"/>
        <v>0.18860561645986332</v>
      </c>
      <c r="ACB188" s="158">
        <f t="shared" si="2038"/>
        <v>0.18822840522694359</v>
      </c>
      <c r="ACC188" s="158">
        <f t="shared" si="2039"/>
        <v>0.18785194841648972</v>
      </c>
      <c r="ACD188" s="158">
        <f t="shared" si="2040"/>
        <v>0.1405132574155343</v>
      </c>
      <c r="ACE188" s="158">
        <f t="shared" si="2041"/>
        <v>0.14023223090070322</v>
      </c>
      <c r="ACF188" s="158">
        <f t="shared" si="2042"/>
        <v>9.320768947200074E-2</v>
      </c>
      <c r="ACG188" s="158">
        <f t="shared" si="2043"/>
        <v>9.302127409305673E-2</v>
      </c>
      <c r="ACH188" s="158">
        <f t="shared" si="2044"/>
        <v>9.2835231544870625E-2</v>
      </c>
      <c r="ACI188" s="158">
        <f t="shared" si="2045"/>
        <v>9.2649561081780893E-2</v>
      </c>
      <c r="ACJ188" s="158">
        <f t="shared" si="2046"/>
        <v>9.2464261959617336E-2</v>
      </c>
      <c r="ACK188" s="158">
        <f t="shared" si="2047"/>
        <v>4.6047202455889426E-2</v>
      </c>
      <c r="ACL188" s="158">
        <f t="shared" si="2048"/>
        <v>4.5955108050977654E-2</v>
      </c>
      <c r="ACM188" s="158">
        <f t="shared" si="2049"/>
        <v>-9.1910216101958044E-5</v>
      </c>
      <c r="ACN188" s="119"/>
      <c r="ACO188" s="119"/>
      <c r="ACP188" s="119"/>
      <c r="ACQ188" s="119"/>
      <c r="ACR188" s="119"/>
      <c r="ACS188" s="119"/>
      <c r="ACT188" s="119"/>
      <c r="ACU188" s="119"/>
      <c r="ACV188" s="119"/>
      <c r="ACW188" s="119"/>
      <c r="ACX188" s="119"/>
      <c r="ACY188" s="119"/>
      <c r="ACZ188" s="119"/>
      <c r="ADA188" s="119"/>
      <c r="ADB188" s="119"/>
      <c r="ADC188" s="119"/>
      <c r="ADD188" s="119"/>
      <c r="ADE188" s="119"/>
      <c r="ADF188" s="119"/>
      <c r="ADG188" s="119"/>
      <c r="ADH188" s="119"/>
      <c r="ADI188" s="119"/>
      <c r="ADJ188" s="119"/>
      <c r="ADK188" s="119"/>
      <c r="ADL188" s="119"/>
      <c r="ADM188" s="119"/>
      <c r="ADN188" s="119"/>
      <c r="ADO188" s="119"/>
      <c r="ADP188" s="119"/>
      <c r="ADQ188" s="119"/>
      <c r="ADR188" s="119"/>
      <c r="ADS188" s="119"/>
      <c r="ADT188" s="119"/>
      <c r="ADU188" s="119"/>
      <c r="ADV188" s="119"/>
      <c r="ADW188" s="119"/>
      <c r="ADX188" s="119"/>
      <c r="ADY188" s="119"/>
      <c r="ADZ188" s="119"/>
      <c r="AEA188" s="119"/>
      <c r="AEB188" s="119"/>
      <c r="AEC188" s="119"/>
      <c r="AED188" s="119"/>
      <c r="AEE188" s="119"/>
      <c r="AEF188" s="119"/>
      <c r="AEG188" s="119"/>
      <c r="AEH188" s="119"/>
      <c r="AEI188" s="119"/>
    </row>
    <row r="189" spans="1:815" ht="18.75" x14ac:dyDescent="0.25">
      <c r="A189" s="298"/>
      <c r="B189" s="25" t="s">
        <v>10</v>
      </c>
      <c r="WQ189" s="122">
        <f t="shared" si="1894"/>
        <v>0.01</v>
      </c>
      <c r="WR189" s="115">
        <f t="shared" si="1895"/>
        <v>1.1005582593758946E-2</v>
      </c>
      <c r="WS189" s="115">
        <f t="shared" si="1896"/>
        <v>1.2106377159660616E-2</v>
      </c>
      <c r="WT189" s="115">
        <f t="shared" si="1897"/>
        <v>1.329177463494996E-2</v>
      </c>
      <c r="WU189" s="115">
        <f t="shared" si="1903"/>
        <v>1.4588567329531619E-2</v>
      </c>
      <c r="WV189" s="115">
        <f t="shared" si="1904"/>
        <v>1.6001621613287186E-2</v>
      </c>
      <c r="WW189" s="115">
        <f t="shared" si="1905"/>
        <v>1.7513764350912106E-2</v>
      </c>
      <c r="WX189" s="115">
        <f t="shared" si="1906"/>
        <v>1.9159726586917943E-2</v>
      </c>
      <c r="WY189" s="115">
        <f t="shared" si="1907"/>
        <v>2.0916842913967924E-2</v>
      </c>
      <c r="WZ189" s="115">
        <f t="shared" si="1908"/>
        <v>2.2820893014488763E-2</v>
      </c>
      <c r="XA189" s="115">
        <f t="shared" si="1909"/>
        <v>2.4875013679153523E-2</v>
      </c>
      <c r="XB189" s="115">
        <f t="shared" si="1910"/>
        <v>2.7051785083274507E-2</v>
      </c>
      <c r="XC189" s="115">
        <f t="shared" si="1911"/>
        <v>2.9391936164292577E-2</v>
      </c>
      <c r="XD189" s="115">
        <f t="shared" si="1912"/>
        <v>3.1863875340368962E-2</v>
      </c>
      <c r="XE189" s="115">
        <f t="shared" si="1913"/>
        <v>3.4512306780663762E-2</v>
      </c>
      <c r="XF189" s="115">
        <f t="shared" si="1914"/>
        <v>3.7295557327491485E-2</v>
      </c>
      <c r="XG189" s="115">
        <f t="shared" si="1915"/>
        <v>4.026107129173058E-2</v>
      </c>
      <c r="XH189" s="115">
        <f t="shared" si="1916"/>
        <v>4.3360342612975861E-2</v>
      </c>
      <c r="XI189" s="115">
        <f t="shared" si="1917"/>
        <v>4.664991913528866E-2</v>
      </c>
      <c r="XJ189" s="115">
        <f t="shared" si="1918"/>
        <v>5.0082638009534913E-2</v>
      </c>
      <c r="XK189" s="115">
        <f t="shared" si="1919"/>
        <v>5.3713064706430995E-2</v>
      </c>
      <c r="XL189" s="115">
        <f t="shared" si="1920"/>
        <v>5.7488794243371416E-2</v>
      </c>
      <c r="XM189" s="115">
        <f t="shared" si="1921"/>
        <v>6.1459039321378257E-2</v>
      </c>
      <c r="XN189" s="115">
        <f t="shared" si="1922"/>
        <v>6.5573850206895934E-2</v>
      </c>
      <c r="XO189" s="115">
        <f t="shared" si="1923"/>
        <v>6.9894468866911849E-2</v>
      </c>
      <c r="XP189" s="115">
        <f t="shared" si="1924"/>
        <v>7.4436102539565979E-2</v>
      </c>
      <c r="XQ189" s="115">
        <f t="shared" si="1925"/>
        <v>7.9133861530936309E-2</v>
      </c>
      <c r="XR189" s="115">
        <f t="shared" si="1926"/>
        <v>8.405709402530856E-2</v>
      </c>
      <c r="XS189" s="115">
        <f t="shared" si="1927"/>
        <v>8.9135398951392567E-2</v>
      </c>
      <c r="XT189" s="115">
        <f t="shared" si="1928"/>
        <v>9.4441702908772407E-2</v>
      </c>
      <c r="XU189" s="115">
        <f t="shared" si="1929"/>
        <v>9.9980397615493405E-2</v>
      </c>
      <c r="XV189" s="115">
        <f t="shared" si="1930"/>
        <v>0.10567182625033895</v>
      </c>
      <c r="XW189" s="115">
        <f t="shared" si="1931"/>
        <v>0.11159516930349321</v>
      </c>
      <c r="XX189" s="115">
        <f t="shared" si="1932"/>
        <v>0.11775330649604171</v>
      </c>
      <c r="XY189" s="115">
        <f t="shared" si="1933"/>
        <v>0.12405730544100586</v>
      </c>
      <c r="XZ189" s="115">
        <f t="shared" si="1934"/>
        <v>0.13059224509206371</v>
      </c>
      <c r="YA189" s="115">
        <f t="shared" si="1935"/>
        <v>0.13724552354731717</v>
      </c>
      <c r="YB189" s="115">
        <f t="shared" si="1936"/>
        <v>0.14412155178115069</v>
      </c>
      <c r="YC189" s="115">
        <f t="shared" si="1937"/>
        <v>0.15119969398384345</v>
      </c>
      <c r="YD189" s="115">
        <f t="shared" si="1938"/>
        <v>0.15839607220451735</v>
      </c>
      <c r="YE189" s="115">
        <f t="shared" si="1939"/>
        <v>0.16580270216732043</v>
      </c>
      <c r="YF189" s="115">
        <f t="shared" si="1940"/>
        <v>0.17339414742075068</v>
      </c>
      <c r="YG189" s="115">
        <f t="shared" si="1941"/>
        <v>0.18108161957284974</v>
      </c>
      <c r="YH189" s="115">
        <f t="shared" si="1942"/>
        <v>0.18893592980770582</v>
      </c>
      <c r="YI189" s="115">
        <f t="shared" si="1943"/>
        <v>0.19697531518673633</v>
      </c>
      <c r="YJ189" s="115">
        <f t="shared" si="1944"/>
        <v>0.20508349043138344</v>
      </c>
      <c r="YK189" s="115">
        <f t="shared" si="1945"/>
        <v>0.21335880865547383</v>
      </c>
      <c r="YL189" s="115">
        <f t="shared" si="1946"/>
        <v>0.22179470370603419</v>
      </c>
      <c r="YM189" s="115">
        <f t="shared" si="1947"/>
        <v>0.2302694245156435</v>
      </c>
      <c r="YN189" s="115">
        <f t="shared" si="1948"/>
        <v>0.23888337760373704</v>
      </c>
      <c r="YO189" s="115">
        <f t="shared" si="1949"/>
        <v>0.24751301127415998</v>
      </c>
      <c r="YP189" s="149">
        <f t="shared" si="1950"/>
        <v>0.24751301127415998</v>
      </c>
      <c r="YQ189" s="149">
        <f t="shared" si="1951"/>
        <v>0.25606279623273898</v>
      </c>
      <c r="YR189" s="149">
        <f t="shared" si="1952"/>
        <v>0.26459311346923547</v>
      </c>
      <c r="YS189" s="149">
        <f t="shared" si="1953"/>
        <v>0.27320101477409309</v>
      </c>
      <c r="YT189" s="149">
        <f t="shared" si="1954"/>
        <v>0.28194674644970757</v>
      </c>
      <c r="YU189" s="149">
        <f t="shared" si="1955"/>
        <v>0.29071185521092607</v>
      </c>
      <c r="YV189" s="149">
        <f t="shared" si="1956"/>
        <v>0.29956272485855329</v>
      </c>
      <c r="YW189" s="149">
        <f t="shared" si="1957"/>
        <v>0.3085291339449367</v>
      </c>
      <c r="YX189" s="149">
        <f t="shared" si="1958"/>
        <v>0.31760538538029337</v>
      </c>
      <c r="YY189" s="149">
        <f t="shared" si="1959"/>
        <v>0.32666923608303633</v>
      </c>
      <c r="YZ189" s="149">
        <f t="shared" si="1960"/>
        <v>0.33582601815025315</v>
      </c>
      <c r="ZA189" s="149">
        <f t="shared" si="1961"/>
        <v>0.34502649758005638</v>
      </c>
      <c r="ZB189" s="149">
        <f t="shared" si="1962"/>
        <v>0.35430399149027836</v>
      </c>
      <c r="ZC189" s="149">
        <f t="shared" si="1901"/>
        <v>0.36353435599804113</v>
      </c>
      <c r="ZD189" s="149">
        <f t="shared" si="1963"/>
        <v>0.3728685923431812</v>
      </c>
      <c r="ZE189" s="149">
        <f t="shared" si="1964"/>
        <v>0.38230239189895809</v>
      </c>
      <c r="ZF189" s="149">
        <f t="shared" si="1965"/>
        <v>0.39183122155676026</v>
      </c>
      <c r="ZG189" s="149">
        <f t="shared" si="1966"/>
        <v>0.4014503246911697</v>
      </c>
      <c r="ZH189" s="149">
        <f t="shared" si="1967"/>
        <v>0.41103491518888063</v>
      </c>
      <c r="ZI189" s="149">
        <f t="shared" si="1968"/>
        <v>0.42069579669088308</v>
      </c>
      <c r="ZJ189" s="149">
        <f t="shared" si="1969"/>
        <v>0.43042762008844304</v>
      </c>
      <c r="ZK189" s="149">
        <f t="shared" si="1970"/>
        <v>0.44022482958104225</v>
      </c>
      <c r="ZL189" s="149">
        <f t="shared" si="1971"/>
        <v>0.44996146066689308</v>
      </c>
      <c r="ZM189" s="149">
        <f t="shared" si="1972"/>
        <v>0.45974849082461178</v>
      </c>
      <c r="ZN189" s="149">
        <f t="shared" si="1973"/>
        <v>0.46963603840576573</v>
      </c>
      <c r="ZO189" s="149">
        <f t="shared" si="1974"/>
        <v>0.47962145688694802</v>
      </c>
      <c r="ZP189" s="149">
        <f t="shared" si="1975"/>
        <v>0.48970197042433439</v>
      </c>
      <c r="ZQ189" s="149">
        <f t="shared" si="1976"/>
        <v>0.49975211106370188</v>
      </c>
      <c r="ZR189" s="149">
        <f t="shared" si="1977"/>
        <v>0.50988784695218992</v>
      </c>
      <c r="ZS189" s="149">
        <f t="shared" si="1978"/>
        <v>0.5201060402778851</v>
      </c>
      <c r="ZT189" s="149">
        <f t="shared" si="1979"/>
        <v>0.53040342910440241</v>
      </c>
      <c r="ZU189" s="149">
        <f t="shared" si="1980"/>
        <v>0.54077662797381754</v>
      </c>
      <c r="ZV189" s="149">
        <f t="shared" si="1981"/>
        <v>0.55122212867109288</v>
      </c>
      <c r="ZW189" s="149">
        <f t="shared" si="1982"/>
        <v>0.56173630115220363</v>
      </c>
      <c r="ZX189" s="149">
        <f t="shared" si="1983"/>
        <v>0.57225646043277623</v>
      </c>
      <c r="ZY189" s="149">
        <f t="shared" si="1984"/>
        <v>0.58290537824787225</v>
      </c>
      <c r="ZZ189" s="149">
        <f t="shared" si="1985"/>
        <v>0.59368292544087975</v>
      </c>
      <c r="AAA189" s="149">
        <f t="shared" si="1986"/>
        <v>0.6045889244052246</v>
      </c>
      <c r="AAB189" s="149">
        <f t="shared" si="1987"/>
        <v>0.61562314826174713</v>
      </c>
      <c r="AAC189" s="149">
        <f t="shared" si="1988"/>
        <v>0.62678532005006016</v>
      </c>
      <c r="AAD189" s="149">
        <f t="shared" si="1989"/>
        <v>0.63794229085373333</v>
      </c>
      <c r="AAE189" s="149">
        <f t="shared" si="1990"/>
        <v>0.64922265671817514</v>
      </c>
      <c r="AAF189" s="149">
        <f t="shared" si="1991"/>
        <v>0.66062595459050899</v>
      </c>
      <c r="AAG189" s="149">
        <f t="shared" si="1992"/>
        <v>0.67215166970065821</v>
      </c>
      <c r="AAH189" s="149">
        <f t="shared" si="1993"/>
        <v>0.68379923488349403</v>
      </c>
      <c r="AAI189" s="149">
        <f t="shared" si="1994"/>
        <v>0.69556802991980082</v>
      </c>
      <c r="AAJ189" s="149">
        <f t="shared" si="1995"/>
        <v>0.70745738089685739</v>
      </c>
      <c r="AAK189" s="149">
        <f t="shared" si="1996"/>
        <v>0.71946655958943639</v>
      </c>
      <c r="AAL189" s="149">
        <f t="shared" si="1997"/>
        <v>0.73145375701000881</v>
      </c>
      <c r="AAM189" s="149">
        <f t="shared" si="1998"/>
        <v>0.74355545266823475</v>
      </c>
      <c r="AAN189" s="149">
        <f t="shared" si="1999"/>
        <v>0.75577073425771846</v>
      </c>
      <c r="AAO189" s="159">
        <f t="shared" si="2000"/>
        <v>0.75577073425771846</v>
      </c>
      <c r="AAP189" s="159">
        <f t="shared" si="2001"/>
        <v>0.76801057813871565</v>
      </c>
      <c r="AAQ189" s="159">
        <f t="shared" si="2002"/>
        <v>0.78035916598687038</v>
      </c>
      <c r="AAR189" s="159">
        <f t="shared" si="2003"/>
        <v>0.7928153814107648</v>
      </c>
      <c r="AAS189" s="159">
        <f t="shared" si="2004"/>
        <v>0.80537805231907722</v>
      </c>
      <c r="AAT189" s="159">
        <f t="shared" si="2005"/>
        <v>0.81790034253895094</v>
      </c>
      <c r="AAU189" s="159">
        <f t="shared" si="2006"/>
        <v>0.83052313362689922</v>
      </c>
      <c r="AAV189" s="159">
        <f t="shared" si="2007"/>
        <v>0.84334073433475221</v>
      </c>
      <c r="AAW189" s="159">
        <f t="shared" si="2008"/>
        <v>0.85625902121500952</v>
      </c>
      <c r="AAX189" s="159">
        <f t="shared" si="2009"/>
        <v>0.86927657250153445</v>
      </c>
      <c r="AAY189" s="159">
        <f t="shared" si="2010"/>
        <v>0.88239191018813767</v>
      </c>
      <c r="AAZ189" s="159">
        <f t="shared" si="2011"/>
        <v>0.8956034998415201</v>
      </c>
      <c r="ABA189" s="159">
        <f t="shared" si="2012"/>
        <v>0.9087585430506151</v>
      </c>
      <c r="ABB189" s="159">
        <f t="shared" si="2013"/>
        <v>0.92200333872269546</v>
      </c>
      <c r="ABC189" s="159">
        <f t="shared" si="2014"/>
        <v>0.93533618897066662</v>
      </c>
      <c r="ABD189" s="159">
        <f t="shared" si="2015"/>
        <v>0.94886184209501467</v>
      </c>
      <c r="ABE189" s="159">
        <f t="shared" si="2016"/>
        <v>0.96247504487602809</v>
      </c>
      <c r="ABF189" s="159">
        <f t="shared" si="2017"/>
        <v>0.97617396323655636</v>
      </c>
      <c r="ABG189" s="159">
        <f t="shared" si="2018"/>
        <v>0.98995670729755714</v>
      </c>
      <c r="ABH189" s="159">
        <f t="shared" si="2019"/>
        <v>1.0036655491382722</v>
      </c>
      <c r="ABI189" s="159">
        <f t="shared" si="2020"/>
        <v>1.0175642299317702</v>
      </c>
      <c r="ABJ189" s="159">
        <f t="shared" si="2021"/>
        <v>1.0315408163688777</v>
      </c>
      <c r="ABK189" s="159">
        <f t="shared" si="2022"/>
        <v>1.0455932401806174</v>
      </c>
      <c r="ABL189" s="159">
        <f t="shared" si="2023"/>
        <v>1.0597193788423986</v>
      </c>
      <c r="ABM189" s="159">
        <f t="shared" si="2024"/>
        <v>1.0739170557785458</v>
      </c>
      <c r="ABN189" s="159">
        <f t="shared" si="2025"/>
        <v>1.0881840406000842</v>
      </c>
      <c r="ABO189" s="159">
        <f t="shared" si="1902"/>
        <v>1.102358782611909</v>
      </c>
      <c r="ABP189" s="159">
        <f t="shared" si="2026"/>
        <v>1.1187742054915824</v>
      </c>
      <c r="ABQ189" s="159">
        <f t="shared" si="2027"/>
        <v>1.1332228592253859</v>
      </c>
      <c r="ABR189" s="159">
        <f t="shared" si="2028"/>
        <v>1.1501557842295889</v>
      </c>
      <c r="ABS189" s="159">
        <f t="shared" si="2029"/>
        <v>1.1647536198343733</v>
      </c>
      <c r="ABT189" s="159">
        <f t="shared" si="2030"/>
        <v>1.1794070554880456</v>
      </c>
      <c r="ABU189" s="159">
        <f t="shared" si="2031"/>
        <v>1.1941135340245252</v>
      </c>
      <c r="ABV189" s="159">
        <f t="shared" si="2032"/>
        <v>1.2087082842146553</v>
      </c>
      <c r="ABW189" s="159">
        <f t="shared" si="2033"/>
        <v>1.2262833758099052</v>
      </c>
      <c r="ABX189" s="159">
        <f t="shared" si="2034"/>
        <v>1.2411362872744927</v>
      </c>
      <c r="ABY189" s="159">
        <f t="shared" si="2035"/>
        <v>1.2597658082352627</v>
      </c>
      <c r="ABZ189" s="159">
        <f t="shared" si="2036"/>
        <v>1.274746837027948</v>
      </c>
      <c r="ACA189" s="159">
        <f t="shared" si="2037"/>
        <v>1.2897656561565338</v>
      </c>
      <c r="ACB189" s="159">
        <f t="shared" si="2038"/>
        <v>1.3048194075662316</v>
      </c>
      <c r="ACC189" s="159">
        <f t="shared" si="2039"/>
        <v>1.3200488617715675</v>
      </c>
      <c r="ACD189" s="159">
        <f t="shared" si="2040"/>
        <v>1.3404116064513016</v>
      </c>
      <c r="ACE189" s="159">
        <f t="shared" si="2041"/>
        <v>1.3557612956176492</v>
      </c>
      <c r="ACF189" s="159">
        <f t="shared" si="2042"/>
        <v>1.3788487029134848</v>
      </c>
      <c r="ACG189" s="159">
        <f t="shared" si="2043"/>
        <v>1.3943167494848983</v>
      </c>
      <c r="ACH189" s="159">
        <f t="shared" si="2044"/>
        <v>1.4098064580811625</v>
      </c>
      <c r="ACI189" s="159">
        <f t="shared" si="2045"/>
        <v>1.4254682445589308</v>
      </c>
      <c r="ACJ189" s="159">
        <f t="shared" si="2046"/>
        <v>1.4411487678555732</v>
      </c>
      <c r="ACK189" s="159">
        <f t="shared" si="2047"/>
        <v>1.4726039094623389</v>
      </c>
      <c r="ACL189" s="159">
        <f t="shared" si="2048"/>
        <v>1.4886425509786578</v>
      </c>
      <c r="ACM189" s="159">
        <f t="shared" si="2049"/>
        <v>1.5046616392989716</v>
      </c>
      <c r="ACN189" s="119"/>
      <c r="ACO189" s="119"/>
      <c r="ACP189" s="119"/>
      <c r="ACQ189" s="119"/>
      <c r="ACR189" s="119"/>
      <c r="ACS189" s="119"/>
      <c r="ACT189" s="119"/>
      <c r="ACU189" s="119"/>
      <c r="ACV189" s="119"/>
      <c r="ACW189" s="119"/>
      <c r="ACX189" s="119"/>
      <c r="ACY189" s="119"/>
      <c r="ACZ189" s="119"/>
      <c r="ADA189" s="119"/>
      <c r="ADB189" s="119"/>
      <c r="ADC189" s="119"/>
      <c r="ADD189" s="119"/>
      <c r="ADE189" s="119"/>
      <c r="ADF189" s="119"/>
      <c r="ADG189" s="119"/>
      <c r="ADH189" s="119"/>
      <c r="ADI189" s="119"/>
      <c r="ADJ189" s="119"/>
      <c r="ADK189" s="119"/>
      <c r="ADL189" s="119"/>
      <c r="ADM189" s="119"/>
      <c r="ADN189" s="119"/>
      <c r="ADO189" s="119"/>
      <c r="ADP189" s="119"/>
      <c r="ADQ189" s="119"/>
      <c r="ADR189" s="119"/>
      <c r="ADS189" s="119"/>
      <c r="ADT189" s="119"/>
      <c r="ADU189" s="119"/>
      <c r="ADV189" s="119"/>
      <c r="ADW189" s="119"/>
      <c r="ADX189" s="119"/>
      <c r="ADY189" s="119"/>
      <c r="ADZ189" s="119"/>
      <c r="AEA189" s="119"/>
      <c r="AEB189" s="119"/>
      <c r="AEC189" s="119"/>
      <c r="AED189" s="119"/>
      <c r="AEE189" s="119"/>
      <c r="AEF189" s="119"/>
      <c r="AEG189" s="119"/>
      <c r="AEH189" s="119"/>
      <c r="AEI189" s="119"/>
    </row>
    <row r="190" spans="1:815" ht="19.5" thickBot="1" x14ac:dyDescent="0.3">
      <c r="A190" s="298"/>
      <c r="B190" s="25" t="s">
        <v>11</v>
      </c>
      <c r="WQ190" s="123">
        <f t="shared" si="1894"/>
        <v>2.5</v>
      </c>
      <c r="WR190" s="110">
        <f t="shared" si="1895"/>
        <v>2.7458928571428571</v>
      </c>
      <c r="WS190" s="110">
        <f t="shared" si="1896"/>
        <v>3.0145000191326532</v>
      </c>
      <c r="WT190" s="110">
        <f t="shared" si="1897"/>
        <v>3.3030458455254204</v>
      </c>
      <c r="WU190" s="110">
        <f t="shared" si="1903"/>
        <v>3.6180521124776339</v>
      </c>
      <c r="WV190" s="110">
        <f t="shared" si="1904"/>
        <v>3.9605610457921832</v>
      </c>
      <c r="WW190" s="110">
        <f t="shared" si="1905"/>
        <v>4.326161801639965</v>
      </c>
      <c r="WX190" s="110">
        <f t="shared" si="1906"/>
        <v>4.7232736194318816</v>
      </c>
      <c r="WY190" s="110">
        <f t="shared" si="1907"/>
        <v>5.1461266915986474</v>
      </c>
      <c r="WZ190" s="110">
        <f t="shared" si="1908"/>
        <v>5.603346964774242</v>
      </c>
      <c r="XA190" s="110">
        <f t="shared" si="1909"/>
        <v>6.0954917778498379</v>
      </c>
      <c r="XB190" s="110">
        <f t="shared" si="1910"/>
        <v>6.615640409559691</v>
      </c>
      <c r="XC190" s="110">
        <f t="shared" si="1911"/>
        <v>7.1735594174325588</v>
      </c>
      <c r="XD190" s="110">
        <f t="shared" si="1912"/>
        <v>7.7613208923231802</v>
      </c>
      <c r="XE190" s="110">
        <f t="shared" si="1913"/>
        <v>8.3896061802951785</v>
      </c>
      <c r="XF190" s="110">
        <f t="shared" si="1914"/>
        <v>9.0480549492196349</v>
      </c>
      <c r="XG190" s="110">
        <f t="shared" si="1915"/>
        <v>9.7479657804528195</v>
      </c>
      <c r="XH190" s="110">
        <f t="shared" si="1916"/>
        <v>10.477361188215589</v>
      </c>
      <c r="XI190" s="110">
        <f t="shared" si="1917"/>
        <v>11.249692384375482</v>
      </c>
      <c r="XJ190" s="110">
        <f t="shared" si="1918"/>
        <v>12.053342284084305</v>
      </c>
      <c r="XK190" s="110">
        <f t="shared" si="1919"/>
        <v>12.90121958038036</v>
      </c>
      <c r="XL190" s="110">
        <f t="shared" si="1920"/>
        <v>13.78048731485859</v>
      </c>
      <c r="XM190" s="110">
        <f t="shared" si="1921"/>
        <v>14.702719927468356</v>
      </c>
      <c r="XN190" s="110">
        <f t="shared" si="1922"/>
        <v>15.655723500948806</v>
      </c>
      <c r="XO190" s="110">
        <f t="shared" si="1923"/>
        <v>16.653894478100209</v>
      </c>
      <c r="XP190" s="110">
        <f t="shared" si="1924"/>
        <v>17.700566512875355</v>
      </c>
      <c r="XQ190" s="110">
        <f t="shared" si="1925"/>
        <v>18.780036882600857</v>
      </c>
      <c r="XR190" s="110">
        <f t="shared" si="1926"/>
        <v>19.908520889904604</v>
      </c>
      <c r="XS190" s="110">
        <f t="shared" si="1927"/>
        <v>21.06907054883963</v>
      </c>
      <c r="XT190" s="110">
        <f t="shared" si="1928"/>
        <v>22.278683069761243</v>
      </c>
      <c r="XU190" s="110">
        <f t="shared" si="1929"/>
        <v>23.538083918587155</v>
      </c>
      <c r="XV190" s="110">
        <f t="shared" si="1930"/>
        <v>24.828243822646527</v>
      </c>
      <c r="XW190" s="110">
        <f t="shared" si="1931"/>
        <v>26.167529670586966</v>
      </c>
      <c r="XX190" s="110">
        <f t="shared" si="1932"/>
        <v>27.556304940930293</v>
      </c>
      <c r="XY190" s="110">
        <f t="shared" si="1933"/>
        <v>28.973486337892421</v>
      </c>
      <c r="XZ190" s="110">
        <f t="shared" si="1934"/>
        <v>30.438716932694408</v>
      </c>
      <c r="YA190" s="110">
        <f t="shared" si="1935"/>
        <v>31.925498204843478</v>
      </c>
      <c r="YB190" s="110">
        <f t="shared" si="1936"/>
        <v>33.457922118675967</v>
      </c>
      <c r="YC190" s="110">
        <f t="shared" si="1937"/>
        <v>35.030915696593432</v>
      </c>
      <c r="YD190" s="110">
        <f t="shared" si="1938"/>
        <v>36.624822360788428</v>
      </c>
      <c r="YE190" s="110">
        <f t="shared" si="1939"/>
        <v>38.260731092903647</v>
      </c>
      <c r="YF190" s="110">
        <f t="shared" si="1940"/>
        <v>39.932512482046356</v>
      </c>
      <c r="YG190" s="110">
        <f t="shared" si="1941"/>
        <v>41.619524379233077</v>
      </c>
      <c r="YH190" s="110">
        <f t="shared" si="1942"/>
        <v>43.337897618671555</v>
      </c>
      <c r="YI190" s="110">
        <f t="shared" si="1943"/>
        <v>45.091598297651771</v>
      </c>
      <c r="YJ190" s="110">
        <f t="shared" si="1944"/>
        <v>46.85382670679784</v>
      </c>
      <c r="YK190" s="110">
        <f t="shared" si="1945"/>
        <v>48.646935318063406</v>
      </c>
      <c r="YL190" s="110">
        <f t="shared" si="1946"/>
        <v>50.469223219437346</v>
      </c>
      <c r="YM190" s="110">
        <f t="shared" si="1947"/>
        <v>52.292844485099678</v>
      </c>
      <c r="YN190" s="110">
        <f t="shared" si="1948"/>
        <v>54.140524990239868</v>
      </c>
      <c r="YO190" s="110">
        <f t="shared" si="1949"/>
        <v>55.984152341223293</v>
      </c>
      <c r="YP190" s="148">
        <f t="shared" si="1950"/>
        <v>55.872184036540851</v>
      </c>
      <c r="YQ190" s="148">
        <f t="shared" si="1951"/>
        <v>57.686559697095888</v>
      </c>
      <c r="YR190" s="148">
        <f t="shared" si="1952"/>
        <v>59.489077393605136</v>
      </c>
      <c r="YS190" s="148">
        <f t="shared" si="1953"/>
        <v>61.30156279055835</v>
      </c>
      <c r="YT190" s="148">
        <f t="shared" si="1954"/>
        <v>63.137425177506771</v>
      </c>
      <c r="YU190" s="148">
        <f t="shared" si="1955"/>
        <v>64.970029415992343</v>
      </c>
      <c r="YV190" s="148">
        <f t="shared" si="1956"/>
        <v>66.814178712492435</v>
      </c>
      <c r="YW190" s="148">
        <f t="shared" si="1957"/>
        <v>68.676409796094475</v>
      </c>
      <c r="YX190" s="148">
        <f t="shared" si="1958"/>
        <v>70.555325930772227</v>
      </c>
      <c r="YY190" s="148">
        <f t="shared" si="1959"/>
        <v>72.423702409850407</v>
      </c>
      <c r="YZ190" s="148">
        <f t="shared" si="1960"/>
        <v>74.304885161053093</v>
      </c>
      <c r="ZA190" s="148">
        <f t="shared" si="1961"/>
        <v>76.187902630577511</v>
      </c>
      <c r="ZB190" s="148">
        <f t="shared" si="1962"/>
        <v>78.080062946541972</v>
      </c>
      <c r="ZC190" s="148">
        <f t="shared" si="1901"/>
        <v>79.953984457258983</v>
      </c>
      <c r="ZD190" s="148">
        <f t="shared" si="1963"/>
        <v>81.842897340061725</v>
      </c>
      <c r="ZE190" s="148">
        <f t="shared" si="1964"/>
        <v>83.745744703218151</v>
      </c>
      <c r="ZF190" s="148">
        <f t="shared" si="1965"/>
        <v>85.661428613304267</v>
      </c>
      <c r="ZG190" s="148">
        <f t="shared" si="1966"/>
        <v>87.588810757103602</v>
      </c>
      <c r="ZH190" s="148">
        <f t="shared" si="1967"/>
        <v>89.50062578696236</v>
      </c>
      <c r="ZI190" s="148">
        <f t="shared" si="1968"/>
        <v>91.421021930391248</v>
      </c>
      <c r="ZJ190" s="148">
        <f t="shared" si="1969"/>
        <v>93.348763973071598</v>
      </c>
      <c r="ZK190" s="148">
        <f t="shared" si="1970"/>
        <v>95.282581577353255</v>
      </c>
      <c r="ZL190" s="148">
        <f t="shared" si="1971"/>
        <v>97.195205105113303</v>
      </c>
      <c r="ZM190" s="148">
        <f t="shared" si="1972"/>
        <v>99.110661830111624</v>
      </c>
      <c r="ZN190" s="148">
        <f t="shared" si="1973"/>
        <v>101.03969373597575</v>
      </c>
      <c r="ZO190" s="148">
        <f t="shared" si="1974"/>
        <v>102.98162736192573</v>
      </c>
      <c r="ZP190" s="148">
        <f t="shared" si="1975"/>
        <v>104.9357665347935</v>
      </c>
      <c r="ZQ190" s="148">
        <f t="shared" si="1976"/>
        <v>106.87518178617148</v>
      </c>
      <c r="ZR190" s="148">
        <f t="shared" si="1977"/>
        <v>108.82468811417466</v>
      </c>
      <c r="ZS190" s="148">
        <f t="shared" si="1978"/>
        <v>110.78353250022981</v>
      </c>
      <c r="ZT190" s="148">
        <f t="shared" si="1979"/>
        <v>112.75094125812545</v>
      </c>
      <c r="ZU190" s="148">
        <f t="shared" si="1980"/>
        <v>114.72612039775575</v>
      </c>
      <c r="ZV190" s="148">
        <f t="shared" si="1981"/>
        <v>116.7082560200495</v>
      </c>
      <c r="ZW190" s="148">
        <f t="shared" si="1982"/>
        <v>118.69651474308986</v>
      </c>
      <c r="ZX190" s="148">
        <f t="shared" si="1983"/>
        <v>120.67761609630193</v>
      </c>
      <c r="ZY190" s="148">
        <f t="shared" si="1984"/>
        <v>122.67741659161207</v>
      </c>
      <c r="ZZ190" s="148">
        <f t="shared" si="1985"/>
        <v>124.69575218363121</v>
      </c>
      <c r="AAA190" s="148">
        <f t="shared" si="1986"/>
        <v>126.73244946929719</v>
      </c>
      <c r="AAB190" s="148">
        <f t="shared" si="1987"/>
        <v>128.78732561426366</v>
      </c>
      <c r="AAC190" s="148">
        <f t="shared" si="1988"/>
        <v>130.86018828367418</v>
      </c>
      <c r="AAD190" s="148">
        <f t="shared" si="1989"/>
        <v>132.92316066367565</v>
      </c>
      <c r="AAE190" s="148">
        <f t="shared" si="1990"/>
        <v>135.00301717758964</v>
      </c>
      <c r="AAF190" s="148">
        <f t="shared" si="1991"/>
        <v>137.09953462081808</v>
      </c>
      <c r="AAG190" s="148">
        <f t="shared" si="1992"/>
        <v>139.21248038968011</v>
      </c>
      <c r="AAH190" s="148">
        <f t="shared" si="1993"/>
        <v>141.34161244269873</v>
      </c>
      <c r="AAI190" s="148">
        <f t="shared" si="1994"/>
        <v>143.4866792668291</v>
      </c>
      <c r="AAJ190" s="148">
        <f t="shared" si="1995"/>
        <v>145.64741984872958</v>
      </c>
      <c r="AAK190" s="148">
        <f t="shared" si="1996"/>
        <v>147.82356365117531</v>
      </c>
      <c r="AAL190" s="148">
        <f t="shared" si="1997"/>
        <v>149.98591298923552</v>
      </c>
      <c r="AAM190" s="148">
        <f t="shared" si="1998"/>
        <v>152.1624527498235</v>
      </c>
      <c r="AAN190" s="148">
        <f t="shared" si="1999"/>
        <v>154.35288433708257</v>
      </c>
      <c r="AAO190" s="158">
        <f t="shared" si="2000"/>
        <v>154.0441785684084</v>
      </c>
      <c r="AAP190" s="158">
        <f t="shared" si="2001"/>
        <v>156.22587402766794</v>
      </c>
      <c r="AAQ190" s="158">
        <f t="shared" si="2002"/>
        <v>158.4203025837775</v>
      </c>
      <c r="AAR190" s="158">
        <f t="shared" si="2003"/>
        <v>160.62713424070034</v>
      </c>
      <c r="AAS190" s="158">
        <f t="shared" si="2004"/>
        <v>162.8460300020719</v>
      </c>
      <c r="AAT190" s="158">
        <f t="shared" si="2005"/>
        <v>165.0472590972723</v>
      </c>
      <c r="AAU190" s="158">
        <f t="shared" si="2006"/>
        <v>167.25927178816221</v>
      </c>
      <c r="AAV190" s="158">
        <f t="shared" si="2007"/>
        <v>169.50093053419664</v>
      </c>
      <c r="AAW190" s="158">
        <f t="shared" si="2008"/>
        <v>171.75314979508781</v>
      </c>
      <c r="AAX190" s="158">
        <f t="shared" si="2009"/>
        <v>174.01555335445758</v>
      </c>
      <c r="AAY190" s="158">
        <f t="shared" si="2010"/>
        <v>176.28775644193649</v>
      </c>
      <c r="AAZ190" s="158">
        <f t="shared" si="2011"/>
        <v>178.56936579542639</v>
      </c>
      <c r="ABA190" s="158">
        <f t="shared" si="2012"/>
        <v>180.82989163060938</v>
      </c>
      <c r="ABB190" s="158">
        <f t="shared" si="2013"/>
        <v>183.09848481652065</v>
      </c>
      <c r="ABC190" s="158">
        <f t="shared" si="2014"/>
        <v>185.37473188912605</v>
      </c>
      <c r="ABD190" s="158">
        <f t="shared" si="2015"/>
        <v>187.67927685147495</v>
      </c>
      <c r="ABE190" s="158">
        <f t="shared" si="2016"/>
        <v>189.99114430723631</v>
      </c>
      <c r="ABF190" s="158">
        <f t="shared" si="2017"/>
        <v>192.30989986389508</v>
      </c>
      <c r="ABG190" s="158">
        <f t="shared" si="2018"/>
        <v>194.63510138043125</v>
      </c>
      <c r="ABH190" s="158">
        <f t="shared" si="2019"/>
        <v>196.93573201697299</v>
      </c>
      <c r="ABI190" s="158">
        <f t="shared" si="2020"/>
        <v>199.2635566246343</v>
      </c>
      <c r="ABJ190" s="158">
        <f t="shared" si="2021"/>
        <v>201.59650747859911</v>
      </c>
      <c r="ABK190" s="158">
        <f t="shared" si="2022"/>
        <v>203.93412091363186</v>
      </c>
      <c r="ABL190" s="158">
        <f t="shared" si="2023"/>
        <v>206.27592621221311</v>
      </c>
      <c r="ABM190" s="158">
        <f t="shared" si="2024"/>
        <v>208.62144573273852</v>
      </c>
      <c r="ABN190" s="158">
        <f t="shared" si="2025"/>
        <v>210.97019504312283</v>
      </c>
      <c r="ABO190" s="158">
        <f t="shared" si="1902"/>
        <v>213.29086718859719</v>
      </c>
      <c r="ABP190" s="158">
        <f t="shared" si="2026"/>
        <v>188.9757083290971</v>
      </c>
      <c r="ABQ190" s="158">
        <f t="shared" si="2027"/>
        <v>191.03344381979173</v>
      </c>
      <c r="ABR190" s="158">
        <f t="shared" si="2028"/>
        <v>165.80186785114904</v>
      </c>
      <c r="ABS190" s="158">
        <f t="shared" si="2029"/>
        <v>167.57042110822798</v>
      </c>
      <c r="ABT190" s="158">
        <f t="shared" si="2030"/>
        <v>169.33921999770371</v>
      </c>
      <c r="ABU190" s="158">
        <f t="shared" si="2031"/>
        <v>171.10787407323525</v>
      </c>
      <c r="ABV190" s="158">
        <f t="shared" si="2032"/>
        <v>172.85279832752056</v>
      </c>
      <c r="ABW190" s="158">
        <f t="shared" si="2033"/>
        <v>145.78772243994473</v>
      </c>
      <c r="ABX190" s="158">
        <f t="shared" si="2034"/>
        <v>147.25841616741585</v>
      </c>
      <c r="ABY190" s="158">
        <f t="shared" si="2035"/>
        <v>119.27608064689986</v>
      </c>
      <c r="ABZ190" s="158">
        <f t="shared" si="2036"/>
        <v>120.4531127394374</v>
      </c>
      <c r="ACA190" s="158">
        <f t="shared" si="2037"/>
        <v>121.62852333408158</v>
      </c>
      <c r="ACB190" s="158">
        <f t="shared" si="2038"/>
        <v>122.80203809767855</v>
      </c>
      <c r="ACC190" s="158">
        <f t="shared" si="2039"/>
        <v>123.98687534437923</v>
      </c>
      <c r="ACD190" s="158">
        <f t="shared" si="2040"/>
        <v>94.1728005500308</v>
      </c>
      <c r="ACE190" s="158">
        <f t="shared" si="2041"/>
        <v>95.060715526645382</v>
      </c>
      <c r="ACF190" s="158">
        <f t="shared" si="2042"/>
        <v>64.259650865015544</v>
      </c>
      <c r="ACG190" s="158">
        <f t="shared" si="2043"/>
        <v>64.850560263187319</v>
      </c>
      <c r="ACH190" s="158">
        <f t="shared" si="2044"/>
        <v>65.439854484709329</v>
      </c>
      <c r="ACI190" s="158">
        <f t="shared" si="2045"/>
        <v>66.034503597200825</v>
      </c>
      <c r="ACJ190" s="158">
        <f t="shared" si="2046"/>
        <v>66.627378596888732</v>
      </c>
      <c r="ACK190" s="158">
        <f t="shared" si="2047"/>
        <v>33.90464517817329</v>
      </c>
      <c r="ACL190" s="158">
        <f t="shared" si="2048"/>
        <v>34.205364639753611</v>
      </c>
      <c r="ACM190" s="160">
        <f t="shared" si="2049"/>
        <v>-6.9146888214147453E-2</v>
      </c>
      <c r="ACN190" s="119"/>
      <c r="ACO190" s="119"/>
      <c r="ACP190" s="119"/>
      <c r="ACQ190" s="119"/>
      <c r="ACR190" s="119"/>
      <c r="ACS190" s="119"/>
      <c r="ACT190" s="119"/>
      <c r="ACU190" s="119"/>
      <c r="ACV190" s="119"/>
      <c r="ACW190" s="119"/>
      <c r="ACX190" s="119"/>
      <c r="ACY190" s="119"/>
      <c r="ACZ190" s="119"/>
      <c r="ADA190" s="119"/>
      <c r="ADB190" s="119"/>
      <c r="ADC190" s="119"/>
      <c r="ADD190" s="119"/>
      <c r="ADE190" s="119"/>
      <c r="ADF190" s="119"/>
      <c r="ADG190" s="119"/>
      <c r="ADH190" s="119"/>
      <c r="ADI190" s="119"/>
      <c r="ADJ190" s="119"/>
      <c r="ADK190" s="119"/>
      <c r="ADL190" s="119"/>
      <c r="ADM190" s="119"/>
      <c r="ADN190" s="119"/>
      <c r="ADO190" s="119"/>
      <c r="ADP190" s="119"/>
      <c r="ADQ190" s="119"/>
      <c r="ADR190" s="119"/>
      <c r="ADS190" s="119"/>
      <c r="ADT190" s="119"/>
      <c r="ADU190" s="119"/>
      <c r="ADV190" s="119"/>
      <c r="ADW190" s="119"/>
      <c r="ADX190" s="119"/>
      <c r="ADY190" s="119"/>
      <c r="ADZ190" s="119"/>
      <c r="AEA190" s="119"/>
      <c r="AEB190" s="119"/>
      <c r="AEC190" s="119"/>
      <c r="AED190" s="119"/>
      <c r="AEE190" s="119"/>
      <c r="AEF190" s="119"/>
      <c r="AEG190" s="119"/>
      <c r="AEH190" s="119"/>
      <c r="AEI190" s="119"/>
    </row>
    <row r="191" spans="1:815" ht="19.5" thickBot="1" x14ac:dyDescent="0.3">
      <c r="A191" s="298"/>
      <c r="B191" s="25" t="s">
        <v>12</v>
      </c>
      <c r="WQ191" s="118">
        <f t="shared" si="1894"/>
        <v>5.62E-2</v>
      </c>
      <c r="WR191" s="116">
        <f t="shared" si="1895"/>
        <v>5.5899999999999998E-2</v>
      </c>
      <c r="WS191" s="116">
        <f t="shared" si="1896"/>
        <v>5.57E-2</v>
      </c>
      <c r="WT191" s="116">
        <f t="shared" si="1897"/>
        <v>5.5500000000000001E-2</v>
      </c>
      <c r="WU191" s="116">
        <f t="shared" si="1903"/>
        <v>5.5099999999999996E-2</v>
      </c>
      <c r="WV191" s="116">
        <f t="shared" si="1904"/>
        <v>5.4699999999999999E-2</v>
      </c>
      <c r="WW191" s="116">
        <f t="shared" si="1905"/>
        <v>5.4400000000000004E-2</v>
      </c>
      <c r="WX191" s="116">
        <f t="shared" si="1906"/>
        <v>5.4000000000000006E-2</v>
      </c>
      <c r="WY191" s="116">
        <f t="shared" si="1907"/>
        <v>5.3600000000000002E-2</v>
      </c>
      <c r="WZ191" s="116">
        <f t="shared" si="1908"/>
        <v>5.2999999999999999E-2</v>
      </c>
      <c r="XA191" s="116">
        <f t="shared" si="1909"/>
        <v>5.2400000000000002E-2</v>
      </c>
      <c r="XB191" s="116">
        <f t="shared" si="1910"/>
        <v>5.1799999999999999E-2</v>
      </c>
      <c r="XC191" s="116">
        <f t="shared" si="1911"/>
        <v>5.1200000000000002E-2</v>
      </c>
      <c r="XD191" s="116">
        <f t="shared" si="1912"/>
        <v>5.0599999999999999E-2</v>
      </c>
      <c r="XE191" s="116">
        <f t="shared" si="1913"/>
        <v>4.99E-2</v>
      </c>
      <c r="XF191" s="116">
        <f t="shared" si="1914"/>
        <v>4.9200000000000001E-2</v>
      </c>
      <c r="XG191" s="116">
        <f t="shared" si="1915"/>
        <v>4.8399999999999999E-2</v>
      </c>
      <c r="XH191" s="116">
        <f t="shared" si="1916"/>
        <v>4.7699999999999992E-2</v>
      </c>
      <c r="XI191" s="116">
        <f t="shared" si="1917"/>
        <v>4.7E-2</v>
      </c>
      <c r="XJ191" s="116">
        <f t="shared" si="1918"/>
        <v>4.6300000000000001E-2</v>
      </c>
      <c r="XK191" s="116">
        <f t="shared" si="1919"/>
        <v>4.5599999999999995E-2</v>
      </c>
      <c r="XL191" s="116">
        <f t="shared" si="1920"/>
        <v>4.4800000000000006E-2</v>
      </c>
      <c r="XM191" s="116">
        <f t="shared" si="1921"/>
        <v>4.41E-2</v>
      </c>
      <c r="XN191" s="116">
        <f t="shared" si="1922"/>
        <v>4.3400000000000001E-2</v>
      </c>
      <c r="XO191" s="116">
        <f t="shared" si="1923"/>
        <v>4.2800000000000005E-2</v>
      </c>
      <c r="XP191" s="116">
        <f t="shared" si="1924"/>
        <v>4.2199999999999994E-2</v>
      </c>
      <c r="XQ191" s="116">
        <f t="shared" si="1925"/>
        <v>4.1599999999999998E-2</v>
      </c>
      <c r="XR191" s="116">
        <f t="shared" si="1926"/>
        <v>4.0999999999999995E-2</v>
      </c>
      <c r="XS191" s="116">
        <f t="shared" si="1927"/>
        <v>4.0399999999999998E-2</v>
      </c>
      <c r="XT191" s="116">
        <f t="shared" si="1928"/>
        <v>3.9800000000000002E-2</v>
      </c>
      <c r="XU191" s="116">
        <f t="shared" si="1929"/>
        <v>3.9199999999999999E-2</v>
      </c>
      <c r="XV191" s="116">
        <f t="shared" si="1930"/>
        <v>3.8599999999999995E-2</v>
      </c>
      <c r="XW191" s="116">
        <f t="shared" si="1931"/>
        <v>3.7999999999999999E-2</v>
      </c>
      <c r="XX191" s="116">
        <f t="shared" si="1932"/>
        <v>3.7400000000000003E-2</v>
      </c>
      <c r="XY191" s="116">
        <f t="shared" si="1933"/>
        <v>3.6799999999999999E-2</v>
      </c>
      <c r="XZ191" s="116">
        <f t="shared" si="1934"/>
        <v>3.61E-2</v>
      </c>
      <c r="YA191" s="116">
        <f t="shared" si="1935"/>
        <v>3.5499999999999997E-2</v>
      </c>
      <c r="YB191" s="116">
        <f t="shared" si="1936"/>
        <v>3.4799999999999998E-2</v>
      </c>
      <c r="YC191" s="116">
        <f t="shared" si="1937"/>
        <v>3.4200000000000001E-2</v>
      </c>
      <c r="YD191" s="116">
        <f t="shared" si="1938"/>
        <v>3.3599999999999998E-2</v>
      </c>
      <c r="YE191" s="116">
        <f t="shared" si="1939"/>
        <v>3.2899999999999999E-2</v>
      </c>
      <c r="YF191" s="116">
        <f t="shared" si="1940"/>
        <v>3.2300000000000002E-2</v>
      </c>
      <c r="YG191" s="116">
        <f t="shared" si="1941"/>
        <v>3.1600000000000003E-2</v>
      </c>
      <c r="YH191" s="116">
        <f t="shared" si="1942"/>
        <v>3.1E-2</v>
      </c>
      <c r="YI191" s="116">
        <f t="shared" si="1943"/>
        <v>3.04E-2</v>
      </c>
      <c r="YJ191" s="116">
        <f t="shared" si="1944"/>
        <v>2.98E-2</v>
      </c>
      <c r="YK191" s="116">
        <f t="shared" si="1945"/>
        <v>2.92E-2</v>
      </c>
      <c r="YL191" s="116">
        <f t="shared" si="1946"/>
        <v>2.86E-2</v>
      </c>
      <c r="YM191" s="116">
        <f t="shared" si="1947"/>
        <v>2.7999999999999997E-2</v>
      </c>
      <c r="YN191" s="116">
        <f t="shared" si="1948"/>
        <v>2.7400000000000001E-2</v>
      </c>
      <c r="YO191" s="171">
        <f t="shared" si="1949"/>
        <v>2.6800000000000001E-2</v>
      </c>
      <c r="YP191" s="150">
        <f t="shared" si="1950"/>
        <v>2.6200000000000001E-2</v>
      </c>
      <c r="YQ191" s="150">
        <f t="shared" si="1951"/>
        <v>2.5600000000000001E-2</v>
      </c>
      <c r="YR191" s="150">
        <f t="shared" si="1952"/>
        <v>2.5000000000000001E-2</v>
      </c>
      <c r="YS191" s="150">
        <f t="shared" si="1953"/>
        <v>2.46E-2</v>
      </c>
      <c r="YT191" s="150">
        <f t="shared" si="1954"/>
        <v>2.4199999999999999E-2</v>
      </c>
      <c r="YU191" s="150">
        <f t="shared" si="1955"/>
        <v>2.3700000000000002E-2</v>
      </c>
      <c r="YV191" s="150">
        <f t="shared" si="1956"/>
        <v>2.3300000000000001E-2</v>
      </c>
      <c r="YW191" s="150">
        <f t="shared" si="1957"/>
        <v>2.29E-2</v>
      </c>
      <c r="YX191" s="150">
        <f t="shared" si="1958"/>
        <v>2.2499999999999999E-2</v>
      </c>
      <c r="YY191" s="150">
        <f t="shared" si="1959"/>
        <v>2.2099999999999998E-2</v>
      </c>
      <c r="YZ191" s="150">
        <f t="shared" si="1960"/>
        <v>2.1600000000000001E-2</v>
      </c>
      <c r="ZA191" s="150">
        <f t="shared" si="1961"/>
        <v>2.12E-2</v>
      </c>
      <c r="ZB191" s="150">
        <f t="shared" si="1962"/>
        <v>2.0799999999999999E-2</v>
      </c>
      <c r="ZC191" s="150">
        <f t="shared" si="1901"/>
        <v>2.0499999999999997E-2</v>
      </c>
      <c r="ZD191" s="150">
        <f t="shared" si="1963"/>
        <v>2.0199999999999999E-2</v>
      </c>
      <c r="ZE191" s="150">
        <f t="shared" si="1964"/>
        <v>1.9900000000000001E-2</v>
      </c>
      <c r="ZF191" s="150">
        <f t="shared" si="1965"/>
        <v>1.9599999999999999E-2</v>
      </c>
      <c r="ZG191" s="150">
        <f t="shared" si="1966"/>
        <v>1.9299999999999998E-2</v>
      </c>
      <c r="ZH191" s="150">
        <f t="shared" si="1967"/>
        <v>1.9E-2</v>
      </c>
      <c r="ZI191" s="150">
        <f t="shared" si="1968"/>
        <v>1.8700000000000001E-2</v>
      </c>
      <c r="ZJ191" s="150">
        <f t="shared" si="1969"/>
        <v>1.84E-2</v>
      </c>
      <c r="ZK191" s="150">
        <f t="shared" si="1970"/>
        <v>1.8100000000000002E-2</v>
      </c>
      <c r="ZL191" s="150">
        <f t="shared" si="1971"/>
        <v>1.78E-2</v>
      </c>
      <c r="ZM191" s="150">
        <f t="shared" si="1972"/>
        <v>1.7600000000000001E-2</v>
      </c>
      <c r="ZN191" s="150">
        <f t="shared" si="1973"/>
        <v>1.7399999999999999E-2</v>
      </c>
      <c r="ZO191" s="150">
        <f t="shared" si="1974"/>
        <v>1.72E-2</v>
      </c>
      <c r="ZP191" s="150">
        <f t="shared" si="1975"/>
        <v>1.7000000000000001E-2</v>
      </c>
      <c r="ZQ191" s="150">
        <f t="shared" si="1976"/>
        <v>1.6799999999999999E-2</v>
      </c>
      <c r="ZR191" s="150">
        <f t="shared" si="1977"/>
        <v>1.66E-2</v>
      </c>
      <c r="ZS191" s="150">
        <f t="shared" si="1978"/>
        <v>1.6399999999999998E-2</v>
      </c>
      <c r="ZT191" s="150">
        <f t="shared" si="1979"/>
        <v>1.6200000000000003E-2</v>
      </c>
      <c r="ZU191" s="150">
        <f t="shared" si="1980"/>
        <v>1.6E-2</v>
      </c>
      <c r="ZV191" s="150">
        <f t="shared" si="1981"/>
        <v>1.5800000000000002E-2</v>
      </c>
      <c r="ZW191" s="150">
        <f t="shared" si="1982"/>
        <v>1.5700000000000002E-2</v>
      </c>
      <c r="ZX191" s="150">
        <f t="shared" si="1983"/>
        <v>1.5600000000000001E-2</v>
      </c>
      <c r="ZY191" s="150">
        <f t="shared" si="1984"/>
        <v>1.55E-2</v>
      </c>
      <c r="ZZ191" s="150">
        <f t="shared" si="1985"/>
        <v>1.54E-2</v>
      </c>
      <c r="AAA191" s="150">
        <f t="shared" si="1986"/>
        <v>1.5300000000000001E-2</v>
      </c>
      <c r="AAB191" s="150">
        <f t="shared" si="1987"/>
        <v>1.52E-2</v>
      </c>
      <c r="AAC191" s="150">
        <f t="shared" si="1988"/>
        <v>1.5100000000000001E-2</v>
      </c>
      <c r="AAD191" s="150">
        <f t="shared" si="1989"/>
        <v>1.4999999999999999E-2</v>
      </c>
      <c r="AAE191" s="150">
        <f t="shared" si="1990"/>
        <v>1.49E-2</v>
      </c>
      <c r="AAF191" s="150">
        <f t="shared" si="1991"/>
        <v>1.4800000000000001E-2</v>
      </c>
      <c r="AAG191" s="150">
        <f t="shared" si="1992"/>
        <v>1.47E-2</v>
      </c>
      <c r="AAH191" s="150">
        <f t="shared" si="1993"/>
        <v>1.46E-2</v>
      </c>
      <c r="AAI191" s="150">
        <f t="shared" si="1994"/>
        <v>1.4499999999999999E-2</v>
      </c>
      <c r="AAJ191" s="150">
        <f t="shared" si="1995"/>
        <v>1.44E-2</v>
      </c>
      <c r="AAK191" s="150">
        <f t="shared" si="1996"/>
        <v>1.43E-2</v>
      </c>
      <c r="AAL191" s="150">
        <f t="shared" si="1997"/>
        <v>1.4199999999999999E-2</v>
      </c>
      <c r="AAM191" s="150">
        <f t="shared" si="1998"/>
        <v>1.41E-2</v>
      </c>
      <c r="AAN191" s="175">
        <f t="shared" si="1999"/>
        <v>1.3999999999999999E-2</v>
      </c>
      <c r="AAO191" s="161">
        <f t="shared" si="2000"/>
        <v>1.3899999999999999E-2</v>
      </c>
      <c r="AAP191" s="161">
        <f t="shared" si="2001"/>
        <v>1.38E-2</v>
      </c>
      <c r="AAQ191" s="161">
        <f t="shared" si="2002"/>
        <v>1.37E-2</v>
      </c>
      <c r="AAR191" s="161">
        <f t="shared" si="2003"/>
        <v>1.3600000000000001E-2</v>
      </c>
      <c r="AAS191" s="161">
        <f t="shared" si="2004"/>
        <v>1.3500000000000002E-2</v>
      </c>
      <c r="AAT191" s="161">
        <f t="shared" si="2005"/>
        <v>1.34E-2</v>
      </c>
      <c r="AAU191" s="161">
        <f t="shared" si="2006"/>
        <v>1.34E-2</v>
      </c>
      <c r="AAV191" s="161">
        <f t="shared" si="2007"/>
        <v>1.3300000000000001E-2</v>
      </c>
      <c r="AAW191" s="161">
        <f t="shared" si="2008"/>
        <v>1.32E-2</v>
      </c>
      <c r="AAX191" s="161">
        <f t="shared" si="2009"/>
        <v>1.3100000000000001E-2</v>
      </c>
      <c r="AAY191" s="161">
        <f t="shared" si="2010"/>
        <v>1.3000000000000001E-2</v>
      </c>
      <c r="AAZ191" s="161">
        <f t="shared" si="2011"/>
        <v>1.29E-2</v>
      </c>
      <c r="ABA191" s="161">
        <f t="shared" si="2012"/>
        <v>1.2800000000000001E-2</v>
      </c>
      <c r="ABB191" s="161">
        <f t="shared" si="2013"/>
        <v>1.2699999999999999E-2</v>
      </c>
      <c r="ABC191" s="161">
        <f t="shared" si="2014"/>
        <v>1.2699999999999999E-2</v>
      </c>
      <c r="ABD191" s="161">
        <f t="shared" si="2015"/>
        <v>1.26E-2</v>
      </c>
      <c r="ABE191" s="161">
        <f t="shared" si="2016"/>
        <v>1.2500000000000001E-2</v>
      </c>
      <c r="ABF191" s="161">
        <f t="shared" si="2017"/>
        <v>1.24E-2</v>
      </c>
      <c r="ABG191" s="161">
        <f t="shared" si="2018"/>
        <v>1.23E-2</v>
      </c>
      <c r="ABH191" s="161">
        <f t="shared" si="2019"/>
        <v>1.23E-2</v>
      </c>
      <c r="ABI191" s="161">
        <f t="shared" si="2020"/>
        <v>1.2199999999999999E-2</v>
      </c>
      <c r="ABJ191" s="161">
        <f t="shared" si="2021"/>
        <v>1.21E-2</v>
      </c>
      <c r="ABK191" s="161">
        <f t="shared" si="2022"/>
        <v>1.2E-2</v>
      </c>
      <c r="ABL191" s="161">
        <f t="shared" si="2023"/>
        <v>1.1899999999999999E-2</v>
      </c>
      <c r="ABM191" s="161">
        <f t="shared" si="2024"/>
        <v>1.18E-2</v>
      </c>
      <c r="ABN191" s="161">
        <f t="shared" si="2025"/>
        <v>1.1699999999999999E-2</v>
      </c>
      <c r="ABO191" s="161">
        <f t="shared" si="1902"/>
        <v>1.1699999999999999E-2</v>
      </c>
      <c r="ABP191" s="161">
        <f t="shared" si="2026"/>
        <v>1.1599999999999999E-2</v>
      </c>
      <c r="ABQ191" s="161">
        <f t="shared" si="2027"/>
        <v>1.15E-2</v>
      </c>
      <c r="ABR191" s="161">
        <f t="shared" si="2028"/>
        <v>1.1399999999999999E-2</v>
      </c>
      <c r="ABS191" s="161">
        <f t="shared" si="2029"/>
        <v>1.1299999999999999E-2</v>
      </c>
      <c r="ABT191" s="161">
        <f t="shared" si="2030"/>
        <v>1.1200000000000002E-2</v>
      </c>
      <c r="ABU191" s="161">
        <f t="shared" si="2031"/>
        <v>1.11E-2</v>
      </c>
      <c r="ABV191" s="161">
        <f t="shared" si="2032"/>
        <v>1.1000000000000001E-2</v>
      </c>
      <c r="ABW191" s="161">
        <f t="shared" si="2033"/>
        <v>1.1000000000000001E-2</v>
      </c>
      <c r="ABX191" s="161">
        <f t="shared" si="2034"/>
        <v>1.09E-2</v>
      </c>
      <c r="ABY191" s="161">
        <f t="shared" si="2035"/>
        <v>1.0800000000000001E-2</v>
      </c>
      <c r="ABZ191" s="161">
        <f t="shared" si="2036"/>
        <v>1.0700000000000001E-2</v>
      </c>
      <c r="ACA191" s="161">
        <f t="shared" si="2037"/>
        <v>1.06E-2</v>
      </c>
      <c r="ACB191" s="161">
        <f t="shared" si="2038"/>
        <v>1.06E-2</v>
      </c>
      <c r="ACC191" s="161">
        <f t="shared" si="2039"/>
        <v>1.0500000000000001E-2</v>
      </c>
      <c r="ACD191" s="161">
        <f t="shared" si="2040"/>
        <v>1.04E-2</v>
      </c>
      <c r="ACE191" s="161">
        <f t="shared" si="2041"/>
        <v>1.03E-2</v>
      </c>
      <c r="ACF191" s="161">
        <f t="shared" si="2042"/>
        <v>1.03E-2</v>
      </c>
      <c r="ACG191" s="161">
        <f t="shared" si="2043"/>
        <v>1.0200000000000001E-2</v>
      </c>
      <c r="ACH191" s="161">
        <f t="shared" si="2044"/>
        <v>1.0200000000000001E-2</v>
      </c>
      <c r="ACI191" s="161">
        <f t="shared" si="2045"/>
        <v>1.01E-2</v>
      </c>
      <c r="ACJ191" s="161">
        <f t="shared" si="2046"/>
        <v>0.01</v>
      </c>
      <c r="ACK191" s="161">
        <f t="shared" si="2047"/>
        <v>0.01</v>
      </c>
      <c r="ACL191" s="161">
        <f t="shared" si="2048"/>
        <v>9.8999999999999991E-3</v>
      </c>
      <c r="ACM191" s="118">
        <f t="shared" si="2049"/>
        <v>9.8999999999999991E-3</v>
      </c>
      <c r="ACN191" s="119"/>
      <c r="ACO191" s="119"/>
      <c r="ACP191" s="119"/>
      <c r="ACQ191" s="119"/>
      <c r="ACR191" s="119"/>
      <c r="ACS191" s="119"/>
      <c r="ACT191" s="119"/>
      <c r="ACU191" s="119"/>
      <c r="ACV191" s="119"/>
      <c r="ACW191" s="119"/>
      <c r="ACX191" s="119"/>
      <c r="ACY191" s="119"/>
      <c r="ACZ191" s="119"/>
      <c r="ADA191" s="119"/>
      <c r="ADB191" s="119"/>
      <c r="ADC191" s="119"/>
      <c r="ADD191" s="119"/>
      <c r="ADE191" s="119"/>
      <c r="ADF191" s="119"/>
      <c r="ADG191" s="119"/>
      <c r="ADH191" s="119"/>
      <c r="ADI191" s="119"/>
      <c r="ADJ191" s="119"/>
      <c r="ADK191" s="119"/>
      <c r="ADL191" s="119"/>
      <c r="ADM191" s="119"/>
      <c r="ADN191" s="119"/>
      <c r="ADO191" s="119"/>
      <c r="ADP191" s="119"/>
      <c r="ADQ191" s="119"/>
      <c r="ADR191" s="119"/>
      <c r="ADS191" s="119"/>
      <c r="ADT191" s="119"/>
      <c r="ADU191" s="119"/>
      <c r="ADV191" s="119"/>
      <c r="ADW191" s="119"/>
      <c r="ADX191" s="119"/>
      <c r="ADY191" s="119"/>
      <c r="ADZ191" s="119"/>
      <c r="AEA191" s="119"/>
      <c r="AEB191" s="119"/>
      <c r="AEC191" s="119"/>
      <c r="AED191" s="119"/>
      <c r="AEE191" s="119"/>
      <c r="AEF191" s="119"/>
      <c r="AEG191" s="119"/>
      <c r="AEH191" s="119"/>
      <c r="AEI191" s="119"/>
    </row>
    <row r="192" spans="1:815" ht="19.5" thickBot="1" x14ac:dyDescent="0.3">
      <c r="A192" s="298"/>
      <c r="B192" s="25" t="s">
        <v>105</v>
      </c>
      <c r="WQ192" s="124">
        <f t="shared" si="1894"/>
        <v>0.14050000000000001</v>
      </c>
      <c r="WR192" s="115">
        <f t="shared" si="1895"/>
        <v>0.15349541071428571</v>
      </c>
      <c r="WS192" s="115">
        <f t="shared" si="1896"/>
        <v>0.16790765106568878</v>
      </c>
      <c r="WT192" s="115">
        <f t="shared" si="1897"/>
        <v>0.18331904442666083</v>
      </c>
      <c r="WU192" s="115">
        <f t="shared" si="1903"/>
        <v>0.19935467139751761</v>
      </c>
      <c r="WV192" s="115">
        <f t="shared" si="1904"/>
        <v>0.2166426892048324</v>
      </c>
      <c r="WW192" s="115">
        <f t="shared" si="1905"/>
        <v>0.2353432020092141</v>
      </c>
      <c r="WX192" s="115">
        <f t="shared" si="1906"/>
        <v>0.25505677544932165</v>
      </c>
      <c r="WY192" s="115">
        <f t="shared" si="1907"/>
        <v>0.27583239066968751</v>
      </c>
      <c r="WZ192" s="115">
        <f t="shared" si="1908"/>
        <v>0.29697738913303484</v>
      </c>
      <c r="XA192" s="115">
        <f t="shared" si="1909"/>
        <v>0.3194037691593315</v>
      </c>
      <c r="XB192" s="115">
        <f t="shared" si="1910"/>
        <v>0.34269017321519196</v>
      </c>
      <c r="XC192" s="115">
        <f t="shared" si="1911"/>
        <v>0.36728624217254702</v>
      </c>
      <c r="XD192" s="115">
        <f t="shared" si="1912"/>
        <v>0.39272283715155293</v>
      </c>
      <c r="XE192" s="115">
        <f t="shared" si="1913"/>
        <v>0.4186413483967294</v>
      </c>
      <c r="XF192" s="115">
        <f t="shared" si="1914"/>
        <v>0.44516430350160602</v>
      </c>
      <c r="XG192" s="115">
        <f t="shared" si="1915"/>
        <v>0.47180154377391648</v>
      </c>
      <c r="XH192" s="115">
        <f t="shared" si="1916"/>
        <v>0.49977012867788351</v>
      </c>
      <c r="XI192" s="115">
        <f t="shared" si="1917"/>
        <v>0.52873554206564766</v>
      </c>
      <c r="XJ192" s="115">
        <f t="shared" si="1918"/>
        <v>0.55806974775310336</v>
      </c>
      <c r="XK192" s="115">
        <f t="shared" si="1919"/>
        <v>0.58829561286534438</v>
      </c>
      <c r="XL192" s="115">
        <f t="shared" si="1920"/>
        <v>0.61736583170566495</v>
      </c>
      <c r="XM192" s="115">
        <f t="shared" si="1921"/>
        <v>0.64838994880135448</v>
      </c>
      <c r="XN192" s="115">
        <f t="shared" si="1922"/>
        <v>0.67945839994117818</v>
      </c>
      <c r="XO192" s="115">
        <f t="shared" si="1923"/>
        <v>0.71278668366268905</v>
      </c>
      <c r="XP192" s="115">
        <f t="shared" si="1924"/>
        <v>0.74696390684333991</v>
      </c>
      <c r="XQ192" s="115">
        <f t="shared" si="1925"/>
        <v>0.78124953431619559</v>
      </c>
      <c r="XR192" s="115">
        <f t="shared" si="1926"/>
        <v>0.81624935648608865</v>
      </c>
      <c r="XS192" s="115">
        <f t="shared" si="1927"/>
        <v>0.851190450173121</v>
      </c>
      <c r="XT192" s="115">
        <f t="shared" si="1928"/>
        <v>0.88669158617649757</v>
      </c>
      <c r="XU192" s="115">
        <f t="shared" si="1929"/>
        <v>0.9226928896086164</v>
      </c>
      <c r="XV192" s="115">
        <f t="shared" si="1930"/>
        <v>0.9583702115541558</v>
      </c>
      <c r="XW192" s="115">
        <f t="shared" si="1931"/>
        <v>0.99436612748230468</v>
      </c>
      <c r="XX192" s="115">
        <f t="shared" si="1932"/>
        <v>1.0306058047907931</v>
      </c>
      <c r="XY192" s="115">
        <f t="shared" si="1933"/>
        <v>1.0662242972344411</v>
      </c>
      <c r="XZ192" s="115">
        <f t="shared" si="1934"/>
        <v>1.098837681270268</v>
      </c>
      <c r="YA192" s="115">
        <f t="shared" si="1935"/>
        <v>1.1333551862719433</v>
      </c>
      <c r="YB192" s="115">
        <f t="shared" si="1936"/>
        <v>1.1643356897299235</v>
      </c>
      <c r="YC192" s="115">
        <f t="shared" si="1937"/>
        <v>1.1980573168234954</v>
      </c>
      <c r="YD192" s="115">
        <f t="shared" si="1938"/>
        <v>1.230594031322491</v>
      </c>
      <c r="YE192" s="115">
        <f t="shared" si="1939"/>
        <v>1.25877805295653</v>
      </c>
      <c r="YF192" s="115">
        <f t="shared" si="1940"/>
        <v>1.2898201531700975</v>
      </c>
      <c r="YG192" s="115">
        <f t="shared" si="1941"/>
        <v>1.3151769703837655</v>
      </c>
      <c r="YH192" s="115">
        <f t="shared" si="1942"/>
        <v>1.3434748261788181</v>
      </c>
      <c r="YI192" s="115">
        <f t="shared" si="1943"/>
        <v>1.3707845882486138</v>
      </c>
      <c r="YJ192" s="115">
        <f t="shared" si="1944"/>
        <v>1.3962440358625756</v>
      </c>
      <c r="YK192" s="115">
        <f t="shared" si="1945"/>
        <v>1.4204905112874515</v>
      </c>
      <c r="YL192" s="115">
        <f t="shared" si="1946"/>
        <v>1.4434197840759082</v>
      </c>
      <c r="YM192" s="115">
        <f t="shared" si="1947"/>
        <v>1.4641996455827908</v>
      </c>
      <c r="YN192" s="169">
        <f t="shared" si="1948"/>
        <v>1.4834503847325724</v>
      </c>
      <c r="YO192" s="136">
        <f t="shared" si="1949"/>
        <v>0</v>
      </c>
      <c r="YP192" s="170">
        <f t="shared" si="1950"/>
        <v>1.4638512217573703</v>
      </c>
      <c r="YQ192" s="149">
        <f t="shared" si="1951"/>
        <v>1.4767759282456547</v>
      </c>
      <c r="YR192" s="149">
        <f t="shared" si="1952"/>
        <v>1.4872269348401286</v>
      </c>
      <c r="YS192" s="149">
        <f t="shared" si="1953"/>
        <v>1.5080184446477354</v>
      </c>
      <c r="YT192" s="149">
        <f t="shared" si="1954"/>
        <v>1.5279256892956639</v>
      </c>
      <c r="YU192" s="149">
        <f t="shared" si="1955"/>
        <v>1.5397896971590186</v>
      </c>
      <c r="YV192" s="149">
        <f t="shared" si="1956"/>
        <v>1.5567703640010737</v>
      </c>
      <c r="YW192" s="149">
        <f t="shared" si="1957"/>
        <v>1.5726897843305634</v>
      </c>
      <c r="YX192" s="149">
        <f t="shared" si="1958"/>
        <v>1.5874948334423751</v>
      </c>
      <c r="YY192" s="149">
        <f t="shared" si="1959"/>
        <v>1.6005638232576938</v>
      </c>
      <c r="YZ192" s="149">
        <f t="shared" si="1960"/>
        <v>1.6049855194787468</v>
      </c>
      <c r="ZA192" s="149">
        <f t="shared" si="1961"/>
        <v>1.6151835357682431</v>
      </c>
      <c r="ZB192" s="149">
        <f t="shared" si="1962"/>
        <v>1.624065309288073</v>
      </c>
      <c r="ZC192" s="149">
        <f t="shared" si="1901"/>
        <v>1.639056681373809</v>
      </c>
      <c r="ZD192" s="149">
        <f t="shared" si="1963"/>
        <v>1.6532265262692467</v>
      </c>
      <c r="ZE192" s="149">
        <f t="shared" si="1964"/>
        <v>1.6665403195940414</v>
      </c>
      <c r="ZF192" s="149">
        <f t="shared" si="1965"/>
        <v>1.6789640008207636</v>
      </c>
      <c r="ZG192" s="149">
        <f t="shared" si="1966"/>
        <v>1.6904640476120993</v>
      </c>
      <c r="ZH192" s="149">
        <f t="shared" si="1967"/>
        <v>1.7005118899522849</v>
      </c>
      <c r="ZI192" s="149">
        <f t="shared" si="1968"/>
        <v>1.7095731100983165</v>
      </c>
      <c r="ZJ192" s="149">
        <f t="shared" si="1969"/>
        <v>1.7176172571045174</v>
      </c>
      <c r="ZK192" s="149">
        <f t="shared" si="1970"/>
        <v>1.724614726550094</v>
      </c>
      <c r="ZL192" s="149">
        <f t="shared" si="1971"/>
        <v>1.7300746508710168</v>
      </c>
      <c r="ZM192" s="149">
        <f t="shared" si="1972"/>
        <v>1.7443476482099647</v>
      </c>
      <c r="ZN192" s="149">
        <f t="shared" si="1973"/>
        <v>1.7580906710059778</v>
      </c>
      <c r="ZO192" s="149">
        <f t="shared" si="1974"/>
        <v>1.7712839906251225</v>
      </c>
      <c r="ZP192" s="149">
        <f t="shared" si="1975"/>
        <v>1.7839080310914897</v>
      </c>
      <c r="ZQ192" s="149">
        <f t="shared" si="1976"/>
        <v>1.7955030540076808</v>
      </c>
      <c r="ZR192" s="149">
        <f t="shared" si="1977"/>
        <v>1.8064898226952995</v>
      </c>
      <c r="ZS192" s="149">
        <f t="shared" si="1978"/>
        <v>1.8168499330037686</v>
      </c>
      <c r="ZT192" s="149">
        <f t="shared" si="1979"/>
        <v>1.8265652483816326</v>
      </c>
      <c r="ZU192" s="149">
        <f t="shared" si="1980"/>
        <v>1.8356179263640919</v>
      </c>
      <c r="ZV192" s="149">
        <f t="shared" si="1981"/>
        <v>1.8439904451167823</v>
      </c>
      <c r="ZW192" s="149">
        <f t="shared" si="1982"/>
        <v>1.8635352814665112</v>
      </c>
      <c r="ZX192" s="149">
        <f t="shared" si="1983"/>
        <v>1.8825708111023103</v>
      </c>
      <c r="ZY192" s="149">
        <f t="shared" si="1984"/>
        <v>1.9014999571699871</v>
      </c>
      <c r="ZZ192" s="149">
        <f t="shared" si="1985"/>
        <v>1.9203145836279207</v>
      </c>
      <c r="AAA192" s="149">
        <f t="shared" si="1986"/>
        <v>1.9390064768802473</v>
      </c>
      <c r="AAB192" s="149">
        <f t="shared" si="1987"/>
        <v>1.9575673493368078</v>
      </c>
      <c r="AAC192" s="149">
        <f t="shared" si="1988"/>
        <v>1.9759888430834802</v>
      </c>
      <c r="AAD192" s="149">
        <f t="shared" si="1989"/>
        <v>1.9938474099551347</v>
      </c>
      <c r="AAE192" s="149">
        <f t="shared" si="1990"/>
        <v>2.0115449559460856</v>
      </c>
      <c r="AAF192" s="149">
        <f t="shared" si="1991"/>
        <v>2.0290731123881076</v>
      </c>
      <c r="AAG192" s="149">
        <f t="shared" si="1992"/>
        <v>2.0464234617282977</v>
      </c>
      <c r="AAH192" s="149">
        <f t="shared" si="1993"/>
        <v>2.0635875416634013</v>
      </c>
      <c r="AAI192" s="149">
        <f t="shared" si="1994"/>
        <v>2.0805568493690219</v>
      </c>
      <c r="AAJ192" s="149">
        <f t="shared" si="1995"/>
        <v>2.0973228458217061</v>
      </c>
      <c r="AAK192" s="149">
        <f t="shared" si="1996"/>
        <v>2.1138769602118068</v>
      </c>
      <c r="AAL192" s="149">
        <f t="shared" si="1997"/>
        <v>2.1297999644471441</v>
      </c>
      <c r="AAM192" s="173">
        <f t="shared" si="1998"/>
        <v>2.1454905837725113</v>
      </c>
      <c r="AAN192" s="136">
        <f t="shared" si="1999"/>
        <v>0</v>
      </c>
      <c r="AAO192" s="174">
        <f t="shared" si="2000"/>
        <v>2.1412140821008765</v>
      </c>
      <c r="AAP192" s="159">
        <f t="shared" si="2001"/>
        <v>2.1559170615818175</v>
      </c>
      <c r="AAQ192" s="159">
        <f t="shared" si="2002"/>
        <v>2.1703581453977518</v>
      </c>
      <c r="AAR192" s="159">
        <f t="shared" si="2003"/>
        <v>2.184529025673525</v>
      </c>
      <c r="AAS192" s="159">
        <f t="shared" si="2004"/>
        <v>2.1984214050279709</v>
      </c>
      <c r="AAT192" s="159">
        <f t="shared" si="2005"/>
        <v>2.211633271903449</v>
      </c>
      <c r="AAU192" s="159">
        <f t="shared" si="2006"/>
        <v>2.2412742419613738</v>
      </c>
      <c r="AAV192" s="159">
        <f t="shared" si="2007"/>
        <v>2.2543623761048157</v>
      </c>
      <c r="AAW192" s="159">
        <f t="shared" si="2008"/>
        <v>2.2671415772951589</v>
      </c>
      <c r="AAX192" s="159">
        <f t="shared" si="2009"/>
        <v>2.2796037489433942</v>
      </c>
      <c r="AAY192" s="159">
        <f t="shared" si="2010"/>
        <v>2.2917408337451746</v>
      </c>
      <c r="AAZ192" s="159">
        <f t="shared" si="2011"/>
        <v>2.3035448187610004</v>
      </c>
      <c r="ABA192" s="159">
        <f t="shared" si="2012"/>
        <v>2.3146226128718004</v>
      </c>
      <c r="ABB192" s="159">
        <f t="shared" si="2013"/>
        <v>2.325350757169812</v>
      </c>
      <c r="ABC192" s="159">
        <f t="shared" si="2014"/>
        <v>2.3542590949919009</v>
      </c>
      <c r="ABD192" s="159">
        <f t="shared" si="2015"/>
        <v>2.3647588883285846</v>
      </c>
      <c r="ABE192" s="159">
        <f t="shared" si="2016"/>
        <v>2.3748893038404542</v>
      </c>
      <c r="ABF192" s="159">
        <f t="shared" si="2017"/>
        <v>2.3846427583122991</v>
      </c>
      <c r="ABG192" s="159">
        <f t="shared" si="2018"/>
        <v>2.3940117469793045</v>
      </c>
      <c r="ABH192" s="159">
        <f t="shared" si="2019"/>
        <v>2.4223095038087679</v>
      </c>
      <c r="ABI192" s="159">
        <f t="shared" si="2020"/>
        <v>2.4310153908205385</v>
      </c>
      <c r="ABJ192" s="159">
        <f t="shared" si="2021"/>
        <v>2.4393177404910493</v>
      </c>
      <c r="ABK192" s="159">
        <f t="shared" si="2022"/>
        <v>2.4472094509635824</v>
      </c>
      <c r="ABL192" s="159">
        <f t="shared" si="2023"/>
        <v>2.454683521925336</v>
      </c>
      <c r="ABM192" s="159">
        <f t="shared" si="2024"/>
        <v>2.4617330596463143</v>
      </c>
      <c r="ABN192" s="159">
        <f t="shared" si="2025"/>
        <v>2.4683512820045368</v>
      </c>
      <c r="ABO192" s="159">
        <f t="shared" si="1902"/>
        <v>2.4955031461065866</v>
      </c>
      <c r="ABP192" s="159">
        <f t="shared" si="2026"/>
        <v>2.1921182166175264</v>
      </c>
      <c r="ABQ192" s="159">
        <f t="shared" si="2027"/>
        <v>2.1968846039276047</v>
      </c>
      <c r="ABR192" s="159">
        <f t="shared" si="2028"/>
        <v>1.8901412935030988</v>
      </c>
      <c r="ABS192" s="159">
        <f t="shared" si="2029"/>
        <v>1.893545758522976</v>
      </c>
      <c r="ABT192" s="159">
        <f t="shared" si="2030"/>
        <v>1.8965992639742819</v>
      </c>
      <c r="ABU192" s="159">
        <f t="shared" si="2031"/>
        <v>1.8992974022129114</v>
      </c>
      <c r="ABV192" s="159">
        <f t="shared" si="2032"/>
        <v>1.9013807816027264</v>
      </c>
      <c r="ABW192" s="159">
        <f t="shared" si="2033"/>
        <v>1.6036649468393922</v>
      </c>
      <c r="ABX192" s="159">
        <f t="shared" si="2034"/>
        <v>1.6051167362248326</v>
      </c>
      <c r="ABY192" s="159">
        <f t="shared" si="2035"/>
        <v>1.2881816709865186</v>
      </c>
      <c r="ABZ192" s="159">
        <f t="shared" si="2036"/>
        <v>1.2888483063119804</v>
      </c>
      <c r="ACA192" s="159">
        <f t="shared" si="2037"/>
        <v>1.2892623473412648</v>
      </c>
      <c r="ACB192" s="159">
        <f t="shared" si="2038"/>
        <v>1.3017016038353926</v>
      </c>
      <c r="ACC192" s="159">
        <f t="shared" si="2039"/>
        <v>1.301862191115982</v>
      </c>
      <c r="ACD192" s="159">
        <f t="shared" si="2040"/>
        <v>0.97939712572032023</v>
      </c>
      <c r="ACE192" s="159">
        <f t="shared" si="2041"/>
        <v>0.97912536992444743</v>
      </c>
      <c r="ACF192" s="159">
        <f t="shared" si="2042"/>
        <v>0.66187440390966013</v>
      </c>
      <c r="ACG192" s="159">
        <f t="shared" si="2043"/>
        <v>0.66147571468451072</v>
      </c>
      <c r="ACH192" s="159">
        <f t="shared" si="2044"/>
        <v>0.66748651574403517</v>
      </c>
      <c r="ACI192" s="159">
        <f t="shared" si="2045"/>
        <v>0.66694848633172832</v>
      </c>
      <c r="ACJ192" s="159">
        <f t="shared" si="2046"/>
        <v>0.66627378596888731</v>
      </c>
      <c r="ACK192" s="159">
        <f t="shared" si="2047"/>
        <v>0.33904645178173293</v>
      </c>
      <c r="ACL192" s="159">
        <f t="shared" si="2048"/>
        <v>0.33863310993356072</v>
      </c>
      <c r="ACM192" s="162">
        <f t="shared" si="2049"/>
        <v>-6.845541933200597E-4</v>
      </c>
      <c r="ACN192" s="119"/>
      <c r="ACO192" s="119"/>
      <c r="ACP192" s="119"/>
      <c r="ACQ192" s="119"/>
      <c r="ACR192" s="119"/>
      <c r="ACS192" s="119"/>
      <c r="ACT192" s="119"/>
      <c r="ACU192" s="119"/>
      <c r="ACV192" s="119"/>
      <c r="ACW192" s="119"/>
      <c r="ACX192" s="119"/>
      <c r="ACY192" s="119"/>
      <c r="ACZ192" s="119"/>
      <c r="ADA192" s="119"/>
      <c r="ADB192" s="119"/>
      <c r="ADC192" s="119"/>
      <c r="ADD192" s="119"/>
      <c r="ADE192" s="119"/>
      <c r="ADF192" s="119"/>
      <c r="ADG192" s="119"/>
      <c r="ADH192" s="119"/>
      <c r="ADI192" s="119"/>
      <c r="ADJ192" s="119"/>
      <c r="ADK192" s="119"/>
      <c r="ADL192" s="119"/>
      <c r="ADM192" s="119"/>
      <c r="ADN192" s="119"/>
      <c r="ADO192" s="119"/>
      <c r="ADP192" s="119"/>
      <c r="ADQ192" s="119"/>
      <c r="ADR192" s="119"/>
      <c r="ADS192" s="119"/>
      <c r="ADT192" s="119"/>
      <c r="ADU192" s="119"/>
      <c r="ADV192" s="119"/>
      <c r="ADW192" s="119"/>
      <c r="ADX192" s="119"/>
      <c r="ADY192" s="119"/>
      <c r="ADZ192" s="119"/>
      <c r="AEA192" s="119"/>
      <c r="AEB192" s="119"/>
      <c r="AEC192" s="119"/>
      <c r="AED192" s="119"/>
      <c r="AEE192" s="119"/>
      <c r="AEF192" s="119"/>
      <c r="AEG192" s="119"/>
      <c r="AEH192" s="119"/>
      <c r="AEI192" s="119"/>
    </row>
    <row r="193" spans="1:815" ht="19.5" thickBot="1" x14ac:dyDescent="0.3">
      <c r="A193" s="298"/>
      <c r="B193" s="25" t="s">
        <v>13</v>
      </c>
      <c r="WQ193" s="117">
        <f t="shared" si="1894"/>
        <v>0.56000000000000005</v>
      </c>
      <c r="WR193" s="114">
        <f t="shared" si="1895"/>
        <v>0.56000000000000005</v>
      </c>
      <c r="WS193" s="114">
        <f t="shared" si="1896"/>
        <v>0.56999999999999995</v>
      </c>
      <c r="WT193" s="114">
        <f t="shared" si="1897"/>
        <v>0.56999999999999995</v>
      </c>
      <c r="WU193" s="114">
        <f t="shared" si="1903"/>
        <v>0.56999999999999995</v>
      </c>
      <c r="WV193" s="114">
        <f t="shared" si="1904"/>
        <v>0.57999999999999996</v>
      </c>
      <c r="WW193" s="114">
        <f t="shared" si="1905"/>
        <v>0.57999999999999996</v>
      </c>
      <c r="WX193" s="114">
        <f t="shared" si="1906"/>
        <v>0.59</v>
      </c>
      <c r="WY193" s="114">
        <f t="shared" si="1907"/>
        <v>0.59</v>
      </c>
      <c r="WZ193" s="114">
        <f t="shared" si="1908"/>
        <v>0.59</v>
      </c>
      <c r="XA193" s="114">
        <f t="shared" si="1909"/>
        <v>0.6</v>
      </c>
      <c r="XB193" s="114">
        <f t="shared" si="1910"/>
        <v>0.6</v>
      </c>
      <c r="XC193" s="114">
        <f t="shared" si="1911"/>
        <v>0.61</v>
      </c>
      <c r="XD193" s="114">
        <f t="shared" si="1912"/>
        <v>0.61</v>
      </c>
      <c r="XE193" s="114">
        <f t="shared" si="1913"/>
        <v>0.62</v>
      </c>
      <c r="XF193" s="114">
        <f t="shared" si="1914"/>
        <v>0.62</v>
      </c>
      <c r="XG193" s="114">
        <f t="shared" si="1915"/>
        <v>0.63</v>
      </c>
      <c r="XH193" s="114">
        <f t="shared" si="1916"/>
        <v>0.63</v>
      </c>
      <c r="XI193" s="114">
        <f t="shared" si="1917"/>
        <v>0.64</v>
      </c>
      <c r="XJ193" s="114">
        <f t="shared" si="1918"/>
        <v>0.64</v>
      </c>
      <c r="XK193" s="114">
        <f t="shared" si="1919"/>
        <v>0.65</v>
      </c>
      <c r="XL193" s="114">
        <f t="shared" si="1920"/>
        <v>0.65</v>
      </c>
      <c r="XM193" s="114">
        <f t="shared" si="1921"/>
        <v>0.66</v>
      </c>
      <c r="XN193" s="114">
        <f t="shared" si="1922"/>
        <v>0.66</v>
      </c>
      <c r="XO193" s="114">
        <f t="shared" si="1923"/>
        <v>0.66</v>
      </c>
      <c r="XP193" s="114">
        <f t="shared" si="1924"/>
        <v>0.67</v>
      </c>
      <c r="XQ193" s="114">
        <f t="shared" si="1925"/>
        <v>0.67</v>
      </c>
      <c r="XR193" s="114">
        <f t="shared" si="1926"/>
        <v>0.68</v>
      </c>
      <c r="XS193" s="114">
        <f t="shared" si="1927"/>
        <v>0.68</v>
      </c>
      <c r="XT193" s="114">
        <f t="shared" si="1928"/>
        <v>0.68</v>
      </c>
      <c r="XU193" s="114">
        <f t="shared" si="1929"/>
        <v>0.69</v>
      </c>
      <c r="XV193" s="114">
        <f t="shared" si="1930"/>
        <v>0.69</v>
      </c>
      <c r="XW193" s="114">
        <f t="shared" si="1931"/>
        <v>0.69</v>
      </c>
      <c r="XX193" s="114">
        <f t="shared" si="1932"/>
        <v>0.7</v>
      </c>
      <c r="XY193" s="114">
        <f t="shared" si="1933"/>
        <v>0.7</v>
      </c>
      <c r="XZ193" s="114">
        <f t="shared" si="1934"/>
        <v>0.71</v>
      </c>
      <c r="YA193" s="114">
        <f t="shared" si="1935"/>
        <v>0.71</v>
      </c>
      <c r="YB193" s="114">
        <f t="shared" si="1936"/>
        <v>0.71</v>
      </c>
      <c r="YC193" s="114">
        <f t="shared" si="1937"/>
        <v>0.72</v>
      </c>
      <c r="YD193" s="114">
        <f t="shared" si="1938"/>
        <v>0.72</v>
      </c>
      <c r="YE193" s="114">
        <f t="shared" si="1939"/>
        <v>0.72</v>
      </c>
      <c r="YF193" s="114">
        <f t="shared" si="1940"/>
        <v>0.73</v>
      </c>
      <c r="YG193" s="114">
        <f t="shared" si="1941"/>
        <v>0.73</v>
      </c>
      <c r="YH193" s="114">
        <f t="shared" si="1942"/>
        <v>0.73</v>
      </c>
      <c r="YI193" s="114">
        <f t="shared" si="1943"/>
        <v>0.74</v>
      </c>
      <c r="YJ193" s="114">
        <f t="shared" si="1944"/>
        <v>0.74</v>
      </c>
      <c r="YK193" s="114">
        <f t="shared" si="1945"/>
        <v>0.74</v>
      </c>
      <c r="YL193" s="114">
        <f t="shared" si="1946"/>
        <v>0.75</v>
      </c>
      <c r="YM193" s="114">
        <f t="shared" si="1947"/>
        <v>0.75</v>
      </c>
      <c r="YN193" s="114">
        <f t="shared" si="1948"/>
        <v>0.76</v>
      </c>
      <c r="YO193" s="172">
        <f t="shared" si="1949"/>
        <v>0.76</v>
      </c>
      <c r="YP193" s="151">
        <f t="shared" si="1950"/>
        <v>0.76</v>
      </c>
      <c r="YQ193" s="151">
        <f t="shared" si="1951"/>
        <v>0.77</v>
      </c>
      <c r="YR193" s="151">
        <f t="shared" si="1952"/>
        <v>0.77</v>
      </c>
      <c r="YS193" s="151">
        <f t="shared" si="1953"/>
        <v>0.77</v>
      </c>
      <c r="YT193" s="151">
        <f t="shared" si="1954"/>
        <v>0.78</v>
      </c>
      <c r="YU193" s="151">
        <f t="shared" si="1955"/>
        <v>0.78</v>
      </c>
      <c r="YV193" s="151">
        <f t="shared" si="1956"/>
        <v>0.78</v>
      </c>
      <c r="YW193" s="151">
        <f t="shared" si="1957"/>
        <v>0.78</v>
      </c>
      <c r="YX193" s="151">
        <f t="shared" si="1958"/>
        <v>0.79</v>
      </c>
      <c r="YY193" s="151">
        <f t="shared" si="1959"/>
        <v>0.79</v>
      </c>
      <c r="YZ193" s="151">
        <f t="shared" si="1960"/>
        <v>0.79</v>
      </c>
      <c r="ZA193" s="151">
        <f t="shared" si="1961"/>
        <v>0.79</v>
      </c>
      <c r="ZB193" s="151">
        <f t="shared" si="1962"/>
        <v>0.8</v>
      </c>
      <c r="ZC193" s="151">
        <f t="shared" si="1901"/>
        <v>0.8</v>
      </c>
      <c r="ZD193" s="151">
        <f t="shared" si="1963"/>
        <v>0.8</v>
      </c>
      <c r="ZE193" s="151">
        <f t="shared" si="1964"/>
        <v>0.8</v>
      </c>
      <c r="ZF193" s="151">
        <f t="shared" si="1965"/>
        <v>0.8</v>
      </c>
      <c r="ZG193" s="151">
        <f t="shared" si="1966"/>
        <v>0.81</v>
      </c>
      <c r="ZH193" s="151">
        <f t="shared" si="1967"/>
        <v>0.81</v>
      </c>
      <c r="ZI193" s="151">
        <f t="shared" si="1968"/>
        <v>0.81</v>
      </c>
      <c r="ZJ193" s="151">
        <f t="shared" si="1969"/>
        <v>0.81</v>
      </c>
      <c r="ZK193" s="151">
        <f t="shared" si="1970"/>
        <v>0.82</v>
      </c>
      <c r="ZL193" s="151">
        <f t="shared" si="1971"/>
        <v>0.82</v>
      </c>
      <c r="ZM193" s="151">
        <f t="shared" si="1972"/>
        <v>0.82</v>
      </c>
      <c r="ZN193" s="151">
        <f t="shared" si="1973"/>
        <v>0.82</v>
      </c>
      <c r="ZO193" s="151">
        <f t="shared" si="1974"/>
        <v>0.82</v>
      </c>
      <c r="ZP193" s="151">
        <f t="shared" si="1975"/>
        <v>0.83</v>
      </c>
      <c r="ZQ193" s="151">
        <f t="shared" si="1976"/>
        <v>0.83</v>
      </c>
      <c r="ZR193" s="151">
        <f t="shared" si="1977"/>
        <v>0.83</v>
      </c>
      <c r="ZS193" s="151">
        <f t="shared" si="1978"/>
        <v>0.83</v>
      </c>
      <c r="ZT193" s="151">
        <f t="shared" si="1979"/>
        <v>0.83</v>
      </c>
      <c r="ZU193" s="151">
        <f t="shared" si="1980"/>
        <v>0.83</v>
      </c>
      <c r="ZV193" s="151">
        <f t="shared" si="1981"/>
        <v>0.83</v>
      </c>
      <c r="ZW193" s="151">
        <f t="shared" si="1982"/>
        <v>0.84</v>
      </c>
      <c r="ZX193" s="151">
        <f t="shared" si="1983"/>
        <v>0.84</v>
      </c>
      <c r="ZY193" s="151">
        <f t="shared" si="1984"/>
        <v>0.84</v>
      </c>
      <c r="ZZ193" s="151">
        <f t="shared" si="1985"/>
        <v>0.84</v>
      </c>
      <c r="AAA193" s="151">
        <f t="shared" si="1986"/>
        <v>0.84</v>
      </c>
      <c r="AAB193" s="151">
        <f t="shared" si="1987"/>
        <v>0.84</v>
      </c>
      <c r="AAC193" s="151">
        <f t="shared" si="1988"/>
        <v>0.85</v>
      </c>
      <c r="AAD193" s="151">
        <f t="shared" si="1989"/>
        <v>0.85</v>
      </c>
      <c r="AAE193" s="151">
        <f t="shared" si="1990"/>
        <v>0.85</v>
      </c>
      <c r="AAF193" s="151">
        <f t="shared" si="1991"/>
        <v>0.85</v>
      </c>
      <c r="AAG193" s="151">
        <f t="shared" si="1992"/>
        <v>0.85</v>
      </c>
      <c r="AAH193" s="151">
        <f t="shared" si="1993"/>
        <v>0.85</v>
      </c>
      <c r="AAI193" s="151">
        <f t="shared" si="1994"/>
        <v>0.85</v>
      </c>
      <c r="AAJ193" s="151">
        <f t="shared" si="1995"/>
        <v>0.85</v>
      </c>
      <c r="AAK193" s="151">
        <f t="shared" si="1996"/>
        <v>0.86</v>
      </c>
      <c r="AAL193" s="151">
        <f t="shared" si="1997"/>
        <v>0.86</v>
      </c>
      <c r="AAM193" s="151">
        <f t="shared" si="1998"/>
        <v>0.86</v>
      </c>
      <c r="AAN193" s="176">
        <f t="shared" si="1999"/>
        <v>0.86</v>
      </c>
      <c r="AAO193" s="163">
        <f t="shared" si="2000"/>
        <v>0.86</v>
      </c>
      <c r="AAP193" s="163">
        <f t="shared" si="2001"/>
        <v>0.86</v>
      </c>
      <c r="AAQ193" s="163">
        <f t="shared" si="2002"/>
        <v>0.86</v>
      </c>
      <c r="AAR193" s="163">
        <f t="shared" si="2003"/>
        <v>0.86</v>
      </c>
      <c r="AAS193" s="163">
        <f t="shared" si="2004"/>
        <v>0.87</v>
      </c>
      <c r="AAT193" s="163">
        <f t="shared" si="2005"/>
        <v>0.87</v>
      </c>
      <c r="AAU193" s="163">
        <f t="shared" si="2006"/>
        <v>0.87</v>
      </c>
      <c r="AAV193" s="163">
        <f t="shared" si="2007"/>
        <v>0.87</v>
      </c>
      <c r="AAW193" s="163">
        <f t="shared" si="2008"/>
        <v>0.87</v>
      </c>
      <c r="AAX193" s="163">
        <f t="shared" si="2009"/>
        <v>0.87</v>
      </c>
      <c r="AAY193" s="163">
        <f t="shared" si="2010"/>
        <v>0.87</v>
      </c>
      <c r="AAZ193" s="163">
        <f t="shared" si="2011"/>
        <v>0.88</v>
      </c>
      <c r="ABA193" s="163">
        <f t="shared" si="2012"/>
        <v>0.88</v>
      </c>
      <c r="ABB193" s="163">
        <f t="shared" si="2013"/>
        <v>0.88</v>
      </c>
      <c r="ABC193" s="163">
        <f t="shared" si="2014"/>
        <v>0.88</v>
      </c>
      <c r="ABD193" s="163">
        <f t="shared" si="2015"/>
        <v>0.88</v>
      </c>
      <c r="ABE193" s="163">
        <f t="shared" si="2016"/>
        <v>0.88</v>
      </c>
      <c r="ABF193" s="163">
        <f t="shared" si="2017"/>
        <v>0.88</v>
      </c>
      <c r="ABG193" s="163">
        <f t="shared" si="2018"/>
        <v>0.89</v>
      </c>
      <c r="ABH193" s="163">
        <f t="shared" si="2019"/>
        <v>0.89</v>
      </c>
      <c r="ABI193" s="163">
        <f t="shared" si="2020"/>
        <v>0.89</v>
      </c>
      <c r="ABJ193" s="163">
        <f t="shared" si="2021"/>
        <v>0.89</v>
      </c>
      <c r="ABK193" s="163">
        <f t="shared" si="2022"/>
        <v>0.89</v>
      </c>
      <c r="ABL193" s="163">
        <f t="shared" si="2023"/>
        <v>0.89</v>
      </c>
      <c r="ABM193" s="163">
        <f t="shared" si="2024"/>
        <v>0.89</v>
      </c>
      <c r="ABN193" s="163">
        <f t="shared" si="2025"/>
        <v>0.9</v>
      </c>
      <c r="ABO193" s="163">
        <f t="shared" si="1902"/>
        <v>0.9</v>
      </c>
      <c r="ABP193" s="163">
        <f t="shared" si="2026"/>
        <v>0.9</v>
      </c>
      <c r="ABQ193" s="163">
        <f t="shared" si="2027"/>
        <v>0.9</v>
      </c>
      <c r="ABR193" s="163">
        <f t="shared" si="2028"/>
        <v>0.9</v>
      </c>
      <c r="ABS193" s="163">
        <f t="shared" si="2029"/>
        <v>0.9</v>
      </c>
      <c r="ABT193" s="163">
        <f t="shared" si="2030"/>
        <v>0.9</v>
      </c>
      <c r="ABU193" s="163">
        <f t="shared" si="2031"/>
        <v>0.91</v>
      </c>
      <c r="ABV193" s="163">
        <f t="shared" si="2032"/>
        <v>0.91</v>
      </c>
      <c r="ABW193" s="163">
        <f t="shared" si="2033"/>
        <v>0.91</v>
      </c>
      <c r="ABX193" s="163">
        <f t="shared" si="2034"/>
        <v>0.91</v>
      </c>
      <c r="ABY193" s="163">
        <f t="shared" si="2035"/>
        <v>0.91</v>
      </c>
      <c r="ABZ193" s="163">
        <f t="shared" si="2036"/>
        <v>0.91</v>
      </c>
      <c r="ACA193" s="163">
        <f t="shared" si="2037"/>
        <v>0.91</v>
      </c>
      <c r="ACB193" s="163">
        <f t="shared" si="2038"/>
        <v>0.91</v>
      </c>
      <c r="ACC193" s="163">
        <f t="shared" si="2039"/>
        <v>0.91</v>
      </c>
      <c r="ACD193" s="163">
        <f t="shared" si="2040"/>
        <v>0.91</v>
      </c>
      <c r="ACE193" s="163">
        <f t="shared" si="2041"/>
        <v>0.91</v>
      </c>
      <c r="ACF193" s="163">
        <f t="shared" si="2042"/>
        <v>0.92</v>
      </c>
      <c r="ACG193" s="163">
        <f t="shared" si="2043"/>
        <v>0.92</v>
      </c>
      <c r="ACH193" s="163">
        <f t="shared" si="2044"/>
        <v>0.92</v>
      </c>
      <c r="ACI193" s="163">
        <f t="shared" si="2045"/>
        <v>0.92</v>
      </c>
      <c r="ACJ193" s="163">
        <f t="shared" si="2046"/>
        <v>0.92</v>
      </c>
      <c r="ACK193" s="163">
        <f t="shared" si="2047"/>
        <v>0.92</v>
      </c>
      <c r="ACL193" s="163">
        <f t="shared" si="2048"/>
        <v>0.92</v>
      </c>
      <c r="ACM193" s="117">
        <f t="shared" si="2049"/>
        <v>0.92</v>
      </c>
      <c r="ACN193" s="119"/>
      <c r="ACO193" s="119"/>
      <c r="ACP193" s="119"/>
      <c r="ACQ193" s="119"/>
      <c r="ACR193" s="119"/>
      <c r="ACS193" s="119"/>
      <c r="ACT193" s="119"/>
      <c r="ACU193" s="119"/>
      <c r="ACV193" s="119"/>
      <c r="ACW193" s="119"/>
      <c r="ACX193" s="119"/>
      <c r="ACY193" s="119"/>
      <c r="ACZ193" s="119"/>
      <c r="ADA193" s="119"/>
      <c r="ADB193" s="119"/>
      <c r="ADC193" s="119"/>
      <c r="ADD193" s="119"/>
      <c r="ADE193" s="119"/>
      <c r="ADF193" s="119"/>
      <c r="ADG193" s="119"/>
      <c r="ADH193" s="119"/>
      <c r="ADI193" s="119"/>
      <c r="ADJ193" s="119"/>
      <c r="ADK193" s="119"/>
      <c r="ADL193" s="119"/>
      <c r="ADM193" s="119"/>
      <c r="ADN193" s="119"/>
      <c r="ADO193" s="119"/>
      <c r="ADP193" s="119"/>
      <c r="ADQ193" s="119"/>
      <c r="ADR193" s="119"/>
      <c r="ADS193" s="119"/>
      <c r="ADT193" s="119"/>
      <c r="ADU193" s="119"/>
      <c r="ADV193" s="119"/>
      <c r="ADW193" s="119"/>
      <c r="ADX193" s="119"/>
      <c r="ADY193" s="119"/>
      <c r="ADZ193" s="119"/>
      <c r="AEA193" s="119"/>
      <c r="AEB193" s="119"/>
      <c r="AEC193" s="119"/>
      <c r="AED193" s="119"/>
      <c r="AEE193" s="119"/>
      <c r="AEF193" s="119"/>
      <c r="AEG193" s="119"/>
      <c r="AEH193" s="119"/>
      <c r="AEI193" s="119"/>
    </row>
    <row r="194" spans="1:815" ht="18.75" x14ac:dyDescent="0.25">
      <c r="A194" s="298"/>
      <c r="B194" s="25" t="s">
        <v>3</v>
      </c>
      <c r="WQ194" s="125" t="str">
        <f t="shared" si="1894"/>
        <v>Tank 1</v>
      </c>
      <c r="WR194" s="111" t="str">
        <f t="shared" si="1895"/>
        <v>Tank 1</v>
      </c>
      <c r="WS194" s="111" t="str">
        <f t="shared" si="1896"/>
        <v>Tank 1</v>
      </c>
      <c r="WT194" s="111" t="str">
        <f t="shared" si="1897"/>
        <v>Tank 1</v>
      </c>
      <c r="WU194" s="111" t="str">
        <f t="shared" si="1903"/>
        <v>Tank 1</v>
      </c>
      <c r="WV194" s="111" t="str">
        <f t="shared" si="1904"/>
        <v>Tank 1</v>
      </c>
      <c r="WW194" s="111" t="str">
        <f t="shared" si="1905"/>
        <v>Tank 1</v>
      </c>
      <c r="WX194" s="111" t="str">
        <f t="shared" si="1906"/>
        <v>Tank 1</v>
      </c>
      <c r="WY194" s="111" t="str">
        <f t="shared" si="1907"/>
        <v>Tank 1</v>
      </c>
      <c r="WZ194" s="111" t="str">
        <f t="shared" si="1908"/>
        <v>Tank 1</v>
      </c>
      <c r="XA194" s="111" t="str">
        <f t="shared" si="1909"/>
        <v>Tank 1</v>
      </c>
      <c r="XB194" s="111" t="str">
        <f t="shared" si="1910"/>
        <v>Tank 1</v>
      </c>
      <c r="XC194" s="111" t="str">
        <f t="shared" si="1911"/>
        <v>Tank 1</v>
      </c>
      <c r="XD194" s="111" t="str">
        <f t="shared" si="1912"/>
        <v>Tank 1</v>
      </c>
      <c r="XE194" s="111" t="str">
        <f t="shared" si="1913"/>
        <v>Tank 1</v>
      </c>
      <c r="XF194" s="111" t="str">
        <f t="shared" si="1914"/>
        <v>Tank 1</v>
      </c>
      <c r="XG194" s="111" t="str">
        <f t="shared" si="1915"/>
        <v>Tank 1</v>
      </c>
      <c r="XH194" s="111" t="str">
        <f t="shared" si="1916"/>
        <v>Tank 1</v>
      </c>
      <c r="XI194" s="111" t="str">
        <f t="shared" si="1917"/>
        <v>Tank 1</v>
      </c>
      <c r="XJ194" s="111" t="str">
        <f t="shared" si="1918"/>
        <v>Tank 1</v>
      </c>
      <c r="XK194" s="111" t="str">
        <f t="shared" si="1919"/>
        <v>Tank 1</v>
      </c>
      <c r="XL194" s="111" t="str">
        <f t="shared" si="1920"/>
        <v>Tank 1</v>
      </c>
      <c r="XM194" s="111" t="str">
        <f t="shared" si="1921"/>
        <v>Tank 1</v>
      </c>
      <c r="XN194" s="111" t="str">
        <f t="shared" si="1922"/>
        <v>Tank 1</v>
      </c>
      <c r="XO194" s="111" t="str">
        <f t="shared" si="1923"/>
        <v>Tank 1</v>
      </c>
      <c r="XP194" s="111" t="str">
        <f t="shared" si="1924"/>
        <v>Tank 1</v>
      </c>
      <c r="XQ194" s="111" t="str">
        <f t="shared" si="1925"/>
        <v>Tank 1</v>
      </c>
      <c r="XR194" s="111" t="str">
        <f t="shared" si="1926"/>
        <v>Tank 1</v>
      </c>
      <c r="XS194" s="111" t="str">
        <f t="shared" si="1927"/>
        <v>Tank 1</v>
      </c>
      <c r="XT194" s="111" t="str">
        <f t="shared" si="1928"/>
        <v>Tank 1</v>
      </c>
      <c r="XU194" s="111" t="str">
        <f t="shared" si="1929"/>
        <v>Tank 1</v>
      </c>
      <c r="XV194" s="111" t="str">
        <f t="shared" si="1930"/>
        <v>Tank 1</v>
      </c>
      <c r="XW194" s="111" t="str">
        <f t="shared" si="1931"/>
        <v>Tank 1</v>
      </c>
      <c r="XX194" s="111" t="str">
        <f t="shared" si="1932"/>
        <v>Tank 1</v>
      </c>
      <c r="XY194" s="111" t="str">
        <f t="shared" si="1933"/>
        <v>Tank 1</v>
      </c>
      <c r="XZ194" s="111" t="str">
        <f t="shared" si="1934"/>
        <v>Tank 1</v>
      </c>
      <c r="YA194" s="111" t="str">
        <f t="shared" si="1935"/>
        <v>Tank 1</v>
      </c>
      <c r="YB194" s="111" t="str">
        <f t="shared" si="1936"/>
        <v>Tank 1</v>
      </c>
      <c r="YC194" s="111" t="str">
        <f t="shared" si="1937"/>
        <v>Tank 1</v>
      </c>
      <c r="YD194" s="111" t="str">
        <f t="shared" si="1938"/>
        <v>Tank 1</v>
      </c>
      <c r="YE194" s="111" t="str">
        <f t="shared" si="1939"/>
        <v>Tank 1</v>
      </c>
      <c r="YF194" s="111" t="str">
        <f t="shared" si="1940"/>
        <v>Tank 1</v>
      </c>
      <c r="YG194" s="111" t="str">
        <f t="shared" si="1941"/>
        <v>Tank 1</v>
      </c>
      <c r="YH194" s="111" t="str">
        <f t="shared" si="1942"/>
        <v>Tank 1</v>
      </c>
      <c r="YI194" s="111" t="str">
        <f t="shared" si="1943"/>
        <v>Tank 1</v>
      </c>
      <c r="YJ194" s="111" t="str">
        <f t="shared" si="1944"/>
        <v>Tank 1</v>
      </c>
      <c r="YK194" s="111" t="str">
        <f t="shared" si="1945"/>
        <v>Tank 1</v>
      </c>
      <c r="YL194" s="111" t="str">
        <f t="shared" si="1946"/>
        <v>Tank 1</v>
      </c>
      <c r="YM194" s="111" t="str">
        <f t="shared" si="1947"/>
        <v>Tank 1</v>
      </c>
      <c r="YN194" s="111" t="str">
        <f t="shared" si="1948"/>
        <v>Tank 1</v>
      </c>
      <c r="YO194" s="111" t="str">
        <f t="shared" si="1949"/>
        <v>Tank 1</v>
      </c>
      <c r="YP194" s="152" t="str">
        <f t="shared" si="1950"/>
        <v>Tank 2 + 3</v>
      </c>
      <c r="YQ194" s="152" t="str">
        <f t="shared" si="1951"/>
        <v>Tank 2 + 3</v>
      </c>
      <c r="YR194" s="152" t="str">
        <f t="shared" si="1952"/>
        <v>Tank 2 + 3</v>
      </c>
      <c r="YS194" s="152" t="str">
        <f t="shared" si="1953"/>
        <v>Tank 2 + 3</v>
      </c>
      <c r="YT194" s="152" t="str">
        <f t="shared" si="1954"/>
        <v>Tank 2 + 3</v>
      </c>
      <c r="YU194" s="152" t="str">
        <f t="shared" si="1955"/>
        <v>Tank 2 + 3</v>
      </c>
      <c r="YV194" s="152" t="str">
        <f t="shared" si="1956"/>
        <v>Tank 2 + 3</v>
      </c>
      <c r="YW194" s="152" t="str">
        <f t="shared" si="1957"/>
        <v>Tank 2 + 3</v>
      </c>
      <c r="YX194" s="152" t="str">
        <f t="shared" si="1958"/>
        <v>Tank 2 + 3</v>
      </c>
      <c r="YY194" s="152" t="str">
        <f t="shared" si="1959"/>
        <v>Tank 2 + 3</v>
      </c>
      <c r="YZ194" s="152" t="str">
        <f t="shared" si="1960"/>
        <v>Tank 2 + 3</v>
      </c>
      <c r="ZA194" s="152" t="str">
        <f t="shared" si="1961"/>
        <v>Tank 2 + 3</v>
      </c>
      <c r="ZB194" s="152" t="str">
        <f t="shared" si="1962"/>
        <v>Tank 2 + 3</v>
      </c>
      <c r="ZC194" s="152" t="str">
        <f t="shared" si="1901"/>
        <v>Tank 2 + 3</v>
      </c>
      <c r="ZD194" s="152" t="str">
        <f t="shared" si="1963"/>
        <v>Tank 2 + 3</v>
      </c>
      <c r="ZE194" s="152" t="str">
        <f t="shared" si="1964"/>
        <v>Tank 2 + 3</v>
      </c>
      <c r="ZF194" s="152" t="str">
        <f t="shared" si="1965"/>
        <v>Tank 2 + 3</v>
      </c>
      <c r="ZG194" s="152" t="str">
        <f t="shared" si="1966"/>
        <v>Tank 2 + 3</v>
      </c>
      <c r="ZH194" s="152" t="str">
        <f t="shared" si="1967"/>
        <v>Tank 2 + 3</v>
      </c>
      <c r="ZI194" s="152" t="str">
        <f t="shared" si="1968"/>
        <v>Tank 2 + 3</v>
      </c>
      <c r="ZJ194" s="152" t="str">
        <f t="shared" si="1969"/>
        <v>Tank 2 + 3</v>
      </c>
      <c r="ZK194" s="152" t="str">
        <f t="shared" si="1970"/>
        <v>Tank 2 + 3</v>
      </c>
      <c r="ZL194" s="152" t="str">
        <f t="shared" si="1971"/>
        <v>Tank 2 + 3</v>
      </c>
      <c r="ZM194" s="152" t="str">
        <f t="shared" si="1972"/>
        <v>Tank 2 + 3</v>
      </c>
      <c r="ZN194" s="152" t="str">
        <f t="shared" si="1973"/>
        <v>Tank 2 + 3</v>
      </c>
      <c r="ZO194" s="152" t="str">
        <f t="shared" si="1974"/>
        <v>Tank 2 + 3</v>
      </c>
      <c r="ZP194" s="152" t="str">
        <f t="shared" si="1975"/>
        <v>Tank 2 + 3</v>
      </c>
      <c r="ZQ194" s="152" t="str">
        <f t="shared" si="1976"/>
        <v>Tank 2 + 3</v>
      </c>
      <c r="ZR194" s="152" t="str">
        <f t="shared" si="1977"/>
        <v>Tank 2 + 3</v>
      </c>
      <c r="ZS194" s="152" t="str">
        <f t="shared" si="1978"/>
        <v>Tank 2 + 3</v>
      </c>
      <c r="ZT194" s="152" t="str">
        <f t="shared" si="1979"/>
        <v>Tank 2 + 3</v>
      </c>
      <c r="ZU194" s="152" t="str">
        <f t="shared" si="1980"/>
        <v>Tank 2 + 3</v>
      </c>
      <c r="ZV194" s="152" t="str">
        <f t="shared" si="1981"/>
        <v>Tank 2 + 3</v>
      </c>
      <c r="ZW194" s="152" t="str">
        <f t="shared" si="1982"/>
        <v>Tank 2 + 3</v>
      </c>
      <c r="ZX194" s="152" t="str">
        <f t="shared" si="1983"/>
        <v>Tank 2 + 3</v>
      </c>
      <c r="ZY194" s="152" t="str">
        <f t="shared" si="1984"/>
        <v>Tank 2 + 3</v>
      </c>
      <c r="ZZ194" s="152" t="str">
        <f t="shared" si="1985"/>
        <v>Tank 2 + 3</v>
      </c>
      <c r="AAA194" s="152" t="str">
        <f t="shared" si="1986"/>
        <v>Tank 2 + 3</v>
      </c>
      <c r="AAB194" s="152" t="str">
        <f t="shared" si="1987"/>
        <v>Tank 2 + 3</v>
      </c>
      <c r="AAC194" s="152" t="str">
        <f t="shared" si="1988"/>
        <v>Tank 2 + 3</v>
      </c>
      <c r="AAD194" s="152" t="str">
        <f t="shared" si="1989"/>
        <v>Tank 2 + 3</v>
      </c>
      <c r="AAE194" s="152" t="str">
        <f t="shared" si="1990"/>
        <v>Tank 2 + 3</v>
      </c>
      <c r="AAF194" s="152" t="str">
        <f t="shared" si="1991"/>
        <v>Tank 2 + 3</v>
      </c>
      <c r="AAG194" s="152" t="str">
        <f t="shared" si="1992"/>
        <v>Tank 2 + 3</v>
      </c>
      <c r="AAH194" s="152" t="str">
        <f t="shared" si="1993"/>
        <v>Tank 2 + 3</v>
      </c>
      <c r="AAI194" s="152" t="str">
        <f t="shared" si="1994"/>
        <v>Tank 2 + 3</v>
      </c>
      <c r="AAJ194" s="152" t="str">
        <f t="shared" si="1995"/>
        <v>Tank 2 + 3</v>
      </c>
      <c r="AAK194" s="152" t="str">
        <f t="shared" si="1996"/>
        <v>Tank 2 + 3</v>
      </c>
      <c r="AAL194" s="152" t="str">
        <f t="shared" si="1997"/>
        <v>Tank 2 + 3</v>
      </c>
      <c r="AAM194" s="152" t="str">
        <f t="shared" si="1998"/>
        <v>Tank 2 + 3</v>
      </c>
      <c r="AAN194" s="152" t="str">
        <f t="shared" si="1999"/>
        <v>Tank 2 + 3</v>
      </c>
      <c r="AAO194" s="158" t="str">
        <f t="shared" si="2000"/>
        <v xml:space="preserve">Tank 4 + 5 + 6 </v>
      </c>
      <c r="AAP194" s="158" t="str">
        <f t="shared" si="2001"/>
        <v xml:space="preserve">Tank 4 + 5 + 6 </v>
      </c>
      <c r="AAQ194" s="158" t="str">
        <f t="shared" si="2002"/>
        <v xml:space="preserve">Tank 4 + 5 + 6 </v>
      </c>
      <c r="AAR194" s="158" t="str">
        <f t="shared" si="2003"/>
        <v xml:space="preserve">Tank 4 + 5 + 6 </v>
      </c>
      <c r="AAS194" s="158" t="str">
        <f t="shared" si="2004"/>
        <v xml:space="preserve">Tank 4 + 5 + 6 </v>
      </c>
      <c r="AAT194" s="158" t="str">
        <f t="shared" si="2005"/>
        <v xml:space="preserve">Tank 4 + 5 + 6 </v>
      </c>
      <c r="AAU194" s="158" t="str">
        <f t="shared" si="2006"/>
        <v xml:space="preserve">Tank 4 + 5 + 6 </v>
      </c>
      <c r="AAV194" s="158" t="str">
        <f t="shared" si="2007"/>
        <v xml:space="preserve">Tank 4 + 5 + 6 </v>
      </c>
      <c r="AAW194" s="158" t="str">
        <f t="shared" si="2008"/>
        <v xml:space="preserve">Tank 4 + 5 + 6 </v>
      </c>
      <c r="AAX194" s="158" t="str">
        <f t="shared" si="2009"/>
        <v xml:space="preserve">Tank 4 + 5 + 6 </v>
      </c>
      <c r="AAY194" s="158" t="str">
        <f t="shared" si="2010"/>
        <v xml:space="preserve">Tank 4 + 5 + 6 </v>
      </c>
      <c r="AAZ194" s="158" t="str">
        <f t="shared" si="2011"/>
        <v xml:space="preserve">Tank 4 + 5 + 6 </v>
      </c>
      <c r="ABA194" s="158" t="str">
        <f t="shared" si="2012"/>
        <v xml:space="preserve">Tank 4 + 5 + 6 </v>
      </c>
      <c r="ABB194" s="158" t="str">
        <f t="shared" si="2013"/>
        <v xml:space="preserve">Tank 4 + 5 + 6 </v>
      </c>
      <c r="ABC194" s="158" t="str">
        <f t="shared" si="2014"/>
        <v xml:space="preserve">Tank 4 + 5 + 6 </v>
      </c>
      <c r="ABD194" s="158" t="str">
        <f t="shared" si="2015"/>
        <v xml:space="preserve">Tank 4 + 5 + 6 </v>
      </c>
      <c r="ABE194" s="158" t="str">
        <f t="shared" si="2016"/>
        <v xml:space="preserve">Tank 4 + 5 + 6 </v>
      </c>
      <c r="ABF194" s="158" t="str">
        <f t="shared" si="2017"/>
        <v xml:space="preserve">Tank 4 + 5 + 6 </v>
      </c>
      <c r="ABG194" s="158" t="str">
        <f t="shared" si="2018"/>
        <v xml:space="preserve">Tank 4 + 5 + 6 </v>
      </c>
      <c r="ABH194" s="158" t="str">
        <f t="shared" si="2019"/>
        <v xml:space="preserve">Tank 4 + 5 + 6 </v>
      </c>
      <c r="ABI194" s="158" t="str">
        <f t="shared" si="2020"/>
        <v xml:space="preserve">Tank 4 + 5 + 6 </v>
      </c>
      <c r="ABJ194" s="158" t="str">
        <f t="shared" si="2021"/>
        <v xml:space="preserve">Tank 4 + 5 + 6 </v>
      </c>
      <c r="ABK194" s="158" t="str">
        <f t="shared" si="2022"/>
        <v xml:space="preserve">Tank 4 + 5 + 6 </v>
      </c>
      <c r="ABL194" s="158" t="str">
        <f t="shared" si="2023"/>
        <v xml:space="preserve">Tank 4 + 5 + 6 </v>
      </c>
      <c r="ABM194" s="158" t="str">
        <f t="shared" si="2024"/>
        <v xml:space="preserve">Tank 4 + 5 + 6 </v>
      </c>
      <c r="ABN194" s="158" t="str">
        <f t="shared" si="2025"/>
        <v xml:space="preserve">Tank 4 + 5 + 6 </v>
      </c>
      <c r="ABO194" s="158" t="str">
        <f t="shared" si="1902"/>
        <v xml:space="preserve">Tank 4 + 5 + 6 </v>
      </c>
      <c r="ABP194" s="158" t="str">
        <f t="shared" si="2026"/>
        <v xml:space="preserve">Tank 4 + 5 + 6 </v>
      </c>
      <c r="ABQ194" s="158" t="str">
        <f t="shared" si="2027"/>
        <v xml:space="preserve">Tank 4 + 5 + 6 </v>
      </c>
      <c r="ABR194" s="158" t="str">
        <f t="shared" si="2028"/>
        <v xml:space="preserve">Tank 4 + 5 + 6 </v>
      </c>
      <c r="ABS194" s="158" t="str">
        <f t="shared" si="2029"/>
        <v xml:space="preserve">Tank 4 + 5 + 6 </v>
      </c>
      <c r="ABT194" s="158" t="str">
        <f t="shared" si="2030"/>
        <v xml:space="preserve">Tank 4 + 5 + 6 </v>
      </c>
      <c r="ABU194" s="158" t="str">
        <f t="shared" si="2031"/>
        <v xml:space="preserve">Tank 4 + 5 + 6 </v>
      </c>
      <c r="ABV194" s="158" t="str">
        <f t="shared" si="2032"/>
        <v xml:space="preserve">Tank 4 + 5 + 6 </v>
      </c>
      <c r="ABW194" s="158" t="str">
        <f t="shared" si="2033"/>
        <v xml:space="preserve">Tank 4 + 5 + 6 </v>
      </c>
      <c r="ABX194" s="158" t="str">
        <f t="shared" si="2034"/>
        <v xml:space="preserve">Tank 4 + 5 + 6 </v>
      </c>
      <c r="ABY194" s="158" t="str">
        <f t="shared" si="2035"/>
        <v xml:space="preserve">Tank 4 + 5 + 6 </v>
      </c>
      <c r="ABZ194" s="158" t="str">
        <f t="shared" si="2036"/>
        <v xml:space="preserve">Tank 4 + 5 + 6 </v>
      </c>
      <c r="ACA194" s="158" t="str">
        <f t="shared" si="2037"/>
        <v xml:space="preserve">Tank 4 + 5 + 6 </v>
      </c>
      <c r="ACB194" s="158" t="str">
        <f t="shared" si="2038"/>
        <v xml:space="preserve">Tank 4 + 5 + 6 </v>
      </c>
      <c r="ACC194" s="158" t="str">
        <f t="shared" si="2039"/>
        <v xml:space="preserve">Tank 4 + 5 + 6 </v>
      </c>
      <c r="ACD194" s="158" t="str">
        <f t="shared" si="2040"/>
        <v xml:space="preserve">Tank 4 + 5 + 6 </v>
      </c>
      <c r="ACE194" s="158" t="str">
        <f t="shared" si="2041"/>
        <v xml:space="preserve">Tank 4 + 5 + 6 </v>
      </c>
      <c r="ACF194" s="158" t="str">
        <f t="shared" si="2042"/>
        <v xml:space="preserve">Tank 4 + 5 + 6 </v>
      </c>
      <c r="ACG194" s="158" t="str">
        <f t="shared" si="2043"/>
        <v xml:space="preserve">Tank 4 + 5 + 6 </v>
      </c>
      <c r="ACH194" s="158" t="str">
        <f t="shared" si="2044"/>
        <v xml:space="preserve">Tank 4 + 5 + 6 </v>
      </c>
      <c r="ACI194" s="158" t="str">
        <f t="shared" si="2045"/>
        <v xml:space="preserve">Tank 4 + 5 + 6 </v>
      </c>
      <c r="ACJ194" s="158" t="str">
        <f t="shared" si="2046"/>
        <v xml:space="preserve">Tank 4 + 5 + 6 </v>
      </c>
      <c r="ACK194" s="158" t="str">
        <f t="shared" si="2047"/>
        <v xml:space="preserve">Tank 4 + 5 + 6 </v>
      </c>
      <c r="ACL194" s="158" t="str">
        <f t="shared" si="2048"/>
        <v xml:space="preserve">Tank 4 + 5 + 6 </v>
      </c>
      <c r="ACM194" s="158" t="str">
        <f t="shared" si="2049"/>
        <v xml:space="preserve">Tank 4 + 5 + 6 </v>
      </c>
      <c r="ACN194" s="119"/>
      <c r="ACO194" s="119"/>
      <c r="ACP194" s="119"/>
      <c r="ACQ194" s="119"/>
      <c r="ACR194" s="119"/>
      <c r="ACS194" s="119"/>
      <c r="ACT194" s="119"/>
      <c r="ACU194" s="119"/>
      <c r="ACV194" s="119"/>
      <c r="ACW194" s="119"/>
      <c r="ACX194" s="119"/>
      <c r="ACY194" s="119"/>
      <c r="ACZ194" s="119"/>
      <c r="ADA194" s="119"/>
      <c r="ADB194" s="119"/>
      <c r="ADC194" s="119"/>
      <c r="ADD194" s="119"/>
      <c r="ADE194" s="119"/>
      <c r="ADF194" s="119"/>
      <c r="ADG194" s="119"/>
      <c r="ADH194" s="119"/>
      <c r="ADI194" s="119"/>
      <c r="ADJ194" s="119"/>
      <c r="ADK194" s="119"/>
      <c r="ADL194" s="119"/>
      <c r="ADM194" s="119"/>
      <c r="ADN194" s="119"/>
      <c r="ADO194" s="119"/>
      <c r="ADP194" s="119"/>
      <c r="ADQ194" s="119"/>
      <c r="ADR194" s="119"/>
      <c r="ADS194" s="119"/>
      <c r="ADT194" s="119"/>
      <c r="ADU194" s="119"/>
      <c r="ADV194" s="119"/>
      <c r="ADW194" s="119"/>
      <c r="ADX194" s="119"/>
      <c r="ADY194" s="119"/>
      <c r="ADZ194" s="119"/>
      <c r="AEA194" s="119"/>
      <c r="AEB194" s="119"/>
      <c r="AEC194" s="119"/>
      <c r="AED194" s="119"/>
      <c r="AEE194" s="119"/>
      <c r="AEF194" s="119"/>
      <c r="AEG194" s="119"/>
      <c r="AEH194" s="119"/>
      <c r="AEI194" s="119"/>
    </row>
    <row r="195" spans="1:815" ht="21.75" thickBot="1" x14ac:dyDescent="0.3">
      <c r="A195" s="299"/>
      <c r="B195" s="26" t="s">
        <v>124</v>
      </c>
      <c r="WQ195" s="126">
        <f t="shared" si="1894"/>
        <v>4.166666666666667</v>
      </c>
      <c r="WR195" s="127">
        <f t="shared" si="1895"/>
        <v>4.5764880952380951</v>
      </c>
      <c r="WS195" s="127">
        <f t="shared" si="1896"/>
        <v>5.0241666985544224</v>
      </c>
      <c r="WT195" s="127">
        <f t="shared" si="1897"/>
        <v>5.5050764092090345</v>
      </c>
      <c r="WU195" s="127">
        <f t="shared" si="1903"/>
        <v>6.0300868541293902</v>
      </c>
      <c r="WV195" s="127">
        <f t="shared" si="1904"/>
        <v>6.6009350763203054</v>
      </c>
      <c r="WW195" s="127">
        <f t="shared" si="1905"/>
        <v>7.210269669399942</v>
      </c>
      <c r="WX195" s="127">
        <f t="shared" si="1906"/>
        <v>7.8721226990531363</v>
      </c>
      <c r="WY195" s="127">
        <f t="shared" si="1907"/>
        <v>8.5768778193310791</v>
      </c>
      <c r="WZ195" s="127">
        <f t="shared" si="1908"/>
        <v>9.3389116079570709</v>
      </c>
      <c r="XA195" s="127">
        <f t="shared" si="1909"/>
        <v>10.159152963083063</v>
      </c>
      <c r="XB195" s="127">
        <f t="shared" si="1910"/>
        <v>11.026067349266151</v>
      </c>
      <c r="XC195" s="127">
        <f t="shared" si="1911"/>
        <v>11.955932362387598</v>
      </c>
      <c r="XD195" s="127">
        <f t="shared" si="1912"/>
        <v>12.935534820538635</v>
      </c>
      <c r="XE195" s="127">
        <f t="shared" si="1913"/>
        <v>13.982676967158632</v>
      </c>
      <c r="XF195" s="127">
        <f t="shared" si="1914"/>
        <v>15.080091582032725</v>
      </c>
      <c r="XG195" s="127">
        <f t="shared" si="1915"/>
        <v>16.246609634088035</v>
      </c>
      <c r="XH195" s="127">
        <f t="shared" si="1916"/>
        <v>17.462268647025983</v>
      </c>
      <c r="XI195" s="127">
        <f t="shared" si="1917"/>
        <v>18.749487307292473</v>
      </c>
      <c r="XJ195" s="127">
        <f t="shared" si="1918"/>
        <v>20.088903806807178</v>
      </c>
      <c r="XK195" s="127">
        <f t="shared" si="1919"/>
        <v>21.502032633967268</v>
      </c>
      <c r="XL195" s="127">
        <f t="shared" si="1920"/>
        <v>22.96747885809765</v>
      </c>
      <c r="XM195" s="127">
        <f t="shared" si="1921"/>
        <v>24.50453321244726</v>
      </c>
      <c r="XN195" s="127">
        <f t="shared" si="1922"/>
        <v>26.092872501581343</v>
      </c>
      <c r="XO195" s="127">
        <f t="shared" si="1923"/>
        <v>27.756490796833685</v>
      </c>
      <c r="XP195" s="127">
        <f t="shared" si="1924"/>
        <v>29.500944188125594</v>
      </c>
      <c r="XQ195" s="127">
        <f t="shared" si="1925"/>
        <v>31.300061471001431</v>
      </c>
      <c r="XR195" s="127">
        <f t="shared" si="1926"/>
        <v>33.180868149841011</v>
      </c>
      <c r="XS195" s="127">
        <f t="shared" si="1927"/>
        <v>35.115117581399382</v>
      </c>
      <c r="XT195" s="127">
        <f t="shared" si="1928"/>
        <v>37.131138449602076</v>
      </c>
      <c r="XU195" s="127">
        <f t="shared" si="1929"/>
        <v>39.23013986431193</v>
      </c>
      <c r="XV195" s="127">
        <f t="shared" si="1930"/>
        <v>41.380406371077548</v>
      </c>
      <c r="XW195" s="127">
        <f t="shared" si="1931"/>
        <v>43.612549450978278</v>
      </c>
      <c r="XX195" s="127">
        <f t="shared" si="1932"/>
        <v>45.927174901550487</v>
      </c>
      <c r="XY195" s="127">
        <f t="shared" si="1933"/>
        <v>48.289143896487367</v>
      </c>
      <c r="XZ195" s="127">
        <f t="shared" si="1934"/>
        <v>50.731194887824017</v>
      </c>
      <c r="YA195" s="127">
        <f t="shared" si="1935"/>
        <v>53.209163674739131</v>
      </c>
      <c r="YB195" s="127">
        <f t="shared" si="1936"/>
        <v>55.763203531126614</v>
      </c>
      <c r="YC195" s="127">
        <f t="shared" si="1937"/>
        <v>58.384859494322392</v>
      </c>
      <c r="YD195" s="127">
        <f t="shared" si="1938"/>
        <v>61.04137060131405</v>
      </c>
      <c r="YE195" s="127">
        <f t="shared" si="1939"/>
        <v>63.767885154839412</v>
      </c>
      <c r="YF195" s="127">
        <f t="shared" si="1940"/>
        <v>66.554187470077267</v>
      </c>
      <c r="YG195" s="127">
        <f t="shared" si="1941"/>
        <v>69.36587396538846</v>
      </c>
      <c r="YH195" s="127">
        <f t="shared" si="1942"/>
        <v>72.229829364452598</v>
      </c>
      <c r="YI195" s="127">
        <f t="shared" si="1943"/>
        <v>75.152663829419623</v>
      </c>
      <c r="YJ195" s="127">
        <f t="shared" si="1944"/>
        <v>78.089711177996406</v>
      </c>
      <c r="YK195" s="127">
        <f t="shared" si="1945"/>
        <v>81.078225530105684</v>
      </c>
      <c r="YL195" s="127">
        <f t="shared" si="1946"/>
        <v>84.115372032395584</v>
      </c>
      <c r="YM195" s="127">
        <f t="shared" si="1947"/>
        <v>87.154740808499469</v>
      </c>
      <c r="YN195" s="127">
        <f t="shared" si="1948"/>
        <v>90.234208317066447</v>
      </c>
      <c r="YO195" s="127">
        <f t="shared" si="1949"/>
        <v>93.306920568705493</v>
      </c>
      <c r="YP195" s="182">
        <f t="shared" si="1950"/>
        <v>46.560153363784046</v>
      </c>
      <c r="YQ195" s="182">
        <f t="shared" si="1951"/>
        <v>48.07213308091324</v>
      </c>
      <c r="YR195" s="182">
        <f t="shared" si="1952"/>
        <v>49.574231161337615</v>
      </c>
      <c r="YS195" s="182">
        <f t="shared" si="1953"/>
        <v>51.084635658798625</v>
      </c>
      <c r="YT195" s="182">
        <f t="shared" si="1954"/>
        <v>52.614520981255644</v>
      </c>
      <c r="YU195" s="182">
        <f t="shared" si="1955"/>
        <v>54.141691179993622</v>
      </c>
      <c r="YV195" s="182">
        <f t="shared" si="1956"/>
        <v>55.678482260410362</v>
      </c>
      <c r="YW195" s="182">
        <f t="shared" si="1957"/>
        <v>57.230341496745396</v>
      </c>
      <c r="YX195" s="182">
        <f t="shared" si="1958"/>
        <v>58.796104942310194</v>
      </c>
      <c r="YY195" s="182">
        <f t="shared" si="1959"/>
        <v>60.353085341542005</v>
      </c>
      <c r="YZ195" s="182">
        <f t="shared" si="1960"/>
        <v>61.920737634210916</v>
      </c>
      <c r="ZA195" s="182">
        <f t="shared" si="1961"/>
        <v>63.489918858814598</v>
      </c>
      <c r="ZB195" s="182">
        <f t="shared" si="1962"/>
        <v>65.066719122118315</v>
      </c>
      <c r="ZC195" s="182">
        <f t="shared" si="1901"/>
        <v>66.62832038104915</v>
      </c>
      <c r="ZD195" s="182">
        <f t="shared" si="1963"/>
        <v>68.202414450051435</v>
      </c>
      <c r="ZE195" s="182">
        <f t="shared" si="1964"/>
        <v>69.788120586015125</v>
      </c>
      <c r="ZF195" s="182">
        <f t="shared" si="1965"/>
        <v>71.384523844420229</v>
      </c>
      <c r="ZG195" s="182">
        <f t="shared" si="1966"/>
        <v>72.990675630919668</v>
      </c>
      <c r="ZH195" s="182">
        <f t="shared" si="1967"/>
        <v>74.583854822468638</v>
      </c>
      <c r="ZI195" s="182">
        <f t="shared" si="1968"/>
        <v>76.184184941992712</v>
      </c>
      <c r="ZJ195" s="182">
        <f t="shared" si="1969"/>
        <v>77.790636644226339</v>
      </c>
      <c r="ZK195" s="182">
        <f t="shared" si="1970"/>
        <v>79.402151314461051</v>
      </c>
      <c r="ZL195" s="182">
        <f t="shared" si="1971"/>
        <v>80.996004254261095</v>
      </c>
      <c r="ZM195" s="182">
        <f t="shared" si="1972"/>
        <v>82.592218191759684</v>
      </c>
      <c r="ZN195" s="182">
        <f t="shared" si="1973"/>
        <v>84.199744779979795</v>
      </c>
      <c r="ZO195" s="182">
        <f t="shared" si="1974"/>
        <v>85.818022801604783</v>
      </c>
      <c r="ZP195" s="182">
        <f t="shared" si="1975"/>
        <v>87.446472112327925</v>
      </c>
      <c r="ZQ195" s="182">
        <f t="shared" si="1976"/>
        <v>89.062651488476234</v>
      </c>
      <c r="ZR195" s="182">
        <f t="shared" si="1977"/>
        <v>90.687240095145555</v>
      </c>
      <c r="ZS195" s="182">
        <f t="shared" si="1978"/>
        <v>92.319610416858183</v>
      </c>
      <c r="ZT195" s="182">
        <f t="shared" si="1979"/>
        <v>93.95911771510454</v>
      </c>
      <c r="ZU195" s="182">
        <f t="shared" si="1980"/>
        <v>95.605100331463134</v>
      </c>
      <c r="ZV195" s="182">
        <f t="shared" si="1981"/>
        <v>97.256880016707925</v>
      </c>
      <c r="ZW195" s="182">
        <f t="shared" si="1982"/>
        <v>98.91376228590822</v>
      </c>
      <c r="ZX195" s="182">
        <f t="shared" si="1983"/>
        <v>100.56468008025162</v>
      </c>
      <c r="ZY195" s="182">
        <f t="shared" si="1984"/>
        <v>102.23118049301006</v>
      </c>
      <c r="ZZ195" s="182">
        <f t="shared" si="1985"/>
        <v>103.91312681969268</v>
      </c>
      <c r="AAA195" s="182">
        <f t="shared" si="1986"/>
        <v>105.61037455774766</v>
      </c>
      <c r="AAB195" s="182">
        <f t="shared" si="1987"/>
        <v>107.32277134521972</v>
      </c>
      <c r="AAC195" s="182">
        <f t="shared" si="1988"/>
        <v>109.05015690306182</v>
      </c>
      <c r="AAD195" s="182">
        <f t="shared" si="1989"/>
        <v>110.76930055306305</v>
      </c>
      <c r="AAE195" s="182">
        <f t="shared" si="1990"/>
        <v>112.50251431465804</v>
      </c>
      <c r="AAF195" s="182">
        <f t="shared" si="1991"/>
        <v>114.24961218401506</v>
      </c>
      <c r="AAG195" s="182">
        <f t="shared" si="1992"/>
        <v>116.01040032473342</v>
      </c>
      <c r="AAH195" s="182">
        <f t="shared" si="1993"/>
        <v>117.78467703558228</v>
      </c>
      <c r="AAI195" s="182">
        <f t="shared" si="1994"/>
        <v>119.57223272235758</v>
      </c>
      <c r="AAJ195" s="182">
        <f t="shared" si="1995"/>
        <v>121.37284987394132</v>
      </c>
      <c r="AAK195" s="182">
        <f t="shared" si="1996"/>
        <v>123.18630304264609</v>
      </c>
      <c r="AAL195" s="182">
        <f t="shared" si="1997"/>
        <v>124.98826082436294</v>
      </c>
      <c r="AAM195" s="182">
        <f t="shared" si="1998"/>
        <v>126.80204395818626</v>
      </c>
      <c r="AAN195" s="182">
        <f t="shared" si="1999"/>
        <v>128.62740361423548</v>
      </c>
      <c r="AAO195" s="183">
        <f t="shared" si="2000"/>
        <v>85.580099204671342</v>
      </c>
      <c r="AAP195" s="183">
        <f t="shared" si="2001"/>
        <v>86.792152237593314</v>
      </c>
      <c r="AAQ195" s="183">
        <f t="shared" si="2002"/>
        <v>88.011279213209733</v>
      </c>
      <c r="AAR195" s="183">
        <f t="shared" si="2003"/>
        <v>89.237296800389089</v>
      </c>
      <c r="AAS195" s="183">
        <f t="shared" si="2004"/>
        <v>90.470016667817731</v>
      </c>
      <c r="AAT195" s="183">
        <f t="shared" si="2005"/>
        <v>91.692921720706849</v>
      </c>
      <c r="AAU195" s="183">
        <f t="shared" si="2006"/>
        <v>92.921817660090127</v>
      </c>
      <c r="AAV195" s="183">
        <f t="shared" si="2007"/>
        <v>94.16718363010925</v>
      </c>
      <c r="AAW195" s="183">
        <f t="shared" si="2008"/>
        <v>95.418416552826571</v>
      </c>
      <c r="AAX195" s="183">
        <f t="shared" si="2009"/>
        <v>96.67530741914311</v>
      </c>
      <c r="AAY195" s="183">
        <f t="shared" si="2010"/>
        <v>97.937642467742506</v>
      </c>
      <c r="AAZ195" s="183">
        <f t="shared" si="2011"/>
        <v>99.205203219681337</v>
      </c>
      <c r="ABA195" s="183">
        <f t="shared" si="2012"/>
        <v>100.46105090589411</v>
      </c>
      <c r="ABB195" s="183">
        <f t="shared" si="2013"/>
        <v>101.7213804536226</v>
      </c>
      <c r="ABC195" s="183">
        <f t="shared" si="2014"/>
        <v>102.98596216062559</v>
      </c>
      <c r="ABD195" s="183">
        <f t="shared" si="2015"/>
        <v>104.2662649174861</v>
      </c>
      <c r="ABE195" s="183">
        <f t="shared" si="2016"/>
        <v>105.5506357262424</v>
      </c>
      <c r="ABF195" s="183">
        <f t="shared" si="2017"/>
        <v>106.8388332577195</v>
      </c>
      <c r="ABG195" s="183">
        <f t="shared" si="2018"/>
        <v>108.13061187801738</v>
      </c>
      <c r="ABH195" s="183">
        <f t="shared" si="2019"/>
        <v>109.40874000942945</v>
      </c>
      <c r="ABI195" s="183">
        <f t="shared" si="2020"/>
        <v>110.70197590257463</v>
      </c>
      <c r="ABJ195" s="183">
        <f t="shared" si="2021"/>
        <v>111.99805971033285</v>
      </c>
      <c r="ABK195" s="183">
        <f t="shared" si="2022"/>
        <v>113.2967338409066</v>
      </c>
      <c r="ABL195" s="183">
        <f t="shared" si="2023"/>
        <v>114.59773678456285</v>
      </c>
      <c r="ABM195" s="183">
        <f t="shared" si="2024"/>
        <v>115.90080318485475</v>
      </c>
      <c r="ABN195" s="183">
        <f t="shared" si="2025"/>
        <v>117.20566391284602</v>
      </c>
      <c r="ABO195" s="183">
        <f t="shared" si="1902"/>
        <v>118.49492621588733</v>
      </c>
      <c r="ABP195" s="183">
        <f t="shared" si="2026"/>
        <v>104.98650462727618</v>
      </c>
      <c r="ABQ195" s="183">
        <f t="shared" si="2027"/>
        <v>106.12969101099542</v>
      </c>
      <c r="ABR195" s="183">
        <f t="shared" si="2028"/>
        <v>92.112148806193915</v>
      </c>
      <c r="ABS195" s="183">
        <f t="shared" si="2029"/>
        <v>93.094678393460001</v>
      </c>
      <c r="ABT195" s="183">
        <f t="shared" si="2030"/>
        <v>94.077344443168741</v>
      </c>
      <c r="ABU195" s="183">
        <f t="shared" si="2031"/>
        <v>95.059930040686254</v>
      </c>
      <c r="ABV195" s="183">
        <f t="shared" si="2032"/>
        <v>96.029332404178092</v>
      </c>
      <c r="ABW195" s="183">
        <f t="shared" si="2033"/>
        <v>80.993179133302633</v>
      </c>
      <c r="ABX195" s="183">
        <f t="shared" si="2034"/>
        <v>81.810231204119916</v>
      </c>
      <c r="ABY195" s="183">
        <f t="shared" si="2035"/>
        <v>66.264489248277698</v>
      </c>
      <c r="ABZ195" s="183">
        <f t="shared" si="2036"/>
        <v>66.918395966354112</v>
      </c>
      <c r="ACA195" s="183">
        <f t="shared" si="2037"/>
        <v>67.571401852267556</v>
      </c>
      <c r="ACB195" s="183">
        <f t="shared" si="2038"/>
        <v>68.223354498710307</v>
      </c>
      <c r="ACC195" s="183">
        <f t="shared" si="2039"/>
        <v>68.881597413544029</v>
      </c>
      <c r="ACD195" s="183">
        <f t="shared" si="2040"/>
        <v>52.318222527794894</v>
      </c>
      <c r="ACE195" s="183">
        <f t="shared" si="2041"/>
        <v>52.811508625914108</v>
      </c>
      <c r="ACF195" s="183">
        <f t="shared" si="2042"/>
        <v>35.699806036119753</v>
      </c>
      <c r="ACG195" s="183">
        <f t="shared" si="2043"/>
        <v>36.028089035104067</v>
      </c>
      <c r="ACH195" s="183">
        <f t="shared" si="2044"/>
        <v>36.355474713727411</v>
      </c>
      <c r="ACI195" s="183">
        <f t="shared" si="2045"/>
        <v>36.685835331778243</v>
      </c>
      <c r="ACJ195" s="183">
        <f t="shared" si="2046"/>
        <v>37.015210331604855</v>
      </c>
      <c r="ACK195" s="183">
        <f t="shared" si="2047"/>
        <v>18.835913987874051</v>
      </c>
      <c r="ACL195" s="183">
        <f t="shared" si="2048"/>
        <v>19.002980355418675</v>
      </c>
      <c r="ACM195" s="183">
        <f t="shared" si="2049"/>
        <v>-3.8414937896748588E-2</v>
      </c>
      <c r="ACN195" s="119"/>
      <c r="ACO195" s="119"/>
      <c r="ACP195" s="119"/>
      <c r="ACQ195" s="119"/>
      <c r="ACR195" s="119"/>
      <c r="ACS195" s="119"/>
      <c r="ACT195" s="119"/>
      <c r="ACU195" s="119"/>
      <c r="ACV195" s="119"/>
      <c r="ACW195" s="119"/>
      <c r="ACX195" s="119"/>
      <c r="ACY195" s="119"/>
      <c r="ACZ195" s="119"/>
      <c r="ADA195" s="119"/>
      <c r="ADB195" s="119"/>
      <c r="ADC195" s="119"/>
      <c r="ADD195" s="119"/>
      <c r="ADE195" s="119"/>
      <c r="ADF195" s="119"/>
      <c r="ADG195" s="119"/>
      <c r="ADH195" s="119"/>
      <c r="ADI195" s="119"/>
      <c r="ADJ195" s="119"/>
      <c r="ADK195" s="119"/>
      <c r="ADL195" s="119"/>
      <c r="ADM195" s="119"/>
      <c r="ADN195" s="119"/>
      <c r="ADO195" s="119"/>
      <c r="ADP195" s="119"/>
      <c r="ADQ195" s="119"/>
      <c r="ADR195" s="119"/>
      <c r="ADS195" s="119"/>
      <c r="ADT195" s="119"/>
      <c r="ADU195" s="119"/>
      <c r="ADV195" s="119"/>
      <c r="ADW195" s="119"/>
      <c r="ADX195" s="119"/>
      <c r="ADY195" s="119"/>
      <c r="ADZ195" s="119"/>
      <c r="AEA195" s="119"/>
      <c r="AEB195" s="119"/>
      <c r="AEC195" s="119"/>
      <c r="AED195" s="119"/>
      <c r="AEE195" s="119"/>
      <c r="AEF195" s="119"/>
      <c r="AEG195" s="119"/>
      <c r="AEH195" s="119"/>
      <c r="AEI195" s="119"/>
    </row>
  </sheetData>
  <mergeCells count="51">
    <mergeCell ref="A170:A182"/>
    <mergeCell ref="A183:A195"/>
    <mergeCell ref="A105:A117"/>
    <mergeCell ref="A118:A130"/>
    <mergeCell ref="A131:A143"/>
    <mergeCell ref="E21:F21"/>
    <mergeCell ref="A21:B21"/>
    <mergeCell ref="A23:B23"/>
    <mergeCell ref="A144:A156"/>
    <mergeCell ref="A157:A169"/>
    <mergeCell ref="A53:A65"/>
    <mergeCell ref="A66:A78"/>
    <mergeCell ref="A79:A91"/>
    <mergeCell ref="A92:A104"/>
    <mergeCell ref="A27:A39"/>
    <mergeCell ref="A40:A52"/>
    <mergeCell ref="A19:B19"/>
    <mergeCell ref="C21:D21"/>
    <mergeCell ref="A13:B13"/>
    <mergeCell ref="A15:B15"/>
    <mergeCell ref="C16:D16"/>
    <mergeCell ref="A17:B17"/>
    <mergeCell ref="T15:T17"/>
    <mergeCell ref="A1:B1"/>
    <mergeCell ref="A2:B2"/>
    <mergeCell ref="A4:B4"/>
    <mergeCell ref="A8:B8"/>
    <mergeCell ref="A9:B9"/>
    <mergeCell ref="A6:B6"/>
    <mergeCell ref="A7:B7"/>
    <mergeCell ref="A3:B3"/>
    <mergeCell ref="A5:B5"/>
    <mergeCell ref="A10:B10"/>
    <mergeCell ref="A11:B11"/>
    <mergeCell ref="A12:B12"/>
    <mergeCell ref="E20:F20"/>
    <mergeCell ref="AD15:AD17"/>
    <mergeCell ref="AE15:AE17"/>
    <mergeCell ref="V15:V17"/>
    <mergeCell ref="U15:U17"/>
    <mergeCell ref="Y15:Y17"/>
    <mergeCell ref="W15:W17"/>
    <mergeCell ref="X15:X17"/>
    <mergeCell ref="Z15:Z17"/>
    <mergeCell ref="AA15:AA17"/>
    <mergeCell ref="I20:K20"/>
    <mergeCell ref="AB15:AB17"/>
    <mergeCell ref="AC15:AC17"/>
    <mergeCell ref="Q15:Q17"/>
    <mergeCell ref="S15:S17"/>
    <mergeCell ref="R15:R17"/>
  </mergeCells>
  <conditionalFormatting sqref="A39:B39 EZ39:XFD39 JN52:XFD52 JD65:XFD65 LG78:XFD78 NM91:XFD91 OX104:XFD104 A117:B117 A130:B130 A143:B143 A156:B156 A169:B169 A182:B182 A195:B195 A52:BA52 A65:CZ65 A78:EY78 A91:GX91 A104:IW104">
    <cfRule type="cellIs" dxfId="15" priority="30" operator="greaterThan">
      <formula>50</formula>
    </cfRule>
  </conditionalFormatting>
  <conditionalFormatting sqref="BB46:GX46 C33:EY33">
    <cfRule type="cellIs" dxfId="14" priority="19" operator="greaterThan">
      <formula>1.2</formula>
    </cfRule>
  </conditionalFormatting>
  <conditionalFormatting sqref="DA59:IW59">
    <cfRule type="cellIs" dxfId="13" priority="16" operator="greaterThan">
      <formula>1.2</formula>
    </cfRule>
  </conditionalFormatting>
  <conditionalFormatting sqref="EZ72:KV72">
    <cfRule type="cellIs" dxfId="12" priority="15" operator="greaterThan">
      <formula>1.2</formula>
    </cfRule>
  </conditionalFormatting>
  <conditionalFormatting sqref="GY85:MU85">
    <cfRule type="cellIs" dxfId="11" priority="14" operator="greaterThan">
      <formula>1.2</formula>
    </cfRule>
  </conditionalFormatting>
  <conditionalFormatting sqref="IX98:OT98">
    <cfRule type="cellIs" dxfId="10" priority="13" operator="greaterThan">
      <formula>1.2</formula>
    </cfRule>
  </conditionalFormatting>
  <conditionalFormatting sqref="KW111:QS111">
    <cfRule type="cellIs" dxfId="9" priority="12" operator="greaterThan">
      <formula>1.2</formula>
    </cfRule>
  </conditionalFormatting>
  <conditionalFormatting sqref="MV124:SR124">
    <cfRule type="cellIs" dxfId="8" priority="11" operator="greaterThan">
      <formula>1.2</formula>
    </cfRule>
  </conditionalFormatting>
  <conditionalFormatting sqref="OU137:UQ137">
    <cfRule type="cellIs" dxfId="7" priority="10" operator="greaterThan">
      <formula>1.2</formula>
    </cfRule>
  </conditionalFormatting>
  <conditionalFormatting sqref="QT150:WP150">
    <cfRule type="cellIs" dxfId="6" priority="9" operator="greaterThan">
      <formula>1.2</formula>
    </cfRule>
  </conditionalFormatting>
  <conditionalFormatting sqref="SS163:YO163">
    <cfRule type="cellIs" dxfId="5" priority="8" operator="greaterThan">
      <formula>1.2</formula>
    </cfRule>
  </conditionalFormatting>
  <conditionalFormatting sqref="UR176:AAN176">
    <cfRule type="cellIs" dxfId="4" priority="7" operator="greaterThan">
      <formula>1.2</formula>
    </cfRule>
  </conditionalFormatting>
  <conditionalFormatting sqref="WQ189:ACM189">
    <cfRule type="cellIs" dxfId="3" priority="6" operator="greaterThan">
      <formula>1.2</formula>
    </cfRule>
  </conditionalFormatting>
  <conditionalFormatting sqref="A3:XFD3">
    <cfRule type="top10" dxfId="2" priority="4" rank="10"/>
    <cfRule type="top10" dxfId="1" priority="5" rank="10"/>
  </conditionalFormatting>
  <conditionalFormatting sqref="A5:XFD5">
    <cfRule type="top10" dxfId="0" priority="1" percent="1" bottom="1" rank="10"/>
  </conditionalFormatting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3FB61-CC2D-41FB-8F0E-324869097CB1}">
  <dimension ref="A1:ET45"/>
  <sheetViews>
    <sheetView workbookViewId="0">
      <selection activeCell="N45" sqref="N45"/>
    </sheetView>
  </sheetViews>
  <sheetFormatPr baseColWidth="10" defaultColWidth="15.75" defaultRowHeight="15" customHeight="1" x14ac:dyDescent="0.25"/>
  <cols>
    <col min="1" max="1" width="16.75" bestFit="1" customWidth="1"/>
    <col min="2" max="3" width="15.75" style="11"/>
  </cols>
  <sheetData>
    <row r="1" spans="1:7" ht="15" customHeight="1" x14ac:dyDescent="0.25">
      <c r="A1" s="308" t="s">
        <v>34</v>
      </c>
      <c r="B1" s="308"/>
      <c r="C1" s="308"/>
      <c r="E1" s="312" t="s">
        <v>66</v>
      </c>
      <c r="F1" s="312"/>
      <c r="G1" s="312"/>
    </row>
    <row r="2" spans="1:7" ht="15" customHeight="1" x14ac:dyDescent="0.25">
      <c r="A2" s="303" t="s">
        <v>108</v>
      </c>
      <c r="B2" s="303"/>
      <c r="C2" s="79" t="s">
        <v>59</v>
      </c>
      <c r="E2" s="310" t="s">
        <v>77</v>
      </c>
      <c r="F2" s="310"/>
      <c r="G2" s="310"/>
    </row>
    <row r="3" spans="1:7" ht="15" customHeight="1" x14ac:dyDescent="0.25">
      <c r="A3" s="304" t="s">
        <v>100</v>
      </c>
      <c r="B3" s="304"/>
      <c r="C3" s="80">
        <v>0.6</v>
      </c>
      <c r="D3" s="37"/>
      <c r="E3" s="311"/>
      <c r="F3" s="311"/>
      <c r="G3" s="311"/>
    </row>
    <row r="4" spans="1:7" ht="15" customHeight="1" x14ac:dyDescent="0.25">
      <c r="A4" s="305" t="s">
        <v>101</v>
      </c>
      <c r="B4" s="305"/>
      <c r="C4" s="200">
        <f>C3*2</f>
        <v>1.2</v>
      </c>
      <c r="D4" s="37"/>
    </row>
    <row r="5" spans="1:7" ht="15" customHeight="1" x14ac:dyDescent="0.25">
      <c r="A5" s="306" t="s">
        <v>104</v>
      </c>
      <c r="B5" s="306"/>
      <c r="C5" s="81">
        <f>C3*3</f>
        <v>1.7999999999999998</v>
      </c>
      <c r="D5" s="37"/>
      <c r="E5" s="312" t="s">
        <v>78</v>
      </c>
      <c r="F5" s="312"/>
      <c r="G5" s="312"/>
    </row>
    <row r="6" spans="1:7" ht="15" customHeight="1" x14ac:dyDescent="0.25">
      <c r="E6" s="313" t="s">
        <v>79</v>
      </c>
      <c r="F6" s="313"/>
      <c r="G6" s="313"/>
    </row>
    <row r="7" spans="1:7" ht="15" customHeight="1" x14ac:dyDescent="0.25">
      <c r="E7" s="314"/>
      <c r="F7" s="314"/>
      <c r="G7" s="314"/>
    </row>
    <row r="8" spans="1:7" ht="15" customHeight="1" x14ac:dyDescent="0.25">
      <c r="A8" s="309" t="s">
        <v>83</v>
      </c>
      <c r="B8" s="309"/>
      <c r="C8" s="309"/>
      <c r="D8" s="51"/>
      <c r="E8" s="315" t="s">
        <v>80</v>
      </c>
      <c r="F8" s="315"/>
      <c r="G8" s="315"/>
    </row>
    <row r="9" spans="1:7" ht="26.25" x14ac:dyDescent="0.25">
      <c r="A9" s="59"/>
      <c r="B9" s="60" t="s">
        <v>51</v>
      </c>
      <c r="C9" s="60" t="s">
        <v>52</v>
      </c>
      <c r="D9" s="51"/>
      <c r="E9" s="315"/>
      <c r="F9" s="315"/>
      <c r="G9" s="315"/>
    </row>
    <row r="10" spans="1:7" ht="15" customHeight="1" x14ac:dyDescent="0.25">
      <c r="A10" s="52" t="s">
        <v>35</v>
      </c>
      <c r="B10" s="56">
        <v>3.3799999999999997E-2</v>
      </c>
      <c r="C10" s="53">
        <v>3.3799999999999997E-2</v>
      </c>
      <c r="D10" s="51"/>
      <c r="E10" s="315" t="s">
        <v>81</v>
      </c>
      <c r="F10" s="315"/>
      <c r="G10" s="315"/>
    </row>
    <row r="11" spans="1:7" ht="15" customHeight="1" x14ac:dyDescent="0.25">
      <c r="A11" s="52" t="s">
        <v>36</v>
      </c>
      <c r="B11" s="57">
        <v>2.7699999999999999E-2</v>
      </c>
      <c r="C11" s="53">
        <v>2.7799999999999998E-2</v>
      </c>
      <c r="D11" s="51"/>
      <c r="E11" s="315"/>
      <c r="F11" s="315"/>
      <c r="G11" s="315"/>
    </row>
    <row r="12" spans="1:7" ht="15" customHeight="1" x14ac:dyDescent="0.25">
      <c r="A12" s="52" t="s">
        <v>37</v>
      </c>
      <c r="B12" s="57">
        <v>2.6100000000000002E-2</v>
      </c>
      <c r="C12" s="53">
        <v>2.7799999999999998E-2</v>
      </c>
      <c r="D12" s="51"/>
      <c r="E12" s="315"/>
      <c r="F12" s="315"/>
      <c r="G12" s="315"/>
    </row>
    <row r="13" spans="1:7" ht="15" customHeight="1" x14ac:dyDescent="0.25">
      <c r="A13" s="52" t="s">
        <v>38</v>
      </c>
      <c r="B13" s="57">
        <v>2.0799999999999999E-2</v>
      </c>
      <c r="C13" s="53">
        <v>2.23E-2</v>
      </c>
      <c r="D13" s="51"/>
    </row>
    <row r="14" spans="1:7" ht="15" customHeight="1" x14ac:dyDescent="0.25">
      <c r="A14" s="52" t="s">
        <v>39</v>
      </c>
      <c r="B14" s="57">
        <v>1.67E-2</v>
      </c>
      <c r="C14" s="53">
        <v>1.78E-2</v>
      </c>
      <c r="D14" s="51"/>
      <c r="E14" s="229"/>
      <c r="F14" s="229"/>
      <c r="G14" s="229"/>
    </row>
    <row r="15" spans="1:7" ht="15" customHeight="1" x14ac:dyDescent="0.25">
      <c r="A15" s="52" t="s">
        <v>40</v>
      </c>
      <c r="B15" s="57">
        <v>1.3299999999999999E-2</v>
      </c>
      <c r="C15" s="53">
        <v>1.43E-2</v>
      </c>
      <c r="D15" s="51"/>
      <c r="E15" s="226"/>
      <c r="F15" s="226"/>
      <c r="G15" s="226"/>
    </row>
    <row r="16" spans="1:7" ht="15" customHeight="1" x14ac:dyDescent="0.25">
      <c r="A16" s="52" t="s">
        <v>41</v>
      </c>
      <c r="B16" s="57">
        <v>1.0699999999999999E-2</v>
      </c>
      <c r="C16" s="53">
        <v>1.14E-2</v>
      </c>
      <c r="D16" s="51"/>
      <c r="E16" s="226"/>
      <c r="F16" s="226"/>
      <c r="G16" s="226"/>
    </row>
    <row r="17" spans="1:7" ht="15" customHeight="1" x14ac:dyDescent="0.25">
      <c r="A17" s="52"/>
      <c r="B17" s="58"/>
      <c r="C17" s="52"/>
      <c r="D17" s="51"/>
      <c r="E17" s="226"/>
      <c r="F17" s="227"/>
      <c r="G17" s="227"/>
    </row>
    <row r="18" spans="1:7" ht="15" customHeight="1" x14ac:dyDescent="0.25">
      <c r="A18" s="50"/>
      <c r="B18" s="50"/>
      <c r="C18" s="50"/>
      <c r="D18" s="50"/>
      <c r="E18" s="227"/>
      <c r="F18" s="227"/>
      <c r="G18" s="227"/>
    </row>
    <row r="19" spans="1:7" ht="15" customHeight="1" x14ac:dyDescent="0.25">
      <c r="A19" s="302" t="s">
        <v>84</v>
      </c>
      <c r="B19" s="302"/>
      <c r="C19" s="302"/>
    </row>
    <row r="20" spans="1:7" ht="39" x14ac:dyDescent="0.25">
      <c r="A20" s="61"/>
      <c r="B20" s="82" t="s">
        <v>50</v>
      </c>
      <c r="C20" s="62" t="s">
        <v>49</v>
      </c>
      <c r="E20" s="228"/>
      <c r="F20" s="228"/>
      <c r="G20" s="228"/>
    </row>
    <row r="21" spans="1:7" ht="15" customHeight="1" x14ac:dyDescent="0.25">
      <c r="A21" s="54" t="s">
        <v>35</v>
      </c>
      <c r="B21" s="63">
        <v>4.9000000000000002E-2</v>
      </c>
      <c r="C21" s="55">
        <v>5.67E-2</v>
      </c>
      <c r="E21" s="95"/>
      <c r="F21" s="307"/>
      <c r="G21" s="307"/>
    </row>
    <row r="22" spans="1:7" ht="15" customHeight="1" x14ac:dyDescent="0.25">
      <c r="A22" s="54" t="s">
        <v>42</v>
      </c>
      <c r="B22" s="64">
        <v>4.2200000000000001E-2</v>
      </c>
      <c r="C22" s="55">
        <v>4.82E-2</v>
      </c>
      <c r="E22" s="95"/>
      <c r="F22" s="307"/>
      <c r="G22" s="307"/>
    </row>
    <row r="23" spans="1:7" ht="15" customHeight="1" x14ac:dyDescent="0.25">
      <c r="A23" s="54" t="s">
        <v>43</v>
      </c>
      <c r="B23" s="64">
        <v>4.2200000000000001E-2</v>
      </c>
      <c r="C23" s="55">
        <v>4.6399999999999997E-2</v>
      </c>
      <c r="E23" s="10"/>
      <c r="F23" s="10"/>
      <c r="G23" s="10"/>
    </row>
    <row r="24" spans="1:7" ht="15" customHeight="1" x14ac:dyDescent="0.25">
      <c r="A24" s="54" t="s">
        <v>44</v>
      </c>
      <c r="B24" s="64">
        <v>3.4099999999999998E-2</v>
      </c>
      <c r="C24" s="55">
        <v>3.7100000000000001E-2</v>
      </c>
    </row>
    <row r="25" spans="1:7" ht="15" customHeight="1" x14ac:dyDescent="0.25">
      <c r="A25" s="54" t="s">
        <v>45</v>
      </c>
      <c r="B25" s="64">
        <v>2.7900000000000001E-2</v>
      </c>
      <c r="C25" s="55">
        <v>2.9700000000000001E-2</v>
      </c>
    </row>
    <row r="26" spans="1:7" ht="15" customHeight="1" x14ac:dyDescent="0.25">
      <c r="A26" s="54" t="s">
        <v>46</v>
      </c>
      <c r="B26" s="64">
        <v>2.23E-2</v>
      </c>
      <c r="C26" s="55">
        <v>2.3699999999999999E-2</v>
      </c>
    </row>
    <row r="27" spans="1:7" ht="15" customHeight="1" x14ac:dyDescent="0.25">
      <c r="A27" s="54" t="s">
        <v>47</v>
      </c>
      <c r="B27" s="64">
        <v>1.7299999999999999E-2</v>
      </c>
      <c r="C27" s="55">
        <v>1.9E-2</v>
      </c>
    </row>
    <row r="28" spans="1:7" ht="15" customHeight="1" x14ac:dyDescent="0.25">
      <c r="A28" s="54" t="s">
        <v>48</v>
      </c>
      <c r="B28" s="64">
        <v>1.3899999999999999E-2</v>
      </c>
      <c r="C28" s="55">
        <v>1.52E-2</v>
      </c>
    </row>
    <row r="29" spans="1:7" ht="15" customHeight="1" x14ac:dyDescent="0.25">
      <c r="A29" s="76" t="s">
        <v>58</v>
      </c>
      <c r="B29" s="77">
        <v>1.12E-2</v>
      </c>
      <c r="C29" s="78">
        <v>1.12E-2</v>
      </c>
    </row>
    <row r="32" spans="1:7" ht="15" customHeight="1" x14ac:dyDescent="0.25">
      <c r="A32" s="302" t="s">
        <v>85</v>
      </c>
      <c r="B32" s="302"/>
      <c r="C32" s="302"/>
      <c r="D32" s="302"/>
      <c r="E32" s="302"/>
      <c r="F32" s="302"/>
      <c r="G32" s="302"/>
    </row>
    <row r="33" spans="1:150" s="107" customFormat="1" ht="63.75" x14ac:dyDescent="0.25">
      <c r="A33" s="106"/>
      <c r="B33" s="106" t="s">
        <v>86</v>
      </c>
      <c r="C33" s="106" t="s">
        <v>87</v>
      </c>
      <c r="D33" s="106" t="s">
        <v>88</v>
      </c>
      <c r="E33" s="106" t="s">
        <v>95</v>
      </c>
      <c r="F33" s="106" t="s">
        <v>96</v>
      </c>
      <c r="G33" s="106" t="s">
        <v>97</v>
      </c>
    </row>
    <row r="34" spans="1:150" ht="15" customHeight="1" x14ac:dyDescent="0.25">
      <c r="A34" s="54" t="s">
        <v>98</v>
      </c>
      <c r="B34" s="63">
        <v>4.9000000000000002E-2</v>
      </c>
      <c r="C34" s="55">
        <v>5.67E-2</v>
      </c>
      <c r="D34" s="55">
        <v>5.67E-2</v>
      </c>
      <c r="E34" s="55"/>
      <c r="F34" s="55"/>
      <c r="G34" s="55"/>
    </row>
    <row r="35" spans="1:150" ht="15" customHeight="1" x14ac:dyDescent="0.25">
      <c r="A35" s="54" t="s">
        <v>99</v>
      </c>
      <c r="B35" s="64">
        <v>4.2200000000000001E-2</v>
      </c>
      <c r="C35" s="55">
        <v>4.82E-2</v>
      </c>
      <c r="D35" s="55">
        <v>4.82E-2</v>
      </c>
      <c r="E35" s="55"/>
      <c r="F35" s="55"/>
      <c r="G35" s="55"/>
    </row>
    <row r="36" spans="1:150" ht="15" customHeight="1" x14ac:dyDescent="0.25">
      <c r="A36" s="54" t="s">
        <v>89</v>
      </c>
      <c r="B36" s="64"/>
      <c r="C36" s="55"/>
      <c r="D36" s="55"/>
      <c r="E36" s="55">
        <v>4.2099999999999999E-2</v>
      </c>
      <c r="F36" s="55">
        <v>4.2700000000000002E-2</v>
      </c>
      <c r="G36" s="55">
        <v>4.6399999999999997E-2</v>
      </c>
    </row>
    <row r="37" spans="1:150" ht="15" customHeight="1" x14ac:dyDescent="0.25">
      <c r="A37" s="54" t="s">
        <v>90</v>
      </c>
      <c r="B37" s="64"/>
      <c r="C37" s="55"/>
      <c r="D37" s="55"/>
      <c r="E37" s="55">
        <v>3.3700000000000001E-2</v>
      </c>
      <c r="F37" s="55">
        <v>3.4099999999999998E-2</v>
      </c>
      <c r="G37" s="55">
        <v>3.7100000000000001E-2</v>
      </c>
    </row>
    <row r="38" spans="1:150" ht="15" customHeight="1" x14ac:dyDescent="0.25">
      <c r="A38" s="54" t="s">
        <v>91</v>
      </c>
      <c r="B38" s="64"/>
      <c r="C38" s="55"/>
      <c r="D38" s="55"/>
      <c r="E38" s="55">
        <v>2.8199999999999999E-2</v>
      </c>
      <c r="F38" s="55">
        <v>2.7900000000000001E-2</v>
      </c>
      <c r="G38" s="55">
        <v>2.9700000000000001E-2</v>
      </c>
    </row>
    <row r="39" spans="1:150" ht="15" customHeight="1" x14ac:dyDescent="0.25">
      <c r="A39" s="54" t="s">
        <v>92</v>
      </c>
      <c r="B39" s="64"/>
      <c r="C39" s="55"/>
      <c r="D39" s="55"/>
      <c r="E39" s="55">
        <v>2.2599999999999999E-2</v>
      </c>
      <c r="F39" s="55">
        <v>2.23E-2</v>
      </c>
      <c r="G39" s="55">
        <v>2.3699999999999999E-2</v>
      </c>
    </row>
    <row r="40" spans="1:150" ht="15" customHeight="1" x14ac:dyDescent="0.25">
      <c r="A40" s="54" t="s">
        <v>93</v>
      </c>
      <c r="B40" s="64"/>
      <c r="C40" s="55"/>
      <c r="D40" s="55"/>
      <c r="E40" s="55">
        <v>1.7999999999999999E-2</v>
      </c>
      <c r="F40" s="55">
        <v>1.7299999999999999E-2</v>
      </c>
      <c r="G40" s="55">
        <v>1.9E-2</v>
      </c>
    </row>
    <row r="41" spans="1:150" ht="15" customHeight="1" x14ac:dyDescent="0.25">
      <c r="A41" s="54" t="s">
        <v>94</v>
      </c>
      <c r="B41" s="64"/>
      <c r="C41" s="55"/>
      <c r="D41" s="55"/>
      <c r="E41" s="55">
        <v>1.44E-2</v>
      </c>
      <c r="F41" s="55">
        <v>1.3899999999999999E-2</v>
      </c>
      <c r="G41" s="55">
        <v>1.52E-2</v>
      </c>
    </row>
    <row r="42" spans="1:150" ht="15" customHeight="1" x14ac:dyDescent="0.25">
      <c r="A42" s="76" t="s">
        <v>58</v>
      </c>
      <c r="B42" s="77"/>
      <c r="C42" s="78"/>
      <c r="D42" s="78"/>
      <c r="E42" s="78"/>
      <c r="F42" s="78"/>
      <c r="G42" s="78"/>
    </row>
    <row r="45" spans="1:150" ht="15" customHeight="1" x14ac:dyDescent="0.25">
      <c r="C45"/>
      <c r="D45" s="11"/>
      <c r="F45" s="11"/>
      <c r="H45" s="11"/>
      <c r="J45" s="11"/>
      <c r="L45" s="11"/>
      <c r="N45" s="11"/>
      <c r="O45">
        <v>150</v>
      </c>
      <c r="P45" s="11">
        <v>160</v>
      </c>
      <c r="Q45">
        <v>170</v>
      </c>
      <c r="R45" s="11">
        <v>180</v>
      </c>
      <c r="S45">
        <v>190</v>
      </c>
      <c r="T45" s="11">
        <v>200</v>
      </c>
      <c r="U45">
        <v>210</v>
      </c>
      <c r="V45" s="11">
        <v>220</v>
      </c>
      <c r="W45">
        <v>230</v>
      </c>
      <c r="X45" s="11">
        <v>240</v>
      </c>
      <c r="Y45">
        <v>250</v>
      </c>
      <c r="Z45" s="11">
        <v>260</v>
      </c>
      <c r="AA45">
        <v>270</v>
      </c>
      <c r="AB45" s="11">
        <v>280</v>
      </c>
      <c r="AC45">
        <v>290</v>
      </c>
      <c r="AD45" s="11">
        <v>300</v>
      </c>
      <c r="AE45">
        <v>310</v>
      </c>
      <c r="AF45" s="11">
        <v>320</v>
      </c>
      <c r="AG45">
        <v>330</v>
      </c>
      <c r="AH45" s="11">
        <v>340</v>
      </c>
      <c r="AI45">
        <v>350</v>
      </c>
      <c r="AJ45" s="11">
        <v>360</v>
      </c>
      <c r="AK45">
        <v>370</v>
      </c>
      <c r="AL45" s="11">
        <v>380</v>
      </c>
      <c r="AM45">
        <v>390</v>
      </c>
      <c r="AN45" s="11">
        <v>400</v>
      </c>
      <c r="AO45">
        <v>410</v>
      </c>
      <c r="AP45" s="11">
        <v>420</v>
      </c>
      <c r="AQ45">
        <v>430</v>
      </c>
      <c r="AR45" s="11">
        <v>440</v>
      </c>
      <c r="AS45">
        <v>450</v>
      </c>
      <c r="AT45" s="11">
        <v>460</v>
      </c>
      <c r="AU45">
        <v>470</v>
      </c>
      <c r="AV45" s="11">
        <v>480</v>
      </c>
      <c r="AW45">
        <v>490</v>
      </c>
      <c r="AX45" s="11">
        <v>500</v>
      </c>
      <c r="AY45">
        <v>510</v>
      </c>
      <c r="AZ45" s="11">
        <v>520</v>
      </c>
      <c r="BA45">
        <v>530</v>
      </c>
      <c r="BB45" s="11">
        <v>540</v>
      </c>
      <c r="BC45">
        <v>550</v>
      </c>
      <c r="BD45" s="11">
        <v>560</v>
      </c>
      <c r="BE45">
        <v>570</v>
      </c>
      <c r="BF45" s="11">
        <v>580</v>
      </c>
      <c r="BG45">
        <v>590</v>
      </c>
      <c r="BH45" s="11">
        <v>600</v>
      </c>
      <c r="BI45">
        <v>610</v>
      </c>
      <c r="BJ45" s="11">
        <v>620</v>
      </c>
      <c r="BK45">
        <v>630</v>
      </c>
      <c r="BL45" s="11">
        <v>640</v>
      </c>
      <c r="BM45">
        <v>650</v>
      </c>
      <c r="BN45" s="11">
        <v>660</v>
      </c>
      <c r="BO45">
        <v>670</v>
      </c>
      <c r="BP45" s="11">
        <v>680</v>
      </c>
      <c r="BQ45">
        <v>690</v>
      </c>
      <c r="BR45" s="11">
        <v>700</v>
      </c>
      <c r="BS45">
        <v>710</v>
      </c>
      <c r="BT45" s="11">
        <v>720</v>
      </c>
      <c r="BU45">
        <v>730</v>
      </c>
      <c r="BV45" s="11">
        <v>740</v>
      </c>
      <c r="BW45">
        <v>750</v>
      </c>
      <c r="BX45" s="11">
        <v>760</v>
      </c>
      <c r="BY45">
        <v>770</v>
      </c>
      <c r="BZ45" s="11">
        <v>780</v>
      </c>
      <c r="CA45">
        <v>790</v>
      </c>
      <c r="CB45" s="11">
        <v>800</v>
      </c>
      <c r="CC45">
        <v>810</v>
      </c>
      <c r="CD45" s="11">
        <v>820</v>
      </c>
      <c r="CE45">
        <v>830</v>
      </c>
      <c r="CF45" s="11">
        <v>840</v>
      </c>
      <c r="CG45">
        <v>850</v>
      </c>
      <c r="CH45" s="11">
        <v>860</v>
      </c>
      <c r="CI45">
        <v>870</v>
      </c>
      <c r="CJ45" s="11">
        <v>880</v>
      </c>
      <c r="CK45">
        <v>890</v>
      </c>
      <c r="CL45" s="11">
        <v>900</v>
      </c>
      <c r="CM45">
        <v>910</v>
      </c>
      <c r="CN45" s="11">
        <v>920</v>
      </c>
      <c r="CO45">
        <v>930</v>
      </c>
      <c r="CP45" s="11">
        <v>940</v>
      </c>
      <c r="CQ45">
        <v>950</v>
      </c>
      <c r="CR45" s="11">
        <v>960</v>
      </c>
      <c r="CS45">
        <v>970</v>
      </c>
      <c r="CT45" s="11">
        <v>980</v>
      </c>
      <c r="CU45">
        <v>990</v>
      </c>
      <c r="CV45" s="11">
        <v>1000</v>
      </c>
      <c r="CW45">
        <v>1010</v>
      </c>
      <c r="CX45" s="11">
        <v>1020</v>
      </c>
      <c r="CY45">
        <v>1030</v>
      </c>
      <c r="CZ45" s="11">
        <v>1040</v>
      </c>
      <c r="DA45">
        <v>1050</v>
      </c>
      <c r="DB45" s="11">
        <v>1060</v>
      </c>
      <c r="DC45">
        <v>1070</v>
      </c>
      <c r="DD45" s="11">
        <v>1080</v>
      </c>
      <c r="DE45">
        <v>1090</v>
      </c>
      <c r="DF45" s="11">
        <v>1100</v>
      </c>
      <c r="DG45">
        <v>1110</v>
      </c>
      <c r="DH45" s="11">
        <v>1120</v>
      </c>
      <c r="DI45">
        <v>1130</v>
      </c>
      <c r="DJ45" s="11">
        <v>1140</v>
      </c>
      <c r="DK45">
        <v>1150</v>
      </c>
      <c r="DL45" s="11">
        <v>1160</v>
      </c>
      <c r="DM45">
        <v>1170</v>
      </c>
      <c r="DN45" s="11">
        <v>1180</v>
      </c>
      <c r="DO45">
        <v>1190</v>
      </c>
      <c r="DP45" s="11">
        <v>1200</v>
      </c>
      <c r="DQ45">
        <v>1210</v>
      </c>
      <c r="DR45" s="11">
        <v>1220</v>
      </c>
      <c r="DS45">
        <v>1230</v>
      </c>
      <c r="DT45" s="11">
        <v>1240</v>
      </c>
      <c r="DU45">
        <v>1250</v>
      </c>
      <c r="DV45" s="11">
        <v>1260</v>
      </c>
      <c r="DW45">
        <v>1270</v>
      </c>
      <c r="DX45" s="11">
        <v>1280</v>
      </c>
      <c r="DY45">
        <v>1290</v>
      </c>
      <c r="DZ45" s="11">
        <v>1300</v>
      </c>
      <c r="EA45">
        <v>1310</v>
      </c>
      <c r="EB45" s="11">
        <v>1320</v>
      </c>
      <c r="EC45">
        <v>1330</v>
      </c>
      <c r="ED45" s="11">
        <v>1340</v>
      </c>
      <c r="EE45">
        <v>1350</v>
      </c>
      <c r="EF45" s="11">
        <v>1360</v>
      </c>
      <c r="EG45">
        <v>1370</v>
      </c>
      <c r="EH45" s="11">
        <v>1380</v>
      </c>
      <c r="EI45">
        <v>1390</v>
      </c>
      <c r="EJ45" s="11">
        <v>1400</v>
      </c>
      <c r="EK45">
        <v>1410</v>
      </c>
      <c r="EL45" s="11">
        <v>1420</v>
      </c>
      <c r="EM45">
        <v>1430</v>
      </c>
      <c r="EN45" s="11">
        <v>1440</v>
      </c>
      <c r="EO45">
        <v>1450</v>
      </c>
      <c r="EP45" s="11">
        <v>1460</v>
      </c>
      <c r="EQ45">
        <v>1470</v>
      </c>
      <c r="ER45" s="11">
        <v>1480</v>
      </c>
      <c r="ES45">
        <v>1490</v>
      </c>
      <c r="ET45" s="11">
        <v>1500</v>
      </c>
    </row>
  </sheetData>
  <mergeCells count="16">
    <mergeCell ref="A1:C1"/>
    <mergeCell ref="A8:C8"/>
    <mergeCell ref="A19:C19"/>
    <mergeCell ref="E2:G3"/>
    <mergeCell ref="E1:G1"/>
    <mergeCell ref="E5:G5"/>
    <mergeCell ref="E6:G7"/>
    <mergeCell ref="E8:G9"/>
    <mergeCell ref="E10:G12"/>
    <mergeCell ref="A32:G32"/>
    <mergeCell ref="A2:B2"/>
    <mergeCell ref="A3:B3"/>
    <mergeCell ref="A4:B4"/>
    <mergeCell ref="A5:B5"/>
    <mergeCell ref="F21:G21"/>
    <mergeCell ref="F22:G22"/>
  </mergeCells>
  <conditionalFormatting sqref="C3:C5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{F59B3855-DF6B-4416-98B6-84D4E276F1F4}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59B3855-DF6B-4416-98B6-84D4E276F1F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C3:C5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177B3-0BB3-403C-9044-BFA27BC801B7}">
  <dimension ref="A1:FP182"/>
  <sheetViews>
    <sheetView topLeftCell="A163" workbookViewId="0">
      <selection activeCell="O7" sqref="O7"/>
    </sheetView>
  </sheetViews>
  <sheetFormatPr baseColWidth="10" defaultColWidth="9" defaultRowHeight="15.75" x14ac:dyDescent="0.25"/>
  <cols>
    <col min="1" max="1" width="6.375" style="260" bestFit="1" customWidth="1"/>
    <col min="2" max="2" width="13.625" style="260" bestFit="1" customWidth="1"/>
    <col min="3" max="3" width="22.375" style="260" bestFit="1" customWidth="1"/>
    <col min="4" max="4" width="5" style="260" bestFit="1" customWidth="1"/>
    <col min="5" max="5" width="15.25" style="260" bestFit="1" customWidth="1"/>
    <col min="6" max="6" width="20.5" style="260" bestFit="1" customWidth="1"/>
    <col min="15" max="15" width="22.375" bestFit="1" customWidth="1"/>
  </cols>
  <sheetData>
    <row r="1" spans="1:6" x14ac:dyDescent="0.25">
      <c r="A1" s="256" t="s">
        <v>151</v>
      </c>
      <c r="B1" s="257" t="s">
        <v>265</v>
      </c>
      <c r="C1" s="257" t="s">
        <v>263</v>
      </c>
      <c r="D1" s="257" t="s">
        <v>13</v>
      </c>
      <c r="E1" s="257" t="s">
        <v>266</v>
      </c>
      <c r="F1" s="258" t="s">
        <v>264</v>
      </c>
    </row>
    <row r="2" spans="1:6" x14ac:dyDescent="0.25">
      <c r="A2" s="265" t="s">
        <v>152</v>
      </c>
      <c r="B2" s="261">
        <v>7.5</v>
      </c>
      <c r="C2" s="263">
        <v>5.6799999999999996E-2</v>
      </c>
      <c r="D2" s="261">
        <v>0.55000000000000004</v>
      </c>
      <c r="E2" s="263">
        <v>0.10400000000000001</v>
      </c>
      <c r="F2" s="259" t="s">
        <v>153</v>
      </c>
    </row>
    <row r="3" spans="1:6" x14ac:dyDescent="0.25">
      <c r="A3" s="266" t="s">
        <v>154</v>
      </c>
      <c r="B3" s="262">
        <v>8.3000000000000007</v>
      </c>
      <c r="C3" s="264">
        <v>5.6600000000000004E-2</v>
      </c>
      <c r="D3" s="262">
        <v>0.55000000000000004</v>
      </c>
      <c r="E3" s="264">
        <v>0.10300000000000001</v>
      </c>
      <c r="F3" s="258" t="s">
        <v>155</v>
      </c>
    </row>
    <row r="4" spans="1:6" x14ac:dyDescent="0.25">
      <c r="A4" s="265" t="s">
        <v>156</v>
      </c>
      <c r="B4" s="261">
        <v>9.1</v>
      </c>
      <c r="C4" s="263">
        <v>5.6399999999999999E-2</v>
      </c>
      <c r="D4" s="261">
        <v>0.55000000000000004</v>
      </c>
      <c r="E4" s="263">
        <v>0.10199999999999999</v>
      </c>
      <c r="F4" s="259" t="s">
        <v>155</v>
      </c>
    </row>
    <row r="5" spans="1:6" x14ac:dyDescent="0.25">
      <c r="A5" s="266" t="s">
        <v>157</v>
      </c>
      <c r="B5" s="262">
        <v>10.1</v>
      </c>
      <c r="C5" s="264">
        <v>5.62E-2</v>
      </c>
      <c r="D5" s="262">
        <v>0.56000000000000005</v>
      </c>
      <c r="E5" s="264">
        <v>0.10099999999999999</v>
      </c>
      <c r="F5" s="258" t="s">
        <v>155</v>
      </c>
    </row>
    <row r="6" spans="1:6" x14ac:dyDescent="0.25">
      <c r="A6" s="265" t="s">
        <v>158</v>
      </c>
      <c r="B6" s="261">
        <v>11.1</v>
      </c>
      <c r="C6" s="263">
        <v>5.5899999999999998E-2</v>
      </c>
      <c r="D6" s="261">
        <v>0.56000000000000005</v>
      </c>
      <c r="E6" s="263">
        <v>0.1</v>
      </c>
      <c r="F6" s="259" t="s">
        <v>155</v>
      </c>
    </row>
    <row r="7" spans="1:6" x14ac:dyDescent="0.25">
      <c r="A7" s="266" t="s">
        <v>159</v>
      </c>
      <c r="B7" s="262">
        <v>12.2</v>
      </c>
      <c r="C7" s="264">
        <v>5.57E-2</v>
      </c>
      <c r="D7" s="262">
        <v>0.56999999999999995</v>
      </c>
      <c r="E7" s="264">
        <v>9.9000000000000005E-2</v>
      </c>
      <c r="F7" s="258" t="s">
        <v>155</v>
      </c>
    </row>
    <row r="8" spans="1:6" x14ac:dyDescent="0.25">
      <c r="A8" s="265" t="s">
        <v>160</v>
      </c>
      <c r="B8" s="261">
        <v>13.4</v>
      </c>
      <c r="C8" s="263">
        <v>5.5500000000000001E-2</v>
      </c>
      <c r="D8" s="261">
        <v>0.56999999999999995</v>
      </c>
      <c r="E8" s="263">
        <v>9.8000000000000004E-2</v>
      </c>
      <c r="F8" s="259" t="s">
        <v>161</v>
      </c>
    </row>
    <row r="9" spans="1:6" x14ac:dyDescent="0.25">
      <c r="A9" s="266" t="s">
        <v>162</v>
      </c>
      <c r="B9" s="262">
        <v>14.7</v>
      </c>
      <c r="C9" s="264">
        <v>5.5099999999999996E-2</v>
      </c>
      <c r="D9" s="262">
        <v>0.56999999999999995</v>
      </c>
      <c r="E9" s="264">
        <v>9.6000000000000002E-2</v>
      </c>
      <c r="F9" s="258" t="s">
        <v>155</v>
      </c>
    </row>
    <row r="10" spans="1:6" x14ac:dyDescent="0.25">
      <c r="A10" s="265" t="s">
        <v>163</v>
      </c>
      <c r="B10" s="261">
        <v>16.100000000000001</v>
      </c>
      <c r="C10" s="263">
        <v>5.4699999999999999E-2</v>
      </c>
      <c r="D10" s="261">
        <v>0.57999999999999996</v>
      </c>
      <c r="E10" s="263">
        <v>9.5000000000000001E-2</v>
      </c>
      <c r="F10" s="259" t="s">
        <v>155</v>
      </c>
    </row>
    <row r="11" spans="1:6" x14ac:dyDescent="0.25">
      <c r="A11" s="266" t="s">
        <v>164</v>
      </c>
      <c r="B11" s="262">
        <v>17.7</v>
      </c>
      <c r="C11" s="264">
        <v>5.4400000000000004E-2</v>
      </c>
      <c r="D11" s="262">
        <v>0.57999999999999996</v>
      </c>
      <c r="E11" s="264">
        <v>9.4E-2</v>
      </c>
      <c r="F11" s="258" t="s">
        <v>155</v>
      </c>
    </row>
    <row r="12" spans="1:6" x14ac:dyDescent="0.25">
      <c r="A12" s="265" t="s">
        <v>165</v>
      </c>
      <c r="B12" s="261">
        <v>19.3</v>
      </c>
      <c r="C12" s="263">
        <v>5.4000000000000006E-2</v>
      </c>
      <c r="D12" s="261">
        <v>0.59</v>
      </c>
      <c r="E12" s="263">
        <v>9.1999999999999998E-2</v>
      </c>
      <c r="F12" s="259" t="s">
        <v>155</v>
      </c>
    </row>
    <row r="13" spans="1:6" x14ac:dyDescent="0.25">
      <c r="A13" s="266" t="s">
        <v>166</v>
      </c>
      <c r="B13" s="262">
        <v>21.1</v>
      </c>
      <c r="C13" s="264">
        <v>5.3600000000000002E-2</v>
      </c>
      <c r="D13" s="262">
        <v>0.59</v>
      </c>
      <c r="E13" s="264">
        <v>9.0999999999999998E-2</v>
      </c>
      <c r="F13" s="258" t="s">
        <v>155</v>
      </c>
    </row>
    <row r="14" spans="1:6" x14ac:dyDescent="0.25">
      <c r="A14" s="265" t="s">
        <v>167</v>
      </c>
      <c r="B14" s="261">
        <v>23</v>
      </c>
      <c r="C14" s="263">
        <v>5.2999999999999999E-2</v>
      </c>
      <c r="D14" s="261">
        <v>0.59</v>
      </c>
      <c r="E14" s="263">
        <v>0.09</v>
      </c>
      <c r="F14" s="259" t="s">
        <v>155</v>
      </c>
    </row>
    <row r="15" spans="1:6" x14ac:dyDescent="0.25">
      <c r="A15" s="266" t="s">
        <v>168</v>
      </c>
      <c r="B15" s="262">
        <v>25.1</v>
      </c>
      <c r="C15" s="264">
        <v>5.2400000000000002E-2</v>
      </c>
      <c r="D15" s="262">
        <v>0.6</v>
      </c>
      <c r="E15" s="264">
        <v>8.8000000000000009E-2</v>
      </c>
      <c r="F15" s="258" t="s">
        <v>155</v>
      </c>
    </row>
    <row r="16" spans="1:6" x14ac:dyDescent="0.25">
      <c r="A16" s="265" t="s">
        <v>169</v>
      </c>
      <c r="B16" s="261">
        <v>27.3</v>
      </c>
      <c r="C16" s="263">
        <v>5.1799999999999999E-2</v>
      </c>
      <c r="D16" s="261">
        <v>0.6</v>
      </c>
      <c r="E16" s="263">
        <v>8.5999999999999993E-2</v>
      </c>
      <c r="F16" s="259" t="s">
        <v>155</v>
      </c>
    </row>
    <row r="17" spans="1:6" x14ac:dyDescent="0.25">
      <c r="A17" s="266" t="s">
        <v>170</v>
      </c>
      <c r="B17" s="262">
        <v>29.7</v>
      </c>
      <c r="C17" s="264">
        <v>5.1200000000000002E-2</v>
      </c>
      <c r="D17" s="262">
        <v>0.61</v>
      </c>
      <c r="E17" s="264">
        <v>8.5000000000000006E-2</v>
      </c>
      <c r="F17" s="258" t="s">
        <v>155</v>
      </c>
    </row>
    <row r="18" spans="1:6" x14ac:dyDescent="0.25">
      <c r="A18" s="265" t="s">
        <v>171</v>
      </c>
      <c r="B18" s="261">
        <v>32.200000000000003</v>
      </c>
      <c r="C18" s="263">
        <v>5.0599999999999999E-2</v>
      </c>
      <c r="D18" s="261">
        <v>0.61</v>
      </c>
      <c r="E18" s="263">
        <v>8.3000000000000004E-2</v>
      </c>
      <c r="F18" s="259" t="s">
        <v>155</v>
      </c>
    </row>
    <row r="19" spans="1:6" x14ac:dyDescent="0.25">
      <c r="A19" s="266" t="s">
        <v>172</v>
      </c>
      <c r="B19" s="262">
        <v>34.9</v>
      </c>
      <c r="C19" s="264">
        <v>4.99E-2</v>
      </c>
      <c r="D19" s="262">
        <v>0.62</v>
      </c>
      <c r="E19" s="264">
        <v>8.1000000000000003E-2</v>
      </c>
      <c r="F19" s="258" t="s">
        <v>155</v>
      </c>
    </row>
    <row r="20" spans="1:6" x14ac:dyDescent="0.25">
      <c r="A20" s="265" t="s">
        <v>173</v>
      </c>
      <c r="B20" s="261">
        <v>37.700000000000003</v>
      </c>
      <c r="C20" s="263">
        <v>4.9200000000000001E-2</v>
      </c>
      <c r="D20" s="261">
        <v>0.62</v>
      </c>
      <c r="E20" s="263">
        <v>0.08</v>
      </c>
      <c r="F20" s="259" t="s">
        <v>155</v>
      </c>
    </row>
    <row r="21" spans="1:6" x14ac:dyDescent="0.25">
      <c r="A21" s="266" t="s">
        <v>174</v>
      </c>
      <c r="B21" s="262">
        <v>40.700000000000003</v>
      </c>
      <c r="C21" s="264">
        <v>4.8399999999999999E-2</v>
      </c>
      <c r="D21" s="262">
        <v>0.63</v>
      </c>
      <c r="E21" s="264">
        <v>7.8E-2</v>
      </c>
      <c r="F21" s="258" t="s">
        <v>155</v>
      </c>
    </row>
    <row r="22" spans="1:6" x14ac:dyDescent="0.25">
      <c r="A22" s="265" t="s">
        <v>175</v>
      </c>
      <c r="B22" s="261">
        <v>43.9</v>
      </c>
      <c r="C22" s="263">
        <v>4.7699999999999992E-2</v>
      </c>
      <c r="D22" s="261">
        <v>0.63</v>
      </c>
      <c r="E22" s="263">
        <v>7.5999999999999998E-2</v>
      </c>
      <c r="F22" s="259" t="s">
        <v>155</v>
      </c>
    </row>
    <row r="23" spans="1:6" x14ac:dyDescent="0.25">
      <c r="A23" s="266" t="s">
        <v>176</v>
      </c>
      <c r="B23" s="262">
        <v>47.2</v>
      </c>
      <c r="C23" s="264">
        <v>4.7E-2</v>
      </c>
      <c r="D23" s="262">
        <v>0.64</v>
      </c>
      <c r="E23" s="264">
        <v>7.400000000000001E-2</v>
      </c>
      <c r="F23" s="258" t="s">
        <v>155</v>
      </c>
    </row>
    <row r="24" spans="1:6" x14ac:dyDescent="0.25">
      <c r="A24" s="265" t="s">
        <v>177</v>
      </c>
      <c r="B24" s="261">
        <v>50.7</v>
      </c>
      <c r="C24" s="263">
        <v>4.6300000000000001E-2</v>
      </c>
      <c r="D24" s="261">
        <v>0.64</v>
      </c>
      <c r="E24" s="263">
        <v>7.2000000000000008E-2</v>
      </c>
      <c r="F24" s="259" t="s">
        <v>178</v>
      </c>
    </row>
    <row r="25" spans="1:6" x14ac:dyDescent="0.25">
      <c r="A25" s="266" t="s">
        <v>179</v>
      </c>
      <c r="B25" s="262">
        <v>54.4</v>
      </c>
      <c r="C25" s="264">
        <v>4.5599999999999995E-2</v>
      </c>
      <c r="D25" s="262">
        <v>0.65</v>
      </c>
      <c r="E25" s="264">
        <v>7.0999999999999994E-2</v>
      </c>
      <c r="F25" s="258" t="s">
        <v>155</v>
      </c>
    </row>
    <row r="26" spans="1:6" x14ac:dyDescent="0.25">
      <c r="A26" s="265" t="s">
        <v>180</v>
      </c>
      <c r="B26" s="261">
        <v>58.2</v>
      </c>
      <c r="C26" s="263">
        <v>4.4800000000000006E-2</v>
      </c>
      <c r="D26" s="261">
        <v>0.65</v>
      </c>
      <c r="E26" s="263">
        <v>6.9000000000000006E-2</v>
      </c>
      <c r="F26" s="259" t="s">
        <v>155</v>
      </c>
    </row>
    <row r="27" spans="1:6" x14ac:dyDescent="0.25">
      <c r="A27" s="266" t="s">
        <v>181</v>
      </c>
      <c r="B27" s="262">
        <v>62.3</v>
      </c>
      <c r="C27" s="264">
        <v>4.41E-2</v>
      </c>
      <c r="D27" s="262">
        <v>0.66</v>
      </c>
      <c r="E27" s="264">
        <v>6.7000000000000004E-2</v>
      </c>
      <c r="F27" s="258" t="s">
        <v>155</v>
      </c>
    </row>
    <row r="28" spans="1:6" x14ac:dyDescent="0.25">
      <c r="A28" s="265" t="s">
        <v>182</v>
      </c>
      <c r="B28" s="261">
        <v>66.5</v>
      </c>
      <c r="C28" s="263">
        <v>4.3400000000000001E-2</v>
      </c>
      <c r="D28" s="261">
        <v>0.66</v>
      </c>
      <c r="E28" s="263">
        <v>6.6000000000000003E-2</v>
      </c>
      <c r="F28" s="259" t="s">
        <v>155</v>
      </c>
    </row>
    <row r="29" spans="1:6" x14ac:dyDescent="0.25">
      <c r="A29" s="266" t="s">
        <v>183</v>
      </c>
      <c r="B29" s="262">
        <v>70.8</v>
      </c>
      <c r="C29" s="264">
        <v>4.2800000000000005E-2</v>
      </c>
      <c r="D29" s="262">
        <v>0.66</v>
      </c>
      <c r="E29" s="264">
        <v>6.5000000000000002E-2</v>
      </c>
      <c r="F29" s="258" t="s">
        <v>155</v>
      </c>
    </row>
    <row r="30" spans="1:6" x14ac:dyDescent="0.25">
      <c r="A30" s="265" t="s">
        <v>184</v>
      </c>
      <c r="B30" s="261">
        <v>75.400000000000006</v>
      </c>
      <c r="C30" s="263">
        <v>4.2199999999999994E-2</v>
      </c>
      <c r="D30" s="261">
        <v>0.67</v>
      </c>
      <c r="E30" s="263">
        <v>6.3E-2</v>
      </c>
      <c r="F30" s="259" t="s">
        <v>155</v>
      </c>
    </row>
    <row r="31" spans="1:6" x14ac:dyDescent="0.25">
      <c r="A31" s="266" t="s">
        <v>185</v>
      </c>
      <c r="B31" s="262">
        <v>80.2</v>
      </c>
      <c r="C31" s="264">
        <v>4.1599999999999998E-2</v>
      </c>
      <c r="D31" s="262">
        <v>0.67</v>
      </c>
      <c r="E31" s="264">
        <v>6.2E-2</v>
      </c>
      <c r="F31" s="258" t="s">
        <v>155</v>
      </c>
    </row>
    <row r="32" spans="1:6" x14ac:dyDescent="0.25">
      <c r="A32" s="265" t="s">
        <v>186</v>
      </c>
      <c r="B32" s="261">
        <v>85.2</v>
      </c>
      <c r="C32" s="263">
        <v>4.0999999999999995E-2</v>
      </c>
      <c r="D32" s="261">
        <v>0.68</v>
      </c>
      <c r="E32" s="263">
        <v>6.0999999999999999E-2</v>
      </c>
      <c r="F32" s="259" t="s">
        <v>155</v>
      </c>
    </row>
    <row r="33" spans="1:6" x14ac:dyDescent="0.25">
      <c r="A33" s="266" t="s">
        <v>187</v>
      </c>
      <c r="B33" s="262">
        <v>90.4</v>
      </c>
      <c r="C33" s="264">
        <v>4.0399999999999998E-2</v>
      </c>
      <c r="D33" s="262">
        <v>0.68</v>
      </c>
      <c r="E33" s="264">
        <v>0.06</v>
      </c>
      <c r="F33" s="258" t="s">
        <v>155</v>
      </c>
    </row>
    <row r="34" spans="1:6" x14ac:dyDescent="0.25">
      <c r="A34" s="265" t="s">
        <v>188</v>
      </c>
      <c r="B34" s="261">
        <v>95.7</v>
      </c>
      <c r="C34" s="263">
        <v>3.9800000000000002E-2</v>
      </c>
      <c r="D34" s="261">
        <v>0.68</v>
      </c>
      <c r="E34" s="263">
        <v>5.7999999999999996E-2</v>
      </c>
      <c r="F34" s="259" t="s">
        <v>155</v>
      </c>
    </row>
    <row r="35" spans="1:6" x14ac:dyDescent="0.25">
      <c r="A35" s="266" t="s">
        <v>189</v>
      </c>
      <c r="B35" s="262">
        <v>101</v>
      </c>
      <c r="C35" s="264">
        <v>3.9199999999999999E-2</v>
      </c>
      <c r="D35" s="262">
        <v>0.69</v>
      </c>
      <c r="E35" s="264">
        <v>5.7000000000000002E-2</v>
      </c>
      <c r="F35" s="258" t="s">
        <v>155</v>
      </c>
    </row>
    <row r="36" spans="1:6" x14ac:dyDescent="0.25">
      <c r="A36" s="265" t="s">
        <v>190</v>
      </c>
      <c r="B36" s="261">
        <v>107</v>
      </c>
      <c r="C36" s="263">
        <v>3.8599999999999995E-2</v>
      </c>
      <c r="D36" s="261">
        <v>0.69</v>
      </c>
      <c r="E36" s="263">
        <v>5.5999999999999994E-2</v>
      </c>
      <c r="F36" s="259" t="s">
        <v>155</v>
      </c>
    </row>
    <row r="37" spans="1:6" x14ac:dyDescent="0.25">
      <c r="A37" s="266" t="s">
        <v>191</v>
      </c>
      <c r="B37" s="262">
        <v>113</v>
      </c>
      <c r="C37" s="264">
        <v>3.7999999999999999E-2</v>
      </c>
      <c r="D37" s="262">
        <v>0.69</v>
      </c>
      <c r="E37" s="264">
        <v>5.5E-2</v>
      </c>
      <c r="F37" s="258" t="s">
        <v>155</v>
      </c>
    </row>
    <row r="38" spans="1:6" x14ac:dyDescent="0.25">
      <c r="A38" s="265" t="s">
        <v>192</v>
      </c>
      <c r="B38" s="261">
        <v>119</v>
      </c>
      <c r="C38" s="263">
        <v>3.7400000000000003E-2</v>
      </c>
      <c r="D38" s="261">
        <v>0.7</v>
      </c>
      <c r="E38" s="263">
        <v>5.4000000000000006E-2</v>
      </c>
      <c r="F38" s="259" t="s">
        <v>155</v>
      </c>
    </row>
    <row r="39" spans="1:6" x14ac:dyDescent="0.25">
      <c r="A39" s="266" t="s">
        <v>193</v>
      </c>
      <c r="B39" s="262">
        <v>126</v>
      </c>
      <c r="C39" s="264">
        <v>3.6799999999999999E-2</v>
      </c>
      <c r="D39" s="262">
        <v>0.7</v>
      </c>
      <c r="E39" s="264">
        <v>5.2999999999999999E-2</v>
      </c>
      <c r="F39" s="258" t="s">
        <v>155</v>
      </c>
    </row>
    <row r="40" spans="1:6" x14ac:dyDescent="0.25">
      <c r="A40" s="265" t="s">
        <v>195</v>
      </c>
      <c r="B40" s="261">
        <v>132</v>
      </c>
      <c r="C40" s="263">
        <v>3.61E-2</v>
      </c>
      <c r="D40" s="261">
        <v>0.71</v>
      </c>
      <c r="E40" s="263">
        <v>5.0999999999999997E-2</v>
      </c>
      <c r="F40" s="259" t="s">
        <v>155</v>
      </c>
    </row>
    <row r="41" spans="1:6" x14ac:dyDescent="0.25">
      <c r="A41" s="266" t="s">
        <v>197</v>
      </c>
      <c r="B41" s="262">
        <v>139</v>
      </c>
      <c r="C41" s="264">
        <v>3.5499999999999997E-2</v>
      </c>
      <c r="D41" s="262">
        <v>0.71</v>
      </c>
      <c r="E41" s="264">
        <v>0.05</v>
      </c>
      <c r="F41" s="258" t="s">
        <v>155</v>
      </c>
    </row>
    <row r="42" spans="1:6" x14ac:dyDescent="0.25">
      <c r="A42" s="265" t="s">
        <v>199</v>
      </c>
      <c r="B42" s="261">
        <v>146</v>
      </c>
      <c r="C42" s="263">
        <v>3.4799999999999998E-2</v>
      </c>
      <c r="D42" s="261">
        <v>0.71</v>
      </c>
      <c r="E42" s="263">
        <v>4.9000000000000002E-2</v>
      </c>
      <c r="F42" s="259" t="s">
        <v>155</v>
      </c>
    </row>
    <row r="43" spans="1:6" x14ac:dyDescent="0.25">
      <c r="A43" s="266" t="s">
        <v>201</v>
      </c>
      <c r="B43" s="262">
        <v>153</v>
      </c>
      <c r="C43" s="264">
        <v>3.4200000000000001E-2</v>
      </c>
      <c r="D43" s="262">
        <v>0.72</v>
      </c>
      <c r="E43" s="264">
        <v>4.8000000000000001E-2</v>
      </c>
      <c r="F43" s="258" t="s">
        <v>203</v>
      </c>
    </row>
    <row r="44" spans="1:6" x14ac:dyDescent="0.25">
      <c r="A44" s="265" t="s">
        <v>204</v>
      </c>
      <c r="B44" s="261">
        <v>161</v>
      </c>
      <c r="C44" s="263">
        <v>3.3599999999999998E-2</v>
      </c>
      <c r="D44" s="261">
        <v>0.72</v>
      </c>
      <c r="E44" s="263">
        <v>4.7E-2</v>
      </c>
      <c r="F44" s="259" t="s">
        <v>155</v>
      </c>
    </row>
    <row r="45" spans="1:6" x14ac:dyDescent="0.25">
      <c r="A45" s="266" t="s">
        <v>206</v>
      </c>
      <c r="B45" s="262">
        <v>168</v>
      </c>
      <c r="C45" s="264">
        <v>3.2899999999999999E-2</v>
      </c>
      <c r="D45" s="262">
        <v>0.72</v>
      </c>
      <c r="E45" s="264">
        <v>4.5999999999999999E-2</v>
      </c>
      <c r="F45" s="258" t="s">
        <v>155</v>
      </c>
    </row>
    <row r="46" spans="1:6" x14ac:dyDescent="0.25">
      <c r="A46" s="265" t="s">
        <v>208</v>
      </c>
      <c r="B46" s="261">
        <v>176</v>
      </c>
      <c r="C46" s="263">
        <v>3.2300000000000002E-2</v>
      </c>
      <c r="D46" s="261">
        <v>0.73</v>
      </c>
      <c r="E46" s="263">
        <v>4.4999999999999998E-2</v>
      </c>
      <c r="F46" s="259" t="s">
        <v>155</v>
      </c>
    </row>
    <row r="47" spans="1:6" x14ac:dyDescent="0.25">
      <c r="A47" s="266" t="s">
        <v>209</v>
      </c>
      <c r="B47" s="262">
        <v>184</v>
      </c>
      <c r="C47" s="264">
        <v>3.1600000000000003E-2</v>
      </c>
      <c r="D47" s="262">
        <v>0.73</v>
      </c>
      <c r="E47" s="264">
        <v>4.2999999999999997E-2</v>
      </c>
      <c r="F47" s="258" t="s">
        <v>155</v>
      </c>
    </row>
    <row r="48" spans="1:6" x14ac:dyDescent="0.25">
      <c r="A48" s="265" t="s">
        <v>210</v>
      </c>
      <c r="B48" s="261">
        <v>192</v>
      </c>
      <c r="C48" s="263">
        <v>3.1E-2</v>
      </c>
      <c r="D48" s="261">
        <v>0.73</v>
      </c>
      <c r="E48" s="263">
        <v>4.2000000000000003E-2</v>
      </c>
      <c r="F48" s="259" t="s">
        <v>155</v>
      </c>
    </row>
    <row r="49" spans="1:6" x14ac:dyDescent="0.25">
      <c r="A49" s="266" t="s">
        <v>211</v>
      </c>
      <c r="B49" s="262">
        <v>200</v>
      </c>
      <c r="C49" s="264">
        <v>3.04E-2</v>
      </c>
      <c r="D49" s="262">
        <v>0.74</v>
      </c>
      <c r="E49" s="264">
        <v>4.0999999999999995E-2</v>
      </c>
      <c r="F49" s="258" t="s">
        <v>155</v>
      </c>
    </row>
    <row r="50" spans="1:6" x14ac:dyDescent="0.25">
      <c r="A50" s="265" t="s">
        <v>212</v>
      </c>
      <c r="B50" s="261">
        <v>208</v>
      </c>
      <c r="C50" s="263">
        <v>2.98E-2</v>
      </c>
      <c r="D50" s="261">
        <v>0.74</v>
      </c>
      <c r="E50" s="263">
        <v>0.04</v>
      </c>
      <c r="F50" s="259" t="s">
        <v>155</v>
      </c>
    </row>
    <row r="51" spans="1:6" x14ac:dyDescent="0.25">
      <c r="A51" s="266" t="s">
        <v>213</v>
      </c>
      <c r="B51" s="262">
        <v>216</v>
      </c>
      <c r="C51" s="264">
        <v>2.92E-2</v>
      </c>
      <c r="D51" s="262">
        <v>0.74</v>
      </c>
      <c r="E51" s="264">
        <v>3.9E-2</v>
      </c>
      <c r="F51" s="258" t="s">
        <v>155</v>
      </c>
    </row>
    <row r="52" spans="1:6" x14ac:dyDescent="0.25">
      <c r="A52" s="265" t="s">
        <v>214</v>
      </c>
      <c r="B52" s="261">
        <v>225</v>
      </c>
      <c r="C52" s="263">
        <v>2.86E-2</v>
      </c>
      <c r="D52" s="261">
        <v>0.75</v>
      </c>
      <c r="E52" s="263">
        <v>3.7999999999999999E-2</v>
      </c>
      <c r="F52" s="259" t="s">
        <v>155</v>
      </c>
    </row>
    <row r="53" spans="1:6" x14ac:dyDescent="0.25">
      <c r="A53" s="266" t="s">
        <v>215</v>
      </c>
      <c r="B53" s="262">
        <v>233</v>
      </c>
      <c r="C53" s="264">
        <v>2.7999999999999997E-2</v>
      </c>
      <c r="D53" s="262">
        <v>0.75</v>
      </c>
      <c r="E53" s="264">
        <v>3.7000000000000005E-2</v>
      </c>
      <c r="F53" s="258" t="s">
        <v>155</v>
      </c>
    </row>
    <row r="54" spans="1:6" x14ac:dyDescent="0.25">
      <c r="A54" s="265" t="s">
        <v>216</v>
      </c>
      <c r="B54" s="261">
        <v>242</v>
      </c>
      <c r="C54" s="263">
        <v>2.7400000000000001E-2</v>
      </c>
      <c r="D54" s="261">
        <v>0.76</v>
      </c>
      <c r="E54" s="263">
        <v>3.6000000000000004E-2</v>
      </c>
      <c r="F54" s="259" t="s">
        <v>155</v>
      </c>
    </row>
    <row r="55" spans="1:6" x14ac:dyDescent="0.25">
      <c r="A55" s="266" t="s">
        <v>217</v>
      </c>
      <c r="B55" s="262">
        <v>251</v>
      </c>
      <c r="C55" s="264">
        <v>2.6800000000000001E-2</v>
      </c>
      <c r="D55" s="262">
        <v>0.76</v>
      </c>
      <c r="E55" s="264">
        <v>3.5000000000000003E-2</v>
      </c>
      <c r="F55" s="258" t="s">
        <v>155</v>
      </c>
    </row>
    <row r="56" spans="1:6" x14ac:dyDescent="0.25">
      <c r="A56" s="265" t="s">
        <v>218</v>
      </c>
      <c r="B56" s="261">
        <v>260</v>
      </c>
      <c r="C56" s="263">
        <v>2.6200000000000001E-2</v>
      </c>
      <c r="D56" s="261">
        <v>0.76</v>
      </c>
      <c r="E56" s="263">
        <v>3.4000000000000002E-2</v>
      </c>
      <c r="F56" s="259" t="s">
        <v>155</v>
      </c>
    </row>
    <row r="57" spans="1:6" x14ac:dyDescent="0.25">
      <c r="A57" s="266" t="s">
        <v>219</v>
      </c>
      <c r="B57" s="262">
        <v>269</v>
      </c>
      <c r="C57" s="264">
        <v>2.5600000000000001E-2</v>
      </c>
      <c r="D57" s="262">
        <v>0.77</v>
      </c>
      <c r="E57" s="264">
        <v>3.3000000000000002E-2</v>
      </c>
      <c r="F57" s="258" t="s">
        <v>155</v>
      </c>
    </row>
    <row r="58" spans="1:6" x14ac:dyDescent="0.25">
      <c r="A58" s="265" t="s">
        <v>220</v>
      </c>
      <c r="B58" s="261">
        <v>278</v>
      </c>
      <c r="C58" s="263">
        <v>2.5000000000000001E-2</v>
      </c>
      <c r="D58" s="261">
        <v>0.77</v>
      </c>
      <c r="E58" s="263">
        <v>3.2000000000000001E-2</v>
      </c>
      <c r="F58" s="259" t="s">
        <v>155</v>
      </c>
    </row>
    <row r="59" spans="1:6" x14ac:dyDescent="0.25">
      <c r="A59" s="266" t="s">
        <v>221</v>
      </c>
      <c r="B59" s="262">
        <v>287</v>
      </c>
      <c r="C59" s="264">
        <v>2.46E-2</v>
      </c>
      <c r="D59" s="262">
        <v>0.77</v>
      </c>
      <c r="E59" s="264">
        <v>3.2000000000000001E-2</v>
      </c>
      <c r="F59" s="258" t="s">
        <v>155</v>
      </c>
    </row>
    <row r="60" spans="1:6" x14ac:dyDescent="0.25">
      <c r="A60" s="265" t="s">
        <v>222</v>
      </c>
      <c r="B60" s="261">
        <v>296</v>
      </c>
      <c r="C60" s="263">
        <v>2.4199999999999999E-2</v>
      </c>
      <c r="D60" s="261">
        <v>0.78</v>
      </c>
      <c r="E60" s="263">
        <v>3.1E-2</v>
      </c>
      <c r="F60" s="259" t="s">
        <v>155</v>
      </c>
    </row>
    <row r="61" spans="1:6" x14ac:dyDescent="0.25">
      <c r="A61" s="266">
        <v>59</v>
      </c>
      <c r="B61" s="262">
        <v>305</v>
      </c>
      <c r="C61" s="264">
        <v>2.3700000000000002E-2</v>
      </c>
      <c r="D61" s="262">
        <v>0.78</v>
      </c>
      <c r="E61" s="264">
        <v>3.1E-2</v>
      </c>
      <c r="F61" s="258" t="s">
        <v>155</v>
      </c>
    </row>
    <row r="62" spans="1:6" x14ac:dyDescent="0.25">
      <c r="A62" s="265">
        <v>60</v>
      </c>
      <c r="B62" s="261">
        <v>314</v>
      </c>
      <c r="C62" s="263">
        <v>2.3300000000000001E-2</v>
      </c>
      <c r="D62" s="261">
        <v>0.78</v>
      </c>
      <c r="E62" s="263">
        <v>0.03</v>
      </c>
      <c r="F62" s="259" t="s">
        <v>155</v>
      </c>
    </row>
    <row r="63" spans="1:6" x14ac:dyDescent="0.25">
      <c r="A63" s="266">
        <v>61</v>
      </c>
      <c r="B63" s="262">
        <v>324</v>
      </c>
      <c r="C63" s="264">
        <v>2.29E-2</v>
      </c>
      <c r="D63" s="262">
        <v>0.78</v>
      </c>
      <c r="E63" s="264">
        <v>2.8999999999999998E-2</v>
      </c>
      <c r="F63" s="258" t="s">
        <v>155</v>
      </c>
    </row>
    <row r="64" spans="1:6" x14ac:dyDescent="0.25">
      <c r="A64" s="265">
        <v>62</v>
      </c>
      <c r="B64" s="261">
        <v>333</v>
      </c>
      <c r="C64" s="263">
        <v>2.2499999999999999E-2</v>
      </c>
      <c r="D64" s="261">
        <v>0.79</v>
      </c>
      <c r="E64" s="263">
        <v>2.8999999999999998E-2</v>
      </c>
      <c r="F64" s="259" t="s">
        <v>155</v>
      </c>
    </row>
    <row r="65" spans="1:6" x14ac:dyDescent="0.25">
      <c r="A65" s="266">
        <v>63</v>
      </c>
      <c r="B65" s="262">
        <v>343</v>
      </c>
      <c r="C65" s="264">
        <v>2.2099999999999998E-2</v>
      </c>
      <c r="D65" s="262">
        <v>0.79</v>
      </c>
      <c r="E65" s="264">
        <v>2.7999999999999997E-2</v>
      </c>
      <c r="F65" s="258" t="s">
        <v>155</v>
      </c>
    </row>
    <row r="66" spans="1:6" x14ac:dyDescent="0.25">
      <c r="A66" s="265">
        <v>64</v>
      </c>
      <c r="B66" s="261">
        <v>352</v>
      </c>
      <c r="C66" s="263">
        <v>2.1600000000000001E-2</v>
      </c>
      <c r="D66" s="261">
        <v>0.79</v>
      </c>
      <c r="E66" s="263">
        <v>2.7000000000000003E-2</v>
      </c>
      <c r="F66" s="259" t="s">
        <v>155</v>
      </c>
    </row>
    <row r="67" spans="1:6" x14ac:dyDescent="0.25">
      <c r="A67" s="266">
        <v>65</v>
      </c>
      <c r="B67" s="262">
        <v>362</v>
      </c>
      <c r="C67" s="264">
        <v>2.12E-2</v>
      </c>
      <c r="D67" s="262">
        <v>0.79</v>
      </c>
      <c r="E67" s="264">
        <v>2.7000000000000003E-2</v>
      </c>
      <c r="F67" s="258" t="s">
        <v>155</v>
      </c>
    </row>
    <row r="68" spans="1:6" x14ac:dyDescent="0.25">
      <c r="A68" s="265">
        <v>66</v>
      </c>
      <c r="B68" s="261">
        <v>372</v>
      </c>
      <c r="C68" s="263">
        <v>2.0799999999999999E-2</v>
      </c>
      <c r="D68" s="261">
        <v>0.8</v>
      </c>
      <c r="E68" s="263">
        <v>2.6000000000000002E-2</v>
      </c>
      <c r="F68" s="259" t="s">
        <v>155</v>
      </c>
    </row>
    <row r="69" spans="1:6" x14ac:dyDescent="0.25">
      <c r="A69" s="266">
        <v>67</v>
      </c>
      <c r="B69" s="262">
        <v>382</v>
      </c>
      <c r="C69" s="264">
        <v>2.0499999999999997E-2</v>
      </c>
      <c r="D69" s="262">
        <v>0.8</v>
      </c>
      <c r="E69" s="264">
        <v>2.6000000000000002E-2</v>
      </c>
      <c r="F69" s="258" t="s">
        <v>155</v>
      </c>
    </row>
    <row r="70" spans="1:6" x14ac:dyDescent="0.25">
      <c r="A70" s="265">
        <v>68</v>
      </c>
      <c r="B70" s="261">
        <v>391</v>
      </c>
      <c r="C70" s="263">
        <v>2.0199999999999999E-2</v>
      </c>
      <c r="D70" s="261">
        <v>0.8</v>
      </c>
      <c r="E70" s="263">
        <v>2.5000000000000001E-2</v>
      </c>
      <c r="F70" s="259" t="s">
        <v>155</v>
      </c>
    </row>
    <row r="71" spans="1:6" x14ac:dyDescent="0.25">
      <c r="A71" s="266">
        <v>69</v>
      </c>
      <c r="B71" s="262">
        <v>401</v>
      </c>
      <c r="C71" s="264">
        <v>1.9900000000000001E-2</v>
      </c>
      <c r="D71" s="262">
        <v>0.8</v>
      </c>
      <c r="E71" s="264">
        <v>2.5000000000000001E-2</v>
      </c>
      <c r="F71" s="258" t="s">
        <v>155</v>
      </c>
    </row>
    <row r="72" spans="1:6" x14ac:dyDescent="0.25">
      <c r="A72" s="265">
        <v>70</v>
      </c>
      <c r="B72" s="261">
        <v>411</v>
      </c>
      <c r="C72" s="263">
        <v>1.9599999999999999E-2</v>
      </c>
      <c r="D72" s="261">
        <v>0.8</v>
      </c>
      <c r="E72" s="263">
        <v>2.4E-2</v>
      </c>
      <c r="F72" s="259" t="s">
        <v>155</v>
      </c>
    </row>
    <row r="73" spans="1:6" x14ac:dyDescent="0.25">
      <c r="A73" s="266">
        <v>71</v>
      </c>
      <c r="B73" s="262">
        <v>421</v>
      </c>
      <c r="C73" s="264">
        <v>1.9299999999999998E-2</v>
      </c>
      <c r="D73" s="262">
        <v>0.81</v>
      </c>
      <c r="E73" s="264">
        <v>2.4E-2</v>
      </c>
      <c r="F73" s="258" t="s">
        <v>155</v>
      </c>
    </row>
    <row r="74" spans="1:6" x14ac:dyDescent="0.25">
      <c r="A74" s="265">
        <v>72</v>
      </c>
      <c r="B74" s="261">
        <v>431</v>
      </c>
      <c r="C74" s="263">
        <v>1.9E-2</v>
      </c>
      <c r="D74" s="261">
        <v>0.81</v>
      </c>
      <c r="E74" s="263">
        <v>2.3E-2</v>
      </c>
      <c r="F74" s="259" t="s">
        <v>155</v>
      </c>
    </row>
    <row r="75" spans="1:6" x14ac:dyDescent="0.25">
      <c r="A75" s="266">
        <v>73</v>
      </c>
      <c r="B75" s="262">
        <v>441</v>
      </c>
      <c r="C75" s="264">
        <v>1.8700000000000001E-2</v>
      </c>
      <c r="D75" s="262">
        <v>0.81</v>
      </c>
      <c r="E75" s="264">
        <v>2.3E-2</v>
      </c>
      <c r="F75" s="258" t="s">
        <v>155</v>
      </c>
    </row>
    <row r="76" spans="1:6" x14ac:dyDescent="0.25">
      <c r="A76" s="265">
        <v>74</v>
      </c>
      <c r="B76" s="261">
        <v>452</v>
      </c>
      <c r="C76" s="263">
        <v>1.84E-2</v>
      </c>
      <c r="D76" s="261">
        <v>0.81</v>
      </c>
      <c r="E76" s="263">
        <v>2.3E-2</v>
      </c>
      <c r="F76" s="259" t="s">
        <v>155</v>
      </c>
    </row>
    <row r="77" spans="1:6" x14ac:dyDescent="0.25">
      <c r="A77" s="266">
        <v>75</v>
      </c>
      <c r="B77" s="262">
        <v>462</v>
      </c>
      <c r="C77" s="264">
        <v>1.8100000000000002E-2</v>
      </c>
      <c r="D77" s="262">
        <v>0.82</v>
      </c>
      <c r="E77" s="264">
        <v>2.2000000000000002E-2</v>
      </c>
      <c r="F77" s="258" t="s">
        <v>155</v>
      </c>
    </row>
    <row r="78" spans="1:6" x14ac:dyDescent="0.25">
      <c r="A78" s="265">
        <v>76</v>
      </c>
      <c r="B78" s="261">
        <v>472</v>
      </c>
      <c r="C78" s="263">
        <v>1.78E-2</v>
      </c>
      <c r="D78" s="261">
        <v>0.82</v>
      </c>
      <c r="E78" s="263">
        <v>2.2000000000000002E-2</v>
      </c>
      <c r="F78" s="259" t="s">
        <v>155</v>
      </c>
    </row>
    <row r="79" spans="1:6" x14ac:dyDescent="0.25">
      <c r="A79" s="266">
        <v>77</v>
      </c>
      <c r="B79" s="262">
        <v>482</v>
      </c>
      <c r="C79" s="264">
        <v>1.7600000000000001E-2</v>
      </c>
      <c r="D79" s="262">
        <v>0.82</v>
      </c>
      <c r="E79" s="264">
        <v>2.1000000000000001E-2</v>
      </c>
      <c r="F79" s="258" t="s">
        <v>155</v>
      </c>
    </row>
    <row r="80" spans="1:6" x14ac:dyDescent="0.25">
      <c r="A80" s="265">
        <v>78</v>
      </c>
      <c r="B80" s="261">
        <v>493</v>
      </c>
      <c r="C80" s="263">
        <v>1.7399999999999999E-2</v>
      </c>
      <c r="D80" s="261">
        <v>0.82</v>
      </c>
      <c r="E80" s="263">
        <v>2.1000000000000001E-2</v>
      </c>
      <c r="F80" s="259" t="s">
        <v>155</v>
      </c>
    </row>
    <row r="81" spans="1:6" x14ac:dyDescent="0.25">
      <c r="A81" s="266">
        <v>79</v>
      </c>
      <c r="B81" s="262">
        <v>503</v>
      </c>
      <c r="C81" s="264">
        <v>1.72E-2</v>
      </c>
      <c r="D81" s="262">
        <v>0.82</v>
      </c>
      <c r="E81" s="264">
        <v>2.1000000000000001E-2</v>
      </c>
      <c r="F81" s="258" t="s">
        <v>155</v>
      </c>
    </row>
    <row r="82" spans="1:6" x14ac:dyDescent="0.25">
      <c r="A82" s="265">
        <v>80</v>
      </c>
      <c r="B82" s="261">
        <v>514</v>
      </c>
      <c r="C82" s="263">
        <v>1.7000000000000001E-2</v>
      </c>
      <c r="D82" s="261">
        <v>0.83</v>
      </c>
      <c r="E82" s="263">
        <v>2.1000000000000001E-2</v>
      </c>
      <c r="F82" s="259" t="s">
        <v>155</v>
      </c>
    </row>
    <row r="83" spans="1:6" x14ac:dyDescent="0.25">
      <c r="A83" s="266">
        <v>81</v>
      </c>
      <c r="B83" s="262">
        <v>524</v>
      </c>
      <c r="C83" s="264">
        <v>1.6799999999999999E-2</v>
      </c>
      <c r="D83" s="262">
        <v>0.83</v>
      </c>
      <c r="E83" s="264">
        <v>0.02</v>
      </c>
      <c r="F83" s="258" t="s">
        <v>155</v>
      </c>
    </row>
    <row r="84" spans="1:6" x14ac:dyDescent="0.25">
      <c r="A84" s="265">
        <v>82</v>
      </c>
      <c r="B84" s="261">
        <v>535</v>
      </c>
      <c r="C84" s="263">
        <v>1.66E-2</v>
      </c>
      <c r="D84" s="261">
        <v>0.83</v>
      </c>
      <c r="E84" s="263">
        <v>0.02</v>
      </c>
      <c r="F84" s="259" t="s">
        <v>155</v>
      </c>
    </row>
    <row r="85" spans="1:6" x14ac:dyDescent="0.25">
      <c r="A85" s="266">
        <v>83</v>
      </c>
      <c r="B85" s="262">
        <v>546</v>
      </c>
      <c r="C85" s="264">
        <v>1.6399999999999998E-2</v>
      </c>
      <c r="D85" s="262">
        <v>0.83</v>
      </c>
      <c r="E85" s="264">
        <v>0.02</v>
      </c>
      <c r="F85" s="258" t="s">
        <v>155</v>
      </c>
    </row>
    <row r="86" spans="1:6" x14ac:dyDescent="0.25">
      <c r="A86" s="265">
        <v>84</v>
      </c>
      <c r="B86" s="261">
        <v>556</v>
      </c>
      <c r="C86" s="263">
        <v>1.6200000000000003E-2</v>
      </c>
      <c r="D86" s="261">
        <v>0.83</v>
      </c>
      <c r="E86" s="263">
        <v>0.02</v>
      </c>
      <c r="F86" s="259" t="s">
        <v>155</v>
      </c>
    </row>
    <row r="87" spans="1:6" x14ac:dyDescent="0.25">
      <c r="A87" s="266">
        <v>85</v>
      </c>
      <c r="B87" s="262">
        <v>567</v>
      </c>
      <c r="C87" s="264">
        <v>1.6E-2</v>
      </c>
      <c r="D87" s="262">
        <v>0.83</v>
      </c>
      <c r="E87" s="264">
        <v>1.9E-2</v>
      </c>
      <c r="F87" s="258" t="s">
        <v>155</v>
      </c>
    </row>
    <row r="88" spans="1:6" x14ac:dyDescent="0.25">
      <c r="A88" s="265">
        <v>86</v>
      </c>
      <c r="B88" s="261">
        <v>578</v>
      </c>
      <c r="C88" s="263">
        <v>1.5800000000000002E-2</v>
      </c>
      <c r="D88" s="261">
        <v>0.83</v>
      </c>
      <c r="E88" s="263">
        <v>1.9E-2</v>
      </c>
      <c r="F88" s="259" t="s">
        <v>155</v>
      </c>
    </row>
    <row r="89" spans="1:6" x14ac:dyDescent="0.25">
      <c r="A89" s="266">
        <v>87</v>
      </c>
      <c r="B89" s="262">
        <v>589</v>
      </c>
      <c r="C89" s="264">
        <v>1.5700000000000002E-2</v>
      </c>
      <c r="D89" s="262">
        <v>0.84</v>
      </c>
      <c r="E89" s="264">
        <v>1.9E-2</v>
      </c>
      <c r="F89" s="258" t="s">
        <v>155</v>
      </c>
    </row>
    <row r="90" spans="1:6" x14ac:dyDescent="0.25">
      <c r="A90" s="265">
        <v>88</v>
      </c>
      <c r="B90" s="261">
        <v>600</v>
      </c>
      <c r="C90" s="263">
        <v>1.5600000000000001E-2</v>
      </c>
      <c r="D90" s="261">
        <v>0.84</v>
      </c>
      <c r="E90" s="263">
        <v>1.9E-2</v>
      </c>
      <c r="F90" s="259" t="s">
        <v>155</v>
      </c>
    </row>
    <row r="91" spans="1:6" x14ac:dyDescent="0.25">
      <c r="A91" s="266">
        <v>89</v>
      </c>
      <c r="B91" s="262">
        <v>611</v>
      </c>
      <c r="C91" s="264">
        <v>1.55E-2</v>
      </c>
      <c r="D91" s="262">
        <v>0.84</v>
      </c>
      <c r="E91" s="264">
        <v>1.8000000000000002E-2</v>
      </c>
      <c r="F91" s="258" t="s">
        <v>155</v>
      </c>
    </row>
    <row r="92" spans="1:6" x14ac:dyDescent="0.25">
      <c r="A92" s="265">
        <v>90</v>
      </c>
      <c r="B92" s="261">
        <v>623</v>
      </c>
      <c r="C92" s="263">
        <v>1.54E-2</v>
      </c>
      <c r="D92" s="261">
        <v>0.84</v>
      </c>
      <c r="E92" s="263">
        <v>1.8000000000000002E-2</v>
      </c>
      <c r="F92" s="259" t="s">
        <v>155</v>
      </c>
    </row>
    <row r="93" spans="1:6" x14ac:dyDescent="0.25">
      <c r="A93" s="266">
        <v>91</v>
      </c>
      <c r="B93" s="262">
        <v>634</v>
      </c>
      <c r="C93" s="264">
        <v>1.5300000000000001E-2</v>
      </c>
      <c r="D93" s="262">
        <v>0.84</v>
      </c>
      <c r="E93" s="264">
        <v>1.8000000000000002E-2</v>
      </c>
      <c r="F93" s="258" t="s">
        <v>155</v>
      </c>
    </row>
    <row r="94" spans="1:6" x14ac:dyDescent="0.25">
      <c r="A94" s="265">
        <v>92</v>
      </c>
      <c r="B94" s="261">
        <v>646</v>
      </c>
      <c r="C94" s="263">
        <v>1.52E-2</v>
      </c>
      <c r="D94" s="261">
        <v>0.84</v>
      </c>
      <c r="E94" s="263">
        <v>1.8000000000000002E-2</v>
      </c>
      <c r="F94" s="259" t="s">
        <v>155</v>
      </c>
    </row>
    <row r="95" spans="1:6" x14ac:dyDescent="0.25">
      <c r="A95" s="266">
        <v>93</v>
      </c>
      <c r="B95" s="262">
        <v>657</v>
      </c>
      <c r="C95" s="264">
        <v>1.5100000000000001E-2</v>
      </c>
      <c r="D95" s="262">
        <v>0.85</v>
      </c>
      <c r="E95" s="264">
        <v>1.8000000000000002E-2</v>
      </c>
      <c r="F95" s="258" t="s">
        <v>155</v>
      </c>
    </row>
    <row r="96" spans="1:6" x14ac:dyDescent="0.25">
      <c r="A96" s="265">
        <v>94</v>
      </c>
      <c r="B96" s="261">
        <v>669</v>
      </c>
      <c r="C96" s="263">
        <v>1.4999999999999999E-2</v>
      </c>
      <c r="D96" s="261">
        <v>0.85</v>
      </c>
      <c r="E96" s="263">
        <v>1.8000000000000002E-2</v>
      </c>
      <c r="F96" s="259" t="s">
        <v>155</v>
      </c>
    </row>
    <row r="97" spans="1:6" x14ac:dyDescent="0.25">
      <c r="A97" s="266">
        <v>95</v>
      </c>
      <c r="B97" s="262">
        <v>681</v>
      </c>
      <c r="C97" s="264">
        <v>1.49E-2</v>
      </c>
      <c r="D97" s="262">
        <v>0.85</v>
      </c>
      <c r="E97" s="264">
        <v>1.8000000000000002E-2</v>
      </c>
      <c r="F97" s="258" t="s">
        <v>155</v>
      </c>
    </row>
    <row r="98" spans="1:6" x14ac:dyDescent="0.25">
      <c r="A98" s="265">
        <v>96</v>
      </c>
      <c r="B98" s="261">
        <v>693</v>
      </c>
      <c r="C98" s="263">
        <v>1.4800000000000001E-2</v>
      </c>
      <c r="D98" s="261">
        <v>0.85</v>
      </c>
      <c r="E98" s="263">
        <v>1.7000000000000001E-2</v>
      </c>
      <c r="F98" s="259" t="s">
        <v>155</v>
      </c>
    </row>
    <row r="99" spans="1:6" x14ac:dyDescent="0.25">
      <c r="A99" s="266">
        <v>97</v>
      </c>
      <c r="B99" s="262">
        <v>705</v>
      </c>
      <c r="C99" s="264">
        <v>1.47E-2</v>
      </c>
      <c r="D99" s="262">
        <v>0.85</v>
      </c>
      <c r="E99" s="264">
        <v>1.7000000000000001E-2</v>
      </c>
      <c r="F99" s="258" t="s">
        <v>155</v>
      </c>
    </row>
    <row r="100" spans="1:6" x14ac:dyDescent="0.25">
      <c r="A100" s="265">
        <v>98</v>
      </c>
      <c r="B100" s="261">
        <v>717</v>
      </c>
      <c r="C100" s="263">
        <v>1.46E-2</v>
      </c>
      <c r="D100" s="261">
        <v>0.85</v>
      </c>
      <c r="E100" s="263">
        <v>1.7000000000000001E-2</v>
      </c>
      <c r="F100" s="259" t="s">
        <v>155</v>
      </c>
    </row>
    <row r="101" spans="1:6" x14ac:dyDescent="0.25">
      <c r="A101" s="266">
        <v>99</v>
      </c>
      <c r="B101" s="262">
        <v>729</v>
      </c>
      <c r="C101" s="264">
        <v>1.4499999999999999E-2</v>
      </c>
      <c r="D101" s="262">
        <v>0.85</v>
      </c>
      <c r="E101" s="264">
        <v>1.7000000000000001E-2</v>
      </c>
      <c r="F101" s="258" t="s">
        <v>155</v>
      </c>
    </row>
    <row r="102" spans="1:6" x14ac:dyDescent="0.25">
      <c r="A102" s="265">
        <v>100</v>
      </c>
      <c r="B102" s="261">
        <v>742</v>
      </c>
      <c r="C102" s="263">
        <v>1.44E-2</v>
      </c>
      <c r="D102" s="261">
        <v>0.85</v>
      </c>
      <c r="E102" s="263">
        <v>1.7000000000000001E-2</v>
      </c>
      <c r="F102" s="259" t="s">
        <v>155</v>
      </c>
    </row>
    <row r="103" spans="1:6" x14ac:dyDescent="0.25">
      <c r="A103" s="266">
        <v>101</v>
      </c>
      <c r="B103" s="262">
        <v>754</v>
      </c>
      <c r="C103" s="264">
        <v>1.43E-2</v>
      </c>
      <c r="D103" s="262">
        <v>0.86</v>
      </c>
      <c r="E103" s="264">
        <v>1.7000000000000001E-2</v>
      </c>
      <c r="F103" s="258" t="s">
        <v>155</v>
      </c>
    </row>
    <row r="104" spans="1:6" x14ac:dyDescent="0.25">
      <c r="A104" s="265">
        <v>102</v>
      </c>
      <c r="B104" s="261">
        <v>767</v>
      </c>
      <c r="C104" s="263">
        <v>1.4199999999999999E-2</v>
      </c>
      <c r="D104" s="261">
        <v>0.86</v>
      </c>
      <c r="E104" s="263">
        <v>1.7000000000000001E-2</v>
      </c>
      <c r="F104" s="259" t="s">
        <v>155</v>
      </c>
    </row>
    <row r="105" spans="1:6" x14ac:dyDescent="0.25">
      <c r="A105" s="266">
        <v>103</v>
      </c>
      <c r="B105" s="262">
        <v>780</v>
      </c>
      <c r="C105" s="264">
        <v>1.41E-2</v>
      </c>
      <c r="D105" s="262">
        <v>0.86</v>
      </c>
      <c r="E105" s="264">
        <v>1.6E-2</v>
      </c>
      <c r="F105" s="258" t="s">
        <v>155</v>
      </c>
    </row>
    <row r="106" spans="1:6" x14ac:dyDescent="0.25">
      <c r="A106" s="265">
        <v>104</v>
      </c>
      <c r="B106" s="261">
        <v>792</v>
      </c>
      <c r="C106" s="263">
        <v>1.3999999999999999E-2</v>
      </c>
      <c r="D106" s="261">
        <v>0.86</v>
      </c>
      <c r="E106" s="263">
        <v>1.6E-2</v>
      </c>
      <c r="F106" s="259" t="s">
        <v>155</v>
      </c>
    </row>
    <row r="107" spans="1:6" x14ac:dyDescent="0.25">
      <c r="A107" s="266">
        <v>105</v>
      </c>
      <c r="B107" s="262">
        <v>805</v>
      </c>
      <c r="C107" s="264">
        <v>1.3899999999999999E-2</v>
      </c>
      <c r="D107" s="262">
        <v>0.86</v>
      </c>
      <c r="E107" s="264">
        <v>1.6E-2</v>
      </c>
      <c r="F107" s="258" t="s">
        <v>155</v>
      </c>
    </row>
    <row r="108" spans="1:6" x14ac:dyDescent="0.25">
      <c r="A108" s="265">
        <v>106</v>
      </c>
      <c r="B108" s="261">
        <v>818</v>
      </c>
      <c r="C108" s="263">
        <v>1.38E-2</v>
      </c>
      <c r="D108" s="261">
        <v>0.86</v>
      </c>
      <c r="E108" s="263">
        <v>1.6E-2</v>
      </c>
      <c r="F108" s="259" t="s">
        <v>155</v>
      </c>
    </row>
    <row r="109" spans="1:6" x14ac:dyDescent="0.25">
      <c r="A109" s="266">
        <v>107</v>
      </c>
      <c r="B109" s="262">
        <v>831</v>
      </c>
      <c r="C109" s="264">
        <v>1.37E-2</v>
      </c>
      <c r="D109" s="262">
        <v>0.86</v>
      </c>
      <c r="E109" s="264">
        <v>1.6E-2</v>
      </c>
      <c r="F109" s="258" t="s">
        <v>155</v>
      </c>
    </row>
    <row r="110" spans="1:6" x14ac:dyDescent="0.25">
      <c r="A110" s="265">
        <v>108</v>
      </c>
      <c r="B110" s="261">
        <v>845</v>
      </c>
      <c r="C110" s="263">
        <v>1.3600000000000001E-2</v>
      </c>
      <c r="D110" s="261">
        <v>0.86</v>
      </c>
      <c r="E110" s="263">
        <v>1.6E-2</v>
      </c>
      <c r="F110" s="259" t="s">
        <v>155</v>
      </c>
    </row>
    <row r="111" spans="1:6" x14ac:dyDescent="0.25">
      <c r="A111" s="266">
        <v>109</v>
      </c>
      <c r="B111" s="262">
        <v>858</v>
      </c>
      <c r="C111" s="264">
        <v>1.3500000000000002E-2</v>
      </c>
      <c r="D111" s="262">
        <v>0.87</v>
      </c>
      <c r="E111" s="264">
        <v>1.6E-2</v>
      </c>
      <c r="F111" s="258" t="s">
        <v>155</v>
      </c>
    </row>
    <row r="112" spans="1:6" x14ac:dyDescent="0.25">
      <c r="A112" s="265">
        <v>110</v>
      </c>
      <c r="B112" s="261">
        <v>871</v>
      </c>
      <c r="C112" s="263">
        <v>1.34E-2</v>
      </c>
      <c r="D112" s="261">
        <v>0.87</v>
      </c>
      <c r="E112" s="263">
        <v>1.6E-2</v>
      </c>
      <c r="F112" s="259" t="s">
        <v>155</v>
      </c>
    </row>
    <row r="113" spans="1:6" x14ac:dyDescent="0.25">
      <c r="A113" s="266">
        <v>111</v>
      </c>
      <c r="B113" s="262">
        <v>885</v>
      </c>
      <c r="C113" s="264">
        <v>1.34E-2</v>
      </c>
      <c r="D113" s="262">
        <v>0.87</v>
      </c>
      <c r="E113" s="264">
        <v>1.4999999999999999E-2</v>
      </c>
      <c r="F113" s="258" t="s">
        <v>155</v>
      </c>
    </row>
    <row r="114" spans="1:6" x14ac:dyDescent="0.25">
      <c r="A114" s="265">
        <v>112</v>
      </c>
      <c r="B114" s="261">
        <v>899</v>
      </c>
      <c r="C114" s="263">
        <v>1.3300000000000001E-2</v>
      </c>
      <c r="D114" s="261">
        <v>0.87</v>
      </c>
      <c r="E114" s="263">
        <v>1.4999999999999999E-2</v>
      </c>
      <c r="F114" s="259" t="s">
        <v>155</v>
      </c>
    </row>
    <row r="115" spans="1:6" x14ac:dyDescent="0.25">
      <c r="A115" s="266">
        <v>113</v>
      </c>
      <c r="B115" s="262">
        <v>912</v>
      </c>
      <c r="C115" s="264">
        <v>1.32E-2</v>
      </c>
      <c r="D115" s="262">
        <v>0.87</v>
      </c>
      <c r="E115" s="264">
        <v>1.4999999999999999E-2</v>
      </c>
      <c r="F115" s="258" t="s">
        <v>155</v>
      </c>
    </row>
    <row r="116" spans="1:6" x14ac:dyDescent="0.25">
      <c r="A116" s="265">
        <v>114</v>
      </c>
      <c r="B116" s="261">
        <v>926</v>
      </c>
      <c r="C116" s="263">
        <v>1.3100000000000001E-2</v>
      </c>
      <c r="D116" s="261">
        <v>0.87</v>
      </c>
      <c r="E116" s="263">
        <v>1.4999999999999999E-2</v>
      </c>
      <c r="F116" s="259" t="s">
        <v>155</v>
      </c>
    </row>
    <row r="117" spans="1:6" x14ac:dyDescent="0.25">
      <c r="A117" s="266">
        <v>115</v>
      </c>
      <c r="B117" s="262">
        <v>940</v>
      </c>
      <c r="C117" s="264">
        <v>1.3000000000000001E-2</v>
      </c>
      <c r="D117" s="262">
        <v>0.87</v>
      </c>
      <c r="E117" s="264">
        <v>1.4999999999999999E-2</v>
      </c>
      <c r="F117" s="258" t="s">
        <v>155</v>
      </c>
    </row>
    <row r="118" spans="1:6" x14ac:dyDescent="0.25">
      <c r="A118" s="265">
        <v>116</v>
      </c>
      <c r="B118" s="261">
        <v>954</v>
      </c>
      <c r="C118" s="263">
        <v>1.29E-2</v>
      </c>
      <c r="D118" s="261">
        <v>0.88</v>
      </c>
      <c r="E118" s="263">
        <v>1.4999999999999999E-2</v>
      </c>
      <c r="F118" s="259" t="s">
        <v>155</v>
      </c>
    </row>
    <row r="119" spans="1:6" x14ac:dyDescent="0.25">
      <c r="A119" s="266">
        <v>117</v>
      </c>
      <c r="B119" s="262">
        <v>968</v>
      </c>
      <c r="C119" s="264">
        <v>1.2800000000000001E-2</v>
      </c>
      <c r="D119" s="262">
        <v>0.88</v>
      </c>
      <c r="E119" s="264">
        <v>1.4999999999999999E-2</v>
      </c>
      <c r="F119" s="258" t="s">
        <v>155</v>
      </c>
    </row>
    <row r="120" spans="1:6" x14ac:dyDescent="0.25">
      <c r="A120" s="265">
        <v>118</v>
      </c>
      <c r="B120" s="261">
        <v>982</v>
      </c>
      <c r="C120" s="263">
        <v>1.2699999999999999E-2</v>
      </c>
      <c r="D120" s="261">
        <v>0.88</v>
      </c>
      <c r="E120" s="263">
        <v>1.4999999999999999E-2</v>
      </c>
      <c r="F120" s="259" t="s">
        <v>155</v>
      </c>
    </row>
    <row r="121" spans="1:6" x14ac:dyDescent="0.25">
      <c r="A121" s="266">
        <v>119</v>
      </c>
      <c r="B121" s="262">
        <v>996</v>
      </c>
      <c r="C121" s="264">
        <v>1.2699999999999999E-2</v>
      </c>
      <c r="D121" s="262">
        <v>0.88</v>
      </c>
      <c r="E121" s="264">
        <v>1.3999999999999999E-2</v>
      </c>
      <c r="F121" s="258" t="s">
        <v>155</v>
      </c>
    </row>
    <row r="122" spans="1:6" x14ac:dyDescent="0.25">
      <c r="A122" s="265">
        <v>120</v>
      </c>
      <c r="B122" s="261">
        <v>1011</v>
      </c>
      <c r="C122" s="263">
        <v>1.26E-2</v>
      </c>
      <c r="D122" s="261">
        <v>0.88</v>
      </c>
      <c r="E122" s="263">
        <v>1.3999999999999999E-2</v>
      </c>
      <c r="F122" s="259" t="s">
        <v>155</v>
      </c>
    </row>
    <row r="123" spans="1:6" x14ac:dyDescent="0.25">
      <c r="A123" s="266">
        <v>121</v>
      </c>
      <c r="B123" s="262">
        <v>1025</v>
      </c>
      <c r="C123" s="264">
        <v>1.2500000000000001E-2</v>
      </c>
      <c r="D123" s="262">
        <v>0.88</v>
      </c>
      <c r="E123" s="264">
        <v>1.3999999999999999E-2</v>
      </c>
      <c r="F123" s="258" t="s">
        <v>155</v>
      </c>
    </row>
    <row r="124" spans="1:6" x14ac:dyDescent="0.25">
      <c r="A124" s="265">
        <v>122</v>
      </c>
      <c r="B124" s="261">
        <v>1040</v>
      </c>
      <c r="C124" s="263">
        <v>1.24E-2</v>
      </c>
      <c r="D124" s="261">
        <v>0.88</v>
      </c>
      <c r="E124" s="263">
        <v>1.3999999999999999E-2</v>
      </c>
      <c r="F124" s="259" t="s">
        <v>155</v>
      </c>
    </row>
    <row r="125" spans="1:6" x14ac:dyDescent="0.25">
      <c r="A125" s="266">
        <v>123</v>
      </c>
      <c r="B125" s="262">
        <v>1054</v>
      </c>
      <c r="C125" s="264">
        <v>1.23E-2</v>
      </c>
      <c r="D125" s="262">
        <v>0.89</v>
      </c>
      <c r="E125" s="264">
        <v>1.3999999999999999E-2</v>
      </c>
      <c r="F125" s="258" t="s">
        <v>155</v>
      </c>
    </row>
    <row r="126" spans="1:6" x14ac:dyDescent="0.25">
      <c r="A126" s="265">
        <v>124</v>
      </c>
      <c r="B126" s="261">
        <v>1069</v>
      </c>
      <c r="C126" s="263">
        <v>1.23E-2</v>
      </c>
      <c r="D126" s="261">
        <v>0.89</v>
      </c>
      <c r="E126" s="263">
        <v>1.3999999999999999E-2</v>
      </c>
      <c r="F126" s="259" t="s">
        <v>155</v>
      </c>
    </row>
    <row r="127" spans="1:6" x14ac:dyDescent="0.25">
      <c r="A127" s="266" t="s">
        <v>223</v>
      </c>
      <c r="B127" s="262">
        <v>1084</v>
      </c>
      <c r="C127" s="264">
        <v>1.2199999999999999E-2</v>
      </c>
      <c r="D127" s="262">
        <v>0.89</v>
      </c>
      <c r="E127" s="264">
        <v>1.3999999999999999E-2</v>
      </c>
      <c r="F127" s="258" t="s">
        <v>155</v>
      </c>
    </row>
    <row r="128" spans="1:6" x14ac:dyDescent="0.25">
      <c r="A128" s="265" t="s">
        <v>194</v>
      </c>
      <c r="B128" s="261">
        <v>1099</v>
      </c>
      <c r="C128" s="263">
        <v>1.21E-2</v>
      </c>
      <c r="D128" s="261">
        <v>0.89</v>
      </c>
      <c r="E128" s="263">
        <v>1.3999999999999999E-2</v>
      </c>
      <c r="F128" s="259" t="s">
        <v>155</v>
      </c>
    </row>
    <row r="129" spans="1:6" x14ac:dyDescent="0.25">
      <c r="A129" s="266" t="s">
        <v>224</v>
      </c>
      <c r="B129" s="262">
        <v>1114</v>
      </c>
      <c r="C129" s="264">
        <v>1.2E-2</v>
      </c>
      <c r="D129" s="262">
        <v>0.89</v>
      </c>
      <c r="E129" s="264">
        <v>1.3000000000000001E-2</v>
      </c>
      <c r="F129" s="258" t="s">
        <v>155</v>
      </c>
    </row>
    <row r="130" spans="1:6" x14ac:dyDescent="0.25">
      <c r="A130" s="265" t="s">
        <v>225</v>
      </c>
      <c r="B130" s="261">
        <v>1129</v>
      </c>
      <c r="C130" s="263">
        <v>1.1899999999999999E-2</v>
      </c>
      <c r="D130" s="261">
        <v>0.89</v>
      </c>
      <c r="E130" s="263">
        <v>1.3000000000000001E-2</v>
      </c>
      <c r="F130" s="259" t="s">
        <v>155</v>
      </c>
    </row>
    <row r="131" spans="1:6" x14ac:dyDescent="0.25">
      <c r="A131" s="266" t="s">
        <v>226</v>
      </c>
      <c r="B131" s="262">
        <v>1144</v>
      </c>
      <c r="C131" s="264">
        <v>1.18E-2</v>
      </c>
      <c r="D131" s="262">
        <v>0.89</v>
      </c>
      <c r="E131" s="264">
        <v>1.3000000000000001E-2</v>
      </c>
      <c r="F131" s="258" t="s">
        <v>155</v>
      </c>
    </row>
    <row r="132" spans="1:6" x14ac:dyDescent="0.25">
      <c r="A132" s="265" t="s">
        <v>227</v>
      </c>
      <c r="B132" s="261">
        <v>1159</v>
      </c>
      <c r="C132" s="263">
        <v>1.1699999999999999E-2</v>
      </c>
      <c r="D132" s="261">
        <v>0.9</v>
      </c>
      <c r="E132" s="263">
        <v>1.3000000000000001E-2</v>
      </c>
      <c r="F132" s="259" t="s">
        <v>155</v>
      </c>
    </row>
    <row r="133" spans="1:6" x14ac:dyDescent="0.25">
      <c r="A133" s="266" t="s">
        <v>228</v>
      </c>
      <c r="B133" s="262">
        <v>1174</v>
      </c>
      <c r="C133" s="264">
        <v>1.1699999999999999E-2</v>
      </c>
      <c r="D133" s="262">
        <v>0.9</v>
      </c>
      <c r="E133" s="264">
        <v>1.3000000000000001E-2</v>
      </c>
      <c r="F133" s="258" t="s">
        <v>155</v>
      </c>
    </row>
    <row r="134" spans="1:6" x14ac:dyDescent="0.25">
      <c r="A134" s="265" t="s">
        <v>196</v>
      </c>
      <c r="B134" s="261">
        <v>1189</v>
      </c>
      <c r="C134" s="263">
        <v>1.1599999999999999E-2</v>
      </c>
      <c r="D134" s="261">
        <v>0.9</v>
      </c>
      <c r="E134" s="263">
        <v>1.3000000000000001E-2</v>
      </c>
      <c r="F134" s="259" t="s">
        <v>155</v>
      </c>
    </row>
    <row r="135" spans="1:6" x14ac:dyDescent="0.25">
      <c r="A135" s="266" t="s">
        <v>229</v>
      </c>
      <c r="B135" s="262">
        <v>1205</v>
      </c>
      <c r="C135" s="264">
        <v>1.15E-2</v>
      </c>
      <c r="D135" s="262">
        <v>0.9</v>
      </c>
      <c r="E135" s="264">
        <v>1.3000000000000001E-2</v>
      </c>
      <c r="F135" s="258" t="s">
        <v>155</v>
      </c>
    </row>
    <row r="136" spans="1:6" x14ac:dyDescent="0.25">
      <c r="A136" s="265" t="s">
        <v>230</v>
      </c>
      <c r="B136" s="261">
        <v>1220</v>
      </c>
      <c r="C136" s="263">
        <v>1.1399999999999999E-2</v>
      </c>
      <c r="D136" s="261">
        <v>0.9</v>
      </c>
      <c r="E136" s="263">
        <v>1.3000000000000001E-2</v>
      </c>
      <c r="F136" s="259" t="s">
        <v>155</v>
      </c>
    </row>
    <row r="137" spans="1:6" x14ac:dyDescent="0.25">
      <c r="A137" s="266" t="s">
        <v>231</v>
      </c>
      <c r="B137" s="262">
        <v>1236</v>
      </c>
      <c r="C137" s="264">
        <v>1.1299999999999999E-2</v>
      </c>
      <c r="D137" s="262">
        <v>0.9</v>
      </c>
      <c r="E137" s="264">
        <v>1.3000000000000001E-2</v>
      </c>
      <c r="F137" s="258" t="s">
        <v>155</v>
      </c>
    </row>
    <row r="138" spans="1:6" x14ac:dyDescent="0.25">
      <c r="A138" s="265" t="s">
        <v>232</v>
      </c>
      <c r="B138" s="261">
        <v>1251</v>
      </c>
      <c r="C138" s="263">
        <v>1.1200000000000002E-2</v>
      </c>
      <c r="D138" s="261">
        <v>0.9</v>
      </c>
      <c r="E138" s="263">
        <v>1.2E-2</v>
      </c>
      <c r="F138" s="259" t="s">
        <v>155</v>
      </c>
    </row>
    <row r="139" spans="1:6" x14ac:dyDescent="0.25">
      <c r="A139" s="266" t="s">
        <v>233</v>
      </c>
      <c r="B139" s="262">
        <v>1266</v>
      </c>
      <c r="C139" s="264">
        <v>1.11E-2</v>
      </c>
      <c r="D139" s="262">
        <v>0.91</v>
      </c>
      <c r="E139" s="264">
        <v>1.2E-2</v>
      </c>
      <c r="F139" s="258" t="s">
        <v>155</v>
      </c>
    </row>
    <row r="140" spans="1:6" x14ac:dyDescent="0.25">
      <c r="A140" s="265" t="s">
        <v>234</v>
      </c>
      <c r="B140" s="261">
        <v>1282</v>
      </c>
      <c r="C140" s="263">
        <v>1.1000000000000001E-2</v>
      </c>
      <c r="D140" s="261">
        <v>0.91</v>
      </c>
      <c r="E140" s="263">
        <v>1.2E-2</v>
      </c>
      <c r="F140" s="259" t="s">
        <v>155</v>
      </c>
    </row>
    <row r="141" spans="1:6" x14ac:dyDescent="0.25">
      <c r="A141" s="266" t="s">
        <v>198</v>
      </c>
      <c r="B141" s="262">
        <v>1298</v>
      </c>
      <c r="C141" s="264">
        <v>1.1000000000000001E-2</v>
      </c>
      <c r="D141" s="262">
        <v>0.91</v>
      </c>
      <c r="E141" s="264">
        <v>1.2E-2</v>
      </c>
      <c r="F141" s="258" t="s">
        <v>155</v>
      </c>
    </row>
    <row r="142" spans="1:6" x14ac:dyDescent="0.25">
      <c r="A142" s="265" t="s">
        <v>235</v>
      </c>
      <c r="B142" s="261">
        <v>1313</v>
      </c>
      <c r="C142" s="263">
        <v>1.09E-2</v>
      </c>
      <c r="D142" s="261">
        <v>0.91</v>
      </c>
      <c r="E142" s="263">
        <v>1.2E-2</v>
      </c>
      <c r="F142" s="259" t="s">
        <v>155</v>
      </c>
    </row>
    <row r="143" spans="1:6" x14ac:dyDescent="0.25">
      <c r="A143" s="266" t="s">
        <v>236</v>
      </c>
      <c r="B143" s="262">
        <v>1329</v>
      </c>
      <c r="C143" s="264">
        <v>1.0800000000000001E-2</v>
      </c>
      <c r="D143" s="262">
        <v>0.91</v>
      </c>
      <c r="E143" s="264">
        <v>1.2E-2</v>
      </c>
      <c r="F143" s="258" t="s">
        <v>155</v>
      </c>
    </row>
    <row r="144" spans="1:6" x14ac:dyDescent="0.25">
      <c r="A144" s="265" t="s">
        <v>237</v>
      </c>
      <c r="B144" s="261">
        <v>1345</v>
      </c>
      <c r="C144" s="263">
        <v>1.0700000000000001E-2</v>
      </c>
      <c r="D144" s="261">
        <v>0.91</v>
      </c>
      <c r="E144" s="263">
        <v>1.2E-2</v>
      </c>
      <c r="F144" s="259" t="s">
        <v>155</v>
      </c>
    </row>
    <row r="145" spans="1:6" x14ac:dyDescent="0.25">
      <c r="A145" s="266" t="s">
        <v>238</v>
      </c>
      <c r="B145" s="262">
        <v>1361</v>
      </c>
      <c r="C145" s="264">
        <v>1.06E-2</v>
      </c>
      <c r="D145" s="262">
        <v>0.91</v>
      </c>
      <c r="E145" s="264">
        <v>1.2E-2</v>
      </c>
      <c r="F145" s="258" t="s">
        <v>155</v>
      </c>
    </row>
    <row r="146" spans="1:6" x14ac:dyDescent="0.25">
      <c r="A146" s="265" t="s">
        <v>239</v>
      </c>
      <c r="B146" s="261">
        <v>1377</v>
      </c>
      <c r="C146" s="263">
        <v>1.06E-2</v>
      </c>
      <c r="D146" s="261">
        <v>0.91</v>
      </c>
      <c r="E146" s="263">
        <v>1.2E-2</v>
      </c>
      <c r="F146" s="259" t="s">
        <v>155</v>
      </c>
    </row>
    <row r="147" spans="1:6" x14ac:dyDescent="0.25">
      <c r="A147" s="266" t="s">
        <v>240</v>
      </c>
      <c r="B147" s="262">
        <v>1393</v>
      </c>
      <c r="C147" s="264">
        <v>1.0500000000000001E-2</v>
      </c>
      <c r="D147" s="262">
        <v>0.91</v>
      </c>
      <c r="E147" s="264">
        <v>1.1000000000000001E-2</v>
      </c>
      <c r="F147" s="258" t="s">
        <v>155</v>
      </c>
    </row>
    <row r="148" spans="1:6" x14ac:dyDescent="0.25">
      <c r="A148" s="265" t="s">
        <v>200</v>
      </c>
      <c r="B148" s="261">
        <v>1409</v>
      </c>
      <c r="C148" s="263">
        <v>1.04E-2</v>
      </c>
      <c r="D148" s="261">
        <v>0.91</v>
      </c>
      <c r="E148" s="263">
        <v>1.1000000000000001E-2</v>
      </c>
      <c r="F148" s="259" t="s">
        <v>155</v>
      </c>
    </row>
    <row r="149" spans="1:6" x14ac:dyDescent="0.25">
      <c r="A149" s="266" t="s">
        <v>241</v>
      </c>
      <c r="B149" s="262">
        <v>1425</v>
      </c>
      <c r="C149" s="264">
        <v>1.03E-2</v>
      </c>
      <c r="D149" s="262">
        <v>0.91</v>
      </c>
      <c r="E149" s="264">
        <v>1.1000000000000001E-2</v>
      </c>
      <c r="F149" s="258" t="s">
        <v>155</v>
      </c>
    </row>
    <row r="150" spans="1:6" x14ac:dyDescent="0.25">
      <c r="A150" s="265" t="s">
        <v>242</v>
      </c>
      <c r="B150" s="261">
        <v>1441</v>
      </c>
      <c r="C150" s="263">
        <v>1.03E-2</v>
      </c>
      <c r="D150" s="261">
        <v>0.92</v>
      </c>
      <c r="E150" s="263">
        <v>1.1000000000000001E-2</v>
      </c>
      <c r="F150" s="259" t="s">
        <v>155</v>
      </c>
    </row>
    <row r="151" spans="1:6" x14ac:dyDescent="0.25">
      <c r="A151" s="266" t="s">
        <v>243</v>
      </c>
      <c r="B151" s="262">
        <v>1457</v>
      </c>
      <c r="C151" s="264">
        <v>1.0200000000000001E-2</v>
      </c>
      <c r="D151" s="262">
        <v>0.92</v>
      </c>
      <c r="E151" s="264">
        <v>1.1000000000000001E-2</v>
      </c>
      <c r="F151" s="258" t="s">
        <v>155</v>
      </c>
    </row>
    <row r="152" spans="1:6" x14ac:dyDescent="0.25">
      <c r="A152" s="265" t="s">
        <v>244</v>
      </c>
      <c r="B152" s="261">
        <v>1473</v>
      </c>
      <c r="C152" s="263">
        <v>1.0200000000000001E-2</v>
      </c>
      <c r="D152" s="261">
        <v>0.92</v>
      </c>
      <c r="E152" s="263">
        <v>1.1000000000000001E-2</v>
      </c>
      <c r="F152" s="259" t="s">
        <v>155</v>
      </c>
    </row>
    <row r="153" spans="1:6" x14ac:dyDescent="0.25">
      <c r="A153" s="266" t="s">
        <v>245</v>
      </c>
      <c r="B153" s="262">
        <v>1490</v>
      </c>
      <c r="C153" s="264">
        <v>1.01E-2</v>
      </c>
      <c r="D153" s="262">
        <v>0.92</v>
      </c>
      <c r="E153" s="264">
        <v>1.1000000000000001E-2</v>
      </c>
      <c r="F153" s="258" t="s">
        <v>155</v>
      </c>
    </row>
    <row r="154" spans="1:6" x14ac:dyDescent="0.25">
      <c r="A154" s="265" t="s">
        <v>246</v>
      </c>
      <c r="B154" s="261">
        <v>1506</v>
      </c>
      <c r="C154" s="263">
        <v>0.01</v>
      </c>
      <c r="D154" s="261">
        <v>0.92</v>
      </c>
      <c r="E154" s="263">
        <v>1.1000000000000001E-2</v>
      </c>
      <c r="F154" s="259" t="s">
        <v>155</v>
      </c>
    </row>
    <row r="155" spans="1:6" x14ac:dyDescent="0.25">
      <c r="A155" s="266" t="s">
        <v>202</v>
      </c>
      <c r="B155" s="262">
        <v>1522</v>
      </c>
      <c r="C155" s="264">
        <v>0.01</v>
      </c>
      <c r="D155" s="262">
        <v>0.92</v>
      </c>
      <c r="E155" s="264">
        <v>1.1000000000000001E-2</v>
      </c>
      <c r="F155" s="258" t="s">
        <v>155</v>
      </c>
    </row>
    <row r="156" spans="1:6" x14ac:dyDescent="0.25">
      <c r="A156" s="265" t="s">
        <v>247</v>
      </c>
      <c r="B156" s="261">
        <v>1539</v>
      </c>
      <c r="C156" s="263">
        <v>9.8999999999999991E-3</v>
      </c>
      <c r="D156" s="261">
        <v>0.92</v>
      </c>
      <c r="E156" s="263">
        <v>1.1000000000000001E-2</v>
      </c>
      <c r="F156" s="259" t="s">
        <v>155</v>
      </c>
    </row>
    <row r="157" spans="1:6" x14ac:dyDescent="0.25">
      <c r="A157" s="266" t="s">
        <v>248</v>
      </c>
      <c r="B157" s="262">
        <v>1555</v>
      </c>
      <c r="C157" s="264">
        <v>9.8999999999999991E-3</v>
      </c>
      <c r="D157" s="262">
        <v>0.92</v>
      </c>
      <c r="E157" s="264">
        <v>1.1000000000000001E-2</v>
      </c>
      <c r="F157" s="258" t="s">
        <v>155</v>
      </c>
    </row>
    <row r="158" spans="1:6" x14ac:dyDescent="0.25">
      <c r="A158" s="265" t="s">
        <v>249</v>
      </c>
      <c r="B158" s="261">
        <v>1572</v>
      </c>
      <c r="C158" s="263">
        <v>9.7999999999999997E-3</v>
      </c>
      <c r="D158" s="261">
        <v>0.93</v>
      </c>
      <c r="E158" s="263">
        <v>1.1000000000000001E-2</v>
      </c>
      <c r="F158" s="259" t="s">
        <v>155</v>
      </c>
    </row>
    <row r="159" spans="1:6" x14ac:dyDescent="0.25">
      <c r="A159" s="266" t="s">
        <v>250</v>
      </c>
      <c r="B159" s="262">
        <v>1589</v>
      </c>
      <c r="C159" s="264">
        <v>9.7000000000000003E-3</v>
      </c>
      <c r="D159" s="262">
        <v>0.93</v>
      </c>
      <c r="E159" s="264">
        <v>1.1000000000000001E-2</v>
      </c>
      <c r="F159" s="258" t="s">
        <v>155</v>
      </c>
    </row>
    <row r="160" spans="1:6" x14ac:dyDescent="0.25">
      <c r="A160" s="265" t="s">
        <v>251</v>
      </c>
      <c r="B160" s="261">
        <v>1605</v>
      </c>
      <c r="C160" s="263">
        <v>9.7000000000000003E-3</v>
      </c>
      <c r="D160" s="261">
        <v>0.93</v>
      </c>
      <c r="E160" s="263">
        <v>0.01</v>
      </c>
      <c r="F160" s="259" t="s">
        <v>155</v>
      </c>
    </row>
    <row r="161" spans="1:6" x14ac:dyDescent="0.25">
      <c r="A161" s="266" t="s">
        <v>252</v>
      </c>
      <c r="B161" s="262">
        <v>1622</v>
      </c>
      <c r="C161" s="264">
        <v>9.5999999999999992E-3</v>
      </c>
      <c r="D161" s="262">
        <v>0.93</v>
      </c>
      <c r="E161" s="264">
        <v>0.01</v>
      </c>
      <c r="F161" s="258" t="s">
        <v>155</v>
      </c>
    </row>
    <row r="162" spans="1:6" x14ac:dyDescent="0.25">
      <c r="A162" s="265" t="s">
        <v>253</v>
      </c>
      <c r="B162" s="261">
        <v>1639</v>
      </c>
      <c r="C162" s="263">
        <v>9.4999999999999998E-3</v>
      </c>
      <c r="D162" s="261">
        <v>0.93</v>
      </c>
      <c r="E162" s="263">
        <v>0.01</v>
      </c>
      <c r="F162" s="259" t="s">
        <v>155</v>
      </c>
    </row>
    <row r="163" spans="1:6" x14ac:dyDescent="0.25">
      <c r="A163" s="266" t="s">
        <v>205</v>
      </c>
      <c r="B163" s="262">
        <v>1656</v>
      </c>
      <c r="C163" s="264">
        <v>9.4999999999999998E-3</v>
      </c>
      <c r="D163" s="262">
        <v>0.93</v>
      </c>
      <c r="E163" s="264">
        <v>0.01</v>
      </c>
      <c r="F163" s="258" t="s">
        <v>155</v>
      </c>
    </row>
    <row r="164" spans="1:6" x14ac:dyDescent="0.25">
      <c r="A164" s="265" t="s">
        <v>254</v>
      </c>
      <c r="B164" s="261">
        <v>1673</v>
      </c>
      <c r="C164" s="263">
        <v>9.3999999999999986E-3</v>
      </c>
      <c r="D164" s="261">
        <v>0.93</v>
      </c>
      <c r="E164" s="263">
        <v>0.01</v>
      </c>
      <c r="F164" s="259" t="s">
        <v>155</v>
      </c>
    </row>
    <row r="165" spans="1:6" x14ac:dyDescent="0.25">
      <c r="A165" s="266" t="s">
        <v>255</v>
      </c>
      <c r="B165" s="262">
        <v>1689</v>
      </c>
      <c r="C165" s="264">
        <v>9.300000000000001E-3</v>
      </c>
      <c r="D165" s="262">
        <v>0.93</v>
      </c>
      <c r="E165" s="264">
        <v>0.01</v>
      </c>
      <c r="F165" s="258" t="s">
        <v>155</v>
      </c>
    </row>
    <row r="166" spans="1:6" x14ac:dyDescent="0.25">
      <c r="A166" s="265" t="s">
        <v>256</v>
      </c>
      <c r="B166" s="261">
        <v>1706</v>
      </c>
      <c r="C166" s="263">
        <v>9.1999999999999998E-3</v>
      </c>
      <c r="D166" s="261">
        <v>0.93</v>
      </c>
      <c r="E166" s="263">
        <v>0.01</v>
      </c>
      <c r="F166" s="259" t="s">
        <v>155</v>
      </c>
    </row>
    <row r="167" spans="1:6" x14ac:dyDescent="0.25">
      <c r="A167" s="266" t="s">
        <v>257</v>
      </c>
      <c r="B167" s="262">
        <v>1723</v>
      </c>
      <c r="C167" s="264">
        <v>9.1999999999999998E-3</v>
      </c>
      <c r="D167" s="262">
        <v>0.93</v>
      </c>
      <c r="E167" s="264">
        <v>0.01</v>
      </c>
      <c r="F167" s="258" t="s">
        <v>155</v>
      </c>
    </row>
    <row r="168" spans="1:6" x14ac:dyDescent="0.25">
      <c r="A168" s="265" t="s">
        <v>258</v>
      </c>
      <c r="B168" s="261">
        <v>1740</v>
      </c>
      <c r="C168" s="263">
        <v>9.1000000000000004E-3</v>
      </c>
      <c r="D168" s="261">
        <v>0.94</v>
      </c>
      <c r="E168" s="263">
        <v>0.01</v>
      </c>
      <c r="F168" s="259" t="s">
        <v>155</v>
      </c>
    </row>
    <row r="169" spans="1:6" x14ac:dyDescent="0.25">
      <c r="A169" s="266" t="s">
        <v>259</v>
      </c>
      <c r="B169" s="262">
        <v>1757</v>
      </c>
      <c r="C169" s="264">
        <v>9.1000000000000004E-3</v>
      </c>
      <c r="D169" s="262">
        <v>0.94</v>
      </c>
      <c r="E169" s="264">
        <v>0.01</v>
      </c>
      <c r="F169" s="258" t="s">
        <v>155</v>
      </c>
    </row>
    <row r="170" spans="1:6" x14ac:dyDescent="0.25">
      <c r="A170" s="265" t="s">
        <v>207</v>
      </c>
      <c r="B170" s="261">
        <v>1774</v>
      </c>
      <c r="C170" s="263">
        <v>9.0000000000000011E-3</v>
      </c>
      <c r="D170" s="261">
        <v>0.94</v>
      </c>
      <c r="E170" s="263">
        <v>0.01</v>
      </c>
      <c r="F170" s="259" t="s">
        <v>155</v>
      </c>
    </row>
    <row r="171" spans="1:6" x14ac:dyDescent="0.25">
      <c r="A171" s="266" t="s">
        <v>260</v>
      </c>
      <c r="B171" s="262">
        <v>1791</v>
      </c>
      <c r="C171" s="264">
        <v>9.0000000000000011E-3</v>
      </c>
      <c r="D171" s="262">
        <v>0.94</v>
      </c>
      <c r="E171" s="264">
        <v>0.01</v>
      </c>
      <c r="F171" s="258" t="s">
        <v>155</v>
      </c>
    </row>
    <row r="172" spans="1:6" x14ac:dyDescent="0.25">
      <c r="A172" s="265" t="s">
        <v>261</v>
      </c>
      <c r="B172" s="261">
        <v>1808</v>
      </c>
      <c r="C172" s="263">
        <v>8.8999999999999999E-3</v>
      </c>
      <c r="D172" s="261">
        <v>0.94</v>
      </c>
      <c r="E172" s="263">
        <v>0.01</v>
      </c>
      <c r="F172" s="259" t="s">
        <v>155</v>
      </c>
    </row>
    <row r="173" spans="1:6" x14ac:dyDescent="0.25">
      <c r="A173" s="316" t="s">
        <v>262</v>
      </c>
      <c r="B173" s="317"/>
      <c r="C173" s="317"/>
      <c r="D173" s="317"/>
      <c r="E173" s="317"/>
      <c r="F173" s="318"/>
    </row>
    <row r="177" spans="1:172" x14ac:dyDescent="0.25">
      <c r="A177" s="256" t="s">
        <v>151</v>
      </c>
      <c r="B177" s="265" t="s">
        <v>152</v>
      </c>
      <c r="C177" s="266" t="s">
        <v>154</v>
      </c>
      <c r="D177" s="265" t="s">
        <v>156</v>
      </c>
      <c r="E177" s="266" t="s">
        <v>157</v>
      </c>
      <c r="F177" s="265" t="s">
        <v>158</v>
      </c>
      <c r="G177" s="266" t="s">
        <v>159</v>
      </c>
      <c r="H177" s="265" t="s">
        <v>160</v>
      </c>
      <c r="I177" s="266" t="s">
        <v>162</v>
      </c>
      <c r="J177" s="265" t="s">
        <v>163</v>
      </c>
      <c r="K177" s="266" t="s">
        <v>164</v>
      </c>
      <c r="L177" s="265" t="s">
        <v>165</v>
      </c>
      <c r="M177" s="266" t="s">
        <v>166</v>
      </c>
      <c r="N177" s="265" t="s">
        <v>167</v>
      </c>
      <c r="O177" s="266" t="s">
        <v>168</v>
      </c>
      <c r="P177" s="265" t="s">
        <v>169</v>
      </c>
      <c r="Q177" s="266" t="s">
        <v>170</v>
      </c>
      <c r="R177" s="265" t="s">
        <v>171</v>
      </c>
      <c r="S177" s="266" t="s">
        <v>172</v>
      </c>
      <c r="T177" s="265" t="s">
        <v>173</v>
      </c>
      <c r="U177" s="266" t="s">
        <v>174</v>
      </c>
      <c r="V177" s="265" t="s">
        <v>175</v>
      </c>
      <c r="W177" s="266" t="s">
        <v>176</v>
      </c>
      <c r="X177" s="265" t="s">
        <v>177</v>
      </c>
      <c r="Y177" s="266" t="s">
        <v>179</v>
      </c>
      <c r="Z177" s="265" t="s">
        <v>180</v>
      </c>
      <c r="AA177" s="266" t="s">
        <v>181</v>
      </c>
      <c r="AB177" s="265" t="s">
        <v>182</v>
      </c>
      <c r="AC177" s="266" t="s">
        <v>183</v>
      </c>
      <c r="AD177" s="265" t="s">
        <v>184</v>
      </c>
      <c r="AE177" s="266" t="s">
        <v>185</v>
      </c>
      <c r="AF177" s="265" t="s">
        <v>186</v>
      </c>
      <c r="AG177" s="266" t="s">
        <v>187</v>
      </c>
      <c r="AH177" s="265" t="s">
        <v>188</v>
      </c>
      <c r="AI177" s="266" t="s">
        <v>189</v>
      </c>
      <c r="AJ177" s="265" t="s">
        <v>190</v>
      </c>
      <c r="AK177" s="266" t="s">
        <v>191</v>
      </c>
      <c r="AL177" s="265" t="s">
        <v>192</v>
      </c>
      <c r="AM177" s="266" t="s">
        <v>193</v>
      </c>
      <c r="AN177" s="265" t="s">
        <v>195</v>
      </c>
      <c r="AO177" s="266" t="s">
        <v>197</v>
      </c>
      <c r="AP177" s="265" t="s">
        <v>199</v>
      </c>
      <c r="AQ177" s="266" t="s">
        <v>201</v>
      </c>
      <c r="AR177" s="265" t="s">
        <v>204</v>
      </c>
      <c r="AS177" s="266" t="s">
        <v>206</v>
      </c>
      <c r="AT177" s="265" t="s">
        <v>208</v>
      </c>
      <c r="AU177" s="266" t="s">
        <v>209</v>
      </c>
      <c r="AV177" s="265" t="s">
        <v>210</v>
      </c>
      <c r="AW177" s="266" t="s">
        <v>211</v>
      </c>
      <c r="AX177" s="265" t="s">
        <v>212</v>
      </c>
      <c r="AY177" s="266" t="s">
        <v>213</v>
      </c>
      <c r="AZ177" s="265" t="s">
        <v>214</v>
      </c>
      <c r="BA177" s="266" t="s">
        <v>215</v>
      </c>
      <c r="BB177" s="265" t="s">
        <v>216</v>
      </c>
      <c r="BC177" s="266" t="s">
        <v>217</v>
      </c>
      <c r="BD177" s="265" t="s">
        <v>218</v>
      </c>
      <c r="BE177" s="266" t="s">
        <v>219</v>
      </c>
      <c r="BF177" s="265" t="s">
        <v>220</v>
      </c>
      <c r="BG177" s="266" t="s">
        <v>221</v>
      </c>
      <c r="BH177" s="265" t="s">
        <v>222</v>
      </c>
      <c r="BI177" s="266">
        <v>59</v>
      </c>
      <c r="BJ177" s="265">
        <v>60</v>
      </c>
      <c r="BK177" s="266">
        <v>61</v>
      </c>
      <c r="BL177" s="265">
        <v>62</v>
      </c>
      <c r="BM177" s="266">
        <v>63</v>
      </c>
      <c r="BN177" s="265">
        <v>64</v>
      </c>
      <c r="BO177" s="266">
        <v>65</v>
      </c>
      <c r="BP177" s="265">
        <v>66</v>
      </c>
      <c r="BQ177" s="266">
        <v>67</v>
      </c>
      <c r="BR177" s="265">
        <v>68</v>
      </c>
      <c r="BS177" s="266">
        <v>69</v>
      </c>
      <c r="BT177" s="265">
        <v>70</v>
      </c>
      <c r="BU177" s="266">
        <v>71</v>
      </c>
      <c r="BV177" s="265">
        <v>72</v>
      </c>
      <c r="BW177" s="266">
        <v>73</v>
      </c>
      <c r="BX177" s="265">
        <v>74</v>
      </c>
      <c r="BY177" s="266">
        <v>75</v>
      </c>
      <c r="BZ177" s="265">
        <v>76</v>
      </c>
      <c r="CA177" s="266">
        <v>77</v>
      </c>
      <c r="CB177" s="265">
        <v>78</v>
      </c>
      <c r="CC177" s="266">
        <v>79</v>
      </c>
      <c r="CD177" s="265">
        <v>80</v>
      </c>
      <c r="CE177" s="266">
        <v>81</v>
      </c>
      <c r="CF177" s="265">
        <v>82</v>
      </c>
      <c r="CG177" s="266">
        <v>83</v>
      </c>
      <c r="CH177" s="265">
        <v>84</v>
      </c>
      <c r="CI177" s="266">
        <v>85</v>
      </c>
      <c r="CJ177" s="265">
        <v>86</v>
      </c>
      <c r="CK177" s="266">
        <v>87</v>
      </c>
      <c r="CL177" s="265">
        <v>88</v>
      </c>
      <c r="CM177" s="266">
        <v>89</v>
      </c>
      <c r="CN177" s="265">
        <v>90</v>
      </c>
      <c r="CO177" s="266">
        <v>91</v>
      </c>
      <c r="CP177" s="265">
        <v>92</v>
      </c>
      <c r="CQ177" s="266">
        <v>93</v>
      </c>
      <c r="CR177" s="265">
        <v>94</v>
      </c>
      <c r="CS177" s="266">
        <v>95</v>
      </c>
      <c r="CT177" s="265">
        <v>96</v>
      </c>
      <c r="CU177" s="266">
        <v>97</v>
      </c>
      <c r="CV177" s="265">
        <v>98</v>
      </c>
      <c r="CW177" s="266">
        <v>99</v>
      </c>
      <c r="CX177" s="265">
        <v>100</v>
      </c>
      <c r="CY177" s="266">
        <v>101</v>
      </c>
      <c r="CZ177" s="265">
        <v>102</v>
      </c>
      <c r="DA177" s="266">
        <v>103</v>
      </c>
      <c r="DB177" s="265">
        <v>104</v>
      </c>
      <c r="DC177" s="266">
        <v>105</v>
      </c>
      <c r="DD177" s="265">
        <v>106</v>
      </c>
      <c r="DE177" s="266">
        <v>107</v>
      </c>
      <c r="DF177" s="265">
        <v>108</v>
      </c>
      <c r="DG177" s="266">
        <v>109</v>
      </c>
      <c r="DH177" s="265">
        <v>110</v>
      </c>
      <c r="DI177" s="266">
        <v>111</v>
      </c>
      <c r="DJ177" s="265">
        <v>112</v>
      </c>
      <c r="DK177" s="266">
        <v>113</v>
      </c>
      <c r="DL177" s="265">
        <v>114</v>
      </c>
      <c r="DM177" s="266">
        <v>115</v>
      </c>
      <c r="DN177" s="265">
        <v>116</v>
      </c>
      <c r="DO177" s="266">
        <v>117</v>
      </c>
      <c r="DP177" s="265">
        <v>118</v>
      </c>
      <c r="DQ177" s="266">
        <v>119</v>
      </c>
      <c r="DR177" s="265">
        <v>120</v>
      </c>
      <c r="DS177" s="266">
        <v>121</v>
      </c>
      <c r="DT177" s="265">
        <v>122</v>
      </c>
      <c r="DU177" s="266">
        <v>123</v>
      </c>
      <c r="DV177" s="265">
        <v>124</v>
      </c>
      <c r="DW177" s="266" t="s">
        <v>223</v>
      </c>
      <c r="DX177" s="265" t="s">
        <v>194</v>
      </c>
      <c r="DY177" s="266" t="s">
        <v>224</v>
      </c>
      <c r="DZ177" s="265" t="s">
        <v>225</v>
      </c>
      <c r="EA177" s="266" t="s">
        <v>226</v>
      </c>
      <c r="EB177" s="265" t="s">
        <v>227</v>
      </c>
      <c r="EC177" s="266" t="s">
        <v>228</v>
      </c>
      <c r="ED177" s="265" t="s">
        <v>196</v>
      </c>
      <c r="EE177" s="266" t="s">
        <v>229</v>
      </c>
      <c r="EF177" s="265" t="s">
        <v>230</v>
      </c>
      <c r="EG177" s="266" t="s">
        <v>231</v>
      </c>
      <c r="EH177" s="265" t="s">
        <v>232</v>
      </c>
      <c r="EI177" s="266" t="s">
        <v>233</v>
      </c>
      <c r="EJ177" s="265" t="s">
        <v>234</v>
      </c>
      <c r="EK177" s="266" t="s">
        <v>198</v>
      </c>
      <c r="EL177" s="265" t="s">
        <v>235</v>
      </c>
      <c r="EM177" s="266" t="s">
        <v>236</v>
      </c>
      <c r="EN177" s="265" t="s">
        <v>237</v>
      </c>
      <c r="EO177" s="266" t="s">
        <v>238</v>
      </c>
      <c r="EP177" s="265" t="s">
        <v>239</v>
      </c>
      <c r="EQ177" s="266" t="s">
        <v>240</v>
      </c>
      <c r="ER177" s="265" t="s">
        <v>200</v>
      </c>
      <c r="ES177" s="266" t="s">
        <v>241</v>
      </c>
      <c r="ET177" s="265" t="s">
        <v>242</v>
      </c>
      <c r="EU177" s="266" t="s">
        <v>243</v>
      </c>
      <c r="EV177" s="265" t="s">
        <v>244</v>
      </c>
      <c r="EW177" s="266" t="s">
        <v>245</v>
      </c>
      <c r="EX177" s="265" t="s">
        <v>246</v>
      </c>
      <c r="EY177" s="266" t="s">
        <v>202</v>
      </c>
      <c r="EZ177" s="265" t="s">
        <v>247</v>
      </c>
      <c r="FA177" s="266" t="s">
        <v>248</v>
      </c>
      <c r="FB177" s="265" t="s">
        <v>249</v>
      </c>
      <c r="FC177" s="266" t="s">
        <v>250</v>
      </c>
      <c r="FD177" s="265" t="s">
        <v>251</v>
      </c>
      <c r="FE177" s="266" t="s">
        <v>252</v>
      </c>
      <c r="FF177" s="265" t="s">
        <v>253</v>
      </c>
      <c r="FG177" s="266" t="s">
        <v>205</v>
      </c>
      <c r="FH177" s="265" t="s">
        <v>254</v>
      </c>
      <c r="FI177" s="266" t="s">
        <v>255</v>
      </c>
      <c r="FJ177" s="265" t="s">
        <v>256</v>
      </c>
      <c r="FK177" s="266" t="s">
        <v>257</v>
      </c>
      <c r="FL177" s="265" t="s">
        <v>258</v>
      </c>
      <c r="FM177" s="266" t="s">
        <v>259</v>
      </c>
      <c r="FN177" s="265" t="s">
        <v>207</v>
      </c>
      <c r="FO177" s="266" t="s">
        <v>260</v>
      </c>
      <c r="FP177" s="265" t="s">
        <v>261</v>
      </c>
    </row>
    <row r="178" spans="1:172" x14ac:dyDescent="0.25">
      <c r="A178" s="257" t="s">
        <v>265</v>
      </c>
      <c r="B178" s="261">
        <v>7.5</v>
      </c>
      <c r="C178" s="262">
        <v>8.3000000000000007</v>
      </c>
      <c r="D178" s="261">
        <v>9.1</v>
      </c>
      <c r="E178" s="262">
        <v>10.1</v>
      </c>
      <c r="F178" s="261">
        <v>11.1</v>
      </c>
      <c r="G178" s="262">
        <v>12.2</v>
      </c>
      <c r="H178" s="261">
        <v>13.4</v>
      </c>
      <c r="I178" s="262">
        <v>14.7</v>
      </c>
      <c r="J178" s="261">
        <v>16.100000000000001</v>
      </c>
      <c r="K178" s="262">
        <v>17.7</v>
      </c>
      <c r="L178" s="261">
        <v>19.3</v>
      </c>
      <c r="M178" s="262">
        <v>21.1</v>
      </c>
      <c r="N178" s="261">
        <v>23</v>
      </c>
      <c r="O178" s="262">
        <v>25.1</v>
      </c>
      <c r="P178" s="261">
        <v>27.3</v>
      </c>
      <c r="Q178" s="262">
        <v>29.7</v>
      </c>
      <c r="R178" s="261">
        <v>32.200000000000003</v>
      </c>
      <c r="S178" s="262">
        <v>34.9</v>
      </c>
      <c r="T178" s="261">
        <v>37.700000000000003</v>
      </c>
      <c r="U178" s="262">
        <v>40.700000000000003</v>
      </c>
      <c r="V178" s="261">
        <v>43.9</v>
      </c>
      <c r="W178" s="262">
        <v>47.2</v>
      </c>
      <c r="X178" s="261">
        <v>50.7</v>
      </c>
      <c r="Y178" s="262">
        <v>54.4</v>
      </c>
      <c r="Z178" s="261">
        <v>58.2</v>
      </c>
      <c r="AA178" s="262">
        <v>62.3</v>
      </c>
      <c r="AB178" s="261">
        <v>66.5</v>
      </c>
      <c r="AC178" s="262">
        <v>70.8</v>
      </c>
      <c r="AD178" s="261">
        <v>75.400000000000006</v>
      </c>
      <c r="AE178" s="262">
        <v>80.2</v>
      </c>
      <c r="AF178" s="261">
        <v>85.2</v>
      </c>
      <c r="AG178" s="262">
        <v>90.4</v>
      </c>
      <c r="AH178" s="261">
        <v>95.7</v>
      </c>
      <c r="AI178" s="262">
        <v>101</v>
      </c>
      <c r="AJ178" s="261">
        <v>107</v>
      </c>
      <c r="AK178" s="262">
        <v>113</v>
      </c>
      <c r="AL178" s="261">
        <v>119</v>
      </c>
      <c r="AM178" s="262">
        <v>126</v>
      </c>
      <c r="AN178" s="261">
        <v>132</v>
      </c>
      <c r="AO178" s="262">
        <v>139</v>
      </c>
      <c r="AP178" s="261">
        <v>146</v>
      </c>
      <c r="AQ178" s="262">
        <v>153</v>
      </c>
      <c r="AR178" s="261">
        <v>161</v>
      </c>
      <c r="AS178" s="262">
        <v>168</v>
      </c>
      <c r="AT178" s="261">
        <v>176</v>
      </c>
      <c r="AU178" s="262">
        <v>184</v>
      </c>
      <c r="AV178" s="261">
        <v>192</v>
      </c>
      <c r="AW178" s="262">
        <v>200</v>
      </c>
      <c r="AX178" s="261">
        <v>208</v>
      </c>
      <c r="AY178" s="262">
        <v>216</v>
      </c>
      <c r="AZ178" s="261">
        <v>225</v>
      </c>
      <c r="BA178" s="262">
        <v>233</v>
      </c>
      <c r="BB178" s="261">
        <v>242</v>
      </c>
      <c r="BC178" s="262">
        <v>251</v>
      </c>
      <c r="BD178" s="261">
        <v>260</v>
      </c>
      <c r="BE178" s="262">
        <v>269</v>
      </c>
      <c r="BF178" s="261">
        <v>278</v>
      </c>
      <c r="BG178" s="262">
        <v>287</v>
      </c>
      <c r="BH178" s="261">
        <v>296</v>
      </c>
      <c r="BI178" s="262">
        <v>305</v>
      </c>
      <c r="BJ178" s="261">
        <v>314</v>
      </c>
      <c r="BK178" s="262">
        <v>324</v>
      </c>
      <c r="BL178" s="261">
        <v>333</v>
      </c>
      <c r="BM178" s="262">
        <v>343</v>
      </c>
      <c r="BN178" s="261">
        <v>352</v>
      </c>
      <c r="BO178" s="262">
        <v>362</v>
      </c>
      <c r="BP178" s="261">
        <v>372</v>
      </c>
      <c r="BQ178" s="262">
        <v>382</v>
      </c>
      <c r="BR178" s="261">
        <v>391</v>
      </c>
      <c r="BS178" s="262">
        <v>401</v>
      </c>
      <c r="BT178" s="261">
        <v>411</v>
      </c>
      <c r="BU178" s="262">
        <v>421</v>
      </c>
      <c r="BV178" s="261">
        <v>431</v>
      </c>
      <c r="BW178" s="262">
        <v>441</v>
      </c>
      <c r="BX178" s="261">
        <v>452</v>
      </c>
      <c r="BY178" s="262">
        <v>462</v>
      </c>
      <c r="BZ178" s="261">
        <v>472</v>
      </c>
      <c r="CA178" s="262">
        <v>482</v>
      </c>
      <c r="CB178" s="261">
        <v>493</v>
      </c>
      <c r="CC178" s="262">
        <v>503</v>
      </c>
      <c r="CD178" s="261">
        <v>514</v>
      </c>
      <c r="CE178" s="262">
        <v>524</v>
      </c>
      <c r="CF178" s="261">
        <v>535</v>
      </c>
      <c r="CG178" s="262">
        <v>546</v>
      </c>
      <c r="CH178" s="261">
        <v>556</v>
      </c>
      <c r="CI178" s="262">
        <v>567</v>
      </c>
      <c r="CJ178" s="261">
        <v>578</v>
      </c>
      <c r="CK178" s="262">
        <v>589</v>
      </c>
      <c r="CL178" s="261">
        <v>600</v>
      </c>
      <c r="CM178" s="262">
        <v>611</v>
      </c>
      <c r="CN178" s="261">
        <v>623</v>
      </c>
      <c r="CO178" s="262">
        <v>634</v>
      </c>
      <c r="CP178" s="261">
        <v>646</v>
      </c>
      <c r="CQ178" s="262">
        <v>657</v>
      </c>
      <c r="CR178" s="261">
        <v>669</v>
      </c>
      <c r="CS178" s="262">
        <v>681</v>
      </c>
      <c r="CT178" s="261">
        <v>693</v>
      </c>
      <c r="CU178" s="262">
        <v>705</v>
      </c>
      <c r="CV178" s="261">
        <v>717</v>
      </c>
      <c r="CW178" s="262">
        <v>729</v>
      </c>
      <c r="CX178" s="261">
        <v>742</v>
      </c>
      <c r="CY178" s="262">
        <v>754</v>
      </c>
      <c r="CZ178" s="261">
        <v>767</v>
      </c>
      <c r="DA178" s="262">
        <v>780</v>
      </c>
      <c r="DB178" s="261">
        <v>792</v>
      </c>
      <c r="DC178" s="262">
        <v>805</v>
      </c>
      <c r="DD178" s="261">
        <v>818</v>
      </c>
      <c r="DE178" s="262">
        <v>831</v>
      </c>
      <c r="DF178" s="261">
        <v>845</v>
      </c>
      <c r="DG178" s="262">
        <v>858</v>
      </c>
      <c r="DH178" s="261">
        <v>871</v>
      </c>
      <c r="DI178" s="262">
        <v>885</v>
      </c>
      <c r="DJ178" s="261">
        <v>899</v>
      </c>
      <c r="DK178" s="262">
        <v>912</v>
      </c>
      <c r="DL178" s="261">
        <v>926</v>
      </c>
      <c r="DM178" s="262">
        <v>940</v>
      </c>
      <c r="DN178" s="261">
        <v>954</v>
      </c>
      <c r="DO178" s="262">
        <v>968</v>
      </c>
      <c r="DP178" s="261">
        <v>982</v>
      </c>
      <c r="DQ178" s="262">
        <v>996</v>
      </c>
      <c r="DR178" s="261">
        <v>1011</v>
      </c>
      <c r="DS178" s="262">
        <v>1025</v>
      </c>
      <c r="DT178" s="261">
        <v>1040</v>
      </c>
      <c r="DU178" s="262">
        <v>1054</v>
      </c>
      <c r="DV178" s="261">
        <v>1069</v>
      </c>
      <c r="DW178" s="262">
        <v>1084</v>
      </c>
      <c r="DX178" s="261">
        <v>1099</v>
      </c>
      <c r="DY178" s="262">
        <v>1114</v>
      </c>
      <c r="DZ178" s="261">
        <v>1129</v>
      </c>
      <c r="EA178" s="262">
        <v>1144</v>
      </c>
      <c r="EB178" s="261">
        <v>1159</v>
      </c>
      <c r="EC178" s="262">
        <v>1174</v>
      </c>
      <c r="ED178" s="261">
        <v>1189</v>
      </c>
      <c r="EE178" s="262">
        <v>1205</v>
      </c>
      <c r="EF178" s="261">
        <v>1220</v>
      </c>
      <c r="EG178" s="262">
        <v>1236</v>
      </c>
      <c r="EH178" s="261">
        <v>1251</v>
      </c>
      <c r="EI178" s="262">
        <v>1266</v>
      </c>
      <c r="EJ178" s="261">
        <v>1282</v>
      </c>
      <c r="EK178" s="262">
        <v>1298</v>
      </c>
      <c r="EL178" s="261">
        <v>1313</v>
      </c>
      <c r="EM178" s="262">
        <v>1329</v>
      </c>
      <c r="EN178" s="261">
        <v>1345</v>
      </c>
      <c r="EO178" s="262">
        <v>1361</v>
      </c>
      <c r="EP178" s="261">
        <v>1377</v>
      </c>
      <c r="EQ178" s="262">
        <v>1393</v>
      </c>
      <c r="ER178" s="261">
        <v>1409</v>
      </c>
      <c r="ES178" s="262">
        <v>1425</v>
      </c>
      <c r="ET178" s="261">
        <v>1441</v>
      </c>
      <c r="EU178" s="262">
        <v>1457</v>
      </c>
      <c r="EV178" s="261">
        <v>1473</v>
      </c>
      <c r="EW178" s="262">
        <v>1490</v>
      </c>
      <c r="EX178" s="261">
        <v>1506</v>
      </c>
      <c r="EY178" s="262">
        <v>1522</v>
      </c>
      <c r="EZ178" s="261">
        <v>1539</v>
      </c>
      <c r="FA178" s="262">
        <v>1555</v>
      </c>
      <c r="FB178" s="261">
        <v>1572</v>
      </c>
      <c r="FC178" s="262">
        <v>1589</v>
      </c>
      <c r="FD178" s="261">
        <v>1605</v>
      </c>
      <c r="FE178" s="262">
        <v>1622</v>
      </c>
      <c r="FF178" s="261">
        <v>1639</v>
      </c>
      <c r="FG178" s="262">
        <v>1656</v>
      </c>
      <c r="FH178" s="261">
        <v>1673</v>
      </c>
      <c r="FI178" s="262">
        <v>1689</v>
      </c>
      <c r="FJ178" s="261">
        <v>1706</v>
      </c>
      <c r="FK178" s="262">
        <v>1723</v>
      </c>
      <c r="FL178" s="261">
        <v>1740</v>
      </c>
      <c r="FM178" s="262">
        <v>1757</v>
      </c>
      <c r="FN178" s="261">
        <v>1774</v>
      </c>
      <c r="FO178" s="262">
        <v>1791</v>
      </c>
      <c r="FP178" s="261">
        <v>1808</v>
      </c>
    </row>
    <row r="179" spans="1:172" x14ac:dyDescent="0.25">
      <c r="A179" s="257" t="s">
        <v>263</v>
      </c>
      <c r="B179" s="263">
        <v>5.6799999999999996E-2</v>
      </c>
      <c r="C179" s="264">
        <v>5.6600000000000004E-2</v>
      </c>
      <c r="D179" s="263">
        <v>5.6399999999999999E-2</v>
      </c>
      <c r="E179" s="264">
        <v>5.62E-2</v>
      </c>
      <c r="F179" s="263">
        <v>5.5899999999999998E-2</v>
      </c>
      <c r="G179" s="264">
        <v>5.57E-2</v>
      </c>
      <c r="H179" s="263">
        <v>5.5500000000000001E-2</v>
      </c>
      <c r="I179" s="264">
        <v>5.5099999999999996E-2</v>
      </c>
      <c r="J179" s="263">
        <v>5.4699999999999999E-2</v>
      </c>
      <c r="K179" s="264">
        <v>5.4400000000000004E-2</v>
      </c>
      <c r="L179" s="263">
        <v>5.4000000000000006E-2</v>
      </c>
      <c r="M179" s="264">
        <v>5.3600000000000002E-2</v>
      </c>
      <c r="N179" s="263">
        <v>5.2999999999999999E-2</v>
      </c>
      <c r="O179" s="264">
        <v>5.2400000000000002E-2</v>
      </c>
      <c r="P179" s="263">
        <v>5.1799999999999999E-2</v>
      </c>
      <c r="Q179" s="264">
        <v>5.1200000000000002E-2</v>
      </c>
      <c r="R179" s="263">
        <v>5.0599999999999999E-2</v>
      </c>
      <c r="S179" s="264">
        <v>4.99E-2</v>
      </c>
      <c r="T179" s="263">
        <v>4.9200000000000001E-2</v>
      </c>
      <c r="U179" s="264">
        <v>4.8399999999999999E-2</v>
      </c>
      <c r="V179" s="263">
        <v>4.7699999999999992E-2</v>
      </c>
      <c r="W179" s="264">
        <v>4.7E-2</v>
      </c>
      <c r="X179" s="263">
        <v>4.6300000000000001E-2</v>
      </c>
      <c r="Y179" s="264">
        <v>4.5599999999999995E-2</v>
      </c>
      <c r="Z179" s="263">
        <v>4.4800000000000006E-2</v>
      </c>
      <c r="AA179" s="264">
        <v>4.41E-2</v>
      </c>
      <c r="AB179" s="263">
        <v>4.3400000000000001E-2</v>
      </c>
      <c r="AC179" s="264">
        <v>4.2800000000000005E-2</v>
      </c>
      <c r="AD179" s="263">
        <v>4.2199999999999994E-2</v>
      </c>
      <c r="AE179" s="264">
        <v>4.1599999999999998E-2</v>
      </c>
      <c r="AF179" s="263">
        <v>4.0999999999999995E-2</v>
      </c>
      <c r="AG179" s="264">
        <v>4.0399999999999998E-2</v>
      </c>
      <c r="AH179" s="263">
        <v>3.9800000000000002E-2</v>
      </c>
      <c r="AI179" s="264">
        <v>3.9199999999999999E-2</v>
      </c>
      <c r="AJ179" s="263">
        <v>3.8599999999999995E-2</v>
      </c>
      <c r="AK179" s="264">
        <v>3.7999999999999999E-2</v>
      </c>
      <c r="AL179" s="263">
        <v>3.7400000000000003E-2</v>
      </c>
      <c r="AM179" s="264">
        <v>3.6799999999999999E-2</v>
      </c>
      <c r="AN179" s="263">
        <v>3.61E-2</v>
      </c>
      <c r="AO179" s="264">
        <v>3.5499999999999997E-2</v>
      </c>
      <c r="AP179" s="263">
        <v>3.4799999999999998E-2</v>
      </c>
      <c r="AQ179" s="264">
        <v>3.4200000000000001E-2</v>
      </c>
      <c r="AR179" s="263">
        <v>3.3599999999999998E-2</v>
      </c>
      <c r="AS179" s="264">
        <v>3.2899999999999999E-2</v>
      </c>
      <c r="AT179" s="263">
        <v>3.2300000000000002E-2</v>
      </c>
      <c r="AU179" s="264">
        <v>3.1600000000000003E-2</v>
      </c>
      <c r="AV179" s="263">
        <v>3.1E-2</v>
      </c>
      <c r="AW179" s="264">
        <v>3.04E-2</v>
      </c>
      <c r="AX179" s="263">
        <v>2.98E-2</v>
      </c>
      <c r="AY179" s="264">
        <v>2.92E-2</v>
      </c>
      <c r="AZ179" s="263">
        <v>2.86E-2</v>
      </c>
      <c r="BA179" s="264">
        <v>2.7999999999999997E-2</v>
      </c>
      <c r="BB179" s="263">
        <v>2.7400000000000001E-2</v>
      </c>
      <c r="BC179" s="264">
        <v>2.6800000000000001E-2</v>
      </c>
      <c r="BD179" s="263">
        <v>2.6200000000000001E-2</v>
      </c>
      <c r="BE179" s="264">
        <v>2.5600000000000001E-2</v>
      </c>
      <c r="BF179" s="263">
        <v>2.5000000000000001E-2</v>
      </c>
      <c r="BG179" s="264">
        <v>2.46E-2</v>
      </c>
      <c r="BH179" s="263">
        <v>2.4199999999999999E-2</v>
      </c>
      <c r="BI179" s="264">
        <v>2.3700000000000002E-2</v>
      </c>
      <c r="BJ179" s="263">
        <v>2.3300000000000001E-2</v>
      </c>
      <c r="BK179" s="264">
        <v>2.29E-2</v>
      </c>
      <c r="BL179" s="263">
        <v>2.2499999999999999E-2</v>
      </c>
      <c r="BM179" s="264">
        <v>2.2099999999999998E-2</v>
      </c>
      <c r="BN179" s="263">
        <v>2.1600000000000001E-2</v>
      </c>
      <c r="BO179" s="264">
        <v>2.12E-2</v>
      </c>
      <c r="BP179" s="263">
        <v>2.0799999999999999E-2</v>
      </c>
      <c r="BQ179" s="264">
        <v>2.0499999999999997E-2</v>
      </c>
      <c r="BR179" s="263">
        <v>2.0199999999999999E-2</v>
      </c>
      <c r="BS179" s="264">
        <v>1.9900000000000001E-2</v>
      </c>
      <c r="BT179" s="263">
        <v>1.9599999999999999E-2</v>
      </c>
      <c r="BU179" s="264">
        <v>1.9299999999999998E-2</v>
      </c>
      <c r="BV179" s="263">
        <v>1.9E-2</v>
      </c>
      <c r="BW179" s="264">
        <v>1.8700000000000001E-2</v>
      </c>
      <c r="BX179" s="263">
        <v>1.84E-2</v>
      </c>
      <c r="BY179" s="264">
        <v>1.8100000000000002E-2</v>
      </c>
      <c r="BZ179" s="263">
        <v>1.78E-2</v>
      </c>
      <c r="CA179" s="264">
        <v>1.7600000000000001E-2</v>
      </c>
      <c r="CB179" s="263">
        <v>1.7399999999999999E-2</v>
      </c>
      <c r="CC179" s="264">
        <v>1.72E-2</v>
      </c>
      <c r="CD179" s="263">
        <v>1.7000000000000001E-2</v>
      </c>
      <c r="CE179" s="264">
        <v>1.6799999999999999E-2</v>
      </c>
      <c r="CF179" s="263">
        <v>1.66E-2</v>
      </c>
      <c r="CG179" s="264">
        <v>1.6399999999999998E-2</v>
      </c>
      <c r="CH179" s="263">
        <v>1.6200000000000003E-2</v>
      </c>
      <c r="CI179" s="264">
        <v>1.6E-2</v>
      </c>
      <c r="CJ179" s="263">
        <v>1.5800000000000002E-2</v>
      </c>
      <c r="CK179" s="264">
        <v>1.5700000000000002E-2</v>
      </c>
      <c r="CL179" s="263">
        <v>1.5600000000000001E-2</v>
      </c>
      <c r="CM179" s="264">
        <v>1.55E-2</v>
      </c>
      <c r="CN179" s="263">
        <v>1.54E-2</v>
      </c>
      <c r="CO179" s="264">
        <v>1.5300000000000001E-2</v>
      </c>
      <c r="CP179" s="263">
        <v>1.52E-2</v>
      </c>
      <c r="CQ179" s="264">
        <v>1.5100000000000001E-2</v>
      </c>
      <c r="CR179" s="263">
        <v>1.4999999999999999E-2</v>
      </c>
      <c r="CS179" s="264">
        <v>1.49E-2</v>
      </c>
      <c r="CT179" s="263">
        <v>1.4800000000000001E-2</v>
      </c>
      <c r="CU179" s="264">
        <v>1.47E-2</v>
      </c>
      <c r="CV179" s="263">
        <v>1.46E-2</v>
      </c>
      <c r="CW179" s="264">
        <v>1.4499999999999999E-2</v>
      </c>
      <c r="CX179" s="263">
        <v>1.44E-2</v>
      </c>
      <c r="CY179" s="264">
        <v>1.43E-2</v>
      </c>
      <c r="CZ179" s="263">
        <v>1.4199999999999999E-2</v>
      </c>
      <c r="DA179" s="264">
        <v>1.41E-2</v>
      </c>
      <c r="DB179" s="263">
        <v>1.3999999999999999E-2</v>
      </c>
      <c r="DC179" s="264">
        <v>1.3899999999999999E-2</v>
      </c>
      <c r="DD179" s="263">
        <v>1.38E-2</v>
      </c>
      <c r="DE179" s="264">
        <v>1.37E-2</v>
      </c>
      <c r="DF179" s="263">
        <v>1.3600000000000001E-2</v>
      </c>
      <c r="DG179" s="264">
        <v>1.3500000000000002E-2</v>
      </c>
      <c r="DH179" s="263">
        <v>1.34E-2</v>
      </c>
      <c r="DI179" s="264">
        <v>1.34E-2</v>
      </c>
      <c r="DJ179" s="263">
        <v>1.3300000000000001E-2</v>
      </c>
      <c r="DK179" s="264">
        <v>1.32E-2</v>
      </c>
      <c r="DL179" s="263">
        <v>1.3100000000000001E-2</v>
      </c>
      <c r="DM179" s="264">
        <v>1.3000000000000001E-2</v>
      </c>
      <c r="DN179" s="263">
        <v>1.29E-2</v>
      </c>
      <c r="DO179" s="264">
        <v>1.2800000000000001E-2</v>
      </c>
      <c r="DP179" s="263">
        <v>1.2699999999999999E-2</v>
      </c>
      <c r="DQ179" s="264">
        <v>1.2699999999999999E-2</v>
      </c>
      <c r="DR179" s="263">
        <v>1.26E-2</v>
      </c>
      <c r="DS179" s="264">
        <v>1.2500000000000001E-2</v>
      </c>
      <c r="DT179" s="263">
        <v>1.24E-2</v>
      </c>
      <c r="DU179" s="264">
        <v>1.23E-2</v>
      </c>
      <c r="DV179" s="263">
        <v>1.23E-2</v>
      </c>
      <c r="DW179" s="264">
        <v>1.2199999999999999E-2</v>
      </c>
      <c r="DX179" s="263">
        <v>1.21E-2</v>
      </c>
      <c r="DY179" s="264">
        <v>1.2E-2</v>
      </c>
      <c r="DZ179" s="263">
        <v>1.1899999999999999E-2</v>
      </c>
      <c r="EA179" s="264">
        <v>1.18E-2</v>
      </c>
      <c r="EB179" s="263">
        <v>1.1699999999999999E-2</v>
      </c>
      <c r="EC179" s="264">
        <v>1.1699999999999999E-2</v>
      </c>
      <c r="ED179" s="263">
        <v>1.1599999999999999E-2</v>
      </c>
      <c r="EE179" s="264">
        <v>1.15E-2</v>
      </c>
      <c r="EF179" s="263">
        <v>1.1399999999999999E-2</v>
      </c>
      <c r="EG179" s="264">
        <v>1.1299999999999999E-2</v>
      </c>
      <c r="EH179" s="263">
        <v>1.1200000000000002E-2</v>
      </c>
      <c r="EI179" s="264">
        <v>1.11E-2</v>
      </c>
      <c r="EJ179" s="263">
        <v>1.1000000000000001E-2</v>
      </c>
      <c r="EK179" s="264">
        <v>1.1000000000000001E-2</v>
      </c>
      <c r="EL179" s="263">
        <v>1.09E-2</v>
      </c>
      <c r="EM179" s="264">
        <v>1.0800000000000001E-2</v>
      </c>
      <c r="EN179" s="263">
        <v>1.0700000000000001E-2</v>
      </c>
      <c r="EO179" s="264">
        <v>1.06E-2</v>
      </c>
      <c r="EP179" s="263">
        <v>1.06E-2</v>
      </c>
      <c r="EQ179" s="264">
        <v>1.0500000000000001E-2</v>
      </c>
      <c r="ER179" s="263">
        <v>1.04E-2</v>
      </c>
      <c r="ES179" s="264">
        <v>1.03E-2</v>
      </c>
      <c r="ET179" s="263">
        <v>1.03E-2</v>
      </c>
      <c r="EU179" s="264">
        <v>1.0200000000000001E-2</v>
      </c>
      <c r="EV179" s="263">
        <v>1.0200000000000001E-2</v>
      </c>
      <c r="EW179" s="264">
        <v>1.01E-2</v>
      </c>
      <c r="EX179" s="263">
        <v>0.01</v>
      </c>
      <c r="EY179" s="264">
        <v>0.01</v>
      </c>
      <c r="EZ179" s="263">
        <v>9.8999999999999991E-3</v>
      </c>
      <c r="FA179" s="264">
        <v>9.8999999999999991E-3</v>
      </c>
      <c r="FB179" s="263">
        <v>9.7999999999999997E-3</v>
      </c>
      <c r="FC179" s="264">
        <v>9.7000000000000003E-3</v>
      </c>
      <c r="FD179" s="263">
        <v>9.7000000000000003E-3</v>
      </c>
      <c r="FE179" s="264">
        <v>9.5999999999999992E-3</v>
      </c>
      <c r="FF179" s="263">
        <v>9.4999999999999998E-3</v>
      </c>
      <c r="FG179" s="264">
        <v>9.4999999999999998E-3</v>
      </c>
      <c r="FH179" s="263">
        <v>9.3999999999999986E-3</v>
      </c>
      <c r="FI179" s="264">
        <v>9.300000000000001E-3</v>
      </c>
      <c r="FJ179" s="263">
        <v>9.1999999999999998E-3</v>
      </c>
      <c r="FK179" s="264">
        <v>9.1999999999999998E-3</v>
      </c>
      <c r="FL179" s="263">
        <v>9.1000000000000004E-3</v>
      </c>
      <c r="FM179" s="264">
        <v>9.1000000000000004E-3</v>
      </c>
      <c r="FN179" s="263">
        <v>9.0000000000000011E-3</v>
      </c>
      <c r="FO179" s="264">
        <v>9.0000000000000011E-3</v>
      </c>
      <c r="FP179" s="263">
        <v>8.8999999999999999E-3</v>
      </c>
    </row>
    <row r="180" spans="1:172" x14ac:dyDescent="0.25">
      <c r="A180" s="257" t="s">
        <v>13</v>
      </c>
      <c r="B180" s="261">
        <v>0.55000000000000004</v>
      </c>
      <c r="C180" s="262">
        <v>0.55000000000000004</v>
      </c>
      <c r="D180" s="261">
        <v>0.55000000000000004</v>
      </c>
      <c r="E180" s="262">
        <v>0.56000000000000005</v>
      </c>
      <c r="F180" s="261">
        <v>0.56000000000000005</v>
      </c>
      <c r="G180" s="262">
        <v>0.56999999999999995</v>
      </c>
      <c r="H180" s="261">
        <v>0.56999999999999995</v>
      </c>
      <c r="I180" s="262">
        <v>0.56999999999999995</v>
      </c>
      <c r="J180" s="261">
        <v>0.57999999999999996</v>
      </c>
      <c r="K180" s="262">
        <v>0.57999999999999996</v>
      </c>
      <c r="L180" s="261">
        <v>0.59</v>
      </c>
      <c r="M180" s="262">
        <v>0.59</v>
      </c>
      <c r="N180" s="261">
        <v>0.59</v>
      </c>
      <c r="O180" s="262">
        <v>0.6</v>
      </c>
      <c r="P180" s="261">
        <v>0.6</v>
      </c>
      <c r="Q180" s="262">
        <v>0.61</v>
      </c>
      <c r="R180" s="261">
        <v>0.61</v>
      </c>
      <c r="S180" s="262">
        <v>0.62</v>
      </c>
      <c r="T180" s="261">
        <v>0.62</v>
      </c>
      <c r="U180" s="262">
        <v>0.63</v>
      </c>
      <c r="V180" s="261">
        <v>0.63</v>
      </c>
      <c r="W180" s="262">
        <v>0.64</v>
      </c>
      <c r="X180" s="261">
        <v>0.64</v>
      </c>
      <c r="Y180" s="262">
        <v>0.65</v>
      </c>
      <c r="Z180" s="261">
        <v>0.65</v>
      </c>
      <c r="AA180" s="262">
        <v>0.66</v>
      </c>
      <c r="AB180" s="261">
        <v>0.66</v>
      </c>
      <c r="AC180" s="262">
        <v>0.66</v>
      </c>
      <c r="AD180" s="261">
        <v>0.67</v>
      </c>
      <c r="AE180" s="262">
        <v>0.67</v>
      </c>
      <c r="AF180" s="261">
        <v>0.68</v>
      </c>
      <c r="AG180" s="262">
        <v>0.68</v>
      </c>
      <c r="AH180" s="261">
        <v>0.68</v>
      </c>
      <c r="AI180" s="262">
        <v>0.69</v>
      </c>
      <c r="AJ180" s="261">
        <v>0.69</v>
      </c>
      <c r="AK180" s="262">
        <v>0.69</v>
      </c>
      <c r="AL180" s="261">
        <v>0.7</v>
      </c>
      <c r="AM180" s="262">
        <v>0.7</v>
      </c>
      <c r="AN180" s="261">
        <v>0.71</v>
      </c>
      <c r="AO180" s="262">
        <v>0.71</v>
      </c>
      <c r="AP180" s="261">
        <v>0.71</v>
      </c>
      <c r="AQ180" s="262">
        <v>0.72</v>
      </c>
      <c r="AR180" s="261">
        <v>0.72</v>
      </c>
      <c r="AS180" s="262">
        <v>0.72</v>
      </c>
      <c r="AT180" s="261">
        <v>0.73</v>
      </c>
      <c r="AU180" s="262">
        <v>0.73</v>
      </c>
      <c r="AV180" s="261">
        <v>0.73</v>
      </c>
      <c r="AW180" s="262">
        <v>0.74</v>
      </c>
      <c r="AX180" s="261">
        <v>0.74</v>
      </c>
      <c r="AY180" s="262">
        <v>0.74</v>
      </c>
      <c r="AZ180" s="261">
        <v>0.75</v>
      </c>
      <c r="BA180" s="262">
        <v>0.75</v>
      </c>
      <c r="BB180" s="261">
        <v>0.76</v>
      </c>
      <c r="BC180" s="262">
        <v>0.76</v>
      </c>
      <c r="BD180" s="261">
        <v>0.76</v>
      </c>
      <c r="BE180" s="262">
        <v>0.77</v>
      </c>
      <c r="BF180" s="261">
        <v>0.77</v>
      </c>
      <c r="BG180" s="262">
        <v>0.77</v>
      </c>
      <c r="BH180" s="261">
        <v>0.78</v>
      </c>
      <c r="BI180" s="262">
        <v>0.78</v>
      </c>
      <c r="BJ180" s="261">
        <v>0.78</v>
      </c>
      <c r="BK180" s="262">
        <v>0.78</v>
      </c>
      <c r="BL180" s="261">
        <v>0.79</v>
      </c>
      <c r="BM180" s="262">
        <v>0.79</v>
      </c>
      <c r="BN180" s="261">
        <v>0.79</v>
      </c>
      <c r="BO180" s="262">
        <v>0.79</v>
      </c>
      <c r="BP180" s="261">
        <v>0.8</v>
      </c>
      <c r="BQ180" s="262">
        <v>0.8</v>
      </c>
      <c r="BR180" s="261">
        <v>0.8</v>
      </c>
      <c r="BS180" s="262">
        <v>0.8</v>
      </c>
      <c r="BT180" s="261">
        <v>0.8</v>
      </c>
      <c r="BU180" s="262">
        <v>0.81</v>
      </c>
      <c r="BV180" s="261">
        <v>0.81</v>
      </c>
      <c r="BW180" s="262">
        <v>0.81</v>
      </c>
      <c r="BX180" s="261">
        <v>0.81</v>
      </c>
      <c r="BY180" s="262">
        <v>0.82</v>
      </c>
      <c r="BZ180" s="261">
        <v>0.82</v>
      </c>
      <c r="CA180" s="262">
        <v>0.82</v>
      </c>
      <c r="CB180" s="261">
        <v>0.82</v>
      </c>
      <c r="CC180" s="262">
        <v>0.82</v>
      </c>
      <c r="CD180" s="261">
        <v>0.83</v>
      </c>
      <c r="CE180" s="262">
        <v>0.83</v>
      </c>
      <c r="CF180" s="261">
        <v>0.83</v>
      </c>
      <c r="CG180" s="262">
        <v>0.83</v>
      </c>
      <c r="CH180" s="261">
        <v>0.83</v>
      </c>
      <c r="CI180" s="262">
        <v>0.83</v>
      </c>
      <c r="CJ180" s="261">
        <v>0.83</v>
      </c>
      <c r="CK180" s="262">
        <v>0.84</v>
      </c>
      <c r="CL180" s="261">
        <v>0.84</v>
      </c>
      <c r="CM180" s="262">
        <v>0.84</v>
      </c>
      <c r="CN180" s="261">
        <v>0.84</v>
      </c>
      <c r="CO180" s="262">
        <v>0.84</v>
      </c>
      <c r="CP180" s="261">
        <v>0.84</v>
      </c>
      <c r="CQ180" s="262">
        <v>0.85</v>
      </c>
      <c r="CR180" s="261">
        <v>0.85</v>
      </c>
      <c r="CS180" s="262">
        <v>0.85</v>
      </c>
      <c r="CT180" s="261">
        <v>0.85</v>
      </c>
      <c r="CU180" s="262">
        <v>0.85</v>
      </c>
      <c r="CV180" s="261">
        <v>0.85</v>
      </c>
      <c r="CW180" s="262">
        <v>0.85</v>
      </c>
      <c r="CX180" s="261">
        <v>0.85</v>
      </c>
      <c r="CY180" s="262">
        <v>0.86</v>
      </c>
      <c r="CZ180" s="261">
        <v>0.86</v>
      </c>
      <c r="DA180" s="262">
        <v>0.86</v>
      </c>
      <c r="DB180" s="261">
        <v>0.86</v>
      </c>
      <c r="DC180" s="262">
        <v>0.86</v>
      </c>
      <c r="DD180" s="261">
        <v>0.86</v>
      </c>
      <c r="DE180" s="262">
        <v>0.86</v>
      </c>
      <c r="DF180" s="261">
        <v>0.86</v>
      </c>
      <c r="DG180" s="262">
        <v>0.87</v>
      </c>
      <c r="DH180" s="261">
        <v>0.87</v>
      </c>
      <c r="DI180" s="262">
        <v>0.87</v>
      </c>
      <c r="DJ180" s="261">
        <v>0.87</v>
      </c>
      <c r="DK180" s="262">
        <v>0.87</v>
      </c>
      <c r="DL180" s="261">
        <v>0.87</v>
      </c>
      <c r="DM180" s="262">
        <v>0.87</v>
      </c>
      <c r="DN180" s="261">
        <v>0.88</v>
      </c>
      <c r="DO180" s="262">
        <v>0.88</v>
      </c>
      <c r="DP180" s="261">
        <v>0.88</v>
      </c>
      <c r="DQ180" s="262">
        <v>0.88</v>
      </c>
      <c r="DR180" s="261">
        <v>0.88</v>
      </c>
      <c r="DS180" s="262">
        <v>0.88</v>
      </c>
      <c r="DT180" s="261">
        <v>0.88</v>
      </c>
      <c r="DU180" s="262">
        <v>0.89</v>
      </c>
      <c r="DV180" s="261">
        <v>0.89</v>
      </c>
      <c r="DW180" s="262">
        <v>0.89</v>
      </c>
      <c r="DX180" s="261">
        <v>0.89</v>
      </c>
      <c r="DY180" s="262">
        <v>0.89</v>
      </c>
      <c r="DZ180" s="261">
        <v>0.89</v>
      </c>
      <c r="EA180" s="262">
        <v>0.89</v>
      </c>
      <c r="EB180" s="261">
        <v>0.9</v>
      </c>
      <c r="EC180" s="262">
        <v>0.9</v>
      </c>
      <c r="ED180" s="261">
        <v>0.9</v>
      </c>
      <c r="EE180" s="262">
        <v>0.9</v>
      </c>
      <c r="EF180" s="261">
        <v>0.9</v>
      </c>
      <c r="EG180" s="262">
        <v>0.9</v>
      </c>
      <c r="EH180" s="261">
        <v>0.9</v>
      </c>
      <c r="EI180" s="262">
        <v>0.91</v>
      </c>
      <c r="EJ180" s="261">
        <v>0.91</v>
      </c>
      <c r="EK180" s="262">
        <v>0.91</v>
      </c>
      <c r="EL180" s="261">
        <v>0.91</v>
      </c>
      <c r="EM180" s="262">
        <v>0.91</v>
      </c>
      <c r="EN180" s="261">
        <v>0.91</v>
      </c>
      <c r="EO180" s="262">
        <v>0.91</v>
      </c>
      <c r="EP180" s="261">
        <v>0.91</v>
      </c>
      <c r="EQ180" s="262">
        <v>0.91</v>
      </c>
      <c r="ER180" s="261">
        <v>0.91</v>
      </c>
      <c r="ES180" s="262">
        <v>0.91</v>
      </c>
      <c r="ET180" s="261">
        <v>0.92</v>
      </c>
      <c r="EU180" s="262">
        <v>0.92</v>
      </c>
      <c r="EV180" s="261">
        <v>0.92</v>
      </c>
      <c r="EW180" s="262">
        <v>0.92</v>
      </c>
      <c r="EX180" s="261">
        <v>0.92</v>
      </c>
      <c r="EY180" s="262">
        <v>0.92</v>
      </c>
      <c r="EZ180" s="261">
        <v>0.92</v>
      </c>
      <c r="FA180" s="262">
        <v>0.92</v>
      </c>
      <c r="FB180" s="261">
        <v>0.93</v>
      </c>
      <c r="FC180" s="262">
        <v>0.93</v>
      </c>
      <c r="FD180" s="261">
        <v>0.93</v>
      </c>
      <c r="FE180" s="262">
        <v>0.93</v>
      </c>
      <c r="FF180" s="261">
        <v>0.93</v>
      </c>
      <c r="FG180" s="262">
        <v>0.93</v>
      </c>
      <c r="FH180" s="261">
        <v>0.93</v>
      </c>
      <c r="FI180" s="262">
        <v>0.93</v>
      </c>
      <c r="FJ180" s="261">
        <v>0.93</v>
      </c>
      <c r="FK180" s="262">
        <v>0.93</v>
      </c>
      <c r="FL180" s="261">
        <v>0.94</v>
      </c>
      <c r="FM180" s="262">
        <v>0.94</v>
      </c>
      <c r="FN180" s="261">
        <v>0.94</v>
      </c>
      <c r="FO180" s="262">
        <v>0.94</v>
      </c>
      <c r="FP180" s="261">
        <v>0.94</v>
      </c>
    </row>
    <row r="181" spans="1:172" x14ac:dyDescent="0.25">
      <c r="A181" s="257" t="s">
        <v>266</v>
      </c>
      <c r="B181" s="263">
        <v>0.10400000000000001</v>
      </c>
      <c r="C181" s="264">
        <v>0.10300000000000001</v>
      </c>
      <c r="D181" s="263">
        <v>0.10199999999999999</v>
      </c>
      <c r="E181" s="264">
        <v>0.10099999999999999</v>
      </c>
      <c r="F181" s="263">
        <v>0.1</v>
      </c>
      <c r="G181" s="264">
        <v>9.9000000000000005E-2</v>
      </c>
      <c r="H181" s="263">
        <v>9.8000000000000004E-2</v>
      </c>
      <c r="I181" s="264">
        <v>9.6000000000000002E-2</v>
      </c>
      <c r="J181" s="263">
        <v>9.5000000000000001E-2</v>
      </c>
      <c r="K181" s="264">
        <v>9.4E-2</v>
      </c>
      <c r="L181" s="263">
        <v>9.1999999999999998E-2</v>
      </c>
      <c r="M181" s="264">
        <v>9.0999999999999998E-2</v>
      </c>
      <c r="N181" s="263">
        <v>0.09</v>
      </c>
      <c r="O181" s="264">
        <v>8.8000000000000009E-2</v>
      </c>
      <c r="P181" s="263">
        <v>8.5999999999999993E-2</v>
      </c>
      <c r="Q181" s="264">
        <v>8.5000000000000006E-2</v>
      </c>
      <c r="R181" s="263">
        <v>8.3000000000000004E-2</v>
      </c>
      <c r="S181" s="264">
        <v>8.1000000000000003E-2</v>
      </c>
      <c r="T181" s="263">
        <v>0.08</v>
      </c>
      <c r="U181" s="264">
        <v>7.8E-2</v>
      </c>
      <c r="V181" s="263">
        <v>7.5999999999999998E-2</v>
      </c>
      <c r="W181" s="264">
        <v>7.400000000000001E-2</v>
      </c>
      <c r="X181" s="263">
        <v>7.2000000000000008E-2</v>
      </c>
      <c r="Y181" s="264">
        <v>7.0999999999999994E-2</v>
      </c>
      <c r="Z181" s="263">
        <v>6.9000000000000006E-2</v>
      </c>
      <c r="AA181" s="264">
        <v>6.7000000000000004E-2</v>
      </c>
      <c r="AB181" s="263">
        <v>6.6000000000000003E-2</v>
      </c>
      <c r="AC181" s="264">
        <v>6.5000000000000002E-2</v>
      </c>
      <c r="AD181" s="263">
        <v>6.3E-2</v>
      </c>
      <c r="AE181" s="264">
        <v>6.2E-2</v>
      </c>
      <c r="AF181" s="263">
        <v>6.0999999999999999E-2</v>
      </c>
      <c r="AG181" s="264">
        <v>0.06</v>
      </c>
      <c r="AH181" s="263">
        <v>5.7999999999999996E-2</v>
      </c>
      <c r="AI181" s="264">
        <v>5.7000000000000002E-2</v>
      </c>
      <c r="AJ181" s="263">
        <v>5.5999999999999994E-2</v>
      </c>
      <c r="AK181" s="264">
        <v>5.5E-2</v>
      </c>
      <c r="AL181" s="263">
        <v>5.4000000000000006E-2</v>
      </c>
      <c r="AM181" s="264">
        <v>5.2999999999999999E-2</v>
      </c>
      <c r="AN181" s="263">
        <v>5.0999999999999997E-2</v>
      </c>
      <c r="AO181" s="264">
        <v>0.05</v>
      </c>
      <c r="AP181" s="263">
        <v>4.9000000000000002E-2</v>
      </c>
      <c r="AQ181" s="264">
        <v>4.8000000000000001E-2</v>
      </c>
      <c r="AR181" s="263">
        <v>4.7E-2</v>
      </c>
      <c r="AS181" s="264">
        <v>4.5999999999999999E-2</v>
      </c>
      <c r="AT181" s="263">
        <v>4.4999999999999998E-2</v>
      </c>
      <c r="AU181" s="264">
        <v>4.2999999999999997E-2</v>
      </c>
      <c r="AV181" s="263">
        <v>4.2000000000000003E-2</v>
      </c>
      <c r="AW181" s="264">
        <v>4.0999999999999995E-2</v>
      </c>
      <c r="AX181" s="263">
        <v>0.04</v>
      </c>
      <c r="AY181" s="264">
        <v>3.9E-2</v>
      </c>
      <c r="AZ181" s="263">
        <v>3.7999999999999999E-2</v>
      </c>
      <c r="BA181" s="264">
        <v>3.7000000000000005E-2</v>
      </c>
      <c r="BB181" s="263">
        <v>3.6000000000000004E-2</v>
      </c>
      <c r="BC181" s="264">
        <v>3.5000000000000003E-2</v>
      </c>
      <c r="BD181" s="263">
        <v>3.4000000000000002E-2</v>
      </c>
      <c r="BE181" s="264">
        <v>3.3000000000000002E-2</v>
      </c>
      <c r="BF181" s="263">
        <v>3.2000000000000001E-2</v>
      </c>
      <c r="BG181" s="264">
        <v>3.2000000000000001E-2</v>
      </c>
      <c r="BH181" s="263">
        <v>3.1E-2</v>
      </c>
      <c r="BI181" s="264">
        <v>3.1E-2</v>
      </c>
      <c r="BJ181" s="263">
        <v>0.03</v>
      </c>
      <c r="BK181" s="264">
        <v>2.8999999999999998E-2</v>
      </c>
      <c r="BL181" s="263">
        <v>2.8999999999999998E-2</v>
      </c>
      <c r="BM181" s="264">
        <v>2.7999999999999997E-2</v>
      </c>
      <c r="BN181" s="263">
        <v>2.7000000000000003E-2</v>
      </c>
      <c r="BO181" s="264">
        <v>2.7000000000000003E-2</v>
      </c>
      <c r="BP181" s="263">
        <v>2.6000000000000002E-2</v>
      </c>
      <c r="BQ181" s="264">
        <v>2.6000000000000002E-2</v>
      </c>
      <c r="BR181" s="263">
        <v>2.5000000000000001E-2</v>
      </c>
      <c r="BS181" s="264">
        <v>2.5000000000000001E-2</v>
      </c>
      <c r="BT181" s="263">
        <v>2.4E-2</v>
      </c>
      <c r="BU181" s="264">
        <v>2.4E-2</v>
      </c>
      <c r="BV181" s="263">
        <v>2.3E-2</v>
      </c>
      <c r="BW181" s="264">
        <v>2.3E-2</v>
      </c>
      <c r="BX181" s="263">
        <v>2.3E-2</v>
      </c>
      <c r="BY181" s="264">
        <v>2.2000000000000002E-2</v>
      </c>
      <c r="BZ181" s="263">
        <v>2.2000000000000002E-2</v>
      </c>
      <c r="CA181" s="264">
        <v>2.1000000000000001E-2</v>
      </c>
      <c r="CB181" s="263">
        <v>2.1000000000000001E-2</v>
      </c>
      <c r="CC181" s="264">
        <v>2.1000000000000001E-2</v>
      </c>
      <c r="CD181" s="263">
        <v>2.1000000000000001E-2</v>
      </c>
      <c r="CE181" s="264">
        <v>0.02</v>
      </c>
      <c r="CF181" s="263">
        <v>0.02</v>
      </c>
      <c r="CG181" s="264">
        <v>0.02</v>
      </c>
      <c r="CH181" s="263">
        <v>0.02</v>
      </c>
      <c r="CI181" s="264">
        <v>1.9E-2</v>
      </c>
      <c r="CJ181" s="263">
        <v>1.9E-2</v>
      </c>
      <c r="CK181" s="264">
        <v>1.9E-2</v>
      </c>
      <c r="CL181" s="263">
        <v>1.9E-2</v>
      </c>
      <c r="CM181" s="264">
        <v>1.8000000000000002E-2</v>
      </c>
      <c r="CN181" s="263">
        <v>1.8000000000000002E-2</v>
      </c>
      <c r="CO181" s="264">
        <v>1.8000000000000002E-2</v>
      </c>
      <c r="CP181" s="263">
        <v>1.8000000000000002E-2</v>
      </c>
      <c r="CQ181" s="264">
        <v>1.8000000000000002E-2</v>
      </c>
      <c r="CR181" s="263">
        <v>1.8000000000000002E-2</v>
      </c>
      <c r="CS181" s="264">
        <v>1.8000000000000002E-2</v>
      </c>
      <c r="CT181" s="263">
        <v>1.7000000000000001E-2</v>
      </c>
      <c r="CU181" s="264">
        <v>1.7000000000000001E-2</v>
      </c>
      <c r="CV181" s="263">
        <v>1.7000000000000001E-2</v>
      </c>
      <c r="CW181" s="264">
        <v>1.7000000000000001E-2</v>
      </c>
      <c r="CX181" s="263">
        <v>1.7000000000000001E-2</v>
      </c>
      <c r="CY181" s="264">
        <v>1.7000000000000001E-2</v>
      </c>
      <c r="CZ181" s="263">
        <v>1.7000000000000001E-2</v>
      </c>
      <c r="DA181" s="264">
        <v>1.6E-2</v>
      </c>
      <c r="DB181" s="263">
        <v>1.6E-2</v>
      </c>
      <c r="DC181" s="264">
        <v>1.6E-2</v>
      </c>
      <c r="DD181" s="263">
        <v>1.6E-2</v>
      </c>
      <c r="DE181" s="264">
        <v>1.6E-2</v>
      </c>
      <c r="DF181" s="263">
        <v>1.6E-2</v>
      </c>
      <c r="DG181" s="264">
        <v>1.6E-2</v>
      </c>
      <c r="DH181" s="263">
        <v>1.6E-2</v>
      </c>
      <c r="DI181" s="264">
        <v>1.4999999999999999E-2</v>
      </c>
      <c r="DJ181" s="263">
        <v>1.4999999999999999E-2</v>
      </c>
      <c r="DK181" s="264">
        <v>1.4999999999999999E-2</v>
      </c>
      <c r="DL181" s="263">
        <v>1.4999999999999999E-2</v>
      </c>
      <c r="DM181" s="264">
        <v>1.4999999999999999E-2</v>
      </c>
      <c r="DN181" s="263">
        <v>1.4999999999999999E-2</v>
      </c>
      <c r="DO181" s="264">
        <v>1.4999999999999999E-2</v>
      </c>
      <c r="DP181" s="263">
        <v>1.4999999999999999E-2</v>
      </c>
      <c r="DQ181" s="264">
        <v>1.3999999999999999E-2</v>
      </c>
      <c r="DR181" s="263">
        <v>1.3999999999999999E-2</v>
      </c>
      <c r="DS181" s="264">
        <v>1.3999999999999999E-2</v>
      </c>
      <c r="DT181" s="263">
        <v>1.3999999999999999E-2</v>
      </c>
      <c r="DU181" s="264">
        <v>1.3999999999999999E-2</v>
      </c>
      <c r="DV181" s="263">
        <v>1.3999999999999999E-2</v>
      </c>
      <c r="DW181" s="264">
        <v>1.3999999999999999E-2</v>
      </c>
      <c r="DX181" s="263">
        <v>1.3999999999999999E-2</v>
      </c>
      <c r="DY181" s="264">
        <v>1.3000000000000001E-2</v>
      </c>
      <c r="DZ181" s="263">
        <v>1.3000000000000001E-2</v>
      </c>
      <c r="EA181" s="264">
        <v>1.3000000000000001E-2</v>
      </c>
      <c r="EB181" s="263">
        <v>1.3000000000000001E-2</v>
      </c>
      <c r="EC181" s="264">
        <v>1.3000000000000001E-2</v>
      </c>
      <c r="ED181" s="263">
        <v>1.3000000000000001E-2</v>
      </c>
      <c r="EE181" s="264">
        <v>1.3000000000000001E-2</v>
      </c>
      <c r="EF181" s="263">
        <v>1.3000000000000001E-2</v>
      </c>
      <c r="EG181" s="264">
        <v>1.3000000000000001E-2</v>
      </c>
      <c r="EH181" s="263">
        <v>1.2E-2</v>
      </c>
      <c r="EI181" s="264">
        <v>1.2E-2</v>
      </c>
      <c r="EJ181" s="263">
        <v>1.2E-2</v>
      </c>
      <c r="EK181" s="264">
        <v>1.2E-2</v>
      </c>
      <c r="EL181" s="263">
        <v>1.2E-2</v>
      </c>
      <c r="EM181" s="264">
        <v>1.2E-2</v>
      </c>
      <c r="EN181" s="263">
        <v>1.2E-2</v>
      </c>
      <c r="EO181" s="264">
        <v>1.2E-2</v>
      </c>
      <c r="EP181" s="263">
        <v>1.2E-2</v>
      </c>
      <c r="EQ181" s="264">
        <v>1.1000000000000001E-2</v>
      </c>
      <c r="ER181" s="263">
        <v>1.1000000000000001E-2</v>
      </c>
      <c r="ES181" s="264">
        <v>1.1000000000000001E-2</v>
      </c>
      <c r="ET181" s="263">
        <v>1.1000000000000001E-2</v>
      </c>
      <c r="EU181" s="264">
        <v>1.1000000000000001E-2</v>
      </c>
      <c r="EV181" s="263">
        <v>1.1000000000000001E-2</v>
      </c>
      <c r="EW181" s="264">
        <v>1.1000000000000001E-2</v>
      </c>
      <c r="EX181" s="263">
        <v>1.1000000000000001E-2</v>
      </c>
      <c r="EY181" s="264">
        <v>1.1000000000000001E-2</v>
      </c>
      <c r="EZ181" s="263">
        <v>1.1000000000000001E-2</v>
      </c>
      <c r="FA181" s="264">
        <v>1.1000000000000001E-2</v>
      </c>
      <c r="FB181" s="263">
        <v>1.1000000000000001E-2</v>
      </c>
      <c r="FC181" s="264">
        <v>1.1000000000000001E-2</v>
      </c>
      <c r="FD181" s="263">
        <v>0.01</v>
      </c>
      <c r="FE181" s="264">
        <v>0.01</v>
      </c>
      <c r="FF181" s="263">
        <v>0.01</v>
      </c>
      <c r="FG181" s="264">
        <v>0.01</v>
      </c>
      <c r="FH181" s="263">
        <v>0.01</v>
      </c>
      <c r="FI181" s="264">
        <v>0.01</v>
      </c>
      <c r="FJ181" s="263">
        <v>0.01</v>
      </c>
      <c r="FK181" s="264">
        <v>0.01</v>
      </c>
      <c r="FL181" s="263">
        <v>0.01</v>
      </c>
      <c r="FM181" s="264">
        <v>0.01</v>
      </c>
      <c r="FN181" s="263">
        <v>0.01</v>
      </c>
      <c r="FO181" s="264">
        <v>0.01</v>
      </c>
      <c r="FP181" s="263">
        <v>0.01</v>
      </c>
    </row>
    <row r="182" spans="1:172" x14ac:dyDescent="0.25">
      <c r="A182" s="258" t="s">
        <v>264</v>
      </c>
      <c r="B182" s="259" t="s">
        <v>153</v>
      </c>
      <c r="C182" s="258" t="s">
        <v>155</v>
      </c>
      <c r="D182" s="259" t="s">
        <v>155</v>
      </c>
      <c r="E182" s="258" t="s">
        <v>155</v>
      </c>
      <c r="F182" s="259" t="s">
        <v>155</v>
      </c>
      <c r="G182" s="258" t="s">
        <v>155</v>
      </c>
      <c r="H182" s="259" t="s">
        <v>161</v>
      </c>
      <c r="I182" s="258" t="s">
        <v>155</v>
      </c>
      <c r="J182" s="259" t="s">
        <v>155</v>
      </c>
      <c r="K182" s="258" t="s">
        <v>155</v>
      </c>
      <c r="L182" s="259" t="s">
        <v>155</v>
      </c>
      <c r="M182" s="258" t="s">
        <v>155</v>
      </c>
      <c r="N182" s="259" t="s">
        <v>155</v>
      </c>
      <c r="O182" s="258" t="s">
        <v>155</v>
      </c>
      <c r="P182" s="259" t="s">
        <v>155</v>
      </c>
      <c r="Q182" s="258" t="s">
        <v>155</v>
      </c>
      <c r="R182" s="259" t="s">
        <v>155</v>
      </c>
      <c r="S182" s="258" t="s">
        <v>155</v>
      </c>
      <c r="T182" s="259" t="s">
        <v>155</v>
      </c>
      <c r="U182" s="258" t="s">
        <v>155</v>
      </c>
      <c r="V182" s="259" t="s">
        <v>155</v>
      </c>
      <c r="W182" s="258" t="s">
        <v>155</v>
      </c>
      <c r="X182" s="259" t="s">
        <v>178</v>
      </c>
      <c r="Y182" s="258" t="s">
        <v>155</v>
      </c>
      <c r="Z182" s="259" t="s">
        <v>155</v>
      </c>
      <c r="AA182" s="258" t="s">
        <v>155</v>
      </c>
      <c r="AB182" s="259" t="s">
        <v>155</v>
      </c>
      <c r="AC182" s="258" t="s">
        <v>155</v>
      </c>
      <c r="AD182" s="259" t="s">
        <v>155</v>
      </c>
      <c r="AE182" s="258" t="s">
        <v>155</v>
      </c>
      <c r="AF182" s="259" t="s">
        <v>155</v>
      </c>
      <c r="AG182" s="258" t="s">
        <v>155</v>
      </c>
      <c r="AH182" s="259" t="s">
        <v>155</v>
      </c>
      <c r="AI182" s="258" t="s">
        <v>155</v>
      </c>
      <c r="AJ182" s="259" t="s">
        <v>155</v>
      </c>
      <c r="AK182" s="258" t="s">
        <v>155</v>
      </c>
      <c r="AL182" s="259" t="s">
        <v>155</v>
      </c>
      <c r="AM182" s="258" t="s">
        <v>155</v>
      </c>
      <c r="AN182" s="259" t="s">
        <v>155</v>
      </c>
      <c r="AO182" s="258" t="s">
        <v>155</v>
      </c>
      <c r="AP182" s="259" t="s">
        <v>155</v>
      </c>
      <c r="AQ182" s="258" t="s">
        <v>203</v>
      </c>
      <c r="AR182" s="259" t="s">
        <v>155</v>
      </c>
      <c r="AS182" s="258" t="s">
        <v>155</v>
      </c>
      <c r="AT182" s="259" t="s">
        <v>155</v>
      </c>
      <c r="AU182" s="258" t="s">
        <v>155</v>
      </c>
      <c r="AV182" s="259" t="s">
        <v>155</v>
      </c>
      <c r="AW182" s="258" t="s">
        <v>155</v>
      </c>
      <c r="AX182" s="259" t="s">
        <v>155</v>
      </c>
      <c r="AY182" s="258" t="s">
        <v>155</v>
      </c>
      <c r="AZ182" s="259" t="s">
        <v>155</v>
      </c>
      <c r="BA182" s="258" t="s">
        <v>155</v>
      </c>
      <c r="BB182" s="259" t="s">
        <v>155</v>
      </c>
      <c r="BC182" s="258" t="s">
        <v>155</v>
      </c>
      <c r="BD182" s="259" t="s">
        <v>155</v>
      </c>
      <c r="BE182" s="258" t="s">
        <v>155</v>
      </c>
      <c r="BF182" s="259" t="s">
        <v>155</v>
      </c>
      <c r="BG182" s="258" t="s">
        <v>155</v>
      </c>
      <c r="BH182" s="259" t="s">
        <v>155</v>
      </c>
      <c r="BI182" s="258" t="s">
        <v>155</v>
      </c>
      <c r="BJ182" s="259" t="s">
        <v>155</v>
      </c>
      <c r="BK182" s="258" t="s">
        <v>155</v>
      </c>
      <c r="BL182" s="259" t="s">
        <v>155</v>
      </c>
      <c r="BM182" s="258" t="s">
        <v>155</v>
      </c>
      <c r="BN182" s="259" t="s">
        <v>155</v>
      </c>
      <c r="BO182" s="258" t="s">
        <v>155</v>
      </c>
      <c r="BP182" s="259" t="s">
        <v>155</v>
      </c>
      <c r="BQ182" s="258" t="s">
        <v>155</v>
      </c>
      <c r="BR182" s="259" t="s">
        <v>155</v>
      </c>
      <c r="BS182" s="258" t="s">
        <v>155</v>
      </c>
      <c r="BT182" s="259" t="s">
        <v>155</v>
      </c>
      <c r="BU182" s="258" t="s">
        <v>155</v>
      </c>
      <c r="BV182" s="259" t="s">
        <v>155</v>
      </c>
      <c r="BW182" s="258" t="s">
        <v>155</v>
      </c>
      <c r="BX182" s="259" t="s">
        <v>155</v>
      </c>
      <c r="BY182" s="258" t="s">
        <v>155</v>
      </c>
      <c r="BZ182" s="259" t="s">
        <v>155</v>
      </c>
      <c r="CA182" s="258" t="s">
        <v>155</v>
      </c>
      <c r="CB182" s="259" t="s">
        <v>155</v>
      </c>
      <c r="CC182" s="258" t="s">
        <v>155</v>
      </c>
      <c r="CD182" s="259" t="s">
        <v>155</v>
      </c>
      <c r="CE182" s="258" t="s">
        <v>155</v>
      </c>
      <c r="CF182" s="259" t="s">
        <v>155</v>
      </c>
      <c r="CG182" s="258" t="s">
        <v>155</v>
      </c>
      <c r="CH182" s="259" t="s">
        <v>155</v>
      </c>
      <c r="CI182" s="258" t="s">
        <v>155</v>
      </c>
      <c r="CJ182" s="259" t="s">
        <v>155</v>
      </c>
      <c r="CK182" s="258" t="s">
        <v>155</v>
      </c>
      <c r="CL182" s="259" t="s">
        <v>155</v>
      </c>
      <c r="CM182" s="258" t="s">
        <v>155</v>
      </c>
      <c r="CN182" s="259" t="s">
        <v>155</v>
      </c>
      <c r="CO182" s="258" t="s">
        <v>155</v>
      </c>
      <c r="CP182" s="259" t="s">
        <v>155</v>
      </c>
      <c r="CQ182" s="258" t="s">
        <v>155</v>
      </c>
      <c r="CR182" s="259" t="s">
        <v>155</v>
      </c>
      <c r="CS182" s="258" t="s">
        <v>155</v>
      </c>
      <c r="CT182" s="259" t="s">
        <v>155</v>
      </c>
      <c r="CU182" s="258" t="s">
        <v>155</v>
      </c>
      <c r="CV182" s="259" t="s">
        <v>155</v>
      </c>
      <c r="CW182" s="258" t="s">
        <v>155</v>
      </c>
      <c r="CX182" s="259" t="s">
        <v>155</v>
      </c>
      <c r="CY182" s="258" t="s">
        <v>155</v>
      </c>
      <c r="CZ182" s="259" t="s">
        <v>155</v>
      </c>
      <c r="DA182" s="258" t="s">
        <v>155</v>
      </c>
      <c r="DB182" s="259" t="s">
        <v>155</v>
      </c>
      <c r="DC182" s="258" t="s">
        <v>155</v>
      </c>
      <c r="DD182" s="259" t="s">
        <v>155</v>
      </c>
      <c r="DE182" s="258" t="s">
        <v>155</v>
      </c>
      <c r="DF182" s="259" t="s">
        <v>155</v>
      </c>
      <c r="DG182" s="258" t="s">
        <v>155</v>
      </c>
      <c r="DH182" s="259" t="s">
        <v>155</v>
      </c>
      <c r="DI182" s="258" t="s">
        <v>155</v>
      </c>
      <c r="DJ182" s="259" t="s">
        <v>155</v>
      </c>
      <c r="DK182" s="258" t="s">
        <v>155</v>
      </c>
      <c r="DL182" s="259" t="s">
        <v>155</v>
      </c>
      <c r="DM182" s="258" t="s">
        <v>155</v>
      </c>
      <c r="DN182" s="259" t="s">
        <v>155</v>
      </c>
      <c r="DO182" s="258" t="s">
        <v>155</v>
      </c>
      <c r="DP182" s="259" t="s">
        <v>155</v>
      </c>
      <c r="DQ182" s="258" t="s">
        <v>155</v>
      </c>
      <c r="DR182" s="259" t="s">
        <v>155</v>
      </c>
      <c r="DS182" s="258" t="s">
        <v>155</v>
      </c>
      <c r="DT182" s="259" t="s">
        <v>155</v>
      </c>
      <c r="DU182" s="258" t="s">
        <v>155</v>
      </c>
      <c r="DV182" s="259" t="s">
        <v>155</v>
      </c>
      <c r="DW182" s="258" t="s">
        <v>155</v>
      </c>
      <c r="DX182" s="259" t="s">
        <v>155</v>
      </c>
      <c r="DY182" s="258" t="s">
        <v>155</v>
      </c>
      <c r="DZ182" s="259" t="s">
        <v>155</v>
      </c>
      <c r="EA182" s="258" t="s">
        <v>155</v>
      </c>
      <c r="EB182" s="259" t="s">
        <v>155</v>
      </c>
      <c r="EC182" s="258" t="s">
        <v>155</v>
      </c>
      <c r="ED182" s="259" t="s">
        <v>155</v>
      </c>
      <c r="EE182" s="258" t="s">
        <v>155</v>
      </c>
      <c r="EF182" s="259" t="s">
        <v>155</v>
      </c>
      <c r="EG182" s="258" t="s">
        <v>155</v>
      </c>
      <c r="EH182" s="259" t="s">
        <v>155</v>
      </c>
      <c r="EI182" s="258" t="s">
        <v>155</v>
      </c>
      <c r="EJ182" s="259" t="s">
        <v>155</v>
      </c>
      <c r="EK182" s="258" t="s">
        <v>155</v>
      </c>
      <c r="EL182" s="259" t="s">
        <v>155</v>
      </c>
      <c r="EM182" s="258" t="s">
        <v>155</v>
      </c>
      <c r="EN182" s="259" t="s">
        <v>155</v>
      </c>
      <c r="EO182" s="258" t="s">
        <v>155</v>
      </c>
      <c r="EP182" s="259" t="s">
        <v>155</v>
      </c>
      <c r="EQ182" s="258" t="s">
        <v>155</v>
      </c>
      <c r="ER182" s="259" t="s">
        <v>155</v>
      </c>
      <c r="ES182" s="258" t="s">
        <v>155</v>
      </c>
      <c r="ET182" s="259" t="s">
        <v>155</v>
      </c>
      <c r="EU182" s="258" t="s">
        <v>155</v>
      </c>
      <c r="EV182" s="259" t="s">
        <v>155</v>
      </c>
      <c r="EW182" s="258" t="s">
        <v>155</v>
      </c>
      <c r="EX182" s="259" t="s">
        <v>155</v>
      </c>
      <c r="EY182" s="258" t="s">
        <v>155</v>
      </c>
      <c r="EZ182" s="259" t="s">
        <v>155</v>
      </c>
      <c r="FA182" s="258" t="s">
        <v>155</v>
      </c>
      <c r="FB182" s="259" t="s">
        <v>155</v>
      </c>
      <c r="FC182" s="258" t="s">
        <v>155</v>
      </c>
      <c r="FD182" s="259" t="s">
        <v>155</v>
      </c>
      <c r="FE182" s="258" t="s">
        <v>155</v>
      </c>
      <c r="FF182" s="259" t="s">
        <v>155</v>
      </c>
      <c r="FG182" s="258" t="s">
        <v>155</v>
      </c>
      <c r="FH182" s="259" t="s">
        <v>155</v>
      </c>
      <c r="FI182" s="258" t="s">
        <v>155</v>
      </c>
      <c r="FJ182" s="259" t="s">
        <v>155</v>
      </c>
      <c r="FK182" s="258" t="s">
        <v>155</v>
      </c>
      <c r="FL182" s="259" t="s">
        <v>155</v>
      </c>
      <c r="FM182" s="258" t="s">
        <v>155</v>
      </c>
      <c r="FN182" s="259" t="s">
        <v>155</v>
      </c>
      <c r="FO182" s="258" t="s">
        <v>155</v>
      </c>
      <c r="FP182" s="259" t="s">
        <v>155</v>
      </c>
    </row>
  </sheetData>
  <mergeCells count="1">
    <mergeCell ref="A173:F173"/>
  </mergeCells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0D11BB5-C0A0-4536-9A59-A483694F0F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3</vt:i4>
      </vt:variant>
    </vt:vector>
  </HeadingPairs>
  <TitlesOfParts>
    <vt:vector size="3" baseType="lpstr">
      <vt:lpstr>Clarias_Bioplan</vt:lpstr>
      <vt:lpstr>DATA SECTION</vt:lpstr>
      <vt:lpstr>AlltechCoppens_GC_26-28°C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Shaw</dc:creator>
  <cp:lastModifiedBy>nesp</cp:lastModifiedBy>
  <dcterms:created xsi:type="dcterms:W3CDTF">2020-12-02T19:10:28Z</dcterms:created>
  <dcterms:modified xsi:type="dcterms:W3CDTF">2025-11-21T16:30:11Z</dcterms:modified>
</cp:coreProperties>
</file>