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SynologyDrive\Aquakultur\Aquakultur\Feed_DynOpt_Coupling\NutriOpt_Framework\Database\PriceCarbon_Data\"/>
    </mc:Choice>
  </mc:AlternateContent>
  <xr:revisionPtr revIDLastSave="0" documentId="13_ncr:1_{0023A32E-B8FB-41B3-8046-D5753E2039CA}" xr6:coauthVersionLast="36" xr6:coauthVersionMax="36" xr10:uidLastSave="{00000000-0000-0000-0000-000000000000}"/>
  <bookViews>
    <workbookView xWindow="0" yWindow="0" windowWidth="21570" windowHeight="9240" xr2:uid="{B3713AF9-2756-490B-91DD-F5822D1CBEF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" i="1" l="1"/>
  <c r="M14" i="1"/>
  <c r="M5" i="1"/>
  <c r="L14" i="1"/>
  <c r="P11" i="1"/>
  <c r="P6" i="1"/>
  <c r="P7" i="1"/>
  <c r="P8" i="1"/>
  <c r="P9" i="1"/>
  <c r="P10" i="1"/>
  <c r="P12" i="1"/>
  <c r="P13" i="1"/>
  <c r="P14" i="1"/>
  <c r="P5" i="1"/>
  <c r="L5" i="1"/>
  <c r="L6" i="1"/>
  <c r="M6" i="1" s="1"/>
  <c r="L7" i="1"/>
  <c r="M7" i="1" s="1"/>
  <c r="L9" i="1"/>
  <c r="M9" i="1" s="1"/>
  <c r="L10" i="1"/>
  <c r="M10" i="1" s="1"/>
  <c r="L11" i="1"/>
  <c r="M11" i="1" s="1"/>
  <c r="L12" i="1"/>
  <c r="M12" i="1" s="1"/>
  <c r="L13" i="1"/>
  <c r="M13" i="1" s="1"/>
  <c r="J8" i="1"/>
  <c r="L8" i="1" s="1"/>
</calcChain>
</file>

<file path=xl/sharedStrings.xml><?xml version="1.0" encoding="utf-8"?>
<sst xmlns="http://schemas.openxmlformats.org/spreadsheetml/2006/main" count="87" uniqueCount="71">
  <si>
    <t>Link</t>
  </si>
  <si>
    <t>KOH</t>
  </si>
  <si>
    <t>K2CO3</t>
  </si>
  <si>
    <t>Furth Chemie</t>
  </si>
  <si>
    <t>https://furth-chemie.de/Pottasche-Kaliumcarbonat_1</t>
  </si>
  <si>
    <t>CaOH2</t>
  </si>
  <si>
    <t>Otterbein</t>
  </si>
  <si>
    <t>https://www.kiesundco.de/tterbein-weisskalkhydrat-ii-25-kg</t>
  </si>
  <si>
    <t>MgOH2</t>
  </si>
  <si>
    <t>https://chemmarkt.de/products/magnesiumoxid-gerostete-magnesia-87-weiss-25kg-biomus</t>
  </si>
  <si>
    <t>https://benenergie.shop/products/demineralisiertes-wasser-1000-liter-ibc</t>
  </si>
  <si>
    <t>NaHCO3</t>
  </si>
  <si>
    <t>Buxtrade</t>
  </si>
  <si>
    <t>https://buxtrade.de/products/natriumhydrogencarbonat</t>
  </si>
  <si>
    <t>HNO3</t>
  </si>
  <si>
    <t>Subolab</t>
  </si>
  <si>
    <t>H3PO4</t>
  </si>
  <si>
    <t>https://furth-chemie.de/phosphorsaeure_3</t>
  </si>
  <si>
    <t>H2SO4</t>
  </si>
  <si>
    <t xml:space="preserve">BIOMUS (MgO)            </t>
  </si>
  <si>
    <t>NaOH</t>
  </si>
  <si>
    <t>https://furth-chemie.de/natriumhydroxid-aetznatron_3</t>
  </si>
  <si>
    <t>HCl</t>
  </si>
  <si>
    <t>Höfer Chemie</t>
  </si>
  <si>
    <t>https://hoefer-shop.com/products/20-kg-hofer-chemie%C2%AE-salzsaure-29-32-in-kanister?variant=41081940639807</t>
  </si>
  <si>
    <t>https://furth-chemie.de/Kaliumhydroxid-Aetzkali-i-Schuppen-25-Kg</t>
  </si>
  <si>
    <t>CO2 FP in kgCO2eq/kg</t>
  </si>
  <si>
    <t>CO2 FP in kgCO2eq/mol</t>
  </si>
  <si>
    <t>H2O</t>
  </si>
  <si>
    <t>Benenergie</t>
  </si>
  <si>
    <t>Potassium Hydroxide</t>
  </si>
  <si>
    <t>Sodium hydrogen carbonate</t>
  </si>
  <si>
    <t>Potassium carbonate</t>
  </si>
  <si>
    <t>Calcium hydroxide</t>
  </si>
  <si>
    <t>Magnesium hydroxide</t>
  </si>
  <si>
    <t>Sodium hydroxide</t>
  </si>
  <si>
    <t>Hydrochloric acid 30%</t>
  </si>
  <si>
    <t>Phosphoric acid 75%</t>
  </si>
  <si>
    <t>Sulfuric acid 96%</t>
  </si>
  <si>
    <t>Direct purchase</t>
  </si>
  <si>
    <t>Produced by suspending Magnesium oxide in water</t>
  </si>
  <si>
    <t>Company</t>
  </si>
  <si>
    <t>Purchase</t>
  </si>
  <si>
    <t>Formula</t>
  </si>
  <si>
    <t>Price in €/kg</t>
  </si>
  <si>
    <t>Purity</t>
  </si>
  <si>
    <t>Molar mass g/mol</t>
  </si>
  <si>
    <t>Price in €/mol</t>
  </si>
  <si>
    <t>Price in USD/mol</t>
  </si>
  <si>
    <t>Euro to USD</t>
  </si>
  <si>
    <t>-</t>
  </si>
  <si>
    <t>Distilled Water</t>
  </si>
  <si>
    <t>https://apps.carboncloud.com/climatehub/product-reports/id/1394351136979</t>
  </si>
  <si>
    <t>https://apps.carboncloud.com/climatehub/product-reports/id/3285120312383</t>
  </si>
  <si>
    <t>https://www.climatiq.io/data/emission-factor/3da133e4-d710-4c06-8a03-0999f85dcf08</t>
  </si>
  <si>
    <t>https://apps.carboncloud.com/climatehub/product-reports/id/23565867589</t>
  </si>
  <si>
    <t>https://apps.carboncloud.com/climatehub/product-reports/id/2198404469941</t>
  </si>
  <si>
    <t>https://apps.carboncloud.com/climatehub/product-reports/id/216857142454</t>
  </si>
  <si>
    <t>https://apps.carboncloud.com/climatehub/product-reports/id/6771589699675</t>
  </si>
  <si>
    <t>https://apps.carboncloud.com/climatehub/product-reports/id/1266801278346</t>
  </si>
  <si>
    <t>https://www.climatiq.io/data/emission-factor/30a843e1-af2e-4824-93a0-a3ebb8e045b0</t>
  </si>
  <si>
    <t>Furthe Chemie</t>
  </si>
  <si>
    <t>https://www.carlroth.com/de/de/lewis-saeuren/schwefelsaeure/p/0971.4</t>
  </si>
  <si>
    <t>Carl Roth</t>
  </si>
  <si>
    <t>https://www.subolab.de/salpetersaure-53-reinst-gewerbepflichtig-002-004-002-003-009-023-00000/</t>
  </si>
  <si>
    <t>https://www.climatiq.io/data/emission-factor/8dd5801f-77e0-455a-8e1b-48794114f206</t>
  </si>
  <si>
    <t>Liter water/mol chemical</t>
  </si>
  <si>
    <t>Chemical</t>
  </si>
  <si>
    <t>Purchase of &lt;=25kg or &lt;=25L units</t>
  </si>
  <si>
    <t>https://doi.org/10.1016/j.jclepro.2018.08.225</t>
  </si>
  <si>
    <t>Nitric acid 53%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</si>
</sst>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0.0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horizontal="left" vertical="center"/>
    </xf>
    <xf numFmtId="0" fontId="1" fillId="0" borderId="0" xfId="1" applyBorder="1" applyAlignment="1">
      <alignment horizontal="left" vertical="center" wrapText="1"/>
    </xf>
    <xf numFmtId="0" fontId="1" fillId="0" borderId="5" xfId="1" applyBorder="1" applyAlignment="1">
      <alignment horizontal="left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2" fontId="0" fillId="0" borderId="7" xfId="2" applyNumberFormat="1" applyFont="1" applyBorder="1" applyAlignment="1">
      <alignment horizontal="center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1" fillId="3" borderId="0" xfId="1" applyFill="1" applyBorder="1" applyAlignment="1">
      <alignment horizontal="left" vertical="center"/>
    </xf>
    <xf numFmtId="164" fontId="0" fillId="3" borderId="7" xfId="0" applyNumberForma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0" fontId="1" fillId="3" borderId="7" xfId="1" applyFill="1" applyBorder="1" applyAlignment="1">
      <alignment horizontal="left" vertical="center"/>
    </xf>
    <xf numFmtId="0" fontId="0" fillId="3" borderId="7" xfId="0" applyFill="1" applyBorder="1" applyAlignment="1">
      <alignment horizontal="center" vertical="center" wrapText="1"/>
    </xf>
    <xf numFmtId="0" fontId="1" fillId="3" borderId="0" xfId="1" applyFill="1" applyBorder="1" applyAlignment="1">
      <alignment horizontal="left" vertical="center" wrapText="1"/>
    </xf>
    <xf numFmtId="4" fontId="0" fillId="0" borderId="7" xfId="0" applyNumberFormat="1" applyBorder="1" applyAlignment="1">
      <alignment horizontal="center" vertical="center"/>
    </xf>
    <xf numFmtId="4" fontId="0" fillId="3" borderId="7" xfId="0" applyNumberFormat="1" applyFill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3">
    <cellStyle name="Komma" xfId="2" builtinId="3"/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benenergie.shop/products/demineralisiertes-wasser-1000-liter-ibc" TargetMode="External"/><Relationship Id="rId13" Type="http://schemas.openxmlformats.org/officeDocument/2006/relationships/hyperlink" Target="https://apps.carboncloud.com/climatehub/product-reports/id/1266801278346" TargetMode="External"/><Relationship Id="rId18" Type="http://schemas.openxmlformats.org/officeDocument/2006/relationships/hyperlink" Target="https://www.climatiq.io/data/emission-factor/3da133e4-d710-4c06-8a03-0999f85dcf08" TargetMode="External"/><Relationship Id="rId3" Type="http://schemas.openxmlformats.org/officeDocument/2006/relationships/hyperlink" Target="https://www.kiesundco.de/tterbein-weisskalkhydrat-ii-25-kg" TargetMode="External"/><Relationship Id="rId21" Type="http://schemas.openxmlformats.org/officeDocument/2006/relationships/hyperlink" Target="https://www.climatiq.io/data/emission-factor/8dd5801f-77e0-455a-8e1b-48794114f206" TargetMode="External"/><Relationship Id="rId7" Type="http://schemas.openxmlformats.org/officeDocument/2006/relationships/hyperlink" Target="https://www.carlroth.com/de/de/lewis-saeuren/schwefelsaeure/p/0971.4" TargetMode="External"/><Relationship Id="rId12" Type="http://schemas.openxmlformats.org/officeDocument/2006/relationships/hyperlink" Target="https://apps.carboncloud.com/climatehub/product-reports/id/216857142454" TargetMode="External"/><Relationship Id="rId17" Type="http://schemas.openxmlformats.org/officeDocument/2006/relationships/hyperlink" Target="https://www.climatiq.io/data/emission-factor/30a843e1-af2e-4824-93a0-a3ebb8e045b0" TargetMode="External"/><Relationship Id="rId2" Type="http://schemas.openxmlformats.org/officeDocument/2006/relationships/hyperlink" Target="https://furth-chemie.de/Pottasche-Kaliumcarbonat_1" TargetMode="External"/><Relationship Id="rId16" Type="http://schemas.openxmlformats.org/officeDocument/2006/relationships/hyperlink" Target="https://apps.carboncloud.com/climatehub/product-reports/id/23565867589" TargetMode="External"/><Relationship Id="rId20" Type="http://schemas.openxmlformats.org/officeDocument/2006/relationships/hyperlink" Target="https://apps.carboncloud.com/climatehub/product-reports/id/3285120312383" TargetMode="External"/><Relationship Id="rId1" Type="http://schemas.openxmlformats.org/officeDocument/2006/relationships/hyperlink" Target="https://furth-chemie.de/Kaliumhydroxid-Aetzkali-i-Schuppen-25-Kg" TargetMode="External"/><Relationship Id="rId6" Type="http://schemas.openxmlformats.org/officeDocument/2006/relationships/hyperlink" Target="https://furth-chemie.de/phosphorsaeure_3" TargetMode="External"/><Relationship Id="rId11" Type="http://schemas.openxmlformats.org/officeDocument/2006/relationships/hyperlink" Target="https://www.subolab.de/salpetersaure-53-reinst-gewerbepflichtig-002-004-002-003-009-023-00000/" TargetMode="External"/><Relationship Id="rId5" Type="http://schemas.openxmlformats.org/officeDocument/2006/relationships/hyperlink" Target="https://buxtrade.de/products/natriumhydrogencarbonat" TargetMode="External"/><Relationship Id="rId15" Type="http://schemas.openxmlformats.org/officeDocument/2006/relationships/hyperlink" Target="https://apps.carboncloud.com/climatehub/product-reports/id/2198404469941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hoefer-shop.com/products/20-kg-hofer-chemie%C2%AE-salzsaure-29-32-in-kanister?variant=41081940639807" TargetMode="External"/><Relationship Id="rId19" Type="http://schemas.openxmlformats.org/officeDocument/2006/relationships/hyperlink" Target="https://apps.carboncloud.com/climatehub/product-reports/id/1394351136979" TargetMode="External"/><Relationship Id="rId4" Type="http://schemas.openxmlformats.org/officeDocument/2006/relationships/hyperlink" Target="https://chemmarkt.de/products/magnesiumoxid-gerostete-magnesia-87-weiss-25kg-biomus" TargetMode="External"/><Relationship Id="rId9" Type="http://schemas.openxmlformats.org/officeDocument/2006/relationships/hyperlink" Target="https://furth-chemie.de/natriumhydroxid-aetznatron_3" TargetMode="External"/><Relationship Id="rId14" Type="http://schemas.openxmlformats.org/officeDocument/2006/relationships/hyperlink" Target="https://apps.carboncloud.com/climatehub/product-reports/id/6771589699675" TargetMode="External"/><Relationship Id="rId22" Type="http://schemas.openxmlformats.org/officeDocument/2006/relationships/hyperlink" Target="https://doi.org/10.1016/j.jclepro.2018.08.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AF2DF-2481-4680-B348-430B8131AE49}">
  <dimension ref="C2:S20"/>
  <sheetViews>
    <sheetView tabSelected="1" topLeftCell="I1" zoomScaleNormal="100" workbookViewId="0">
      <selection activeCell="M11" sqref="M11"/>
    </sheetView>
  </sheetViews>
  <sheetFormatPr baseColWidth="10" defaultRowHeight="15" x14ac:dyDescent="0.25"/>
  <cols>
    <col min="3" max="3" width="26.28515625" customWidth="1"/>
    <col min="4" max="4" width="16.140625" customWidth="1"/>
    <col min="5" max="5" width="28.140625" customWidth="1"/>
    <col min="6" max="6" width="22.140625" customWidth="1"/>
    <col min="7" max="7" width="110.28515625" customWidth="1"/>
    <col min="8" max="8" width="17.42578125" customWidth="1"/>
    <col min="9" max="9" width="16.85546875" customWidth="1"/>
    <col min="10" max="10" width="32" customWidth="1"/>
    <col min="11" max="11" width="25.28515625" customWidth="1"/>
    <col min="12" max="12" width="19.7109375" customWidth="1"/>
    <col min="13" max="13" width="22.28515625" customWidth="1"/>
    <col min="14" max="14" width="27.7109375" customWidth="1"/>
    <col min="15" max="15" width="86.7109375" customWidth="1"/>
    <col min="16" max="16" width="30.42578125" customWidth="1"/>
    <col min="17" max="17" width="12.7109375" customWidth="1"/>
    <col min="18" max="18" width="16.42578125" customWidth="1"/>
  </cols>
  <sheetData>
    <row r="2" spans="3:19" ht="15.75" x14ac:dyDescent="0.25">
      <c r="C2" s="37" t="s">
        <v>68</v>
      </c>
      <c r="D2" s="37"/>
    </row>
    <row r="4" spans="3:19" ht="18.75" x14ac:dyDescent="0.25">
      <c r="C4" s="21" t="s">
        <v>67</v>
      </c>
      <c r="D4" s="21" t="s">
        <v>43</v>
      </c>
      <c r="E4" s="21" t="s">
        <v>42</v>
      </c>
      <c r="F4" s="21" t="s">
        <v>41</v>
      </c>
      <c r="G4" s="22" t="s">
        <v>0</v>
      </c>
      <c r="H4" s="21" t="s">
        <v>44</v>
      </c>
      <c r="I4" s="21" t="s">
        <v>45</v>
      </c>
      <c r="J4" s="21" t="s">
        <v>66</v>
      </c>
      <c r="K4" s="21" t="s">
        <v>46</v>
      </c>
      <c r="L4" s="21" t="s">
        <v>47</v>
      </c>
      <c r="M4" s="21" t="s">
        <v>48</v>
      </c>
      <c r="N4" s="21" t="s">
        <v>26</v>
      </c>
      <c r="O4" s="21" t="s">
        <v>0</v>
      </c>
      <c r="P4" s="23" t="s">
        <v>27</v>
      </c>
      <c r="Q4" s="1"/>
      <c r="R4" s="21" t="s">
        <v>49</v>
      </c>
      <c r="S4" s="4">
        <v>1.1499999999999999</v>
      </c>
    </row>
    <row r="5" spans="3:19" x14ac:dyDescent="0.25">
      <c r="C5" s="5" t="s">
        <v>30</v>
      </c>
      <c r="D5" s="5" t="s">
        <v>1</v>
      </c>
      <c r="E5" s="5" t="s">
        <v>39</v>
      </c>
      <c r="F5" s="5" t="s">
        <v>3</v>
      </c>
      <c r="G5" s="13" t="s">
        <v>25</v>
      </c>
      <c r="H5" s="16">
        <v>2.7160000000000002</v>
      </c>
      <c r="I5" s="8">
        <v>0.9</v>
      </c>
      <c r="J5" s="5">
        <v>0</v>
      </c>
      <c r="K5" s="31">
        <v>56.105600000000003</v>
      </c>
      <c r="L5" s="16">
        <f t="shared" ref="L5:L14" si="0">H5*K5/(I5*1000)+J5*H$15</f>
        <v>0.16931423288888892</v>
      </c>
      <c r="M5" s="16">
        <f>L5*S$4</f>
        <v>0.19471136782222223</v>
      </c>
      <c r="N5" s="8">
        <v>1.48</v>
      </c>
      <c r="O5" s="19" t="s">
        <v>52</v>
      </c>
      <c r="P5" s="34">
        <f>N5*K5/1000/I5</f>
        <v>9.2262542222222216E-2</v>
      </c>
      <c r="Q5" s="1"/>
      <c r="R5" s="1"/>
      <c r="S5" s="1"/>
    </row>
    <row r="6" spans="3:19" x14ac:dyDescent="0.25">
      <c r="C6" s="24" t="s">
        <v>32</v>
      </c>
      <c r="D6" s="24" t="s">
        <v>2</v>
      </c>
      <c r="E6" s="24" t="s">
        <v>39</v>
      </c>
      <c r="F6" s="24" t="s">
        <v>3</v>
      </c>
      <c r="G6" s="25" t="s">
        <v>4</v>
      </c>
      <c r="H6" s="26">
        <v>4.33</v>
      </c>
      <c r="I6" s="27">
        <v>0.99</v>
      </c>
      <c r="J6" s="24">
        <v>0</v>
      </c>
      <c r="K6" s="32">
        <v>138.20500000000001</v>
      </c>
      <c r="L6" s="26">
        <f t="shared" si="0"/>
        <v>0.60447237373737384</v>
      </c>
      <c r="M6" s="26">
        <f t="shared" ref="M6:M14" si="1">L6*S$4</f>
        <v>0.69514322979797982</v>
      </c>
      <c r="N6" s="27">
        <v>2.38</v>
      </c>
      <c r="O6" s="28" t="s">
        <v>53</v>
      </c>
      <c r="P6" s="35">
        <f t="shared" ref="P6:P14" si="2">N6*K6/1000/I6</f>
        <v>0.33225040404040401</v>
      </c>
      <c r="Q6" s="1"/>
      <c r="R6" s="1"/>
      <c r="S6" s="2"/>
    </row>
    <row r="7" spans="3:19" x14ac:dyDescent="0.25">
      <c r="C7" s="5" t="s">
        <v>33</v>
      </c>
      <c r="D7" s="5" t="s">
        <v>5</v>
      </c>
      <c r="E7" s="5" t="s">
        <v>39</v>
      </c>
      <c r="F7" s="5" t="s">
        <v>6</v>
      </c>
      <c r="G7" s="13" t="s">
        <v>7</v>
      </c>
      <c r="H7" s="16">
        <v>0.67200000000000004</v>
      </c>
      <c r="I7" s="8">
        <v>0.91</v>
      </c>
      <c r="J7" s="5">
        <v>0</v>
      </c>
      <c r="K7" s="31">
        <v>74.093000000000004</v>
      </c>
      <c r="L7" s="16">
        <f t="shared" si="0"/>
        <v>5.4714830769230775E-2</v>
      </c>
      <c r="M7" s="16">
        <f t="shared" si="1"/>
        <v>6.2922055384615386E-2</v>
      </c>
      <c r="N7" s="18">
        <v>1.122382429</v>
      </c>
      <c r="O7" s="19" t="s">
        <v>54</v>
      </c>
      <c r="P7" s="34">
        <f t="shared" si="2"/>
        <v>9.1385364079007686E-2</v>
      </c>
      <c r="Q7" s="1"/>
      <c r="R7" s="1"/>
      <c r="S7" s="1"/>
    </row>
    <row r="8" spans="3:19" ht="30" customHeight="1" x14ac:dyDescent="0.25">
      <c r="C8" s="24" t="s">
        <v>34</v>
      </c>
      <c r="D8" s="24" t="s">
        <v>8</v>
      </c>
      <c r="E8" s="29" t="s">
        <v>40</v>
      </c>
      <c r="F8" s="29" t="s">
        <v>19</v>
      </c>
      <c r="G8" s="30" t="s">
        <v>9</v>
      </c>
      <c r="H8" s="26">
        <v>2.5790000000000002</v>
      </c>
      <c r="I8" s="27">
        <v>0.87</v>
      </c>
      <c r="J8" s="24">
        <f>13*K8/1000</f>
        <v>0.52395720000000001</v>
      </c>
      <c r="K8" s="32">
        <v>40.304400000000001</v>
      </c>
      <c r="L8" s="26">
        <f t="shared" si="0"/>
        <v>0.27614026900689653</v>
      </c>
      <c r="M8" s="26">
        <f t="shared" si="1"/>
        <v>0.31756130935793098</v>
      </c>
      <c r="N8" s="27">
        <v>4</v>
      </c>
      <c r="O8" s="28" t="s">
        <v>69</v>
      </c>
      <c r="P8" s="35">
        <f t="shared" si="2"/>
        <v>0.18530758620689658</v>
      </c>
      <c r="Q8" s="1"/>
      <c r="R8" s="1"/>
      <c r="S8" s="1"/>
    </row>
    <row r="9" spans="3:19" x14ac:dyDescent="0.25">
      <c r="C9" s="5" t="s">
        <v>35</v>
      </c>
      <c r="D9" s="5" t="s">
        <v>20</v>
      </c>
      <c r="E9" s="7" t="s">
        <v>39</v>
      </c>
      <c r="F9" s="7" t="s">
        <v>61</v>
      </c>
      <c r="G9" s="14" t="s">
        <v>21</v>
      </c>
      <c r="H9" s="16">
        <v>3.1960000000000002</v>
      </c>
      <c r="I9" s="8">
        <v>1</v>
      </c>
      <c r="J9" s="5">
        <v>0</v>
      </c>
      <c r="K9" s="31">
        <v>39.997</v>
      </c>
      <c r="L9" s="16">
        <f t="shared" si="0"/>
        <v>0.127830412</v>
      </c>
      <c r="M9" s="16">
        <f t="shared" si="1"/>
        <v>0.14700497379999999</v>
      </c>
      <c r="N9" s="8">
        <v>1.29</v>
      </c>
      <c r="O9" s="19" t="s">
        <v>60</v>
      </c>
      <c r="P9" s="34">
        <f t="shared" si="2"/>
        <v>5.1596130000000004E-2</v>
      </c>
      <c r="Q9" s="1"/>
      <c r="R9" s="1"/>
      <c r="S9" s="1"/>
    </row>
    <row r="10" spans="3:19" x14ac:dyDescent="0.25">
      <c r="C10" s="24" t="s">
        <v>31</v>
      </c>
      <c r="D10" s="24" t="s">
        <v>11</v>
      </c>
      <c r="E10" s="29" t="s">
        <v>39</v>
      </c>
      <c r="F10" s="24" t="s">
        <v>12</v>
      </c>
      <c r="G10" s="25" t="s">
        <v>13</v>
      </c>
      <c r="H10" s="26">
        <v>1.2</v>
      </c>
      <c r="I10" s="27">
        <v>1</v>
      </c>
      <c r="J10" s="24">
        <v>0</v>
      </c>
      <c r="K10" s="32">
        <v>84.007000000000005</v>
      </c>
      <c r="L10" s="26">
        <f t="shared" si="0"/>
        <v>0.10080840000000001</v>
      </c>
      <c r="M10" s="26">
        <f t="shared" si="1"/>
        <v>0.11592966</v>
      </c>
      <c r="N10" s="27">
        <v>1.4</v>
      </c>
      <c r="O10" s="28" t="s">
        <v>55</v>
      </c>
      <c r="P10" s="35">
        <f t="shared" si="2"/>
        <v>0.11760979999999999</v>
      </c>
      <c r="Q10" s="1"/>
      <c r="R10" s="1"/>
      <c r="S10" s="1"/>
    </row>
    <row r="11" spans="3:19" x14ac:dyDescent="0.25">
      <c r="C11" s="5" t="s">
        <v>70</v>
      </c>
      <c r="D11" s="5" t="s">
        <v>14</v>
      </c>
      <c r="E11" s="7" t="s">
        <v>39</v>
      </c>
      <c r="F11" s="5" t="s">
        <v>15</v>
      </c>
      <c r="G11" s="13" t="s">
        <v>64</v>
      </c>
      <c r="H11" s="16">
        <v>3.0139999999999998</v>
      </c>
      <c r="I11" s="8">
        <v>0.53</v>
      </c>
      <c r="J11" s="5">
        <v>0</v>
      </c>
      <c r="K11" s="31">
        <v>63.01</v>
      </c>
      <c r="L11" s="16">
        <f t="shared" si="0"/>
        <v>0.35832479245283017</v>
      </c>
      <c r="M11" s="16">
        <f t="shared" si="1"/>
        <v>0.41207351132075465</v>
      </c>
      <c r="N11" s="8">
        <v>3.19</v>
      </c>
      <c r="O11" s="19" t="s">
        <v>56</v>
      </c>
      <c r="P11" s="34">
        <f t="shared" si="2"/>
        <v>0.37924886792452828</v>
      </c>
      <c r="Q11" s="1"/>
      <c r="R11" s="1"/>
      <c r="S11" s="2"/>
    </row>
    <row r="12" spans="3:19" x14ac:dyDescent="0.25">
      <c r="C12" s="24" t="s">
        <v>36</v>
      </c>
      <c r="D12" s="24" t="s">
        <v>22</v>
      </c>
      <c r="E12" s="29" t="s">
        <v>39</v>
      </c>
      <c r="F12" s="24" t="s">
        <v>23</v>
      </c>
      <c r="G12" s="25" t="s">
        <v>24</v>
      </c>
      <c r="H12" s="26">
        <v>2.75</v>
      </c>
      <c r="I12" s="27">
        <v>0.3</v>
      </c>
      <c r="J12" s="24">
        <v>0</v>
      </c>
      <c r="K12" s="32">
        <v>36.46</v>
      </c>
      <c r="L12" s="26">
        <f t="shared" si="0"/>
        <v>0.33421666666666666</v>
      </c>
      <c r="M12" s="26">
        <f t="shared" si="1"/>
        <v>0.38434916666666663</v>
      </c>
      <c r="N12" s="27">
        <v>0.89</v>
      </c>
      <c r="O12" s="28" t="s">
        <v>58</v>
      </c>
      <c r="P12" s="35">
        <f t="shared" si="2"/>
        <v>0.10816466666666669</v>
      </c>
      <c r="Q12" s="1"/>
      <c r="R12" s="1"/>
      <c r="S12" s="1"/>
    </row>
    <row r="13" spans="3:19" x14ac:dyDescent="0.25">
      <c r="C13" s="5" t="s">
        <v>37</v>
      </c>
      <c r="D13" s="5" t="s">
        <v>16</v>
      </c>
      <c r="E13" s="7" t="s">
        <v>39</v>
      </c>
      <c r="F13" s="5" t="s">
        <v>3</v>
      </c>
      <c r="G13" s="13" t="s">
        <v>17</v>
      </c>
      <c r="H13" s="16">
        <v>3.1579999999999999</v>
      </c>
      <c r="I13" s="8">
        <v>0.75</v>
      </c>
      <c r="J13" s="5">
        <v>0</v>
      </c>
      <c r="K13" s="31">
        <v>97.994</v>
      </c>
      <c r="L13" s="16">
        <f t="shared" si="0"/>
        <v>0.41262006933333334</v>
      </c>
      <c r="M13" s="16">
        <f t="shared" si="1"/>
        <v>0.47451307973333329</v>
      </c>
      <c r="N13" s="8">
        <v>5.3</v>
      </c>
      <c r="O13" s="19" t="s">
        <v>57</v>
      </c>
      <c r="P13" s="34">
        <f t="shared" si="2"/>
        <v>0.69249093333333323</v>
      </c>
      <c r="Q13" s="1"/>
      <c r="R13" s="1"/>
      <c r="S13" s="1"/>
    </row>
    <row r="14" spans="3:19" x14ac:dyDescent="0.25">
      <c r="C14" s="24" t="s">
        <v>38</v>
      </c>
      <c r="D14" s="24" t="s">
        <v>18</v>
      </c>
      <c r="E14" s="29" t="s">
        <v>39</v>
      </c>
      <c r="F14" s="24" t="s">
        <v>63</v>
      </c>
      <c r="G14" s="25" t="s">
        <v>62</v>
      </c>
      <c r="H14" s="26">
        <v>3.0840000000000001</v>
      </c>
      <c r="I14" s="27">
        <v>0.96</v>
      </c>
      <c r="J14" s="24">
        <v>0</v>
      </c>
      <c r="K14" s="32">
        <v>98.08</v>
      </c>
      <c r="L14" s="26">
        <f t="shared" si="0"/>
        <v>0.31508200000000003</v>
      </c>
      <c r="M14" s="26">
        <f t="shared" si="1"/>
        <v>0.36234430000000001</v>
      </c>
      <c r="N14" s="27">
        <v>0.14000000000000001</v>
      </c>
      <c r="O14" s="28" t="s">
        <v>59</v>
      </c>
      <c r="P14" s="35">
        <f t="shared" si="2"/>
        <v>1.4303333333333335E-2</v>
      </c>
      <c r="Q14" s="1"/>
    </row>
    <row r="15" spans="3:19" x14ac:dyDescent="0.25">
      <c r="C15" s="6" t="s">
        <v>51</v>
      </c>
      <c r="D15" s="6" t="s">
        <v>28</v>
      </c>
      <c r="E15" s="6" t="s">
        <v>39</v>
      </c>
      <c r="F15" s="6" t="s">
        <v>29</v>
      </c>
      <c r="G15" s="15" t="s">
        <v>10</v>
      </c>
      <c r="H15" s="17">
        <v>0.29899999999999999</v>
      </c>
      <c r="I15" s="9">
        <v>1</v>
      </c>
      <c r="J15" s="6" t="s">
        <v>50</v>
      </c>
      <c r="K15" s="33" t="s">
        <v>50</v>
      </c>
      <c r="L15" s="17" t="s">
        <v>50</v>
      </c>
      <c r="M15" s="17" t="s">
        <v>50</v>
      </c>
      <c r="N15" s="9">
        <v>0</v>
      </c>
      <c r="O15" s="20" t="s">
        <v>65</v>
      </c>
      <c r="P15" s="36" t="s">
        <v>50</v>
      </c>
      <c r="Q15" s="1"/>
      <c r="R15" s="1"/>
    </row>
    <row r="16" spans="3:19" x14ac:dyDescent="0.25">
      <c r="C16" s="3"/>
      <c r="D16" s="3"/>
      <c r="E16" s="3"/>
      <c r="F16" s="3"/>
      <c r="G16" s="3"/>
      <c r="H16" s="12"/>
      <c r="I16" s="11"/>
      <c r="J16" s="10"/>
      <c r="K16" s="3"/>
      <c r="L16" s="3"/>
      <c r="M16" s="11"/>
      <c r="N16" s="1"/>
      <c r="O16" s="1"/>
      <c r="P16" s="1"/>
      <c r="Q16" s="1"/>
      <c r="R16" s="1"/>
    </row>
    <row r="17" spans="16:18" x14ac:dyDescent="0.25">
      <c r="P17" s="1"/>
      <c r="Q17" s="1"/>
      <c r="R17" s="1"/>
    </row>
    <row r="18" spans="16:18" x14ac:dyDescent="0.25">
      <c r="P18" s="1"/>
      <c r="Q18" s="1"/>
      <c r="R18" s="1"/>
    </row>
    <row r="19" spans="16:18" x14ac:dyDescent="0.25">
      <c r="P19" s="1"/>
      <c r="Q19" s="1"/>
      <c r="R19" s="1"/>
    </row>
    <row r="20" spans="16:18" x14ac:dyDescent="0.25">
      <c r="P20" s="1"/>
      <c r="Q20" s="1"/>
    </row>
  </sheetData>
  <mergeCells count="1">
    <mergeCell ref="C2:D2"/>
  </mergeCells>
  <hyperlinks>
    <hyperlink ref="G5" r:id="rId1" xr:uid="{4E1F8020-0B0A-40EE-92FA-B8E0EC871DBD}"/>
    <hyperlink ref="G6" r:id="rId2" xr:uid="{F723150A-C99F-427E-86E2-0B2C30BAAE65}"/>
    <hyperlink ref="G7" r:id="rId3" xr:uid="{AB668770-C54E-413D-BDFE-4FE331FBFE28}"/>
    <hyperlink ref="G8" r:id="rId4" xr:uid="{1A43627F-AC4A-4B4C-88DB-61532055647D}"/>
    <hyperlink ref="G10" r:id="rId5" xr:uid="{8F8F35DF-8F4A-4FAF-B515-E560BB2C4612}"/>
    <hyperlink ref="G13" r:id="rId6" xr:uid="{D88B5B6C-E685-4D26-89B2-50813D2FBC28}"/>
    <hyperlink ref="G14" r:id="rId7" xr:uid="{5A31B237-CB8E-4EDF-A2F5-9BCABA688313}"/>
    <hyperlink ref="G15" r:id="rId8" xr:uid="{5B4D198F-D7D5-4FCA-BE79-45CCDF094158}"/>
    <hyperlink ref="G9" r:id="rId9" xr:uid="{C1F90C79-15E6-4A05-8139-92818BC2EEFF}"/>
    <hyperlink ref="G12" r:id="rId10" xr:uid="{F9051F5E-2873-40F1-A71D-2E7FFB61B4A9}"/>
    <hyperlink ref="G11" r:id="rId11" xr:uid="{1268F5CF-BE50-4DB2-B9F6-FA3596AE22E2}"/>
    <hyperlink ref="O13" r:id="rId12" xr:uid="{0A454C2C-952A-4312-A610-0A5C86FD66EA}"/>
    <hyperlink ref="O14" r:id="rId13" xr:uid="{C86C6366-A7FE-4DA4-883F-198FED64E463}"/>
    <hyperlink ref="O12" r:id="rId14" xr:uid="{0EE9E572-4459-4A17-BD8F-9C3E97E37BC5}"/>
    <hyperlink ref="O11" r:id="rId15" xr:uid="{05092691-D16E-4C57-B4F0-1251C82E4375}"/>
    <hyperlink ref="O10" r:id="rId16" xr:uid="{22100F36-ECBD-4DBF-AD72-2DA7C4AB5410}"/>
    <hyperlink ref="O9" r:id="rId17" xr:uid="{BDB31EE2-DB5C-4A99-83B0-43C95B8440DD}"/>
    <hyperlink ref="O7" r:id="rId18" xr:uid="{4CEC82D8-489E-4421-8661-CE971907FAD5}"/>
    <hyperlink ref="O5" r:id="rId19" xr:uid="{8E213C90-5C4A-432E-9A99-07E07CADAC8C}"/>
    <hyperlink ref="O6" r:id="rId20" xr:uid="{D36F78F1-39DF-4352-AE3A-857EDFA3F128}"/>
    <hyperlink ref="O15" r:id="rId21" xr:uid="{AA36FDBC-41FE-435E-913C-B20001059547}"/>
    <hyperlink ref="O8" r:id="rId22" xr:uid="{7441F180-0C84-44AD-8207-4145BFEF2628}"/>
  </hyperlinks>
  <pageMargins left="0.7" right="0.7" top="0.78740157499999996" bottom="0.78740157499999996" header="0.3" footer="0.3"/>
  <pageSetup paperSize="9"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nesp</dc:creator>
  <cp:lastModifiedBy>nesp</cp:lastModifiedBy>
  <dcterms:created xsi:type="dcterms:W3CDTF">2025-05-15T07:08:17Z</dcterms:created>
  <dcterms:modified xsi:type="dcterms:W3CDTF">2025-11-22T12:43:26Z</dcterms:modified>
</cp:coreProperties>
</file>